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drawings/drawing1.xml" ContentType="application/vnd.openxmlformats-officedocument.drawing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Default Extension="bin" ContentType="application/vnd.openxmlformats-officedocument.spreadsheetml.printerSettings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bookViews>
    <workbookView xWindow="16635" yWindow="49216" windowWidth="29040" windowHeight="15720" tabRatio="772" firstSheet="9" activeTab="0"/>
  </bookViews>
  <sheets>
    <sheet name="Data" sheetId="8" r:id="rId1"/>
    <sheet name="Job Sheet" sheetId="1" r:id="rId2"/>
    <sheet name="Fabric Cutting" sheetId="13" r:id="rId3"/>
    <sheet name="Tube Cutting" sheetId="14" r:id="rId4"/>
    <sheet name="Powder Coating" sheetId="20" r:id="rId5"/>
    <sheet name="Assembly(a)" sheetId="15" r:id="rId6"/>
    <sheet name="Assembly(c)" sheetId="17" r:id="rId7"/>
    <sheet name="Packing" sheetId="19" r:id="rId8"/>
    <sheet name="Verticali Order Form" sheetId="24" r:id="rId9"/>
    <sheet name="Metroll Order Form" sheetId="22" r:id="rId10"/>
    <sheet name="Electrical Form" sheetId="21" r:id="rId11"/>
    <sheet name="Labels" sheetId="9" r:id="rId12"/>
    <sheet name="Components" sheetId="23" r:id="rId13"/>
    <sheet name="Component Look Ups" sheetId="11" r:id="rId14"/>
    <sheet name="Component Colour Matching" sheetId="16" r:id="rId15"/>
  </sheets>
  <externalReferences>
    <externalReference r:id="rId20"/>
    <externalReference r:id="rId21"/>
  </externalReferences>
  <definedNames>
    <definedName name="_xleta.AND" hidden="1">#NAME?</definedName>
    <definedName name="_xleta.IF" hidden="1">#NAME?</definedName>
    <definedName name="_xleta.SHEET" hidden="1">#NAME?</definedName>
    <definedName name="ColourMatch">'Component Colour Matching'!$A$2:$F$400</definedName>
    <definedName name="CompanyPkId">Data!$BB$2</definedName>
    <definedName name="ControlDeduct" localSheetId="2">'[1]Deductions'!$E$1:$F$15</definedName>
    <definedName name="ControlDeduct" localSheetId="4">'[1]Deductions'!$E$1:$F$15</definedName>
    <definedName name="CustName" localSheetId="5">'Assembly(a)'!$G$2</definedName>
    <definedName name="CustName" localSheetId="6">'Assembly(c)'!$G$2</definedName>
    <definedName name="CustName" localSheetId="7">Packing!$G$2</definedName>
    <definedName name="CustName">'Job Sheet'!$M$2</definedName>
    <definedName name="CustOrdOpt" localSheetId="5">Data!$CE$10:$CK$43</definedName>
    <definedName name="CustOrdOpt" localSheetId="14">Data!$CE$10:$CK$43</definedName>
    <definedName name="CustOrdOpt" localSheetId="2">'[1]Data'!$CE$10:$CK$67</definedName>
    <definedName name="CustOrdOpt" localSheetId="4">'[1]Data'!$CE$10:$CK$67</definedName>
    <definedName name="CustOrdOpt">Data!$CE$10:$CK$199</definedName>
    <definedName name="DataSettings">Data!$A$5:$F$24</definedName>
    <definedName name="FitDeduct" localSheetId="2">'[1]Deductions'!$C$1:$D$3</definedName>
    <definedName name="FitDeduct" localSheetId="4">'[1]Deductions'!$C$1:$D$3</definedName>
    <definedName name="FitDeduct">'Component Look Ups'!$E$2:$F$6</definedName>
    <definedName name="InventoryGroup">Data!$BA$1</definedName>
    <definedName name="JobPickLastRow">Data!$BA$2</definedName>
    <definedName name="OpenDeduct">'Component Look Ups'!$H$2:$I$6</definedName>
    <definedName name="PelmetDeduct" localSheetId="2">'[1]Deductions'!$K$1:$L$23</definedName>
    <definedName name="PelmetDeduct" localSheetId="4">'[1]Deductions'!$K$1:$L$23</definedName>
    <definedName name="_xlnm.Print_Area" localSheetId="5">'Assembly(a)'!$A$1:$N$20</definedName>
    <definedName name="_xlnm.Print_Area" localSheetId="6">'Assembly(c)'!$A$1:$L$20</definedName>
    <definedName name="_xlnm.Print_Area" localSheetId="14">'Component Colour Matching'!$A$1:$F$288</definedName>
    <definedName name="_xlnm.Print_Area" localSheetId="10">'Electrical Form'!$A$1:$M$20</definedName>
    <definedName name="_xlnm.Print_Area" localSheetId="2">'Fabric Cutting'!$A$1:$T$20</definedName>
    <definedName name="_xlnm.Print_Area" localSheetId="1">'Job Sheet'!$A$1:$AE$20</definedName>
    <definedName name="_xlnm.Print_Area" localSheetId="7">Packing!$A$1:$O$20</definedName>
    <definedName name="_xlnm.Print_Area" localSheetId="4">'Powder Coating'!$A$1:$R$20</definedName>
    <definedName name="_xlnm.Print_Area" localSheetId="3">'Tube Cutting'!$A$1:$T$20</definedName>
    <definedName name="_xlnm.Print_Area" localSheetId="8">'Verticali Order Form'!$A$1:$T$20</definedName>
    <definedName name="_xlnm.Print_Titles" localSheetId="5">'Assembly(a)'!$1:$10</definedName>
    <definedName name="_xlnm.Print_Titles" localSheetId="6">'Assembly(c)'!$1:$10</definedName>
    <definedName name="_xlnm.Print_Titles" localSheetId="1">'Job Sheet'!$1:$10</definedName>
    <definedName name="_xlnm.Print_Titles" localSheetId="7">Packing!$1:$10</definedName>
    <definedName name="ProductDetails">'[2]Job Sheet'!$AL$10:$AO$93</definedName>
    <definedName name="RightColumn">Data!$BA$3</definedName>
    <definedName name="SideDeduct" localSheetId="2">'[1]Deductions'!$I$1:$J$3</definedName>
    <definedName name="SideDeduct" localSheetId="4">'[1]Deductions'!$I$1:$J$3</definedName>
    <definedName name="SideDeduct">'Component Look Ups'!$A$15:$B$30</definedName>
    <definedName name="SizeDeduct" localSheetId="2">'[1]Deductions'!$A$1:$B$3</definedName>
    <definedName name="SizeDeduct" localSheetId="4">'[1]Deductions'!$A$1:$B$3</definedName>
    <definedName name="SpringDrop">'Component Look Ups'!$F$17:$F$34</definedName>
    <definedName name="SpringGrid">'Component Look Ups'!$G$17:$AB$34</definedName>
    <definedName name="SpringWidth">'Component Look Ups'!$F$16:$AD$16</definedName>
    <definedName name="TubeDrop">'Component Look Ups'!$F$17:$F$34</definedName>
    <definedName name="TubeGrid">'Component Look Ups'!$G$17:$AF$34</definedName>
    <definedName name="TubeWidth">'Component Look Ups'!$F$16:$AF$16</definedName>
    <definedName name="UserPkId">Data!$AV$3</definedName>
    <definedName name="VOFControl">'Verticali Order Form'!$Y$2:$Z$7</definedName>
    <definedName name="VOFLF">'Verticali Order Form'!$AB$2:$AC$10</definedName>
    <definedName name="ZipTubeDeduct">'Component Look Ups'!$A$4:$C$13</definedName>
  </definedNames>
  <calcPr fullCalcOn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<sst xmlns="http://schemas.openxmlformats.org/spreadsheetml/2006/main" count="2999" uniqueCount="1133">
  <si>
    <t>PkId</t>
  </si>
  <si>
    <t>Descn</t>
  </si>
  <si>
    <t>DateDoc</t>
  </si>
  <si>
    <t>RefNo</t>
  </si>
  <si>
    <t>Special Instructions</t>
  </si>
  <si>
    <t>Comment</t>
  </si>
  <si>
    <t>Notes</t>
  </si>
  <si>
    <t>JOB SHEET</t>
  </si>
  <si>
    <t>Customer Order Ref:</t>
  </si>
  <si>
    <t>Fabric Type &amp; Colour</t>
  </si>
  <si>
    <t>ORDER REC'D:</t>
  </si>
  <si>
    <t>This should be in column BG</t>
  </si>
  <si>
    <t>Delivery Address</t>
  </si>
  <si>
    <t>FixedLine</t>
  </si>
  <si>
    <t>LastRow</t>
  </si>
  <si>
    <t>REVISION:</t>
  </si>
  <si>
    <t>InventoryGroup</t>
  </si>
  <si>
    <t>RightColumn</t>
  </si>
  <si>
    <t>W</t>
  </si>
  <si>
    <t>CustomerPkId</t>
  </si>
  <si>
    <t>FollowUpDate</t>
  </si>
  <si>
    <t>OrderItemPkId</t>
  </si>
  <si>
    <t>AcceptedDate</t>
  </si>
  <si>
    <t>VERTC</t>
  </si>
  <si>
    <t>LastPwkCopyNo</t>
  </si>
  <si>
    <t>b64c1b45-c18e-4895-b2a0-91897d2591d2</t>
  </si>
  <si>
    <t>3c5ee578-b561-4f43-9b35-495bb6956c01</t>
  </si>
  <si>
    <t>InvoicedDate</t>
  </si>
  <si>
    <t>Revision</t>
  </si>
  <si>
    <t>Customer.Code</t>
  </si>
  <si>
    <t>Customer.Descn</t>
  </si>
  <si>
    <t>Contact.AddUnitNo</t>
  </si>
  <si>
    <t>Contact.AddNo</t>
  </si>
  <si>
    <t>Contact.AddBuilding</t>
  </si>
  <si>
    <t>Contact.AddStreet</t>
  </si>
  <si>
    <t>Contact.AddStType</t>
  </si>
  <si>
    <t>Contact.AddSuburb</t>
  </si>
  <si>
    <t>Contact.AddState</t>
  </si>
  <si>
    <t>Contact.AddPCode</t>
  </si>
  <si>
    <t>Contact.AddCountry</t>
  </si>
  <si>
    <t>Contact.Email</t>
  </si>
  <si>
    <t>Contact.DirectPhone</t>
  </si>
  <si>
    <t>Contact.Mobile</t>
  </si>
  <si>
    <t>Contact.PhOtherDescn1</t>
  </si>
  <si>
    <t>Contact.PhoneOther1</t>
  </si>
  <si>
    <t>Contact.PhOtherDescn2</t>
  </si>
  <si>
    <t>Contact.PhoneOther2</t>
  </si>
  <si>
    <t>Branch.Descn</t>
  </si>
  <si>
    <t>Branch.AddressLine1</t>
  </si>
  <si>
    <t>Branch.AddressLine2</t>
  </si>
  <si>
    <t>Branch.DirectPhone</t>
  </si>
  <si>
    <t>Branch.Fax</t>
  </si>
  <si>
    <t>Branch.Email</t>
  </si>
  <si>
    <t>SalesRepresentative.Descn</t>
  </si>
  <si>
    <t>SalesRepresentative.Mobile</t>
  </si>
  <si>
    <t>Customer.InvoiceMessage</t>
  </si>
  <si>
    <t>Billing.AddUnitNo</t>
  </si>
  <si>
    <t>Billing.AddNo</t>
  </si>
  <si>
    <t>Billing.AddBuilding</t>
  </si>
  <si>
    <t>Billing.AddStreet</t>
  </si>
  <si>
    <t>Billing.AddStType</t>
  </si>
  <si>
    <t>Billing.AddSuburb</t>
  </si>
  <si>
    <t>Billing.AddState</t>
  </si>
  <si>
    <t>Billing.AddPCode</t>
  </si>
  <si>
    <t>Billing.AddCountry</t>
  </si>
  <si>
    <t>BranchMarkupPer</t>
  </si>
  <si>
    <t>RepresentativeMarkupPer</t>
  </si>
  <si>
    <t>Billing.Title</t>
  </si>
  <si>
    <t>Billing.FirstName</t>
  </si>
  <si>
    <t>Billing.LastName</t>
  </si>
  <si>
    <t>Contact.Title</t>
  </si>
  <si>
    <t>Contact.FirstName</t>
  </si>
  <si>
    <t>Contact.LastName</t>
  </si>
  <si>
    <t>Customer.CustomerGroup.Descn</t>
  </si>
  <si>
    <t>Billing.DirectPhone</t>
  </si>
  <si>
    <t>Billing.Mobile</t>
  </si>
  <si>
    <t>Billing.PhOtherDescn1</t>
  </si>
  <si>
    <t>Billing.PhoneOther1</t>
  </si>
  <si>
    <t>Billing.PhOtherDescn2</t>
  </si>
  <si>
    <t>Billing.PhoneOther2</t>
  </si>
  <si>
    <t>User.Name</t>
  </si>
  <si>
    <t>Deposits</t>
  </si>
  <si>
    <t>Amt</t>
  </si>
  <si>
    <t>SalesRepresentative.Email</t>
  </si>
  <si>
    <t>Billing.Email</t>
  </si>
  <si>
    <t>InvoiceDeliveryStatus</t>
  </si>
  <si>
    <t>Current</t>
  </si>
  <si>
    <t>30Days</t>
  </si>
  <si>
    <t>60Days</t>
  </si>
  <si>
    <t>90Days</t>
  </si>
  <si>
    <t>AmtIncTax</t>
  </si>
  <si>
    <t>AcceptedByUser.Name</t>
  </si>
  <si>
    <t>Installer</t>
  </si>
  <si>
    <t>InventoryGroup.Descn</t>
  </si>
  <si>
    <t>Qty</t>
  </si>
  <si>
    <t>ItemWidth</t>
  </si>
  <si>
    <t>ItemHeight</t>
  </si>
  <si>
    <t>Inventory.Code</t>
  </si>
  <si>
    <t>Inventory.Descn</t>
  </si>
  <si>
    <t>Production.DateSched</t>
  </si>
  <si>
    <t>DiscPer</t>
  </si>
  <si>
    <t>Tax</t>
  </si>
  <si>
    <t>RRP</t>
  </si>
  <si>
    <t>DiscountAmt</t>
  </si>
  <si>
    <t>UnitCost</t>
  </si>
  <si>
    <t>Production.ProductionLine.Descn</t>
  </si>
  <si>
    <t>Inventory.Material</t>
  </si>
  <si>
    <t>Inventory.MaterialType</t>
  </si>
  <si>
    <t>Inventory.Colour</t>
  </si>
  <si>
    <t>Supplier</t>
  </si>
  <si>
    <t>Supp Prod Code</t>
  </si>
  <si>
    <t>Supp Prod Descn</t>
  </si>
  <si>
    <t>OrderItemPkId | Descn</t>
  </si>
  <si>
    <t>StrValue</t>
  </si>
  <si>
    <t>Header</t>
  </si>
  <si>
    <t>Barcode</t>
  </si>
  <si>
    <t>Field 1 - Order Date</t>
  </si>
  <si>
    <t>Field 2 - Order No/Revision/LineNo</t>
  </si>
  <si>
    <t>Customer Name</t>
  </si>
  <si>
    <t>Product</t>
  </si>
  <si>
    <t>Location</t>
  </si>
  <si>
    <t>Dimensions</t>
  </si>
  <si>
    <t>Print Qty</t>
  </si>
  <si>
    <t>End Format</t>
  </si>
  <si>
    <t>DATASETTINGS</t>
  </si>
  <si>
    <t>Sheet Name</t>
  </si>
  <si>
    <t>First Row</t>
  </si>
  <si>
    <t>Last Row</t>
  </si>
  <si>
    <t>Right Column</t>
  </si>
  <si>
    <t>Include in PDF</t>
  </si>
  <si>
    <t>No of Copy in PDF</t>
  </si>
  <si>
    <t>Job Sheet</t>
  </si>
  <si>
    <t>Labels</t>
  </si>
  <si>
    <t>K</t>
  </si>
  <si>
    <t>Label 1</t>
  </si>
  <si>
    <t>Order Ref</t>
  </si>
  <si>
    <t>Job required</t>
  </si>
  <si>
    <t>Flag</t>
  </si>
  <si>
    <t>Fabric Width</t>
  </si>
  <si>
    <t>CustVar1 (PackSize)</t>
  </si>
  <si>
    <t>CustVar2 (PackOpt)</t>
  </si>
  <si>
    <t>Sticker No.</t>
  </si>
  <si>
    <t>Order #</t>
  </si>
  <si>
    <t>CustVar3 (PackType)</t>
  </si>
  <si>
    <t>Blind Drop</t>
  </si>
  <si>
    <t>Skin Width</t>
  </si>
  <si>
    <t>Skin Drop</t>
  </si>
  <si>
    <t>Fabric Cutting</t>
  </si>
  <si>
    <t>Tube Cutting</t>
  </si>
  <si>
    <t>Tube</t>
  </si>
  <si>
    <t>Black</t>
  </si>
  <si>
    <t>Grey</t>
  </si>
  <si>
    <t>Blind Width</t>
  </si>
  <si>
    <t>Assembly(a)</t>
  </si>
  <si>
    <t>Cutting Order</t>
  </si>
  <si>
    <t>Fabric Required</t>
  </si>
  <si>
    <t>Tube Length</t>
  </si>
  <si>
    <t>B/Rail Length</t>
  </si>
  <si>
    <t>Fabric Drop</t>
  </si>
  <si>
    <t>Colour</t>
  </si>
  <si>
    <t>Cotton Colour</t>
  </si>
  <si>
    <t>Control</t>
  </si>
  <si>
    <t>Deduction</t>
  </si>
  <si>
    <t>Beige</t>
  </si>
  <si>
    <t>Fabric &amp; Colour</t>
  </si>
  <si>
    <t>Size</t>
  </si>
  <si>
    <t>Hood / Bracket Colour</t>
  </si>
  <si>
    <t>Hooding or Brackets</t>
  </si>
  <si>
    <t>Blue</t>
  </si>
  <si>
    <t>Operation</t>
  </si>
  <si>
    <t>Side Channel Fitting</t>
  </si>
  <si>
    <t>Blind Fit at Top</t>
  </si>
  <si>
    <t>Bottom Rail Colour</t>
  </si>
  <si>
    <t>Fixing</t>
  </si>
  <si>
    <t>Side Channel Colour</t>
  </si>
  <si>
    <t>Side Channel Powdercoat Colour</t>
  </si>
  <si>
    <t>Face</t>
  </si>
  <si>
    <t>Reveal</t>
  </si>
  <si>
    <t>No</t>
  </si>
  <si>
    <t>Zipscreen Springs</t>
  </si>
  <si>
    <t>B/Rail Powdercoat Colour</t>
  </si>
  <si>
    <t>Inner Rail Length</t>
  </si>
  <si>
    <t>Reveal One Side, Face One Side</t>
  </si>
  <si>
    <t>Fit</t>
  </si>
  <si>
    <t>Mounting Type</t>
  </si>
  <si>
    <t>Powder Coating</t>
  </si>
  <si>
    <t>Is Rework / Remake</t>
  </si>
  <si>
    <t>Brackets</t>
  </si>
  <si>
    <t>Additional Deductions</t>
  </si>
  <si>
    <t>Side by Side(Face)</t>
  </si>
  <si>
    <t>Side by Side(Reveal)</t>
  </si>
  <si>
    <t>Face Fit (Recess Deduction)</t>
  </si>
  <si>
    <t>Face Fit (Recess Side by Side Deduction)</t>
  </si>
  <si>
    <t>Face Fit (10mm Deduction)</t>
  </si>
  <si>
    <t>Recess Fit (No Deduction)</t>
  </si>
  <si>
    <t>Recess Fit (7mm Deduction)</t>
  </si>
  <si>
    <t>Recess Fit (10mm Deduction)</t>
  </si>
  <si>
    <t>Recess Fit (15mm Deduction)</t>
  </si>
  <si>
    <t>Recess Fit (20mm Deduction)</t>
  </si>
  <si>
    <t>Entered Width</t>
  </si>
  <si>
    <t>Gearbox Colour</t>
  </si>
  <si>
    <t>Installation Deliver or Supply</t>
  </si>
  <si>
    <t>Motor Tails</t>
  </si>
  <si>
    <t>Yes</t>
  </si>
  <si>
    <t>Component Look Ups</t>
  </si>
  <si>
    <t>A</t>
  </si>
  <si>
    <t>Component Colour Matching</t>
  </si>
  <si>
    <t>Bracket Fixing</t>
  </si>
  <si>
    <t>Colourbond Hood Length</t>
  </si>
  <si>
    <t>HVG Visiontex Plus Sunscreen Amazon</t>
  </si>
  <si>
    <t>HVG Visiontex Plus Sunscreen Arizona</t>
  </si>
  <si>
    <t>HVG Visiontex Plus Sunscreen Baltic Blue</t>
  </si>
  <si>
    <t>HVG Visiontex Plus Sunscreen Bondi</t>
  </si>
  <si>
    <t>HVG Visiontex Plus Sunscreen Carbon Black</t>
  </si>
  <si>
    <t>HVG Visiontex Plus Sunscreen Desert</t>
  </si>
  <si>
    <t>HVG Visiontex Plus Sunscreen Everest</t>
  </si>
  <si>
    <t>HVG Visiontex Plus Sunscreen Evergreen</t>
  </si>
  <si>
    <t>HVG Visiontex Plus Sunscreen Graphite</t>
  </si>
  <si>
    <t>HVG Visiontex Plus Sunscreen Greystone</t>
  </si>
  <si>
    <t>HVG Visiontex Plus Sunscreen Havana</t>
  </si>
  <si>
    <t>HVG Visiontex Plus Sunscreen Ice White</t>
  </si>
  <si>
    <t>HVG Visiontex Plus Sunscreen Ivory</t>
  </si>
  <si>
    <t>HVG Visiontex Plus Sunscreen Java</t>
  </si>
  <si>
    <t>HVG Visiontex Plus Sunscreen Kashmir</t>
  </si>
  <si>
    <t>HVG Visiontex Plus Sunscreen Kelp</t>
  </si>
  <si>
    <t>HVG Visiontex Plus Sunscreen Neptune</t>
  </si>
  <si>
    <t>HVG Visiontex Plus Sunscreen Paperbark</t>
  </si>
  <si>
    <t>HVG Visiontex Plus Sunscreen Platinum</t>
  </si>
  <si>
    <t>HVG Visiontex Plus Sunscreen TBA</t>
  </si>
  <si>
    <t>HVG Visiontex Plus Sunscreen Titan Grey</t>
  </si>
  <si>
    <t>HVG Visiontex Ultra Sunscreen Basalt</t>
  </si>
  <si>
    <t>HVG Visiontex Ultra Sunscreen Claystone</t>
  </si>
  <si>
    <t>HVG Visiontex Ultra Sunscreen Goldstone</t>
  </si>
  <si>
    <t>HVG Visiontex Ultra Sunscreen Granite</t>
  </si>
  <si>
    <t>HVG Visiontex Ultra Sunscreen Onyx</t>
  </si>
  <si>
    <t>HVG Visiontex Ultra Sunscreen Pebble</t>
  </si>
  <si>
    <t>HVG Visiontex Ultra Sunscreen Sahara</t>
  </si>
  <si>
    <t>HVG Visiontex Ultra Sunscreen Sandstone</t>
  </si>
  <si>
    <t>HVG Visiontex Ultra Sunscreen Sapphire</t>
  </si>
  <si>
    <t>HVG Visiontex Ultra Sunscreen TBA</t>
  </si>
  <si>
    <t>HVG Visiontex Ultra Sunscreen Tungsten</t>
  </si>
  <si>
    <t>HVG Visiontex View Sunscreen Daylight</t>
  </si>
  <si>
    <t>HVG Visiontex View Sunscreen Nightsky</t>
  </si>
  <si>
    <t>HVG Visiontex View Sunscreen Shadow</t>
  </si>
  <si>
    <t>HVG Visiontex View Sunscreen TBA</t>
  </si>
  <si>
    <t>Nolans Vistaweave 95 Sunscreen Ash Grey</t>
  </si>
  <si>
    <t>Nolans Vistaweave 95 Sunscreen Cappuccino</t>
  </si>
  <si>
    <t>Nolans Vistaweave 95 Sunscreen Caramel</t>
  </si>
  <si>
    <t>Nolans Vistaweave 95 Sunscreen Charcoal</t>
  </si>
  <si>
    <t>Nolans Vistaweave 95 Sunscreen Chinaberry</t>
  </si>
  <si>
    <t>Nolans Vistaweave 95 Sunscreen Classic Cream</t>
  </si>
  <si>
    <t>Nolans Vistaweave 95 Sunscreen Cocoa</t>
  </si>
  <si>
    <t>Nolans Vistaweave 95 Sunscreen Congo</t>
  </si>
  <si>
    <t>Nolans Vistaweave 95 Sunscreen Copper</t>
  </si>
  <si>
    <t>Nolans Vistaweave 95 Sunscreen Dune</t>
  </si>
  <si>
    <t>Nolans Vistaweave 95 Sunscreen Ebony</t>
  </si>
  <si>
    <t>Nolans Vistaweave 95 Sunscreen Fed Green</t>
  </si>
  <si>
    <t>Nolans Vistaweave 95 Sunscreen Flint</t>
  </si>
  <si>
    <t>Nolans Vistaweave 95 Sunscreen Grecian Gold</t>
  </si>
  <si>
    <t>Nolans Vistaweave 95 Sunscreen Green Tea</t>
  </si>
  <si>
    <t>Nolans Vistaweave 95 Sunscreen Gunmetal</t>
  </si>
  <si>
    <t>Nolans Vistaweave 95 Sunscreen Ironstone</t>
  </si>
  <si>
    <t>Nolans Vistaweave 95 Sunscreen Jasper</t>
  </si>
  <si>
    <t>Nolans Vistaweave 95 Sunscreen Mist</t>
  </si>
  <si>
    <t>Nolans Vistaweave 95 Sunscreen Oyster</t>
  </si>
  <si>
    <t>Nolans Vistaweave 95 Sunscreen Paperbark</t>
  </si>
  <si>
    <t>Nolans Vistaweave 95 Sunscreen Pepper</t>
  </si>
  <si>
    <t>Nolans Vistaweave 95 Sunscreen Pewter</t>
  </si>
  <si>
    <t>Nolans Vistaweave 95 Sunscreen Porcelain</t>
  </si>
  <si>
    <t>Nolans Vistaweave 95 Sunscreen Shale Grey</t>
  </si>
  <si>
    <t>Nolans Vistaweave 95 Sunscreen Snow</t>
  </si>
  <si>
    <t>Nolans Vistaweave 95 Sunscreen Steel Blue</t>
  </si>
  <si>
    <t>Nolans Vistaweave 95 Sunscreen Storm</t>
  </si>
  <si>
    <t>Nolans Vistaweave 95 Sunscreen Taupe</t>
  </si>
  <si>
    <t>Nolans Vistaweave 95 Sunscreen TBA</t>
  </si>
  <si>
    <t>Nolans Vistaweave 95 Sunscreen Wallaby</t>
  </si>
  <si>
    <t>Nolans Vistaweave 95 Sunscreen Windspray</t>
  </si>
  <si>
    <t>Nolans Vistaweave 95 Sunscreen Woodland Grey</t>
  </si>
  <si>
    <t>Nolans Vistaweave 99 Sunscreen Cappuccino</t>
  </si>
  <si>
    <t>Nolans Vistaweave 99 Sunscreen Caramel</t>
  </si>
  <si>
    <t>Nolans Vistaweave 99 Sunscreen Charcoal</t>
  </si>
  <si>
    <t>Nolans Vistaweave 99 Sunscreen Classic Cream</t>
  </si>
  <si>
    <t>Nolans Vistaweave 99 Sunscreen Ebony</t>
  </si>
  <si>
    <t>Nolans Vistaweave 99 Sunscreen Gunmetal</t>
  </si>
  <si>
    <t>Nolans Vistaweave 99 Sunscreen Paperbark</t>
  </si>
  <si>
    <t>Nolans Vistaweave 99 Sunscreen Storm</t>
  </si>
  <si>
    <t>Nolans Vistaweave 99 Sunscreen TBA</t>
  </si>
  <si>
    <t>Nolans Vistaweave 99 Sunscreen Woodland Grey</t>
  </si>
  <si>
    <t>Nolans Vistaweave Stripe Sunscreen T044</t>
  </si>
  <si>
    <t>Nolans Vistaweave Stripe Sunscreen T113</t>
  </si>
  <si>
    <t>Nolans Vistaweave Stripe Sunscreen T115</t>
  </si>
  <si>
    <t>Nolans Vistaweave Stripe Sunscreen T232</t>
  </si>
  <si>
    <t>Nolans Vistaweave Stripe Sunscreen T294</t>
  </si>
  <si>
    <t>Nolans Vistaweave Stripe Sunscreen T893</t>
  </si>
  <si>
    <t>Nolans Vistaweave Stripe Sunscreen TBA</t>
  </si>
  <si>
    <t>Ricky Outlook Designs Sunscreen 605 Ironbark Stripe</t>
  </si>
  <si>
    <t>Ricky Outlook Designs Sunscreen 618 Wanda Stripe</t>
  </si>
  <si>
    <t>Ricky Outlook Designs Sunscreen 625 Palm Beach Stripe</t>
  </si>
  <si>
    <t>Ricky Outlook Designs Sunscreen 636 Stradbroke Stripe</t>
  </si>
  <si>
    <t>Ricky Outlook Designs Sunscreen 642 Gumleaf Stripe</t>
  </si>
  <si>
    <t>Ricky Outlook Designs Sunscreen 644 Nambucca Stripe</t>
  </si>
  <si>
    <t>Ricky Outlook Designs Sunscreen 648 Daintree Stripe</t>
  </si>
  <si>
    <t>Ricky Outlook Designs Sunscreen 662 Modena Stripe</t>
  </si>
  <si>
    <t>Ricky Outlook Designs Sunscreen 672 Federation Stripe</t>
  </si>
  <si>
    <t>Ricky Outlook Mode Colours Sunscreen 503 Deep Sea</t>
  </si>
  <si>
    <t>Ricky Outlook Mode Colours Sunscreen 504 Spice</t>
  </si>
  <si>
    <t>Ricky Outlook Mode Colours Sunscreen 505 Silver Sky</t>
  </si>
  <si>
    <t>Ricky Outlook Mode Colours Sunscreen 507 Bamboo</t>
  </si>
  <si>
    <t>Ricky Outlook Mode Colours Sunscreen 508 Nougat</t>
  </si>
  <si>
    <t>Ricky Outlook Mode Colours Sunscreen 509 Flint</t>
  </si>
  <si>
    <t>Ricky Outlook Mode Colours Sunscreen 510 Moonlight</t>
  </si>
  <si>
    <t>Ricky Outlook Mode Colours Sunscreen 517 Chalk</t>
  </si>
  <si>
    <t>Ricky Outlook Mode Colours Sunscreen 526 Greystone</t>
  </si>
  <si>
    <t>Ricky Outlook Mode Colours Sunscreen 529 Wheat</t>
  </si>
  <si>
    <t>Ricky Outlook Mode Colours Sunscreen 533 Mocha</t>
  </si>
  <si>
    <t>Ricky Outlook Mode Colours Sunscreen 539 Shale Grey</t>
  </si>
  <si>
    <t>Ricky Outlook Mode Colours Sunscreen 540 Woodland Grey</t>
  </si>
  <si>
    <t>Ricky Outlook Mode Colours Sunscreen 541 Basalt</t>
  </si>
  <si>
    <t>Ricky Outlook Mode Colours Sunscreen 542 Monument</t>
  </si>
  <si>
    <t>Ricky Outlook Mode Colours Sunscreen 544 Eclipse</t>
  </si>
  <si>
    <t>Ricky Outlook Mode Colours Sunscreen 551 Ash</t>
  </si>
  <si>
    <t>Ricky Outlook Mode Colours Sunscreen 553 Blackstone</t>
  </si>
  <si>
    <t>Ricky Outlook Mode Colours Sunscreen 559 Forest Green</t>
  </si>
  <si>
    <t>Ricky Outlook Mode Colours Sunscreen 564 Platinum</t>
  </si>
  <si>
    <t>Ricky Outlook Mode Colours Sunscreen 566 Alpaca</t>
  </si>
  <si>
    <t>Ricky Outlook Mode Colours Sunscreen 572 Porcelain</t>
  </si>
  <si>
    <t>Ricky Outlook Mode Colours Sunscreen 575 Marzipan</t>
  </si>
  <si>
    <t>Ricky Outlook Mode Colours Sunscreen 597 Maroon</t>
  </si>
  <si>
    <t>Ricky Outlook Mode Privacy Sunscreen 400 Ebony</t>
  </si>
  <si>
    <t>Ricky Outlook Mode Privacy Sunscreen 401 Gunmetal</t>
  </si>
  <si>
    <t>Ricky Outlook Mode Privacy Sunscreen 402 Chestnut</t>
  </si>
  <si>
    <t>Ricky Outlook Mode Privacy Sunscreen 403 Storm</t>
  </si>
  <si>
    <t>Ricky Outlook Mode Privacy Sunscreen 404 Paperbark</t>
  </si>
  <si>
    <t>Ricky Outlook Mode Privacy Sunscreen 406 Desert</t>
  </si>
  <si>
    <t>Ricky Outlook Mode Privacy Sunscreen 407 Black Opal</t>
  </si>
  <si>
    <t>Ricky Outlook Mode Privacy Sunscreen 408 Shadow</t>
  </si>
  <si>
    <t>Ricky Outlook Mode Privacy Sunscreen 409 Colarado</t>
  </si>
  <si>
    <t>Ricky Outlook Mode Privacy Sunscreen 410 Cotton</t>
  </si>
  <si>
    <t>Ricky Outlook Mode Privacy Sunscreen TBA</t>
  </si>
  <si>
    <t>Texstyle Solar View Sunscreen Alabaster</t>
  </si>
  <si>
    <t>Texstyle Solar View Sunscreen Black</t>
  </si>
  <si>
    <t>Texstyle Solar View Sunscreen Black/Copper</t>
  </si>
  <si>
    <t>Texstyle Solar View Sunscreen Bone/Off White</t>
  </si>
  <si>
    <t>Texstyle Solar View Sunscreen Bronze/Charcoal</t>
  </si>
  <si>
    <t>Texstyle Solar View Sunscreen Charcoal</t>
  </si>
  <si>
    <t>Texstyle Solar View Sunscreen Cotton</t>
  </si>
  <si>
    <t>Texstyle Solar View Sunscreen Grey</t>
  </si>
  <si>
    <t>Texstyle Solar View Sunscreen Off White</t>
  </si>
  <si>
    <t>Texstyle Solar View Sunscreen Platinum</t>
  </si>
  <si>
    <t>Texstyle Solar View Sunscreen Taupe</t>
  </si>
  <si>
    <t>Texstyle Solar View Sunscreen TBA</t>
  </si>
  <si>
    <t>Texstyle Solar View Sunscreen White</t>
  </si>
  <si>
    <t>Bottom Rail Length</t>
  </si>
  <si>
    <t>Electrical Form</t>
  </si>
  <si>
    <t>Phone Number</t>
  </si>
  <si>
    <t>Electrician Required</t>
  </si>
  <si>
    <t>Control Type</t>
  </si>
  <si>
    <t>Controller</t>
  </si>
  <si>
    <t>Receiver</t>
  </si>
  <si>
    <t>House Construction</t>
  </si>
  <si>
    <t>Roof Style</t>
  </si>
  <si>
    <t>Switchboard Upgrade</t>
  </si>
  <si>
    <t>Number of Storeys</t>
  </si>
  <si>
    <t>M</t>
  </si>
  <si>
    <t>Gearbox Front or Back</t>
  </si>
  <si>
    <t>Hood Extension Brackets</t>
  </si>
  <si>
    <t>Railroad</t>
  </si>
  <si>
    <t>Packing</t>
  </si>
  <si>
    <t>Assembly(c)</t>
  </si>
  <si>
    <t>Customer.Warning</t>
  </si>
  <si>
    <t>Customer.WarningColour</t>
  </si>
  <si>
    <t>Bottom Flap</t>
  </si>
  <si>
    <t>Motor Extras</t>
  </si>
  <si>
    <t>Outer Track Length</t>
  </si>
  <si>
    <t>Inner Track Length</t>
  </si>
  <si>
    <t>Inner Nylon Guide Length</t>
  </si>
  <si>
    <t>Foam Spacer for Ends</t>
  </si>
  <si>
    <t>Foam Spacer in  Centre</t>
  </si>
  <si>
    <t>Hole Caps</t>
  </si>
  <si>
    <t>PVC Fabric Width</t>
  </si>
  <si>
    <t>PVC Fabric Drop</t>
  </si>
  <si>
    <t>Mesh Border</t>
  </si>
  <si>
    <t>Mesh Border Bottom Width</t>
  </si>
  <si>
    <t>Mesh Border Bottom  Drop</t>
  </si>
  <si>
    <t>Mesh Border Sides Width</t>
  </si>
  <si>
    <t>Mesh Border Sides Drop</t>
  </si>
  <si>
    <t>Top Spline</t>
  </si>
  <si>
    <t>Bottom Spline</t>
  </si>
  <si>
    <t>HVG Visiontex Perform Sunscreen Nova</t>
  </si>
  <si>
    <t>HVG Visiontex Perform Sunscreen Nebula</t>
  </si>
  <si>
    <t>HVG Visiontex Perform Sunscreen Cosmos</t>
  </si>
  <si>
    <t>HVG Visiontex Perform Sunscreen Luna</t>
  </si>
  <si>
    <t>HVG Visiontex Perform Sunscreen Galaxy</t>
  </si>
  <si>
    <t>HVG Visiontex Perform Sunscreen Blackstar</t>
  </si>
  <si>
    <t>HVG Visiontex Perform Sunscreen TBA</t>
  </si>
  <si>
    <t>Customer:</t>
  </si>
  <si>
    <t>20mm</t>
  </si>
  <si>
    <t>128mm</t>
  </si>
  <si>
    <t>86mm</t>
  </si>
  <si>
    <t>127mm</t>
  </si>
  <si>
    <t>Item #</t>
  </si>
  <si>
    <t>Room Location</t>
  </si>
  <si>
    <t>Front Section</t>
  </si>
  <si>
    <t>Back  Section</t>
  </si>
  <si>
    <t>Back Section Length (mm)</t>
  </si>
  <si>
    <t>Front Section Length (mm)</t>
  </si>
  <si>
    <t>Metroll Order Form</t>
  </si>
  <si>
    <t>E</t>
  </si>
  <si>
    <t>Please call the office on 53333066 for credit card payment</t>
  </si>
  <si>
    <t>10mm with a 8mm Crush Fold</t>
  </si>
  <si>
    <t>8mm with a 8mm with Crush Fold</t>
  </si>
  <si>
    <t>HVG Visiontex Glisse Sunscreen Genoa</t>
  </si>
  <si>
    <t>HVG Visiontex Glisse Sunscreen Naxos</t>
  </si>
  <si>
    <t>HVG Visiontex Glisse Sunscreen Majorca</t>
  </si>
  <si>
    <t>HVG Visiontex Glisse Sunscreen Malta</t>
  </si>
  <si>
    <t>HVG Visiontex Glisse Sunscreen Naples</t>
  </si>
  <si>
    <t>HVG Visiontex Glisse Sunscreen Rhodes</t>
  </si>
  <si>
    <t>HVG Visiontex Glisse Sunscreen TBA</t>
  </si>
  <si>
    <t>HVG Visiontex Ultra Sunscreen Shale</t>
  </si>
  <si>
    <t>Email</t>
  </si>
  <si>
    <t>Leg &amp; Foot</t>
  </si>
  <si>
    <t>Flashing</t>
  </si>
  <si>
    <t>VERTICALI &amp; ZIPSCREEN Job Sheet</t>
  </si>
  <si>
    <t xml:space="preserve">VERTICALI &amp; ZIPSCREEN Fabric Cutting </t>
  </si>
  <si>
    <t xml:space="preserve">VERTICALI &amp; ZIPSCREEN Tube Cutting </t>
  </si>
  <si>
    <t xml:space="preserve">VERTICALI &amp; ZIPSCREEN Powder Coating Form </t>
  </si>
  <si>
    <t>VERTICALI &amp; ZIPSCREEN Packing</t>
  </si>
  <si>
    <t>Sensors</t>
  </si>
  <si>
    <t>Verticali or Zipscreen Hooding Back Length</t>
  </si>
  <si>
    <t>Verticali or Zipscreen Hooding Cover Length</t>
  </si>
  <si>
    <t>Verticali or Zipscreen Hood Ends</t>
  </si>
  <si>
    <t>Hood or Bracket Powdercoat Colour</t>
  </si>
  <si>
    <t>Colourbond Hood or Gearbox Brackets</t>
  </si>
  <si>
    <t>Quote No.</t>
  </si>
  <si>
    <t>Line No</t>
  </si>
  <si>
    <t>Order Item Code</t>
  </si>
  <si>
    <t>Business Name</t>
  </si>
  <si>
    <t>Quote Ref</t>
  </si>
  <si>
    <t>Fabric</t>
  </si>
  <si>
    <t>Fabric Sqm</t>
  </si>
  <si>
    <t>50mm Tube</t>
  </si>
  <si>
    <t>63mm Tube</t>
  </si>
  <si>
    <t>70mm Tube</t>
  </si>
  <si>
    <t>78mm Tube</t>
  </si>
  <si>
    <t>85mm Tube</t>
  </si>
  <si>
    <t>50mm Drive End</t>
  </si>
  <si>
    <t>50mm Idle with Hole</t>
  </si>
  <si>
    <t>63mm Drive End</t>
  </si>
  <si>
    <t>63mm Idle with Hole</t>
  </si>
  <si>
    <t>70mm Drive End</t>
  </si>
  <si>
    <t>70mm Idle with Hole</t>
  </si>
  <si>
    <t>78mm Drive End</t>
  </si>
  <si>
    <t>78mm Idle with Hole</t>
  </si>
  <si>
    <t>85mm Drive End</t>
  </si>
  <si>
    <t>85mm Idle with Hole</t>
  </si>
  <si>
    <t>Pivot Pin &amp; Plate</t>
  </si>
  <si>
    <t>Pivot Pin &amp; Plate Stainless Steel</t>
  </si>
  <si>
    <t>5 Sided Bottom Rail Pull Ring</t>
  </si>
  <si>
    <t>5 Sided Bottom Rail End Cap</t>
  </si>
  <si>
    <t>50mm Small Spring</t>
  </si>
  <si>
    <t>50mm Standard Spring</t>
  </si>
  <si>
    <t>63mm Spring</t>
  </si>
  <si>
    <t>U Bracket</t>
  </si>
  <si>
    <t>U Bracket Stainless Steel</t>
  </si>
  <si>
    <t>Guide End Cap</t>
  </si>
  <si>
    <t>Pull Stick 1500mm White</t>
  </si>
  <si>
    <t>Pull Stick White Lengths</t>
  </si>
  <si>
    <t>Pull Stick Hook</t>
  </si>
  <si>
    <t>Pull Stick End Cap</t>
  </si>
  <si>
    <t>Spring Brackets</t>
  </si>
  <si>
    <t>Spring Brackets Stainless Steel</t>
  </si>
  <si>
    <t>Side Fix Bracket for Guide</t>
  </si>
  <si>
    <t>Side Fix Bracket for U Bracket</t>
  </si>
  <si>
    <t>Telescopic Corner Bracket Small</t>
  </si>
  <si>
    <t>Telescopic Corner Bracket Universal</t>
  </si>
  <si>
    <t>Fixed Guide Runners</t>
  </si>
  <si>
    <t>50mm Round End Cap</t>
  </si>
  <si>
    <t>Stainless Steel Cable</t>
  </si>
  <si>
    <t>Stainless Steel L Bracket</t>
  </si>
  <si>
    <t>Stainless Steel Bush Bottom Fix</t>
  </si>
  <si>
    <t>Stainless Steel Bush Top Fix</t>
  </si>
  <si>
    <t>Stainless Steel Deck Plate</t>
  </si>
  <si>
    <t>Chain Adaptor</t>
  </si>
  <si>
    <t>Chain Adaptor Stainless Steel</t>
  </si>
  <si>
    <t>Stainless Steel Drop Path Ring</t>
  </si>
  <si>
    <t>Stainless Steel Double Swivel Dog Clip</t>
  </si>
  <si>
    <t>Stainless Steel Saddle</t>
  </si>
  <si>
    <t>Stainless Steel</t>
  </si>
  <si>
    <t>3.6mm Spline</t>
  </si>
  <si>
    <t>6mm Spline Soft</t>
  </si>
  <si>
    <t>Verticali 125mm Tube</t>
  </si>
  <si>
    <t>Verticali Outer Side Guide</t>
  </si>
  <si>
    <t>Verticali Verticali Inner Side Guide</t>
  </si>
  <si>
    <t>Verticali Bottom Rail</t>
  </si>
  <si>
    <t>Verticali  Inner Nylon Guide</t>
  </si>
  <si>
    <t>Verticali Foam Spacer</t>
  </si>
  <si>
    <t>Verticali 30mm Bottom Seal</t>
  </si>
  <si>
    <t>Verticali Ballast</t>
  </si>
  <si>
    <t>Verticali Square Hood Ends</t>
  </si>
  <si>
    <t>Verticali Wire Guide Hood Ends</t>
  </si>
  <si>
    <t>Verticali Sqaure Hood Ends for Colourbond Headbox</t>
  </si>
  <si>
    <t>Verticali 78mm Reducer</t>
  </si>
  <si>
    <t>Verticali 85mm Reducer</t>
  </si>
  <si>
    <t>Verticali 125mm Reducer</t>
  </si>
  <si>
    <t>Verticali 60mm Drive</t>
  </si>
  <si>
    <t>Verticali Bottom Rail Wire Guide Adaptor</t>
  </si>
  <si>
    <t>Verticali Side Guide End Cap</t>
  </si>
  <si>
    <t>Verticali Bottom Rail End Cap</t>
  </si>
  <si>
    <t>Verticali Bottom Rail Blank End Cap</t>
  </si>
  <si>
    <t>Verticali Side Guide Funnel</t>
  </si>
  <si>
    <t>Verticali Side Guide Top Stops</t>
  </si>
  <si>
    <t>Verticali Flat Saddle</t>
  </si>
  <si>
    <t>Zipscreen Headbox 120mm Back</t>
  </si>
  <si>
    <t>Zipscreen Headbox 120mm Front</t>
  </si>
  <si>
    <t>Zipscreen Headbox 120mm End Caps</t>
  </si>
  <si>
    <t>Zipscreen Spring 78mm Compact</t>
  </si>
  <si>
    <t>Zipscreen Spring 78mm Light</t>
  </si>
  <si>
    <t>Zipscreen Spring 78mm Standard</t>
  </si>
  <si>
    <t>Zipscreen Spring 78mm Heavy Duty</t>
  </si>
  <si>
    <t>Zipscreen Spring 78mm Extra Heavy Duty</t>
  </si>
  <si>
    <t>Zipscreen Spring 78mm Ultra Heavy Duty</t>
  </si>
  <si>
    <t>Zipscreen 78mm to 45mm Reducer</t>
  </si>
  <si>
    <t>Zipscreen Idler/Spring Adaptor</t>
  </si>
  <si>
    <t>Zipscreen Fabric 7mm Spline with 15mm Tail</t>
  </si>
  <si>
    <t>Zipscreen F56 Base Rail</t>
  </si>
  <si>
    <t>Zipscreen F56 Base Rail End Caps</t>
  </si>
  <si>
    <t>Zipscreen Bottom Rail V3 Lock Seal</t>
  </si>
  <si>
    <t>Flush Mount Deck Plates</t>
  </si>
  <si>
    <t>Zipscreen Flat 20x5mm Ballast</t>
  </si>
  <si>
    <t>Zipscreen Handle</t>
  </si>
  <si>
    <t>Zipscreen Bottom Rail Lock Set</t>
  </si>
  <si>
    <t>Zipscreen Outer Side Guides</t>
  </si>
  <si>
    <t>Zipscreen Inner Side Guides</t>
  </si>
  <si>
    <t>Zipscreen L Fixing Rail</t>
  </si>
  <si>
    <t>Zipscreen Side Guide Top Funnel</t>
  </si>
  <si>
    <t>Zipscreen Side Guide Bottom Cap</t>
  </si>
  <si>
    <t>Crown Ring 63mm Keyway Tube</t>
  </si>
  <si>
    <t>Drive Wheel 63mm Keyway tube</t>
  </si>
  <si>
    <t>Star Awning Bracket</t>
  </si>
  <si>
    <t>Molex Connection</t>
  </si>
  <si>
    <t>Crown 78mm Tube</t>
  </si>
  <si>
    <t>Drive Adaptor 78mm Tube</t>
  </si>
  <si>
    <t>1 Channel Remote - White</t>
  </si>
  <si>
    <t>1 Channel Remote - Black</t>
  </si>
  <si>
    <t>5 Channel Remote - White</t>
  </si>
  <si>
    <t>5 Channel Remote - Black</t>
  </si>
  <si>
    <t>10 Channel Remote - White</t>
  </si>
  <si>
    <t>10 Channel Remote - Black</t>
  </si>
  <si>
    <t>Altus 50 RTS 10/17</t>
  </si>
  <si>
    <t>Altus 50 RTS 15/17</t>
  </si>
  <si>
    <t>Zamack Bracket without thread</t>
  </si>
  <si>
    <t>63mm Crown</t>
  </si>
  <si>
    <t>63mm Drive</t>
  </si>
  <si>
    <t>78mm Crown</t>
  </si>
  <si>
    <t>78mm Drive</t>
  </si>
  <si>
    <t>Connexoon</t>
  </si>
  <si>
    <t>Tahoma Switch</t>
  </si>
  <si>
    <t>Somfy 15 Channel Silver Remote</t>
  </si>
  <si>
    <t>Somfy 15 Channel White Remote</t>
  </si>
  <si>
    <t>Somfy 2 Channel Silver Remote</t>
  </si>
  <si>
    <t>Somfy 2 Channel Wall Mounted Smoove Remote White with Black Cover Plate</t>
  </si>
  <si>
    <t>Somfy 2 Channel Wall Mounted Smoove Remote White with Silver Cover Plate</t>
  </si>
  <si>
    <t>Somfy 2 Channel Wall Mounted Smoove Remote White</t>
  </si>
  <si>
    <t>Somfy 2 Channel White Remote</t>
  </si>
  <si>
    <t>Somfy 5 Channel Silver Remote</t>
  </si>
  <si>
    <t>Somfy 5 Channel Wall Mounted Smoove Remote White with Black Cover Plate</t>
  </si>
  <si>
    <t>Somfy 5 Channel Wall Mounted Smoove Remote White with Silver Cover Plate</t>
  </si>
  <si>
    <t>Somfy 5 Channel Wall Mounted Smoove Remote White</t>
  </si>
  <si>
    <t>Somfy 5 Channel White Remote</t>
  </si>
  <si>
    <t>Somfy Single Channel Silver Remote</t>
  </si>
  <si>
    <t>Somfy Single Channel Wall Mounted Smoove Remote White with Black Cover Plate</t>
  </si>
  <si>
    <t>Somfy Single Channel Wall Mounted Smoove Remote White with Silver Cover Plate</t>
  </si>
  <si>
    <t>Somfy Single Channel Wall Mounted Smoove Remote White</t>
  </si>
  <si>
    <t>Somfy Single Channel White Remote</t>
  </si>
  <si>
    <t>2010 130 176 0</t>
  </si>
  <si>
    <t>2020 130 156 0</t>
  </si>
  <si>
    <t>4930 300 023 0</t>
  </si>
  <si>
    <t>4930 300 084 0</t>
  </si>
  <si>
    <t>4930 300 053 0</t>
  </si>
  <si>
    <t>Molexconnection</t>
  </si>
  <si>
    <t>4930 300 091 0</t>
  </si>
  <si>
    <t>4034 000 920 0</t>
  </si>
  <si>
    <t>4034 000 921 0</t>
  </si>
  <si>
    <t>Components</t>
  </si>
  <si>
    <t>Acmeda Remote Motor</t>
  </si>
  <si>
    <t>Control Side</t>
  </si>
  <si>
    <t>Gearbox</t>
  </si>
  <si>
    <t>Becker Remote Operated</t>
  </si>
  <si>
    <t>Becker Switch Operated</t>
  </si>
  <si>
    <t>Somfy Remote Operated</t>
  </si>
  <si>
    <t>Tube Deduction</t>
  </si>
  <si>
    <t>AN</t>
  </si>
  <si>
    <t>O</t>
  </si>
  <si>
    <t>Verticali Side Guide Leg</t>
  </si>
  <si>
    <t>Zipscreen Spring Size</t>
  </si>
  <si>
    <t>Outside of Spec</t>
  </si>
  <si>
    <t>Compact</t>
  </si>
  <si>
    <t>Light</t>
  </si>
  <si>
    <t>Standard</t>
  </si>
  <si>
    <t>Heavy Duty</t>
  </si>
  <si>
    <t>Extra Heavy Dury</t>
  </si>
  <si>
    <t>Ultra Heavy Duty</t>
  </si>
  <si>
    <t>Zipscreen L Frame</t>
  </si>
  <si>
    <t>R</t>
  </si>
  <si>
    <t>Hunter Douglas Stance 1% Grey</t>
  </si>
  <si>
    <t>Hunter Douglas Stance 1% Grey/Black</t>
  </si>
  <si>
    <t>Hunter Douglas Stance 1% Black/Grey</t>
  </si>
  <si>
    <t>Hunter Douglas Stance 1% Black</t>
  </si>
  <si>
    <t>Hunter Douglas Stance 1% TBA</t>
  </si>
  <si>
    <t>Hunter Douglas Stance 3% Grey</t>
  </si>
  <si>
    <t>Hunter Douglas Stance 3% Grey/ Black</t>
  </si>
  <si>
    <t>Hunter Douglas Stance 3% Bronze</t>
  </si>
  <si>
    <t>Hunter Douglas Stance 3% Linen</t>
  </si>
  <si>
    <t>Hunter Douglas Stance 3% Pearl</t>
  </si>
  <si>
    <t>Hunter Douglas Stance 3% Black/ Bronze</t>
  </si>
  <si>
    <t>Hunter Douglas Stance 3% Black</t>
  </si>
  <si>
    <t>Hunter Douglas Stance 3% TBA</t>
  </si>
  <si>
    <t>HVG Visiontex Extreme Ararat</t>
  </si>
  <si>
    <t>HVG Visiontex Extreme Dakota</t>
  </si>
  <si>
    <t>HVG Visiontex Extreme Rio</t>
  </si>
  <si>
    <t>HVG Visiontex Extreme Sierra</t>
  </si>
  <si>
    <t>HVG Visiontex Extreme Kalahari</t>
  </si>
  <si>
    <t>HVG Visiontex Extreme Tanami</t>
  </si>
  <si>
    <t>HVG Visiontex Extreme Rocky</t>
  </si>
  <si>
    <t>HVG Visiontex Extreme Maui</t>
  </si>
  <si>
    <t>HVG Visiontex Extreme TBA</t>
  </si>
  <si>
    <t>HVG Visiontex Plus Sunscreen Oyster</t>
  </si>
  <si>
    <t>HVG Visiontex Primo Sunscreen TBA</t>
  </si>
  <si>
    <t>HVG Visiontex Primo Sunscreen Gravel</t>
  </si>
  <si>
    <t>HVG Visiontex Primo Sunscreen Jet Black</t>
  </si>
  <si>
    <t>HVG Visiontex Ultra Sunscreen Bluestone</t>
  </si>
  <si>
    <t>Dark Grey</t>
  </si>
  <si>
    <t>HVG Visiontex Ultra Sunscreen Limestone</t>
  </si>
  <si>
    <t>Nolans Vistaweave 95 Sunscreen Cobalt</t>
  </si>
  <si>
    <t>Nolans Vistaweave 95 Sunscreen Monument</t>
  </si>
  <si>
    <t>Nolans Vistaweave 99 Sunscreen Flint</t>
  </si>
  <si>
    <t>Nolans Vistaweave 99 Sunscreen Monument</t>
  </si>
  <si>
    <t>Nolans Vistaweave Max Sunscreen Bassalt</t>
  </si>
  <si>
    <t>Nolans Vistaweave Max Sunscreen Charcoal</t>
  </si>
  <si>
    <t>Nolans Vistaweave Max Sunscreen Classic Cream</t>
  </si>
  <si>
    <t>Nolans Vistaweave Max Sunscreen Ebony</t>
  </si>
  <si>
    <t>Nolans Vistaweave Max Sunscreen Monument</t>
  </si>
  <si>
    <t>Nolans Vistaweave Max Sunscreen Paperbark</t>
  </si>
  <si>
    <t>Nolans Vistaweave Max Sunscreen Snow</t>
  </si>
  <si>
    <t>Nolans Vistaweave Max Sunscreen TBA</t>
  </si>
  <si>
    <t>Nolans Vistaweave Max Sunscreen Woodland Grey</t>
  </si>
  <si>
    <t>Ricky Outlook Designs Sunscreen 640 Zebra Stripe</t>
  </si>
  <si>
    <t>Ricky Outlook Mode Colours Sunscreen TBA</t>
  </si>
  <si>
    <t>Ricky Outlook Mode Textures 907 Aniseed</t>
  </si>
  <si>
    <t>Ricky Outlook Mode Textures 909 Stucco</t>
  </si>
  <si>
    <t>Ricky Outlook Mode Textures 901 Golden Glow</t>
  </si>
  <si>
    <t>Ricky Outlook Mode Textures 903 Smokey Quartz</t>
  </si>
  <si>
    <t>Ricky Outlook Mode Textures 900 Milky Topaz</t>
  </si>
  <si>
    <t>Ricky Outlook Mode Textures 905 Peppermint</t>
  </si>
  <si>
    <t>Ricky Outlook Mode Textures TBA</t>
  </si>
  <si>
    <t>Hunter Douglas Stance 5% Ultra Black</t>
  </si>
  <si>
    <t>Hunter Douglas Stance 5% TBA</t>
  </si>
  <si>
    <t>Hardback Optical Mesh 5% Sunscreen TBA</t>
  </si>
  <si>
    <t>Hardback Optical Mesh 5% Sunscreen Black</t>
  </si>
  <si>
    <t>Hardback Optical Mesh 5% Sunscreen Charcoal</t>
  </si>
  <si>
    <t>Hardback Optical Mesh 5% Sunscreen Flint</t>
  </si>
  <si>
    <t>Hardback Optical Mesh 5% Sunscreen Pepper</t>
  </si>
  <si>
    <t>Hardback Optical Mesh 5% Sunscreen Woodland Grey</t>
  </si>
  <si>
    <t>Hardback Optical Mesh 5% Sunscreen Taupe</t>
  </si>
  <si>
    <t>Hardback Optical Mesh 5% Sunscreen Bark</t>
  </si>
  <si>
    <t>Hardback Optical Mesh 5% Sunscreen Latte</t>
  </si>
  <si>
    <t>Hardback Optical Mesh 1% Sunscreen TBA</t>
  </si>
  <si>
    <t>Hardback Optical Mesh 1% Sunscreen Black</t>
  </si>
  <si>
    <t>Hardback Optical Mesh 1% Sunscreen Charcoal</t>
  </si>
  <si>
    <t>Hardback Optical Mesh 1% Sunscreen Flint</t>
  </si>
  <si>
    <t>Hardback Optical Mesh 1% Sunscreen Paperbark</t>
  </si>
  <si>
    <t>Hardback Optical Mesh 1% Sunscreen Woodland Grey</t>
  </si>
  <si>
    <t>Hardback Optical Mesh 1% Sunscreen Pepper</t>
  </si>
  <si>
    <t>Hardback Optical Mesh 1% Sunscreen Sunstone</t>
  </si>
  <si>
    <t>Hardback Optical Mesh 1% Sunscreen Modern Grey</t>
  </si>
  <si>
    <t>Hardback Optical Mesh 1% Block Sunscreen TBA</t>
  </si>
  <si>
    <t>Hardback Optical Mesh 1% Block Sunscreen Black</t>
  </si>
  <si>
    <t>Hardback Optical Mesh 1% Block Sunscreen Charcoal</t>
  </si>
  <si>
    <t>Hardback Optical Mesh 1% Block Sunscreen Flint</t>
  </si>
  <si>
    <t>Hardback Optical Mesh 1% Block Sunscreen Sand</t>
  </si>
  <si>
    <t>Hardback Optical Mesh 1% Block Sunscreen Moroccan Brown</t>
  </si>
  <si>
    <t>Binding Colour</t>
  </si>
  <si>
    <t>Operation Side</t>
  </si>
  <si>
    <t>Yes / No</t>
  </si>
  <si>
    <t>Sign</t>
  </si>
  <si>
    <t>20mm Ballast</t>
  </si>
  <si>
    <t>HVG Visiontex Ultra Sunscreen Riverstone</t>
  </si>
  <si>
    <t xml:space="preserve"> B/Rail Colour</t>
  </si>
  <si>
    <t>Verticali Hooding Cover Length</t>
  </si>
  <si>
    <t>Verticali Hooding Back Length</t>
  </si>
  <si>
    <t>Top Stops</t>
  </si>
  <si>
    <t>T</t>
  </si>
  <si>
    <t>N</t>
  </si>
  <si>
    <t>L</t>
  </si>
  <si>
    <t>This should be in column AX</t>
  </si>
  <si>
    <t>Outer Channel Length</t>
  </si>
  <si>
    <t>Fixed Guide 12mm Ballast</t>
  </si>
  <si>
    <t>Pivot Arm Spring</t>
  </si>
  <si>
    <t>Pivot Arm Extrusion</t>
  </si>
  <si>
    <t>Pivot Arm 5 Sided Clamp</t>
  </si>
  <si>
    <t>Pivot Arm Lock</t>
  </si>
  <si>
    <t>Pivot Arm Slide Track Extrusion</t>
  </si>
  <si>
    <t>Ricky Skyline 94 602 Surfmist</t>
  </si>
  <si>
    <t>Ricky Skyline 94 666 Tan</t>
  </si>
  <si>
    <t>Ricky Skyline 94 633 Java</t>
  </si>
  <si>
    <t>Ricky Skyline 94 610 Luna</t>
  </si>
  <si>
    <t>Ricky Skyline 94 664 Pewter</t>
  </si>
  <si>
    <t>Ricky Skyline 94 641 Basalt</t>
  </si>
  <si>
    <t>Ricky Skyline 94 609 Coal</t>
  </si>
  <si>
    <t>Ricky Skyline 94 642 Monument</t>
  </si>
  <si>
    <t>Ricky Skyline 94 653 Midnight</t>
  </si>
  <si>
    <t>Ricky Skyline 94 TBA</t>
  </si>
  <si>
    <t>Ricky Skyline 99 702 Surfmist</t>
  </si>
  <si>
    <t>Ricky Skyline 99 766 Tan</t>
  </si>
  <si>
    <t>Ricky Skyline 99 710 Luna</t>
  </si>
  <si>
    <t>Ricky Skyline 99 764 Pewter</t>
  </si>
  <si>
    <t>Ricky Skyline 99 741 Basalt</t>
  </si>
  <si>
    <t>Ricky Skyline 99 709 Coal</t>
  </si>
  <si>
    <t>Ricky Skyline 99 742 Monument</t>
  </si>
  <si>
    <t>Ricky Skyline 99 753 Midnight</t>
  </si>
  <si>
    <t>Ricky Skyline 99 TBA</t>
  </si>
  <si>
    <t>Wire Guide Base Rail - Anodised</t>
  </si>
  <si>
    <t>Wire Guide Base Rail End Caps</t>
  </si>
  <si>
    <t>Zipscreen Headbox 120mm Semi Front</t>
  </si>
  <si>
    <t>Pulse Pro Automation Hub</t>
  </si>
  <si>
    <t>USB Repeater</t>
  </si>
  <si>
    <t>Acmeda Push Pro White Remote</t>
  </si>
  <si>
    <t>Acmeda Push Pro Black Remote</t>
  </si>
  <si>
    <t>HVG Visiontex Plus Sunscreen Dusk Grey</t>
  </si>
  <si>
    <t>HVG Visiontex Plus Sunscreen Jamaica</t>
  </si>
  <si>
    <t>Nolans PVC Clear</t>
  </si>
  <si>
    <t>Ricky Outlook Mode Colours Sunscreen 502 Surfmist</t>
  </si>
  <si>
    <t>Ricky Outlook Mode Colours Sunscreen 538 Windspray</t>
  </si>
  <si>
    <t>Ricky Outlook Mode Colours Sunscreen 580 Pale Eucalypt</t>
  </si>
  <si>
    <t>2700 / 3050</t>
  </si>
  <si>
    <t>2700 / 3050 / 3200 / 3380</t>
  </si>
  <si>
    <t>2700 / 3200</t>
  </si>
  <si>
    <t>2700 / 3050 / 3200</t>
  </si>
  <si>
    <t>3050 / 3200</t>
  </si>
  <si>
    <t>3050/ 3200</t>
  </si>
  <si>
    <t>2700 / 3000</t>
  </si>
  <si>
    <t>2750 / 3200</t>
  </si>
  <si>
    <t>Ricky Outlook Zero TBA</t>
  </si>
  <si>
    <t>Ricky Outlook Zero 517 Chalk</t>
  </si>
  <si>
    <t>Ricky Outlook Zero 541 Basalt</t>
  </si>
  <si>
    <t>Ricky Outlook Zero 542 Monument</t>
  </si>
  <si>
    <t>Ricky Outlook Zero 553 Blackstone</t>
  </si>
  <si>
    <t>Ricky Outlook Zero 564 Platinum</t>
  </si>
  <si>
    <t>Ricky Outlook Zero 566 Alpaca</t>
  </si>
  <si>
    <t>Nolans Vistaweave 95 Sunscreen Basalt</t>
  </si>
  <si>
    <t>Nolans Vistaweave 95 Sunscreen Surfmist</t>
  </si>
  <si>
    <t>Side Guide Fit</t>
  </si>
  <si>
    <t>Opening Fit</t>
  </si>
  <si>
    <t>Nolans PVC Tint</t>
  </si>
  <si>
    <t>Fixed Guide Pulleys</t>
  </si>
  <si>
    <t>Fixed Guide Cleats</t>
  </si>
  <si>
    <t>Sash Cord - Black</t>
  </si>
  <si>
    <t>Sash Cord - White</t>
  </si>
  <si>
    <t>Ricky Outlook Mode Privacy Sunscreen 411 Basalt</t>
  </si>
  <si>
    <t>Ricky Mode Zero Stripes TBA</t>
  </si>
  <si>
    <t>Ricky Mode Zero Stripes 502 Surfmist &amp; Chalk</t>
  </si>
  <si>
    <t>Ricky Mode Zero Stripes 504 Spice &amp; Chalk</t>
  </si>
  <si>
    <t>Ricky Mode Zero Stripes 538 Windspray &amp; Chalk</t>
  </si>
  <si>
    <t>Ricky Mode Zero Stripes 539 Shale Grey &amp; Chalk</t>
  </si>
  <si>
    <t>Ricky Mode Zero Stripes 540 Woodland Grey &amp; Chalk</t>
  </si>
  <si>
    <t>Ricky Mode Zero Stripes 541 Basalt &amp; Chalk</t>
  </si>
  <si>
    <t>Ricky Mode Zero Stripes 542 Monument &amp; Chalk</t>
  </si>
  <si>
    <t>Ricky Mode Zero Stripes 553 Blackstone &amp; Chalk</t>
  </si>
  <si>
    <t>Ricky Mode Zero Stripes 580 Pale Eucalypt &amp; Chalk</t>
  </si>
  <si>
    <t>Acmeda Push Pro Charging Cable</t>
  </si>
  <si>
    <t>Acmeda Wall Block</t>
  </si>
  <si>
    <t>Stock Fabric?</t>
  </si>
  <si>
    <t>Dark Green</t>
  </si>
  <si>
    <t>Mushroom</t>
  </si>
  <si>
    <t>Brown</t>
  </si>
  <si>
    <t>Attached to Motor</t>
  </si>
  <si>
    <t>Spring</t>
  </si>
  <si>
    <t>Zip</t>
  </si>
  <si>
    <t>Colourbond Hooding</t>
  </si>
  <si>
    <t>Headbox Powdercoat Colour</t>
  </si>
  <si>
    <t>Headbox Gearbox Cut Outs</t>
  </si>
  <si>
    <t>OZ</t>
  </si>
  <si>
    <t>AC150-A630MKII</t>
  </si>
  <si>
    <t>RE01-0663-050518</t>
  </si>
  <si>
    <t>RE01-0680-050508</t>
  </si>
  <si>
    <t>MT02-0401-067001</t>
  </si>
  <si>
    <t>MT03-0502-059001</t>
  </si>
  <si>
    <t>MT02-0101-067004</t>
  </si>
  <si>
    <t>MT02-0101-050004</t>
  </si>
  <si>
    <t>MT02-0101-067008</t>
  </si>
  <si>
    <t>MT02-0101-050008</t>
  </si>
  <si>
    <t>4930 300 033 0</t>
  </si>
  <si>
    <t>Colourbond Under-Roll Hooding</t>
  </si>
  <si>
    <t>Colourbond Under-Roll Hood Ends</t>
  </si>
  <si>
    <t>Colourbond Under-Roll Hood Ends with Holes</t>
  </si>
  <si>
    <t>Colourbond Over-Roll Hooding</t>
  </si>
  <si>
    <t>Colourbond Over-Roll Hood Ends</t>
  </si>
  <si>
    <t>Colourbond Over-Roll Hood Ends with Holes</t>
  </si>
  <si>
    <t>Tubes</t>
  </si>
  <si>
    <t>Drives &amp; Idles</t>
  </si>
  <si>
    <t>5 Sided Bottom Rail</t>
  </si>
  <si>
    <t>Misc.</t>
  </si>
  <si>
    <t>Springs</t>
  </si>
  <si>
    <t>Auto Guide</t>
  </si>
  <si>
    <t>Auto Guide Stainless Steel</t>
  </si>
  <si>
    <t>Auto Arm</t>
  </si>
  <si>
    <t>Auto Arm Stainless Steel</t>
  </si>
  <si>
    <t>Pull Stick</t>
  </si>
  <si>
    <t>Gearboxes</t>
  </si>
  <si>
    <t>Crank Handle</t>
  </si>
  <si>
    <t>Fixed Guide</t>
  </si>
  <si>
    <t>Fixed Guide Stainless Steel</t>
  </si>
  <si>
    <t>L Bracket</t>
  </si>
  <si>
    <t>Fixed Guide Pulley</t>
  </si>
  <si>
    <t>Gearbox Brackets</t>
  </si>
  <si>
    <t>U Bracket Stand Out</t>
  </si>
  <si>
    <t>Guide Stand Out</t>
  </si>
  <si>
    <t>Hood Stand Out</t>
  </si>
  <si>
    <t>Spline</t>
  </si>
  <si>
    <t>Verticali</t>
  </si>
  <si>
    <t>Zipscreen</t>
  </si>
  <si>
    <t>Acmeda Motors</t>
  </si>
  <si>
    <t>Acmeda Controls</t>
  </si>
  <si>
    <t>Becker Motors</t>
  </si>
  <si>
    <t>Somfy Motors</t>
  </si>
  <si>
    <t>Pivot Arm</t>
  </si>
  <si>
    <t>Wire Guide</t>
  </si>
  <si>
    <t>Job Tracking Action</t>
  </si>
  <si>
    <t>Dispatch Action</t>
  </si>
  <si>
    <t>Dispatch Date</t>
  </si>
  <si>
    <t>Zinc</t>
  </si>
  <si>
    <t>Caulfield Green</t>
  </si>
  <si>
    <t>Charcoal</t>
  </si>
  <si>
    <t>Dune</t>
  </si>
  <si>
    <t>Heritage Red</t>
  </si>
  <si>
    <t>Ironstone</t>
  </si>
  <si>
    <t>Jasper</t>
  </si>
  <si>
    <t>Merino</t>
  </si>
  <si>
    <t>Mist Green</t>
  </si>
  <si>
    <t>Mountain Blue</t>
  </si>
  <si>
    <t>Primrose</t>
  </si>
  <si>
    <t>Shale Grey</t>
  </si>
  <si>
    <t>Slate Grey</t>
  </si>
  <si>
    <t>Surfmist</t>
  </si>
  <si>
    <t>White</t>
  </si>
  <si>
    <t>Surf Mist</t>
  </si>
  <si>
    <t>900mm</t>
  </si>
  <si>
    <t>1050mm</t>
  </si>
  <si>
    <t>1200mm</t>
  </si>
  <si>
    <t>1350mm</t>
  </si>
  <si>
    <t>1500mm</t>
  </si>
  <si>
    <t>1650mm</t>
  </si>
  <si>
    <t>1800mm</t>
  </si>
  <si>
    <t>1950mm</t>
  </si>
  <si>
    <t>2100mm</t>
  </si>
  <si>
    <t>2400mm</t>
  </si>
  <si>
    <t>2700mm</t>
  </si>
  <si>
    <t>3000mm</t>
  </si>
  <si>
    <t>150mm</t>
  </si>
  <si>
    <t>225mm</t>
  </si>
  <si>
    <t>300mm</t>
  </si>
  <si>
    <t>450mm</t>
  </si>
  <si>
    <t>600mm</t>
  </si>
  <si>
    <t>Black 1000mm</t>
  </si>
  <si>
    <t>Black 1200mm</t>
  </si>
  <si>
    <t>Black 1500mm</t>
  </si>
  <si>
    <t>Black 1800mm</t>
  </si>
  <si>
    <t>Black 2200mm</t>
  </si>
  <si>
    <t>Black 2500mm</t>
  </si>
  <si>
    <t>Black 3000mm</t>
  </si>
  <si>
    <t>White 1000mm</t>
  </si>
  <si>
    <t>White 1200mm</t>
  </si>
  <si>
    <t>White 1500mm</t>
  </si>
  <si>
    <t>White 1800mm</t>
  </si>
  <si>
    <t>White 2200mm</t>
  </si>
  <si>
    <t>White 2500mm</t>
  </si>
  <si>
    <t>White 3000mm</t>
  </si>
  <si>
    <t>3500mm</t>
  </si>
  <si>
    <t>150mm Stainless Steel</t>
  </si>
  <si>
    <t>225mm Stainless Steel</t>
  </si>
  <si>
    <t>300mm Stainless Steel</t>
  </si>
  <si>
    <t>80mm Black</t>
  </si>
  <si>
    <t>80mm White</t>
  </si>
  <si>
    <t>25mm</t>
  </si>
  <si>
    <t>50mm</t>
  </si>
  <si>
    <t>75mm</t>
  </si>
  <si>
    <t>100mm</t>
  </si>
  <si>
    <t>125mm</t>
  </si>
  <si>
    <t>5mm Spline Hard</t>
  </si>
  <si>
    <t>Verticali Standard Headbox Rear Mill Finish</t>
  </si>
  <si>
    <t>Verticali Standard Headbox Front Mill Finish</t>
  </si>
  <si>
    <t>Verticali Square Headbox Rear Mill Finish</t>
  </si>
  <si>
    <t>Verticali Square Headbox Front Mill Finish</t>
  </si>
  <si>
    <t>Verticali Std Hood Ends</t>
  </si>
  <si>
    <t>Verticali 60mm Idle with Hole</t>
  </si>
  <si>
    <t>Verticali Strap Adaptor</t>
  </si>
  <si>
    <t>Zipscreen Zipscreen 78mm to 45mm Crown</t>
  </si>
  <si>
    <t>45mm FT 15nm Motor</t>
  </si>
  <si>
    <t>63mm Drive Wheel</t>
  </si>
  <si>
    <t>63mm Crown Wheel</t>
  </si>
  <si>
    <t>78mm Drive Wheel</t>
  </si>
  <si>
    <t>78mm Crown Wheel</t>
  </si>
  <si>
    <t>45mm FT 15nm 12v Motor</t>
  </si>
  <si>
    <t>12v Motor External Battery Pack</t>
  </si>
  <si>
    <t>12v Motor External Battery Chargewr Pack</t>
  </si>
  <si>
    <t>1 Channel Remote White</t>
  </si>
  <si>
    <t>1 Channel Remote Black</t>
  </si>
  <si>
    <t>5 Channel Remote White</t>
  </si>
  <si>
    <t>5 Channel Remote Black</t>
  </si>
  <si>
    <t>15 Channel Remote White</t>
  </si>
  <si>
    <t>15 Channel Remote Black</t>
  </si>
  <si>
    <t>5 Channel Flush Wall Mount Remote White</t>
  </si>
  <si>
    <t>1 Channel Wall Mount Remote White</t>
  </si>
  <si>
    <t>2 Channel Wall Mount Remote White????</t>
  </si>
  <si>
    <t>15 Channel Wall Mount Remote White</t>
  </si>
  <si>
    <t>Wind Sensor 240v</t>
  </si>
  <si>
    <t>1 Channel Dry Contact Relay Module</t>
  </si>
  <si>
    <t>Remote Self-Tensioning Motor</t>
  </si>
  <si>
    <t>Switch Self-Tensioning Motor</t>
  </si>
  <si>
    <t>R12/17CPSF 45mm Motor</t>
  </si>
  <si>
    <t>20nm Motor R20-17-C12a Motor</t>
  </si>
  <si>
    <t>Switch Motor</t>
  </si>
  <si>
    <t>Wind Sensor</t>
  </si>
  <si>
    <t>Challenger</t>
  </si>
  <si>
    <t>Bluescope</t>
  </si>
  <si>
    <t>ShadeLab Australia</t>
  </si>
  <si>
    <t>BAC Wholesale</t>
  </si>
  <si>
    <t>Rollease Acmeda</t>
  </si>
  <si>
    <t>Miami Stainless</t>
  </si>
  <si>
    <t>Becker</t>
  </si>
  <si>
    <t>Somfy</t>
  </si>
  <si>
    <t>Uniline</t>
  </si>
  <si>
    <t>Zipscreen Spring Adaptor/Booster</t>
  </si>
  <si>
    <t>Left</t>
  </si>
  <si>
    <t>Leg &amp; Foot Both Sides</t>
  </si>
  <si>
    <t>None</t>
  </si>
  <si>
    <t>Width</t>
  </si>
  <si>
    <t>Drop</t>
  </si>
  <si>
    <t>Blind Type</t>
  </si>
  <si>
    <t>Motor Type</t>
  </si>
  <si>
    <t>Motor Accessories</t>
  </si>
  <si>
    <t>Connectivity Hub</t>
  </si>
  <si>
    <t>Crank Handle Required</t>
  </si>
  <si>
    <t>Bottom Rail Seal</t>
  </si>
  <si>
    <t>Roller Tube</t>
  </si>
  <si>
    <t>Self Supporting Track</t>
  </si>
  <si>
    <t>Base Rail Colour</t>
  </si>
  <si>
    <t>Dispatch</t>
  </si>
  <si>
    <t>Line No.</t>
  </si>
  <si>
    <t>VERTICALI ORDER FORM</t>
  </si>
  <si>
    <t>Right</t>
  </si>
  <si>
    <t>Selection</t>
  </si>
  <si>
    <t>Left Crank Std Black</t>
  </si>
  <si>
    <t>Right Crank Std Black</t>
  </si>
  <si>
    <t>Left Crank Std White</t>
  </si>
  <si>
    <t>Right Crank Std White</t>
  </si>
  <si>
    <t>Left Motor</t>
  </si>
  <si>
    <t>Right Motor</t>
  </si>
  <si>
    <t>Verticali Order Form</t>
  </si>
  <si>
    <t>Leg 1 Side</t>
  </si>
  <si>
    <t>Leg &amp; Foot 1 Side</t>
  </si>
  <si>
    <t>Foot 1 Side</t>
  </si>
  <si>
    <t>Leg Both Side</t>
  </si>
  <si>
    <t>Foot Both Sides</t>
  </si>
  <si>
    <t>End Cap 1 Side</t>
  </si>
  <si>
    <t>End Cap Both Sides</t>
  </si>
  <si>
    <t>Headbox Leg Only x 2</t>
  </si>
  <si>
    <t>Headbox Leg Only x 1</t>
  </si>
  <si>
    <t>Foot x 1</t>
  </si>
  <si>
    <t>Foot x 2</t>
  </si>
  <si>
    <t>Leg &amp; Track Foot x 1</t>
  </si>
  <si>
    <t>Leg &amp; Track Foot x 2</t>
  </si>
  <si>
    <t>VERTICALI &amp; ZIPSCREEN Assembly (a)</t>
  </si>
  <si>
    <t>VERTICALI &amp; ZIPSCREEN Assembly (c)</t>
  </si>
  <si>
    <t>0ecc4e46-2ffe-4c2a-8abd-eb64056cee8c</t>
  </si>
  <si>
    <t>aeda2d39-9b09-4c03-a355-3af134ed45d8</t>
  </si>
  <si>
    <t>Verticali Patio Blinds &amp; Fixed Guide Awnings</t>
  </si>
  <si>
    <t>6/08/2026 12:00:00 AM</t>
  </si>
  <si>
    <t>10/08/2026 10:08:33 AM</t>
  </si>
  <si>
    <t>18/09/2026 12:00:00 AM</t>
  </si>
  <si>
    <t>12085</t>
  </si>
  <si>
    <t>CAMP3357.716</t>
  </si>
  <si>
    <t>Campbell, Neil</t>
  </si>
  <si>
    <t/>
  </si>
  <si>
    <t>7161</t>
  </si>
  <si>
    <t>Midland Highway</t>
  </si>
  <si>
    <t>Buninyong</t>
  </si>
  <si>
    <t>VIC</t>
  </si>
  <si>
    <t>3357</t>
  </si>
  <si>
    <t>Australia</t>
  </si>
  <si>
    <t>nac_in_eket@hotmail.com</t>
  </si>
  <si>
    <t>0427368330</t>
  </si>
  <si>
    <t>Head Office</t>
  </si>
  <si>
    <t>Jason Paterson</t>
  </si>
  <si>
    <t>jason@davidsonsblinds.com.au</t>
  </si>
  <si>
    <t>Neil</t>
  </si>
  <si>
    <t>Campbell</t>
  </si>
  <si>
    <t>nac_ptc@bigpond.net.au</t>
  </si>
  <si>
    <t>Retail Customer</t>
  </si>
  <si>
    <t>mark@davidsonsblinds.com.au</t>
  </si>
  <si>
    <t>ivy@davidsonsblinds.com.au</t>
  </si>
  <si>
    <t>Unassigned installer 1</t>
  </si>
  <si>
    <t>U</t>
  </si>
  <si>
    <t>False</t>
  </si>
  <si>
    <t>d77c44a3-0aeb-4cea-a71f-d27584d2a764</t>
  </si>
  <si>
    <t>Verticali &amp; Zipscreen</t>
  </si>
  <si>
    <t>Patio 1</t>
  </si>
  <si>
    <t>VERTCM512T1886N62</t>
  </si>
  <si>
    <t>VERTC HVG Visiontex Glisse Sunscreen Naxos</t>
  </si>
  <si>
    <t>Production - Outdoor Blinds</t>
  </si>
  <si>
    <t>HVG</t>
  </si>
  <si>
    <t>Visiontex Glisse Sunscreen</t>
  </si>
  <si>
    <t>Naxos</t>
  </si>
  <si>
    <t>0</t>
  </si>
  <si>
    <t>d77c44a3-0aeb-4cea-a71f-d27584d2a764|DESCN</t>
  </si>
  <si>
    <t>6b787cb6-f224-4b69-bc93-a46d4af37cc0</t>
  </si>
  <si>
    <t>DESCN</t>
  </si>
  <si>
    <t>d77c44a3-0aeb-4cea-a71f-d27584d2a764|ITEMDEPTH</t>
  </si>
  <si>
    <t>a3cadd58-3e61-490b-88c7-9bdecf676ddd</t>
  </si>
  <si>
    <t>ITEMDEPTH</t>
  </si>
  <si>
    <t>1.Verticali</t>
  </si>
  <si>
    <t>d77c44a3-0aeb-4cea-a71f-d27584d2a764|ITEMWIDTH</t>
  </si>
  <si>
    <t>fc37a8d2-3707-4f80-86a5-e9164f9d0800</t>
  </si>
  <si>
    <t>ITEMWIDTH</t>
  </si>
  <si>
    <t>3977</t>
  </si>
  <si>
    <t>d77c44a3-0aeb-4cea-a71f-d27584d2a764|ITEMHEIGHT</t>
  </si>
  <si>
    <t>a8a3c6ee-82a9-4b2a-8bba-48e73d009166</t>
  </si>
  <si>
    <t>ITEMHEIGHT</t>
  </si>
  <si>
    <t>2650</t>
  </si>
  <si>
    <t>d77c44a3-0aeb-4cea-a71f-d27584d2a764|SIZE</t>
  </si>
  <si>
    <t>9803667a-2875-4890-8595-b149a19d4542</t>
  </si>
  <si>
    <t>SIZE</t>
  </si>
  <si>
    <t>Opening</t>
  </si>
  <si>
    <t>d77c44a3-0aeb-4cea-a71f-d27584d2a764|FIT</t>
  </si>
  <si>
    <t>0af2c290-7841-41c1-88ae-61108c151503</t>
  </si>
  <si>
    <t>FIT</t>
  </si>
  <si>
    <t>d77c44a3-0aeb-4cea-a71f-d27584d2a764|SIDECHANNELFITTING</t>
  </si>
  <si>
    <t>c39ffe32-c665-4249-979b-c582d5e52364</t>
  </si>
  <si>
    <t>SIDECHANNELFITTING</t>
  </si>
  <si>
    <t>d77c44a3-0aeb-4cea-a71f-d27584d2a764|FIXING</t>
  </si>
  <si>
    <t>f8db2b0c-f2eb-4c4d-a056-2a11e204a0ff</t>
  </si>
  <si>
    <t>FIXING</t>
  </si>
  <si>
    <t>Brick</t>
  </si>
  <si>
    <t>d77c44a3-0aeb-4cea-a71f-d27584d2a764|OPERATION</t>
  </si>
  <si>
    <t>b802ebfa-a2d7-4f73-84be-22b21a6cfa68</t>
  </si>
  <si>
    <t>OPERATION</t>
  </si>
  <si>
    <t>d77c44a3-0aeb-4cea-a71f-d27584d2a764|CONTROLSIDE</t>
  </si>
  <si>
    <t>ec8be71c-d525-44bd-b7c4-702e3acfa7a0</t>
  </si>
  <si>
    <t>CONTROLSIDE</t>
  </si>
  <si>
    <t>d77c44a3-0aeb-4cea-a71f-d27584d2a764|CONTROL</t>
  </si>
  <si>
    <t>b5c69a12-46c8-46c4-94e6-67fb3fd83463</t>
  </si>
  <si>
    <t>CONTROL</t>
  </si>
  <si>
    <t>Becker 5 Channel White Remote</t>
  </si>
  <si>
    <t>d77c44a3-0aeb-4cea-a71f-d27584d2a764|HOODTYPE</t>
  </si>
  <si>
    <t>bdd7089c-7329-455b-ad45-d3cd33762945</t>
  </si>
  <si>
    <t>HOODTYPE</t>
  </si>
  <si>
    <t>Verticali Square Hooding</t>
  </si>
  <si>
    <t>d77c44a3-0aeb-4cea-a71f-d27584d2a764|HOOD/BRACKETCOLOUR</t>
  </si>
  <si>
    <t>304f7bf3-1651-4c85-a26c-06e7adf6c646</t>
  </si>
  <si>
    <t>HOOD/BRACKETCOLOUR</t>
  </si>
  <si>
    <t>Custom Powdercoat</t>
  </si>
  <si>
    <t>d77c44a3-0aeb-4cea-a71f-d27584d2a764|CUSTOMPCHBOX</t>
  </si>
  <si>
    <t>70b9d628-2455-43bc-b86b-0592f18a7124</t>
  </si>
  <si>
    <t>CUSTOMPCHBOX</t>
  </si>
  <si>
    <t>Paperbark (Merino)</t>
  </si>
  <si>
    <t>d77c44a3-0aeb-4cea-a71f-d27584d2a764|SIDECHANNELCOLOUR</t>
  </si>
  <si>
    <t>cb9ed476-46b6-44d2-bb3c-c5d50a0732c9</t>
  </si>
  <si>
    <t>SIDECHANNELCOLOUR</t>
  </si>
  <si>
    <t>d77c44a3-0aeb-4cea-a71f-d27584d2a764|CUSTOMPCSIDECH</t>
  </si>
  <si>
    <t>0f97f5ca-93e9-42aa-8254-3561f9f0d98b</t>
  </si>
  <si>
    <t>CUSTOMPCSIDECH</t>
  </si>
  <si>
    <t>d77c44a3-0aeb-4cea-a71f-d27584d2a764|BOTTOMRAILCOLOUR</t>
  </si>
  <si>
    <t>88eed240-d9d0-4949-a62a-d2b25eef7bd8</t>
  </si>
  <si>
    <t>BOTTOMRAILCOLOUR</t>
  </si>
  <si>
    <t>d77c44a3-0aeb-4cea-a71f-d27584d2a764|CUSTOMPCHBRAIL</t>
  </si>
  <si>
    <t>4774bac3-f802-4805-b13d-cf3108cc4468</t>
  </si>
  <si>
    <t>CUSTOMPCHBRAIL</t>
  </si>
  <si>
    <t>d77c44a3-0aeb-4cea-a71f-d27584d2a764|BFLAP</t>
  </si>
  <si>
    <t>7c78e2c4-4a3f-4864-8cca-2a9263d1becd</t>
  </si>
  <si>
    <t>BFLAP</t>
  </si>
  <si>
    <t>30mm Bubble Seal</t>
  </si>
  <si>
    <t>d77c44a3-0aeb-4cea-a71f-d27584d2a764|LEGFOOT</t>
  </si>
  <si>
    <t>554bffbc-e418-4ffd-83e5-e5b218cd8684</t>
  </si>
  <si>
    <t>LEGFOOT</t>
  </si>
  <si>
    <t>d77c44a3-0aeb-4cea-a71f-d27584d2a764|SENSORS</t>
  </si>
  <si>
    <t>5709673e-8257-41a8-8e4a-32e2ec33e04e</t>
  </si>
  <si>
    <t>SENSORS</t>
  </si>
  <si>
    <t>d77c44a3-0aeb-4cea-a71f-d27584d2a764|INSTALLATION</t>
  </si>
  <si>
    <t>6d541299-9924-4be1-9c88-2d2fd4182b2b</t>
  </si>
  <si>
    <t>INSTALLATION</t>
  </si>
  <si>
    <t>Installation</t>
  </si>
  <si>
    <t>d77c44a3-0aeb-4cea-a71f-d27584d2a764|HANGHEIGHT</t>
  </si>
  <si>
    <t>789d5a71-2096-4e34-9011-450285d5dcce</t>
  </si>
  <si>
    <t>HANGHEIGHT</t>
  </si>
  <si>
    <t>2.7m-3m</t>
  </si>
  <si>
    <t>d77c44a3-0aeb-4cea-a71f-d27584d2a764|INSTALLG</t>
  </si>
  <si>
    <t>a5b7d3d9-640a-47ac-9b98-8f255c071506</t>
  </si>
  <si>
    <t>INSTALLG</t>
  </si>
  <si>
    <t>Easy Access</t>
  </si>
  <si>
    <t>d77c44a3-0aeb-4cea-a71f-d27584d2a764|TAKEDOWN</t>
  </si>
  <si>
    <t>0bbfe228-7422-4867-9f23-160df7f08f02</t>
  </si>
  <si>
    <t>TAKEDOWN</t>
  </si>
  <si>
    <t>d77c44a3-0aeb-4cea-a71f-d27584d2a764|CHECKM</t>
  </si>
  <si>
    <t>3c9b06bb-c134-4ae1-921e-52ddbf13bbe5</t>
  </si>
  <si>
    <t>CHECKM</t>
  </si>
  <si>
    <t>d77c44a3-0aeb-4cea-a71f-d27584d2a764|ELECTRICIAN</t>
  </si>
  <si>
    <t>8fb739fc-98a2-49e5-8d35-ca6419e364b5</t>
  </si>
  <si>
    <t>ELECTRICIAN</t>
  </si>
  <si>
    <t>d77c44a3-0aeb-4cea-a71f-d27584d2a764|HOUSECONSTRUCTION</t>
  </si>
  <si>
    <t>49760ec5-a22a-4e96-af1e-5b124a4ca791</t>
  </si>
  <si>
    <t>HOUSECONSTRUCTION</t>
  </si>
  <si>
    <t>d77c44a3-0aeb-4cea-a71f-d27584d2a764|ROOF</t>
  </si>
  <si>
    <t>036ee82b-b456-43ff-9fcc-7993321c48c1</t>
  </si>
  <si>
    <t>ROOF</t>
  </si>
  <si>
    <t>Pitched Iron</t>
  </si>
  <si>
    <t>d77c44a3-0aeb-4cea-a71f-d27584d2a764|SWITCHBOARD</t>
  </si>
  <si>
    <t>7d8b566a-4c4f-42a5-a67e-ab75c0657c18</t>
  </si>
  <si>
    <t>SWITCHBOARD</t>
  </si>
  <si>
    <t>d77c44a3-0aeb-4cea-a71f-d27584d2a764|STOREYS</t>
  </si>
  <si>
    <t>7f48ea1e-6c4c-4aee-a651-f9b6dd1bed6d</t>
  </si>
  <si>
    <t>STOREYS</t>
  </si>
  <si>
    <t>1</t>
  </si>
  <si>
    <t>d77c44a3-0aeb-4cea-a71f-d27584d2a764|STOREYSFIT</t>
  </si>
  <si>
    <t>53f1b0ed-0c63-4e79-a153-271e463fc089</t>
  </si>
  <si>
    <t>STOREYSFIT</t>
  </si>
  <si>
    <t>1st Storey</t>
  </si>
  <si>
    <t>d77c44a3-0aeb-4cea-a71f-d27584d2a764|SIDEBYSIDE</t>
  </si>
  <si>
    <t>a652f1f6-3d70-490e-83e5-44a31ca272c0</t>
  </si>
  <si>
    <t>SIDEBYSIDE</t>
  </si>
  <si>
    <t>|CHECKMEAS</t>
  </si>
  <si>
    <t>29b556d8-b143-4f00-bfdc-41f0e902d65f</t>
  </si>
  <si>
    <t>Extras</t>
  </si>
  <si>
    <t>CHECKMEAS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</si>
</sst>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2" formatCode="_-&quot;$&quot;* #,##0_-;\-&quot;$&quot;* #,##0_-;_-&quot;$&quot;* &quot;-&quot;_-;_-@_-"/>
    <numFmt numFmtId="41" formatCode="_-* #,##0_-;\-* #,##0_-;_-* &quot;-&quot;_-;_-@_-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[$-F800]dddd\,\ mmmm\ dd\,\ yyyy"/>
    <numFmt numFmtId="165" formatCode="dd/mm/yyyy"/>
    <numFmt numFmtId="166" formatCode="0.0"/>
  </numFmts>
  <fonts count="67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sz val="11"/>
      <color indexed="10"/>
      <name val="Calibri"/>
      <family val="2"/>
    </font>
    <font>
      <u val="single"/>
      <sz val="7.5"/>
      <color indexed="12"/>
      <name val="Arial"/>
      <family val="2"/>
    </font>
    <font>
      <sz val="11"/>
      <color indexed="20"/>
      <name val="Calibri"/>
      <family val="2"/>
    </font>
    <font>
      <u val="single"/>
      <sz val="7.5"/>
      <color indexed="36"/>
      <name val="Arial"/>
      <family val="2"/>
    </font>
    <font>
      <sz val="11"/>
      <color rgb="FF3F3F76"/>
      <name val="Calibri"/>
      <family val="2"/>
      <scheme val="minor"/>
    </font>
    <font>
      <sz val="10"/>
      <name val="Verdana"/>
      <family val="2"/>
    </font>
    <font>
      <b/>
      <sz val="16"/>
      <name val="Arial"/>
      <family val="2"/>
    </font>
    <font>
      <b/>
      <sz val="18"/>
      <name val="Arial"/>
      <family val="2"/>
    </font>
    <font>
      <sz val="18"/>
      <name val="Arial"/>
      <family val="2"/>
    </font>
    <font>
      <i/>
      <sz val="20"/>
      <name val="Arial"/>
      <family val="2"/>
    </font>
    <font>
      <b/>
      <sz val="26"/>
      <name val="Arial"/>
      <family val="2"/>
    </font>
    <font>
      <b/>
      <sz val="48"/>
      <name val="Arial"/>
      <family val="2"/>
    </font>
    <font>
      <b/>
      <sz val="22"/>
      <name val="Arial"/>
      <family val="2"/>
    </font>
    <font>
      <sz val="22"/>
      <name val="Arial"/>
      <family val="2"/>
    </font>
    <font>
      <i/>
      <sz val="22"/>
      <name val="Arial"/>
      <family val="2"/>
    </font>
    <font>
      <b/>
      <sz val="72"/>
      <name val="Arial"/>
      <family val="2"/>
    </font>
    <font>
      <sz val="26"/>
      <name val="Arial"/>
      <family val="2"/>
    </font>
    <font>
      <b/>
      <u val="single"/>
      <sz val="26"/>
      <name val="Arial"/>
      <family val="2"/>
    </font>
    <font>
      <b/>
      <sz val="11"/>
      <name val="Calibri"/>
      <family val="2"/>
    </font>
    <font>
      <b/>
      <sz val="11"/>
      <color theme="1"/>
      <name val="Calibri"/>
      <family val="2"/>
      <scheme val="minor"/>
    </font>
    <font>
      <b/>
      <sz val="36"/>
      <name val="Arial"/>
      <family val="2"/>
    </font>
    <font>
      <sz val="36"/>
      <name val="Arial"/>
      <family val="2"/>
    </font>
    <font>
      <b/>
      <u val="single"/>
      <sz val="36"/>
      <name val="Arial"/>
      <family val="2"/>
    </font>
    <font>
      <b/>
      <sz val="28"/>
      <name val="Arial"/>
      <family val="2"/>
    </font>
    <font>
      <sz val="28"/>
      <name val="Arial"/>
      <family val="2"/>
    </font>
    <font>
      <i/>
      <sz val="28"/>
      <name val="Arial"/>
      <family val="2"/>
    </font>
    <font>
      <b/>
      <sz val="72"/>
      <color theme="0"/>
      <name val="Arial"/>
      <family val="2"/>
    </font>
    <font>
      <i/>
      <sz val="18"/>
      <name val="Arial"/>
      <family val="2"/>
    </font>
    <font>
      <sz val="9"/>
      <name val="Arial"/>
      <family val="2"/>
    </font>
    <font>
      <b/>
      <sz val="11"/>
      <name val="Arial"/>
      <family val="2"/>
    </font>
    <font>
      <sz val="11"/>
      <color rgb="FF231F20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name val="Arial"/>
      <family val="2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i/>
      <sz val="24"/>
      <name val="Arial"/>
      <family val="2"/>
    </font>
    <font>
      <sz val="20"/>
      <name val="Arial"/>
      <family val="2"/>
    </font>
    <font>
      <sz val="24"/>
      <name val="Arial"/>
      <family val="2"/>
    </font>
    <font>
      <b/>
      <u val="single"/>
      <sz val="24"/>
      <name val="Arial"/>
      <family val="2"/>
    </font>
    <font>
      <b/>
      <sz val="24"/>
      <name val="Arial"/>
      <family val="2"/>
    </font>
    <font>
      <b/>
      <sz val="20"/>
      <name val="Arial"/>
      <family val="2"/>
    </font>
    <font>
      <b/>
      <sz val="24"/>
      <color theme="1"/>
      <name val="Arial"/>
      <family val="2"/>
    </font>
    <font>
      <b/>
      <u val="single"/>
      <sz val="28"/>
      <name val="Arial"/>
      <family val="2"/>
    </font>
    <font>
      <sz val="22"/>
      <color rgb="FFFF0000"/>
      <name val="Arial"/>
      <family val="2"/>
    </font>
    <font>
      <b/>
      <sz val="18"/>
      <color rgb="FFFF0000"/>
      <name val="Arial"/>
      <family val="2"/>
    </font>
  </fonts>
  <fills count="46">
    <fill>
      <patternFill/>
    </fill>
    <fill>
      <patternFill patternType="gray125"/>
    </fill>
    <fill>
      <patternFill patternType="solid">
        <fgColor indexed="54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9"/>
        <bgColor indexed="64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6540001034737"/>
        <bgColor indexed="64"/>
      </patternFill>
    </fill>
    <fill>
      <patternFill patternType="solid">
        <fgColor theme="0" tint="-0.147269994020462"/>
        <bgColor indexed="64"/>
      </patternFill>
    </fill>
    <fill>
      <patternFill patternType="solid">
        <fgColor theme="0" tint="-0.146939992904663"/>
        <bgColor indexed="64"/>
      </patternFill>
    </fill>
    <fill>
      <patternFill patternType="solid">
        <fgColor theme="0" tint="-0.246759995818138"/>
        <bgColor indexed="64"/>
      </patternFill>
    </fill>
    <fill>
      <patternFill patternType="solid">
        <fgColor rgb="FFA2FAFF"/>
        <bgColor indexed="64"/>
      </patternFill>
    </fill>
    <fill>
      <patternFill patternType="solid">
        <fgColor rgb="FF00D6E1"/>
        <bgColor indexed="64"/>
      </patternFill>
    </fill>
    <fill>
      <patternFill patternType="solid">
        <fgColor rgb="FF006171"/>
        <bgColor indexed="64"/>
      </patternFill>
    </fill>
    <fill>
      <patternFill patternType="solid">
        <fgColor rgb="FFD1ECCA"/>
        <bgColor indexed="64"/>
      </patternFill>
    </fill>
    <fill>
      <patternFill patternType="solid">
        <fgColor rgb="FFABD790"/>
        <bgColor indexed="64"/>
      </patternFill>
    </fill>
    <fill>
      <patternFill patternType="solid">
        <fgColor rgb="FF6CB33E"/>
        <bgColor indexed="64"/>
      </patternFill>
    </fill>
    <fill>
      <patternFill patternType="solid">
        <fgColor rgb="FF949698"/>
        <bgColor indexed="64"/>
      </patternFill>
    </fill>
    <fill>
      <patternFill patternType="solid">
        <fgColor theme="0" tint="-0.14947000145912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749982357025"/>
        <bgColor indexed="64"/>
      </patternFill>
    </fill>
    <fill>
      <patternFill patternType="solid">
        <fgColor theme="0" tint="-0.149529993534088"/>
        <bgColor indexed="64"/>
      </patternFill>
    </fill>
    <fill>
      <patternFill patternType="solid">
        <fgColor theme="5" tint="0.599780023097992"/>
        <bgColor indexed="64"/>
      </patternFill>
    </fill>
    <fill>
      <patternFill patternType="solid">
        <fgColor theme="5" tint="0.79986000061035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59974998235702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247099995613098"/>
        <bgColor indexed="64"/>
      </patternFill>
    </fill>
    <fill>
      <patternFill patternType="solid">
        <fgColor theme="4" tint="0.399980008602142"/>
        <bgColor indexed="64"/>
      </patternFill>
    </fill>
  </fills>
  <borders count="4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</border>
    <border>
      <left/>
      <right/>
      <top/>
      <bottom style="thick">
        <color indexed="54"/>
      </bottom>
    </border>
    <border>
      <left/>
      <right/>
      <top/>
      <bottom style="thick">
        <color indexed="22"/>
      </bottom>
    </border>
    <border>
      <left/>
      <right/>
      <top/>
      <bottom style="medium">
        <color indexed="44"/>
      </bottom>
    </border>
    <border>
      <left/>
      <right/>
      <top/>
      <bottom style="double">
        <color indexed="52"/>
      </bottom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</border>
    <border>
      <left/>
      <right/>
      <top style="thin">
        <color indexed="54"/>
      </top>
      <bottom style="double">
        <color indexed="54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 style="thin"/>
      <right style="thin"/>
      <top style="thin"/>
      <bottom style="thin"/>
    </border>
    <border>
      <left/>
      <right/>
      <top/>
      <bottom style="thin"/>
    </border>
    <border>
      <left style="thin"/>
      <right style="thin"/>
      <top style="thin"/>
      <bottom style="medium"/>
    </border>
    <border>
      <left style="thin"/>
      <right style="medium"/>
      <top style="thin"/>
      <bottom style="thin"/>
    </border>
    <border>
      <left style="medium"/>
      <right style="thin"/>
      <top style="thin"/>
      <bottom style="thin"/>
    </border>
    <border>
      <left style="medium"/>
      <right style="thin"/>
      <top style="thin"/>
      <bottom style="medium"/>
    </border>
    <border>
      <left style="thin"/>
      <right style="medium"/>
      <top style="thin"/>
      <bottom style="medium"/>
    </border>
    <border>
      <left style="medium"/>
      <right style="thin"/>
      <top style="medium"/>
      <bottom style="thin"/>
    </border>
    <border>
      <left style="thin"/>
      <right style="medium"/>
      <top style="medium"/>
      <bottom style="thin"/>
    </border>
    <border>
      <left style="medium"/>
      <right style="thin"/>
      <top/>
      <bottom style="thin"/>
    </border>
    <border>
      <left style="thin"/>
      <right style="medium"/>
      <top/>
      <bottom style="thin"/>
    </border>
    <border>
      <left style="medium"/>
      <right/>
      <top style="medium"/>
      <bottom style="medium"/>
    </border>
    <border>
      <left style="medium"/>
      <right style="medium"/>
      <top style="medium"/>
      <bottom style="medium"/>
    </border>
    <border>
      <left style="medium"/>
      <right/>
      <top style="medium"/>
      <bottom/>
    </border>
    <border>
      <left style="medium"/>
      <right style="medium"/>
      <top style="medium"/>
      <bottom/>
    </border>
    <border>
      <left style="thin"/>
      <right style="thin"/>
      <top style="medium"/>
      <bottom style="thin"/>
    </border>
    <border>
      <left style="thin"/>
      <right style="thin"/>
      <top/>
      <bottom style="thin"/>
    </border>
    <border>
      <left/>
      <right style="thin"/>
      <top/>
      <bottom/>
    </border>
    <border>
      <left/>
      <right style="thin"/>
      <top/>
      <bottom style="thin"/>
    </border>
    <border>
      <left style="thin"/>
      <right/>
      <top/>
      <bottom/>
    </border>
    <border>
      <left style="thin"/>
      <right style="thin"/>
      <top style="thin"/>
      <bottom/>
    </border>
    <border>
      <left/>
      <right/>
      <top style="medium"/>
      <bottom style="medium"/>
    </border>
    <border>
      <left/>
      <right style="medium"/>
      <top style="medium"/>
      <bottom style="medium"/>
    </border>
    <border>
      <left style="medium"/>
      <right style="thin"/>
      <top style="medium"/>
      <bottom/>
    </border>
    <border>
      <left style="thin"/>
      <right style="thin"/>
      <top style="medium"/>
      <bottom/>
    </border>
    <border>
      <left style="thin"/>
      <right style="medium"/>
      <top style="medium"/>
      <bottom/>
    </border>
    <border>
      <left style="medium"/>
      <right/>
      <top/>
      <bottom style="thin"/>
    </border>
    <border>
      <left style="thin"/>
      <right/>
      <top style="thin"/>
      <bottom style="thin"/>
    </border>
    <border>
      <left/>
      <right style="thin"/>
      <top style="thin"/>
      <bottom style="thin"/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thin"/>
      <bottom/>
    </border>
    <border>
      <left style="thin"/>
      <right/>
      <top/>
      <bottom style="thin"/>
    </border>
    <border>
      <left/>
      <right/>
      <top style="thin"/>
      <bottom style="thin"/>
    </border>
  </borders>
  <cellStyleXfs count="87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6" fillId="4" borderId="0" applyNumberFormat="0" applyBorder="0" applyAlignment="0" applyProtection="0"/>
    <xf numFmtId="0" fontId="6" fillId="5" borderId="0" applyNumberFormat="0" applyBorder="0" applyAlignment="0" applyProtection="0"/>
    <xf numFmtId="0" fontId="7" fillId="6" borderId="0" applyNumberFormat="0" applyBorder="0" applyAlignment="0" applyProtection="0"/>
    <xf numFmtId="0" fontId="7" fillId="7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7" fillId="6" borderId="0" applyNumberFormat="0" applyBorder="0" applyAlignment="0" applyProtection="0"/>
    <xf numFmtId="0" fontId="7" fillId="9" borderId="0" applyNumberFormat="0" applyBorder="0" applyAlignment="0" applyProtection="0"/>
    <xf numFmtId="0" fontId="6" fillId="7" borderId="0" applyNumberFormat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7" fillId="7" borderId="0" applyNumberFormat="0" applyBorder="0" applyAlignment="0" applyProtection="0"/>
    <xf numFmtId="0" fontId="6" fillId="7" borderId="0" applyNumberFormat="0" applyBorder="0" applyAlignment="0" applyProtection="0"/>
    <xf numFmtId="0" fontId="6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3" borderId="0" applyNumberFormat="0" applyBorder="0" applyAlignment="0" applyProtection="0"/>
    <xf numFmtId="0" fontId="6" fillId="4" borderId="0" applyNumberFormat="0" applyBorder="0" applyAlignment="0" applyProtection="0"/>
    <xf numFmtId="0" fontId="6" fillId="12" borderId="0" applyNumberFormat="0" applyBorder="0" applyAlignment="0" applyProtection="0"/>
    <xf numFmtId="0" fontId="7" fillId="6" borderId="0" applyNumberFormat="0" applyBorder="0" applyAlignment="0" applyProtection="0"/>
    <xf numFmtId="0" fontId="7" fillId="13" borderId="0" applyNumberFormat="0" applyBorder="0" applyAlignment="0" applyProtection="0"/>
    <xf numFmtId="0" fontId="6" fillId="13" borderId="0" applyNumberFormat="0" applyBorder="0" applyAlignment="0" applyProtection="0"/>
    <xf numFmtId="0" fontId="8" fillId="14" borderId="0" applyNumberFormat="0" applyBorder="0" applyAlignment="0" applyProtection="0"/>
    <xf numFmtId="0" fontId="9" fillId="15" borderId="1" applyNumberFormat="0" applyAlignment="0" applyProtection="0"/>
    <xf numFmtId="0" fontId="10" fillId="8" borderId="2" applyNumberFormat="0" applyAlignment="0" applyProtection="0"/>
    <xf numFmtId="41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0" fontId="11" fillId="16" borderId="0" applyNumberFormat="0" applyBorder="0" applyAlignment="0" applyProtection="0"/>
    <xf numFmtId="0" fontId="11" fillId="17" borderId="0" applyNumberFormat="0" applyBorder="0" applyAlignment="0" applyProtection="0"/>
    <xf numFmtId="0" fontId="11" fillId="18" borderId="0" applyNumberFormat="0" applyBorder="0" applyAlignment="0" applyProtection="0"/>
    <xf numFmtId="0" fontId="12" fillId="9" borderId="0" applyNumberFormat="0" applyBorder="0" applyAlignment="0" applyProtection="0"/>
    <xf numFmtId="0" fontId="13" fillId="0" borderId="3" applyNumberFormat="0" applyFill="0" applyAlignment="0" applyProtection="0"/>
    <xf numFmtId="0" fontId="14" fillId="0" borderId="4" applyNumberFormat="0" applyFill="0" applyAlignment="0" applyProtection="0"/>
    <xf numFmtId="0" fontId="15" fillId="0" borderId="5" applyNumberFormat="0" applyFill="0" applyAlignment="0" applyProtection="0"/>
    <xf numFmtId="0" fontId="15" fillId="0" borderId="0" applyNumberFormat="0" applyFill="0" applyBorder="0" applyAlignment="0" applyProtection="0"/>
    <xf numFmtId="0" fontId="16" fillId="13" borderId="1" applyNumberFormat="0" applyAlignment="0" applyProtection="0"/>
    <xf numFmtId="0" fontId="17" fillId="0" borderId="6" applyNumberFormat="0" applyFill="0" applyAlignment="0" applyProtection="0"/>
    <xf numFmtId="0" fontId="18" fillId="19" borderId="0" applyNumberFormat="0" applyBorder="0" applyAlignment="0" applyProtection="0"/>
    <xf numFmtId="0" fontId="7" fillId="0" borderId="0">
      <alignment/>
      <protection/>
    </xf>
    <xf numFmtId="0" fontId="1" fillId="0" borderId="0">
      <alignment/>
      <protection/>
    </xf>
    <xf numFmtId="0" fontId="0" fillId="6" borderId="7" applyNumberFormat="0" applyFont="0" applyAlignment="0" applyProtection="0"/>
    <xf numFmtId="0" fontId="19" fillId="15" borderId="8" applyNumberFormat="0" applyAlignment="0" applyProtection="0"/>
    <xf numFmtId="9" fontId="0" fillId="0" borderId="0" applyFont="0" applyFill="0" applyBorder="0" applyAlignment="0" applyProtection="0"/>
    <xf numFmtId="0" fontId="20" fillId="0" borderId="0" applyNumberFormat="0" applyFill="0" applyBorder="0" applyAlignment="0" applyProtection="0"/>
    <xf numFmtId="0" fontId="11" fillId="0" borderId="9" applyNumberFormat="0" applyFill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14" borderId="0" applyNumberFormat="0" applyBorder="0" applyAlignment="0" applyProtection="0"/>
    <xf numFmtId="0" fontId="24" fillId="0" borderId="0" applyNumberFormat="0" applyFill="0" applyBorder="0" applyAlignment="0" applyProtection="0"/>
    <xf numFmtId="0" fontId="25" fillId="20" borderId="10" applyNumberFormat="0" applyAlignment="0" applyProtection="0"/>
    <xf numFmtId="0" fontId="0" fillId="0" borderId="0">
      <alignment/>
      <protection/>
    </xf>
    <xf numFmtId="0" fontId="1" fillId="0" borderId="0">
      <alignment/>
      <protection/>
    </xf>
    <xf numFmtId="0" fontId="1" fillId="0" borderId="0">
      <alignment/>
      <protection/>
    </xf>
    <xf numFmtId="0" fontId="0" fillId="0" borderId="0">
      <alignment/>
      <protection/>
    </xf>
    <xf numFmtId="0" fontId="0" fillId="0" borderId="0">
      <alignment/>
      <protection/>
    </xf>
    <xf numFmtId="0" fontId="26" fillId="0" borderId="0">
      <alignment/>
      <protection/>
    </xf>
    <xf numFmtId="0" fontId="26" fillId="0" borderId="0">
      <alignment/>
      <protection/>
    </xf>
    <xf numFmtId="0" fontId="26" fillId="0" borderId="0">
      <alignment/>
      <protection/>
    </xf>
    <xf numFmtId="0" fontId="26" fillId="0" borderId="0">
      <alignment/>
      <protection/>
    </xf>
    <xf numFmtId="0" fontId="1" fillId="0" borderId="0">
      <alignment/>
      <protection/>
    </xf>
    <xf numFmtId="0" fontId="1" fillId="0" borderId="0">
      <alignment/>
      <protection/>
    </xf>
  </cellStyleXfs>
  <cellXfs count="267">
    <xf numFmtId="0" fontId="0" fillId="0" borderId="0" xfId="0"/>
    <xf numFmtId="0" fontId="42" fillId="0" borderId="11" xfId="0" applyFont="1" applyBorder="1" applyAlignment="1" applyProtection="1">
      <alignment horizontal="center" vertical="center" wrapText="1"/>
      <protection hidden="1"/>
    </xf>
    <xf numFmtId="0" fontId="42" fillId="0" borderId="11" xfId="0" applyFont="1" applyBorder="1" applyAlignment="1">
      <alignment horizontal="center" vertical="center" wrapText="1"/>
    </xf>
    <xf numFmtId="0" fontId="43" fillId="0" borderId="11" xfId="0" applyFont="1" applyBorder="1" applyAlignment="1">
      <alignment horizontal="center" vertical="center" wrapText="1"/>
    </xf>
    <xf numFmtId="0" fontId="41" fillId="0" borderId="11" xfId="0" applyFont="1" applyBorder="1" applyAlignment="1">
      <alignment horizontal="center" vertical="center" wrapText="1"/>
    </xf>
    <xf numFmtId="0" fontId="44" fillId="15" borderId="11" xfId="0" applyFont="1" applyFill="1" applyBorder="1" applyAlignment="1" applyProtection="1">
      <alignment horizontal="center" vertical="center" textRotation="90" wrapText="1"/>
      <protection hidden="1"/>
    </xf>
    <xf numFmtId="0" fontId="44" fillId="0" borderId="11" xfId="0" applyFont="1" applyBorder="1" applyAlignment="1">
      <alignment horizontal="center" vertical="center" wrapText="1"/>
    </xf>
    <xf numFmtId="0" fontId="44" fillId="0" borderId="11" xfId="0" applyFont="1" applyBorder="1" applyAlignment="1" applyProtection="1">
      <alignment horizontal="center" vertical="center" wrapText="1"/>
      <protection hidden="1"/>
    </xf>
    <xf numFmtId="14" fontId="41" fillId="15" borderId="11" xfId="0" applyNumberFormat="1" applyFont="1" applyFill="1" applyBorder="1" applyAlignment="1" applyProtection="1">
      <alignment horizontal="center" vertical="center" wrapText="1"/>
      <protection locked="0"/>
    </xf>
    <xf numFmtId="0" fontId="41" fillId="15" borderId="11" xfId="0" applyFont="1" applyFill="1" applyBorder="1" applyAlignment="1" applyProtection="1">
      <alignment horizontal="center" vertical="center" wrapText="1"/>
      <protection locked="0"/>
    </xf>
    <xf numFmtId="0" fontId="41" fillId="15" borderId="11" xfId="0" applyFont="1" applyFill="1" applyBorder="1" applyAlignment="1">
      <alignment horizontal="center" vertical="center" wrapText="1"/>
    </xf>
    <xf numFmtId="0" fontId="41" fillId="0" borderId="11" xfId="0" applyFont="1" applyBorder="1" applyAlignment="1" applyProtection="1">
      <alignment horizontal="center" vertical="center" wrapText="1"/>
      <protection locked="0"/>
    </xf>
    <xf numFmtId="0" fontId="41" fillId="0" borderId="11" xfId="0" applyFont="1" applyBorder="1" applyAlignment="1" applyProtection="1">
      <alignment horizontal="center" vertical="center" wrapText="1"/>
      <protection hidden="1"/>
    </xf>
    <xf numFmtId="0" fontId="36" fillId="0" borderId="11" xfId="0" applyFont="1" applyBorder="1" applyAlignment="1" applyProtection="1">
      <alignment horizontal="center" vertical="center" wrapText="1"/>
      <protection hidden="1" locked="0"/>
    </xf>
    <xf numFmtId="0" fontId="5" fillId="0" borderId="12" xfId="0" applyFont="1" applyBorder="1" applyAlignment="1">
      <alignment horizontal="center" vertic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4" fillId="0" borderId="0" xfId="0" applyFont="1"/>
    <xf numFmtId="0" fontId="0" fillId="0" borderId="0" xfId="0" applyAlignment="1">
      <alignment horizontal="left"/>
    </xf>
    <xf numFmtId="22" fontId="2" fillId="0" borderId="0" xfId="0" applyNumberFormat="1" applyFont="1"/>
    <xf numFmtId="0" fontId="3" fillId="0" borderId="0" xfId="0" applyFont="1"/>
    <xf numFmtId="14" fontId="0" fillId="0" borderId="0" xfId="0" applyNumberFormat="1"/>
    <xf numFmtId="22" fontId="0" fillId="0" borderId="0" xfId="0" applyNumberFormat="1" applyAlignment="1">
      <alignment horizontal="left"/>
    </xf>
    <xf numFmtId="0" fontId="4" fillId="0" borderId="0" xfId="0" applyFont="1" applyAlignment="1">
      <alignment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left" vertical="center"/>
    </xf>
    <xf numFmtId="0" fontId="22" fillId="0" borderId="0" xfId="72"/>
    <xf numFmtId="0" fontId="4" fillId="0" borderId="11" xfId="0" applyFont="1" applyBorder="1" applyAlignment="1">
      <alignment horizontal="center" vertical="center"/>
    </xf>
    <xf numFmtId="165" fontId="0" fillId="0" borderId="0" xfId="0" applyNumberFormat="1"/>
    <xf numFmtId="0" fontId="29" fillId="0" borderId="11" xfId="0" applyFont="1" applyBorder="1" applyAlignment="1" applyProtection="1">
      <alignment horizontal="center" vertical="center" wrapText="1"/>
      <protection locked="0"/>
    </xf>
    <xf numFmtId="0" fontId="29" fillId="0" borderId="0" xfId="0" applyFont="1" applyAlignment="1">
      <alignment horizontal="left"/>
    </xf>
    <xf numFmtId="0" fontId="0" fillId="0" borderId="11" xfId="0" applyBorder="1"/>
    <xf numFmtId="0" fontId="29" fillId="0" borderId="11" xfId="0" applyFont="1" applyBorder="1" applyAlignment="1" applyProtection="1">
      <alignment horizontal="center" vertical="center" wrapText="1"/>
      <protection hidden="1" locked="0"/>
    </xf>
    <xf numFmtId="0" fontId="34" fillId="0" borderId="0" xfId="0" applyFont="1" applyAlignment="1" applyProtection="1">
      <alignment horizontal="center" vertical="center" wrapText="1"/>
      <protection hidden="1" locked="0"/>
    </xf>
    <xf numFmtId="0" fontId="34" fillId="0" borderId="0" xfId="0" applyFont="1" applyAlignment="1" applyProtection="1">
      <alignment horizontal="center" vertical="center" wrapText="1"/>
      <protection locked="0"/>
    </xf>
    <xf numFmtId="0" fontId="37" fillId="0" borderId="11" xfId="0" applyFont="1" applyBorder="1" applyAlignment="1" applyProtection="1">
      <alignment horizontal="center" vertical="center" wrapText="1"/>
      <protection hidden="1" locked="0"/>
    </xf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1" fontId="0" fillId="0" borderId="0" xfId="0" applyNumberFormat="1" applyAlignment="1">
      <alignment horizontal="left"/>
    </xf>
    <xf numFmtId="0" fontId="0" fillId="0" borderId="19" xfId="0" applyBorder="1"/>
    <xf numFmtId="0" fontId="0" fillId="0" borderId="0" xfId="0" applyAlignment="1">
      <alignment wrapText="1"/>
    </xf>
    <xf numFmtId="0" fontId="34" fillId="0" borderId="0" xfId="0" applyFont="1"/>
    <xf numFmtId="0" fontId="0" fillId="0" borderId="20" xfId="0" applyBorder="1"/>
    <xf numFmtId="0" fontId="34" fillId="0" borderId="0" xfId="0" applyFont="1" applyAlignment="1">
      <alignment horizontal="right" vertical="center" wrapText="1"/>
    </xf>
    <xf numFmtId="0" fontId="35" fillId="0" borderId="0" xfId="0" applyFont="1" applyAlignment="1" applyProtection="1">
      <alignment horizontal="center" vertical="center" wrapText="1"/>
      <protection hidden="1" locked="0"/>
    </xf>
    <xf numFmtId="0" fontId="0" fillId="0" borderId="0" xfId="0" applyAlignment="1">
      <alignment horizontal="center" vertical="center"/>
    </xf>
    <xf numFmtId="0" fontId="0" fillId="15" borderId="0" xfId="0" applyFill="1" applyAlignment="1">
      <alignment wrapText="1"/>
    </xf>
    <xf numFmtId="0" fontId="0" fillId="0" borderId="0" xfId="0" applyAlignment="1">
      <alignment horizontal="left" wrapText="1"/>
    </xf>
    <xf numFmtId="0" fontId="1" fillId="0" borderId="20" xfId="85" applyBorder="1">
      <alignment/>
      <protection/>
    </xf>
    <xf numFmtId="0" fontId="1" fillId="0" borderId="21" xfId="85" applyBorder="1">
      <alignment/>
      <protection/>
    </xf>
    <xf numFmtId="0" fontId="1" fillId="0" borderId="15" xfId="85" applyBorder="1">
      <alignment/>
      <protection/>
    </xf>
    <xf numFmtId="0" fontId="1" fillId="0" borderId="14" xfId="85" applyBorder="1">
      <alignment/>
      <protection/>
    </xf>
    <xf numFmtId="0" fontId="1" fillId="0" borderId="16" xfId="85" applyBorder="1">
      <alignment/>
      <protection/>
    </xf>
    <xf numFmtId="0" fontId="1" fillId="0" borderId="17" xfId="85" applyBorder="1">
      <alignment/>
      <protection/>
    </xf>
    <xf numFmtId="0" fontId="40" fillId="21" borderId="22" xfId="85" applyFont="1" applyFill="1" applyBorder="1" applyAlignment="1">
      <alignment horizontal="center"/>
      <protection/>
    </xf>
    <xf numFmtId="0" fontId="40" fillId="21" borderId="23" xfId="85" applyFont="1" applyFill="1" applyBorder="1" applyAlignment="1">
      <alignment horizontal="center"/>
      <protection/>
    </xf>
    <xf numFmtId="0" fontId="0" fillId="0" borderId="11" xfId="0" applyBorder="1" applyAlignment="1">
      <alignment wrapText="1"/>
    </xf>
    <xf numFmtId="0" fontId="4" fillId="22" borderId="24" xfId="0" applyFont="1" applyFill="1" applyBorder="1" applyAlignment="1">
      <alignment horizontal="center" vertical="center"/>
    </xf>
    <xf numFmtId="0" fontId="39" fillId="22" borderId="25" xfId="0" applyFont="1" applyFill="1" applyBorder="1" applyAlignment="1">
      <alignment horizontal="center" vertical="center" wrapText="1"/>
    </xf>
    <xf numFmtId="0" fontId="0" fillId="0" borderId="26" xfId="0" applyBorder="1"/>
    <xf numFmtId="0" fontId="42" fillId="0" borderId="0" xfId="0" applyFont="1"/>
    <xf numFmtId="0" fontId="45" fillId="0" borderId="0" xfId="0" applyFont="1"/>
    <xf numFmtId="0" fontId="45" fillId="0" borderId="11" xfId="0" applyFont="1" applyBorder="1" applyAlignment="1" applyProtection="1">
      <alignment horizontal="center" vertical="center" wrapText="1"/>
      <protection locked="0"/>
    </xf>
    <xf numFmtId="0" fontId="45" fillId="0" borderId="11" xfId="0" applyFont="1" applyBorder="1" applyAlignment="1" applyProtection="1">
      <alignment horizontal="center" vertical="center" wrapText="1"/>
      <protection hidden="1" locked="0"/>
    </xf>
    <xf numFmtId="1" fontId="46" fillId="0" borderId="11" xfId="0" applyNumberFormat="1" applyFont="1" applyBorder="1" applyAlignment="1" applyProtection="1">
      <alignment horizontal="center" vertical="center" wrapText="1"/>
      <protection hidden="1" locked="0"/>
    </xf>
    <xf numFmtId="0" fontId="46" fillId="0" borderId="11" xfId="0" applyFont="1" applyBorder="1" applyAlignment="1" applyProtection="1">
      <alignment horizontal="center" vertical="center" wrapText="1"/>
      <protection hidden="1" locked="0"/>
    </xf>
    <xf numFmtId="0" fontId="42" fillId="0" borderId="0" xfId="0" applyFont="1" applyAlignment="1">
      <alignment vertical="center"/>
    </xf>
    <xf numFmtId="0" fontId="45" fillId="0" borderId="0" xfId="0" applyFont="1" applyAlignment="1">
      <alignment wrapText="1"/>
    </xf>
    <xf numFmtId="0" fontId="45" fillId="0" borderId="0" xfId="0" applyFont="1" applyAlignment="1">
      <alignment horizontal="center" wrapText="1"/>
    </xf>
    <xf numFmtId="1" fontId="45" fillId="0" borderId="27" xfId="0" applyNumberFormat="1" applyFont="1" applyBorder="1" applyAlignment="1" applyProtection="1">
      <alignment horizontal="center" vertical="center" wrapText="1"/>
      <protection hidden="1" locked="0"/>
    </xf>
    <xf numFmtId="0" fontId="45" fillId="0" borderId="0" xfId="0" applyFont="1" applyAlignment="1">
      <alignment horizontal="left"/>
    </xf>
    <xf numFmtId="0" fontId="44" fillId="0" borderId="0" xfId="0" applyFont="1" applyAlignment="1">
      <alignment wrapText="1"/>
    </xf>
    <xf numFmtId="0" fontId="44" fillId="0" borderId="0" xfId="0" applyFont="1" applyAlignment="1">
      <alignment horizontal="center" wrapText="1"/>
    </xf>
    <xf numFmtId="0" fontId="45" fillId="15" borderId="0" xfId="0" applyFont="1" applyFill="1" applyAlignment="1">
      <alignment wrapText="1"/>
    </xf>
    <xf numFmtId="0" fontId="45" fillId="0" borderId="0" xfId="0" applyFont="1" applyAlignment="1">
      <alignment horizontal="left" wrapText="1"/>
    </xf>
    <xf numFmtId="0" fontId="0" fillId="0" borderId="0" xfId="0" applyAlignment="1">
      <alignment horizontal="center" wrapText="1"/>
    </xf>
    <xf numFmtId="0" fontId="0" fillId="15" borderId="0" xfId="0" applyFill="1" applyAlignment="1">
      <alignment horizontal="center" wrapText="1"/>
    </xf>
    <xf numFmtId="0" fontId="40" fillId="21" borderId="22" xfId="85" applyFont="1" applyFill="1" applyBorder="1" applyAlignment="1">
      <alignment horizontal="center" vertical="center"/>
      <protection/>
    </xf>
    <xf numFmtId="0" fontId="40" fillId="21" borderId="23" xfId="85" applyFont="1" applyFill="1" applyBorder="1" applyAlignment="1">
      <alignment horizontal="center" vertical="center"/>
      <protection/>
    </xf>
    <xf numFmtId="1" fontId="45" fillId="0" borderId="11" xfId="0" applyNumberFormat="1" applyFont="1" applyBorder="1" applyAlignment="1">
      <alignment horizontal="center" vertical="center" wrapText="1"/>
    </xf>
    <xf numFmtId="1" fontId="45" fillId="0" borderId="11" xfId="0" applyNumberFormat="1" applyFont="1" applyBorder="1" applyAlignment="1" applyProtection="1">
      <alignment horizontal="center" vertical="center" wrapText="1"/>
      <protection hidden="1" locked="0"/>
    </xf>
    <xf numFmtId="0" fontId="29" fillId="0" borderId="11" xfId="0" applyFont="1" applyBorder="1" applyAlignment="1">
      <alignment horizontal="right" vertical="center" wrapText="1"/>
    </xf>
    <xf numFmtId="1" fontId="48" fillId="0" borderId="11" xfId="0" applyNumberFormat="1" applyFont="1" applyBorder="1" applyAlignment="1" applyProtection="1">
      <alignment horizontal="center" vertical="center" wrapText="1"/>
      <protection hidden="1" locked="0"/>
    </xf>
    <xf numFmtId="0" fontId="29" fillId="0" borderId="11" xfId="0" applyFont="1" applyBorder="1" applyAlignment="1">
      <alignment horizontal="center" vertical="center" wrapText="1"/>
    </xf>
    <xf numFmtId="0" fontId="45" fillId="0" borderId="11" xfId="0" applyFont="1" applyBorder="1" applyAlignment="1">
      <alignment horizontal="right" vertical="center" wrapText="1"/>
    </xf>
    <xf numFmtId="0" fontId="0" fillId="0" borderId="28" xfId="0" applyBorder="1"/>
    <xf numFmtId="0" fontId="0" fillId="0" borderId="29" xfId="0" applyBorder="1"/>
    <xf numFmtId="0" fontId="0" fillId="0" borderId="30" xfId="0" applyBorder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31" xfId="0" applyBorder="1"/>
    <xf numFmtId="0" fontId="4" fillId="0" borderId="0" xfId="0" applyFont="1" applyAlignment="1">
      <alignment horizontal="right" vertical="center"/>
    </xf>
    <xf numFmtId="0" fontId="37" fillId="0" borderId="11" xfId="0" applyFont="1" applyBorder="1" applyAlignment="1">
      <alignment horizontal="center" vertical="center" wrapText="1"/>
    </xf>
    <xf numFmtId="0" fontId="33" fillId="0" borderId="11" xfId="0" applyFont="1" applyBorder="1" applyAlignment="1">
      <alignment horizontal="left" vertical="center" wrapText="1"/>
    </xf>
    <xf numFmtId="14" fontId="33" fillId="15" borderId="11" xfId="0" applyNumberFormat="1" applyFont="1" applyFill="1" applyBorder="1" applyAlignment="1" applyProtection="1">
      <alignment horizontal="left" wrapText="1"/>
      <protection locked="0"/>
    </xf>
    <xf numFmtId="0" fontId="44" fillId="23" borderId="11" xfId="0" applyFont="1" applyFill="1" applyBorder="1" applyAlignment="1" applyProtection="1">
      <alignment horizontal="center" vertical="center" wrapText="1"/>
      <protection hidden="1" locked="0"/>
    </xf>
    <xf numFmtId="22" fontId="45" fillId="23" borderId="11" xfId="0" applyNumberFormat="1" applyFont="1" applyFill="1" applyBorder="1" applyAlignment="1" applyProtection="1">
      <alignment horizontal="center" vertical="center" wrapText="1"/>
      <protection hidden="1" locked="0"/>
    </xf>
    <xf numFmtId="0" fontId="45" fillId="23" borderId="11" xfId="0" applyFont="1" applyFill="1" applyBorder="1" applyAlignment="1" applyProtection="1">
      <alignment horizontal="center" vertical="center" wrapText="1"/>
      <protection hidden="1" locked="0"/>
    </xf>
    <xf numFmtId="0" fontId="44" fillId="0" borderId="11" xfId="0" applyFont="1" applyBorder="1" applyAlignment="1" applyProtection="1">
      <alignment horizontal="center" vertical="center" wrapText="1"/>
      <protection hidden="1" locked="0"/>
    </xf>
    <xf numFmtId="22" fontId="45" fillId="0" borderId="11" xfId="0" applyNumberFormat="1" applyFont="1" applyBorder="1" applyAlignment="1" applyProtection="1">
      <alignment horizontal="center" vertical="center" wrapText="1"/>
      <protection hidden="1" locked="0"/>
    </xf>
    <xf numFmtId="0" fontId="45" fillId="24" borderId="11" xfId="0" applyFont="1" applyFill="1" applyBorder="1" applyAlignment="1" applyProtection="1">
      <alignment horizontal="center" vertical="center" wrapText="1"/>
      <protection hidden="1" locked="0"/>
    </xf>
    <xf numFmtId="0" fontId="37" fillId="0" borderId="11" xfId="0" applyFont="1" applyBorder="1" applyAlignment="1">
      <alignment horizontal="right" vertical="center" wrapText="1"/>
    </xf>
    <xf numFmtId="0" fontId="37" fillId="0" borderId="11" xfId="0" applyFont="1" applyBorder="1" applyAlignment="1" applyProtection="1">
      <alignment horizontal="center" vertical="center" wrapText="1"/>
      <protection locked="0"/>
    </xf>
    <xf numFmtId="1" fontId="37" fillId="0" borderId="11" xfId="0" applyNumberFormat="1" applyFont="1" applyBorder="1" applyAlignment="1" applyProtection="1">
      <alignment horizontal="center" vertical="center" wrapText="1"/>
      <protection hidden="1" locked="0"/>
    </xf>
    <xf numFmtId="0" fontId="4" fillId="0" borderId="11" xfId="0" applyFont="1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1" fontId="29" fillId="0" borderId="11" xfId="0" applyNumberFormat="1" applyFont="1" applyBorder="1" applyAlignment="1" applyProtection="1">
      <alignment horizontal="center" vertical="center" wrapText="1"/>
      <protection hidden="1" locked="0"/>
    </xf>
    <xf numFmtId="0" fontId="31" fillId="0" borderId="11" xfId="0" applyFont="1" applyBorder="1" applyAlignment="1" applyProtection="1">
      <alignment horizontal="center" vertical="center" wrapText="1"/>
      <protection locked="0"/>
    </xf>
    <xf numFmtId="1" fontId="0" fillId="0" borderId="0" xfId="0" applyNumberFormat="1"/>
    <xf numFmtId="22" fontId="0" fillId="0" borderId="0" xfId="0" applyNumberFormat="1"/>
    <xf numFmtId="0" fontId="4" fillId="25" borderId="22" xfId="0" applyFont="1" applyFill="1" applyBorder="1" applyAlignment="1">
      <alignment wrapText="1"/>
    </xf>
    <xf numFmtId="0" fontId="4" fillId="25" borderId="32" xfId="0" applyFont="1" applyFill="1" applyBorder="1" applyAlignment="1">
      <alignment wrapText="1"/>
    </xf>
    <xf numFmtId="0" fontId="4" fillId="25" borderId="33" xfId="0" applyFont="1" applyFill="1" applyBorder="1" applyAlignment="1">
      <alignment wrapText="1"/>
    </xf>
    <xf numFmtId="0" fontId="50" fillId="25" borderId="23" xfId="0" applyFont="1" applyFill="1" applyBorder="1" applyAlignment="1">
      <alignment horizontal="center" vertical="center" wrapText="1"/>
    </xf>
    <xf numFmtId="0" fontId="50" fillId="25" borderId="24" xfId="0" applyFont="1" applyFill="1" applyBorder="1" applyAlignment="1">
      <alignment horizontal="center" vertical="center" wrapText="1"/>
    </xf>
    <xf numFmtId="0" fontId="50" fillId="25" borderId="34" xfId="0" applyFont="1" applyFill="1" applyBorder="1" applyAlignment="1">
      <alignment horizontal="center" vertical="center" wrapText="1"/>
    </xf>
    <xf numFmtId="0" fontId="50" fillId="25" borderId="35" xfId="0" applyFont="1" applyFill="1" applyBorder="1" applyAlignment="1">
      <alignment horizontal="center" vertical="center" wrapText="1"/>
    </xf>
    <xf numFmtId="0" fontId="50" fillId="25" borderId="36" xfId="0" applyFont="1" applyFill="1" applyBorder="1" applyAlignment="1">
      <alignment horizontal="center" vertical="center" wrapText="1"/>
    </xf>
    <xf numFmtId="0" fontId="50" fillId="25" borderId="37" xfId="0" applyFont="1" applyFill="1" applyBorder="1" applyAlignment="1">
      <alignment horizontal="center" vertical="center"/>
    </xf>
    <xf numFmtId="1" fontId="51" fillId="26" borderId="11" xfId="0" applyNumberFormat="1" applyFont="1" applyFill="1" applyBorder="1" applyAlignment="1">
      <alignment horizontal="center" vertical="center" shrinkToFit="1"/>
    </xf>
    <xf numFmtId="1" fontId="52" fillId="27" borderId="11" xfId="0" applyNumberFormat="1" applyFont="1" applyFill="1" applyBorder="1" applyAlignment="1">
      <alignment horizontal="center" vertical="center" shrinkToFit="1"/>
    </xf>
    <xf numFmtId="1" fontId="52" fillId="28" borderId="11" xfId="0" applyNumberFormat="1" applyFont="1" applyFill="1" applyBorder="1" applyAlignment="1">
      <alignment horizontal="center" vertical="center" shrinkToFit="1"/>
    </xf>
    <xf numFmtId="1" fontId="51" fillId="29" borderId="11" xfId="0" applyNumberFormat="1" applyFont="1" applyFill="1" applyBorder="1" applyAlignment="1">
      <alignment horizontal="center" vertical="center" shrinkToFit="1"/>
    </xf>
    <xf numFmtId="1" fontId="51" fillId="30" borderId="11" xfId="0" applyNumberFormat="1" applyFont="1" applyFill="1" applyBorder="1" applyAlignment="1">
      <alignment horizontal="center" vertical="center" shrinkToFit="1"/>
    </xf>
    <xf numFmtId="1" fontId="51" fillId="31" borderId="11" xfId="0" applyNumberFormat="1" applyFont="1" applyFill="1" applyBorder="1" applyAlignment="1">
      <alignment horizontal="center" vertical="center" shrinkToFit="1"/>
    </xf>
    <xf numFmtId="0" fontId="53" fillId="0" borderId="11" xfId="0" applyFont="1" applyBorder="1"/>
    <xf numFmtId="0" fontId="54" fillId="32" borderId="11" xfId="0" applyFont="1" applyFill="1" applyBorder="1" applyAlignment="1">
      <alignment horizontal="center" vertical="center" wrapText="1"/>
    </xf>
    <xf numFmtId="1" fontId="30" fillId="33" borderId="11" xfId="0" applyNumberFormat="1" applyFont="1" applyFill="1" applyBorder="1" applyAlignment="1" applyProtection="1">
      <alignment horizontal="center" vertical="center" wrapText="1"/>
      <protection hidden="1" locked="0"/>
    </xf>
    <xf numFmtId="0" fontId="45" fillId="33" borderId="11" xfId="0" applyFont="1" applyFill="1" applyBorder="1" applyAlignment="1" applyProtection="1">
      <alignment horizontal="center" vertical="center" wrapText="1"/>
      <protection hidden="1" locked="0"/>
    </xf>
    <xf numFmtId="1" fontId="45" fillId="34" borderId="11" xfId="0" applyNumberFormat="1" applyFont="1" applyFill="1" applyBorder="1" applyAlignment="1">
      <alignment horizontal="center" vertical="center" wrapText="1"/>
    </xf>
    <xf numFmtId="0" fontId="45" fillId="34" borderId="11" xfId="0" applyFont="1" applyFill="1" applyBorder="1" applyAlignment="1">
      <alignment horizontal="center" vertical="center" wrapText="1"/>
    </xf>
    <xf numFmtId="0" fontId="37" fillId="35" borderId="11" xfId="0" applyFont="1" applyFill="1" applyBorder="1" applyAlignment="1" applyProtection="1">
      <alignment horizontal="center" vertical="center" wrapText="1"/>
      <protection locked="0"/>
    </xf>
    <xf numFmtId="0" fontId="37" fillId="35" borderId="11" xfId="0" applyFont="1" applyFill="1" applyBorder="1" applyAlignment="1" applyProtection="1">
      <alignment horizontal="center" vertical="center" wrapText="1"/>
      <protection hidden="1" locked="0"/>
    </xf>
    <xf numFmtId="0" fontId="45" fillId="35" borderId="11" xfId="0" applyFont="1" applyFill="1" applyBorder="1" applyAlignment="1" applyProtection="1">
      <alignment horizontal="center" vertical="center" wrapText="1"/>
      <protection hidden="1" locked="0"/>
    </xf>
    <xf numFmtId="0" fontId="45" fillId="36" borderId="11" xfId="0" applyFont="1" applyFill="1" applyBorder="1" applyAlignment="1" applyProtection="1">
      <alignment horizontal="center" vertical="center" wrapText="1"/>
      <protection locked="0"/>
    </xf>
    <xf numFmtId="0" fontId="45" fillId="36" borderId="11" xfId="0" applyFont="1" applyFill="1" applyBorder="1" applyAlignment="1" applyProtection="1">
      <alignment horizontal="center" vertical="center" wrapText="1"/>
      <protection hidden="1" locked="0"/>
    </xf>
    <xf numFmtId="1" fontId="46" fillId="36" borderId="11" xfId="0" applyNumberFormat="1" applyFont="1" applyFill="1" applyBorder="1" applyAlignment="1" applyProtection="1">
      <alignment horizontal="center" vertical="center" wrapText="1"/>
      <protection hidden="1" locked="0"/>
    </xf>
    <xf numFmtId="0" fontId="0" fillId="0" borderId="12" xfId="0" applyBorder="1"/>
    <xf numFmtId="22" fontId="0" fillId="0" borderId="12" xfId="0" applyNumberFormat="1" applyBorder="1"/>
    <xf numFmtId="1" fontId="0" fillId="0" borderId="12" xfId="0" applyNumberFormat="1" applyBorder="1"/>
    <xf numFmtId="0" fontId="56" fillId="0" borderId="0" xfId="0" applyFont="1" applyAlignment="1">
      <alignment horizontal="center" vertical="center" wrapText="1"/>
    </xf>
    <xf numFmtId="0" fontId="55" fillId="0" borderId="0" xfId="0" applyFont="1"/>
    <xf numFmtId="1" fontId="57" fillId="0" borderId="11" xfId="0" applyNumberFormat="1" applyFont="1" applyBorder="1" applyAlignment="1" applyProtection="1">
      <alignment horizontal="center" vertical="center" wrapText="1"/>
      <protection hidden="1" locked="0"/>
    </xf>
    <xf numFmtId="0" fontId="58" fillId="0" borderId="11" xfId="0" applyFont="1" applyBorder="1" applyAlignment="1">
      <alignment horizontal="right" vertical="top"/>
    </xf>
    <xf numFmtId="0" fontId="59" fillId="0" borderId="11" xfId="0" applyFont="1" applyBorder="1" applyAlignment="1">
      <alignment horizontal="right" vertical="top"/>
    </xf>
    <xf numFmtId="0" fontId="2" fillId="0" borderId="11" xfId="0" applyFont="1" applyBorder="1" applyAlignment="1">
      <alignment horizontal="center" textRotation="90"/>
    </xf>
    <xf numFmtId="0" fontId="2" fillId="0" borderId="11" xfId="0" applyFont="1" applyBorder="1" applyAlignment="1">
      <alignment horizontal="center" vertical="center"/>
    </xf>
    <xf numFmtId="1" fontId="2" fillId="0" borderId="11" xfId="0" applyNumberFormat="1" applyFont="1" applyBorder="1" applyAlignment="1">
      <alignment horizontal="center" vertical="center"/>
    </xf>
    <xf numFmtId="1" fontId="2" fillId="0" borderId="11" xfId="0" applyNumberFormat="1" applyFont="1" applyBorder="1" applyAlignment="1">
      <alignment horizontal="center" textRotation="90"/>
    </xf>
    <xf numFmtId="166" fontId="2" fillId="0" borderId="11" xfId="0" applyNumberFormat="1" applyFont="1" applyBorder="1" applyAlignment="1">
      <alignment horizontal="center" textRotation="90"/>
    </xf>
    <xf numFmtId="0" fontId="2" fillId="37" borderId="11" xfId="0" applyFont="1" applyFill="1" applyBorder="1" applyAlignment="1">
      <alignment horizontal="center" textRotation="90"/>
    </xf>
    <xf numFmtId="0" fontId="40" fillId="0" borderId="11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textRotation="90" wrapText="1"/>
    </xf>
    <xf numFmtId="0" fontId="2" fillId="0" borderId="11" xfId="0" applyFont="1" applyBorder="1" applyAlignment="1">
      <alignment horizontal="center" vertical="center" wrapText="1"/>
    </xf>
    <xf numFmtId="0" fontId="49" fillId="38" borderId="11" xfId="0" applyFont="1" applyFill="1" applyBorder="1" applyAlignment="1">
      <alignment horizontal="center" textRotation="90" wrapText="1"/>
    </xf>
    <xf numFmtId="0" fontId="49" fillId="0" borderId="11" xfId="0" applyFont="1" applyBorder="1" applyAlignment="1">
      <alignment horizontal="center" textRotation="90" wrapText="1"/>
    </xf>
    <xf numFmtId="0" fontId="2" fillId="38" borderId="11" xfId="0" applyFont="1" applyFill="1" applyBorder="1" applyAlignment="1">
      <alignment horizontal="center" textRotation="90" wrapText="1"/>
    </xf>
    <xf numFmtId="0" fontId="2" fillId="39" borderId="11" xfId="0" applyFont="1" applyFill="1" applyBorder="1" applyAlignment="1">
      <alignment horizontal="center" textRotation="90" wrapText="1"/>
    </xf>
    <xf numFmtId="0" fontId="2" fillId="37" borderId="11" xfId="0" applyFont="1" applyFill="1" applyBorder="1" applyAlignment="1">
      <alignment horizontal="center" textRotation="90" wrapText="1"/>
    </xf>
    <xf numFmtId="14" fontId="31" fillId="15" borderId="11" xfId="0" applyNumberFormat="1" applyFont="1" applyFill="1" applyBorder="1" applyAlignment="1" applyProtection="1">
      <alignment horizontal="left" vertical="center" wrapText="1"/>
      <protection locked="0"/>
    </xf>
    <xf numFmtId="0" fontId="44" fillId="15" borderId="11" xfId="0" applyFont="1" applyFill="1" applyBorder="1" applyAlignment="1">
      <alignment horizontal="center" vertical="center" wrapText="1"/>
    </xf>
    <xf numFmtId="14" fontId="44" fillId="15" borderId="11" xfId="0" applyNumberFormat="1" applyFont="1" applyFill="1" applyBorder="1" applyAlignment="1" applyProtection="1">
      <alignment horizontal="center" vertical="center" wrapText="1"/>
      <protection locked="0"/>
    </xf>
    <xf numFmtId="14" fontId="44" fillId="15" borderId="11" xfId="0" applyNumberFormat="1" applyFont="1" applyFill="1" applyBorder="1" applyAlignment="1" applyProtection="1">
      <alignment horizontal="center" wrapText="1"/>
      <protection locked="0"/>
    </xf>
    <xf numFmtId="0" fontId="65" fillId="0" borderId="11" xfId="0" applyFont="1" applyBorder="1" applyAlignment="1" applyProtection="1">
      <alignment horizontal="center" vertical="center" wrapText="1"/>
      <protection hidden="1" locked="0"/>
    </xf>
    <xf numFmtId="0" fontId="58" fillId="0" borderId="11" xfId="0" applyFont="1" applyBorder="1" applyAlignment="1" applyProtection="1">
      <alignment horizontal="center" vertical="center" wrapText="1"/>
      <protection hidden="1" locked="0"/>
    </xf>
    <xf numFmtId="0" fontId="34" fillId="0" borderId="11" xfId="0" applyFont="1" applyBorder="1" applyAlignment="1" applyProtection="1">
      <alignment horizontal="center" vertical="center" wrapText="1"/>
      <protection locked="0"/>
    </xf>
    <xf numFmtId="0" fontId="41" fillId="40" borderId="11" xfId="0" applyFont="1" applyFill="1" applyBorder="1" applyAlignment="1" applyProtection="1">
      <alignment horizontal="center" vertical="center" wrapText="1"/>
      <protection hidden="1"/>
    </xf>
    <xf numFmtId="0" fontId="44" fillId="15" borderId="11" xfId="0" applyFont="1" applyFill="1" applyBorder="1" applyAlignment="1" applyProtection="1">
      <alignment horizontal="center" vertical="center" wrapText="1"/>
      <protection hidden="1"/>
    </xf>
    <xf numFmtId="0" fontId="44" fillId="23" borderId="11" xfId="0" applyFont="1" applyFill="1" applyBorder="1" applyAlignment="1">
      <alignment horizontal="center" vertical="center" wrapText="1"/>
    </xf>
    <xf numFmtId="0" fontId="44" fillId="23" borderId="11" xfId="0" applyFont="1" applyFill="1" applyBorder="1" applyAlignment="1" applyProtection="1">
      <alignment horizontal="center" vertical="center" wrapText="1"/>
      <protection hidden="1"/>
    </xf>
    <xf numFmtId="0" fontId="37" fillId="0" borderId="11" xfId="0" applyFont="1" applyBorder="1" applyAlignment="1">
      <alignment horizontal="center" vertical="center" wrapText="1"/>
    </xf>
    <xf numFmtId="0" fontId="31" fillId="0" borderId="11" xfId="0" applyFont="1" applyBorder="1" applyAlignment="1" applyProtection="1">
      <alignment horizontal="center" vertical="center" wrapText="1"/>
      <protection hidden="1"/>
    </xf>
    <xf numFmtId="0" fontId="63" fillId="0" borderId="11" xfId="0" applyFont="1" applyBorder="1" applyAlignment="1" applyProtection="1">
      <alignment horizontal="center" vertical="center" wrapText="1"/>
      <protection locked="0"/>
    </xf>
    <xf numFmtId="0" fontId="61" fillId="0" borderId="11" xfId="0" applyFont="1" applyBorder="1" applyAlignment="1" applyProtection="1">
      <alignment horizontal="center" vertical="center" wrapText="1"/>
      <protection locked="0"/>
    </xf>
    <xf numFmtId="164" fontId="61" fillId="0" borderId="11" xfId="0" applyNumberFormat="1" applyFont="1" applyBorder="1" applyAlignment="1" applyProtection="1">
      <alignment horizontal="center" vertical="center" wrapText="1"/>
      <protection hidden="1"/>
    </xf>
    <xf numFmtId="14" fontId="61" fillId="0" borderId="11" xfId="0" applyNumberFormat="1" applyFont="1" applyBorder="1" applyAlignment="1" applyProtection="1">
      <alignment horizontal="center" vertical="center" wrapText="1"/>
      <protection locked="0"/>
    </xf>
    <xf numFmtId="0" fontId="28" fillId="0" borderId="11" xfId="0" applyFont="1" applyBorder="1" applyAlignment="1" applyProtection="1">
      <alignment horizontal="center" vertical="center" wrapText="1"/>
      <protection hidden="1"/>
    </xf>
    <xf numFmtId="0" fontId="33" fillId="40" borderId="11" xfId="0" applyFont="1" applyFill="1" applyBorder="1" applyAlignment="1" applyProtection="1">
      <alignment horizontal="center" vertical="center" wrapText="1"/>
      <protection hidden="1"/>
    </xf>
    <xf numFmtId="0" fontId="31" fillId="15" borderId="11" xfId="0" applyFont="1" applyFill="1" applyBorder="1" applyAlignment="1">
      <alignment horizontal="center" vertical="center" wrapText="1"/>
    </xf>
    <xf numFmtId="0" fontId="31" fillId="15" borderId="11" xfId="0" applyFont="1" applyFill="1" applyBorder="1" applyAlignment="1" applyProtection="1">
      <alignment horizontal="center" vertical="center" wrapText="1"/>
      <protection locked="0"/>
    </xf>
    <xf numFmtId="14" fontId="31" fillId="15" borderId="11" xfId="0" applyNumberFormat="1" applyFont="1" applyFill="1" applyBorder="1" applyAlignment="1" applyProtection="1">
      <alignment horizontal="center" vertical="center" wrapText="1"/>
      <protection locked="0"/>
    </xf>
    <xf numFmtId="0" fontId="34" fillId="0" borderId="11" xfId="0" applyFont="1" applyBorder="1" applyAlignment="1">
      <alignment horizontal="center" wrapText="1"/>
    </xf>
    <xf numFmtId="0" fontId="60" fillId="0" borderId="11" xfId="0" applyFont="1" applyBorder="1" applyAlignment="1">
      <alignment horizontal="center" vertical="center" wrapText="1"/>
    </xf>
    <xf numFmtId="0" fontId="59" fillId="0" borderId="11" xfId="0" applyFont="1" applyBorder="1" applyAlignment="1">
      <alignment horizontal="center" vertical="center" wrapText="1"/>
    </xf>
    <xf numFmtId="0" fontId="59" fillId="0" borderId="11" xfId="0" applyFont="1" applyBorder="1" applyAlignment="1" applyProtection="1">
      <alignment horizontal="center" wrapText="1"/>
      <protection hidden="1"/>
    </xf>
    <xf numFmtId="0" fontId="62" fillId="33" borderId="11" xfId="0" applyFont="1" applyFill="1" applyBorder="1" applyAlignment="1" applyProtection="1">
      <alignment horizontal="center" vertical="center" wrapText="1"/>
      <protection hidden="1"/>
    </xf>
    <xf numFmtId="0" fontId="28" fillId="15" borderId="11" xfId="0" applyFont="1" applyFill="1" applyBorder="1" applyAlignment="1" applyProtection="1">
      <alignment horizontal="center" vertical="center" wrapText="1"/>
      <protection hidden="1"/>
    </xf>
    <xf numFmtId="0" fontId="62" fillId="0" borderId="11" xfId="0" applyFont="1" applyBorder="1" applyAlignment="1" applyProtection="1">
      <alignment horizontal="center" vertical="center" wrapText="1"/>
      <protection hidden="1"/>
    </xf>
    <xf numFmtId="0" fontId="28" fillId="0" borderId="11" xfId="0" applyFont="1" applyBorder="1" applyAlignment="1">
      <alignment horizontal="center" vertical="center" wrapText="1"/>
    </xf>
    <xf numFmtId="0" fontId="32" fillId="39" borderId="11" xfId="0" applyFont="1" applyFill="1" applyBorder="1" applyAlignment="1" applyProtection="1">
      <alignment horizontal="center" vertical="center" wrapText="1"/>
      <protection hidden="1" locked="0"/>
    </xf>
    <xf numFmtId="0" fontId="27" fillId="0" borderId="11" xfId="0" applyFont="1" applyBorder="1" applyAlignment="1" applyProtection="1">
      <alignment horizontal="center" vertical="center" wrapText="1"/>
      <protection hidden="1"/>
    </xf>
    <xf numFmtId="0" fontId="62" fillId="15" borderId="11" xfId="0" applyFont="1" applyFill="1" applyBorder="1" applyAlignment="1" applyProtection="1">
      <alignment horizontal="center" vertical="center" textRotation="90" wrapText="1"/>
      <protection hidden="1"/>
    </xf>
    <xf numFmtId="0" fontId="62" fillId="15" borderId="11" xfId="0" applyFont="1" applyFill="1" applyBorder="1" applyAlignment="1" applyProtection="1">
      <alignment horizontal="center" vertical="center" wrapText="1"/>
      <protection hidden="1"/>
    </xf>
    <xf numFmtId="0" fontId="66" fillId="0" borderId="11" xfId="0" applyFont="1" applyBorder="1" applyAlignment="1">
      <alignment horizontal="center" vertical="center" wrapText="1"/>
    </xf>
    <xf numFmtId="0" fontId="44" fillId="36" borderId="11" xfId="0" applyFont="1" applyFill="1" applyBorder="1" applyAlignment="1">
      <alignment horizontal="center" vertical="center" wrapText="1"/>
    </xf>
    <xf numFmtId="14" fontId="41" fillId="15" borderId="11" xfId="0" applyNumberFormat="1" applyFont="1" applyFill="1" applyBorder="1" applyAlignment="1" applyProtection="1">
      <alignment horizontal="center" wrapText="1"/>
      <protection locked="0"/>
    </xf>
    <xf numFmtId="0" fontId="44" fillId="36" borderId="11" xfId="0" applyFont="1" applyFill="1" applyBorder="1" applyAlignment="1" applyProtection="1">
      <alignment horizontal="center" vertical="center" wrapText="1"/>
      <protection hidden="1"/>
    </xf>
    <xf numFmtId="0" fontId="36" fillId="41" borderId="11" xfId="0" applyFont="1" applyFill="1" applyBorder="1" applyAlignment="1" applyProtection="1">
      <alignment horizontal="center" wrapText="1"/>
      <protection hidden="1" locked="0"/>
    </xf>
    <xf numFmtId="0" fontId="42" fillId="0" borderId="11" xfId="0" applyFont="1" applyBorder="1" applyAlignment="1" applyProtection="1">
      <alignment horizontal="center" vertical="center" wrapText="1"/>
      <protection locked="0"/>
    </xf>
    <xf numFmtId="0" fontId="42" fillId="0" borderId="11" xfId="0" applyFont="1" applyBorder="1" applyAlignment="1" applyProtection="1">
      <alignment horizontal="center" wrapText="1"/>
      <protection hidden="1"/>
    </xf>
    <xf numFmtId="14" fontId="41" fillId="0" borderId="11" xfId="0" applyNumberFormat="1" applyFont="1" applyBorder="1" applyAlignment="1" applyProtection="1">
      <alignment horizontal="center" vertical="center" wrapText="1"/>
      <protection locked="0"/>
    </xf>
    <xf numFmtId="0" fontId="36" fillId="42" borderId="11" xfId="0" applyFont="1" applyFill="1" applyBorder="1" applyAlignment="1" applyProtection="1">
      <alignment horizontal="center" vertical="center" wrapText="1"/>
      <protection hidden="1" locked="0"/>
    </xf>
    <xf numFmtId="0" fontId="31" fillId="0" borderId="11" xfId="0" applyFont="1" applyBorder="1" applyAlignment="1">
      <alignment horizontal="center" vertical="center" wrapText="1"/>
    </xf>
    <xf numFmtId="0" fontId="44" fillId="24" borderId="11" xfId="0" applyFont="1" applyFill="1" applyBorder="1" applyAlignment="1">
      <alignment horizontal="center" vertical="center" wrapText="1"/>
    </xf>
    <xf numFmtId="0" fontId="44" fillId="24" borderId="11" xfId="0" applyFont="1" applyFill="1" applyBorder="1" applyAlignment="1" applyProtection="1">
      <alignment horizontal="center" vertical="center" wrapText="1"/>
      <protection hidden="1"/>
    </xf>
    <xf numFmtId="0" fontId="44" fillId="33" borderId="11" xfId="0" applyFont="1" applyFill="1" applyBorder="1" applyAlignment="1" applyProtection="1">
      <alignment horizontal="center" vertical="center" wrapText="1"/>
      <protection hidden="1"/>
    </xf>
    <xf numFmtId="0" fontId="45" fillId="0" borderId="11" xfId="0" applyFont="1" applyBorder="1" applyAlignment="1" applyProtection="1">
      <alignment horizontal="center" wrapText="1"/>
      <protection hidden="1"/>
    </xf>
    <xf numFmtId="0" fontId="44" fillId="40" borderId="11" xfId="0" applyFont="1" applyFill="1" applyBorder="1" applyAlignment="1" applyProtection="1">
      <alignment horizontal="center" vertical="center" wrapText="1"/>
      <protection hidden="1"/>
    </xf>
    <xf numFmtId="0" fontId="44" fillId="34" borderId="11" xfId="0" applyFont="1" applyFill="1" applyBorder="1" applyAlignment="1">
      <alignment horizontal="center" vertical="center" wrapText="1"/>
    </xf>
    <xf numFmtId="14" fontId="44" fillId="15" borderId="11" xfId="0" applyNumberFormat="1" applyFont="1" applyFill="1" applyBorder="1" applyAlignment="1" applyProtection="1">
      <alignment horizontal="center" vertical="center" wrapText="1"/>
      <protection locked="0"/>
    </xf>
    <xf numFmtId="0" fontId="36" fillId="21" borderId="11" xfId="0" applyFont="1" applyFill="1" applyBorder="1" applyAlignment="1" applyProtection="1">
      <alignment horizontal="center" vertical="center" wrapText="1"/>
      <protection hidden="1" locked="0"/>
    </xf>
    <xf numFmtId="0" fontId="45" fillId="0" borderId="11" xfId="0" applyFont="1" applyBorder="1" applyAlignment="1" applyProtection="1">
      <alignment horizontal="center" vertical="center" wrapText="1"/>
      <protection locked="0"/>
    </xf>
    <xf numFmtId="0" fontId="44" fillId="0" borderId="11" xfId="0" applyFont="1" applyBorder="1" applyAlignment="1" applyProtection="1">
      <alignment horizontal="center" vertical="center" wrapText="1"/>
      <protection locked="0"/>
    </xf>
    <xf numFmtId="14" fontId="44" fillId="0" borderId="11" xfId="0" applyNumberFormat="1" applyFont="1" applyBorder="1" applyAlignment="1" applyProtection="1">
      <alignment horizontal="center" vertical="center" wrapText="1"/>
      <protection locked="0"/>
    </xf>
    <xf numFmtId="0" fontId="64" fillId="0" borderId="11" xfId="0" applyFont="1" applyBorder="1" applyAlignment="1">
      <alignment horizontal="center" vertical="center" wrapText="1"/>
    </xf>
    <xf numFmtId="0" fontId="45" fillId="0" borderId="11" xfId="0" applyFont="1" applyBorder="1" applyAlignment="1">
      <alignment horizontal="center" vertical="center" wrapText="1"/>
    </xf>
    <xf numFmtId="0" fontId="44" fillId="15" borderId="11" xfId="0" applyFont="1" applyFill="1" applyBorder="1" applyAlignment="1">
      <alignment horizontal="center" vertical="center" wrapText="1"/>
    </xf>
    <xf numFmtId="0" fontId="44" fillId="15" borderId="11" xfId="0" applyFont="1" applyFill="1" applyBorder="1" applyAlignment="1" applyProtection="1">
      <alignment horizontal="center" vertical="center" wrapText="1"/>
      <protection locked="0"/>
    </xf>
    <xf numFmtId="0" fontId="31" fillId="0" borderId="11" xfId="0" applyFont="1" applyBorder="1" applyAlignment="1" applyProtection="1">
      <alignment horizontal="center" vertical="center" wrapText="1"/>
      <protection locked="0"/>
    </xf>
    <xf numFmtId="0" fontId="38" fillId="0" borderId="11" xfId="0" applyFont="1" applyBorder="1" applyAlignment="1">
      <alignment horizontal="center" vertical="center" wrapText="1"/>
    </xf>
    <xf numFmtId="0" fontId="37" fillId="0" borderId="11" xfId="0" applyFont="1" applyBorder="1" applyAlignment="1" applyProtection="1">
      <alignment horizontal="center" wrapText="1"/>
      <protection hidden="1"/>
    </xf>
    <xf numFmtId="14" fontId="31" fillId="15" borderId="11" xfId="0" applyNumberFormat="1" applyFont="1" applyFill="1" applyBorder="1" applyAlignment="1" applyProtection="1">
      <alignment horizontal="center" vertical="center"/>
      <protection locked="0"/>
    </xf>
    <xf numFmtId="14" fontId="31" fillId="15" borderId="11" xfId="0" applyNumberFormat="1" applyFont="1" applyFill="1" applyBorder="1" applyAlignment="1" applyProtection="1">
      <alignment horizontal="center" wrapText="1"/>
      <protection locked="0"/>
    </xf>
    <xf numFmtId="0" fontId="44" fillId="35" borderId="11" xfId="0" applyFont="1" applyFill="1" applyBorder="1" applyAlignment="1" applyProtection="1">
      <alignment horizontal="center" vertical="center" wrapText="1"/>
      <protection hidden="1"/>
    </xf>
    <xf numFmtId="0" fontId="47" fillId="43" borderId="11" xfId="0" applyFont="1" applyFill="1" applyBorder="1" applyAlignment="1" applyProtection="1">
      <alignment horizontal="center" vertical="center" wrapText="1"/>
      <protection hidden="1" locked="0"/>
    </xf>
    <xf numFmtId="0" fontId="37" fillId="0" borderId="11" xfId="0" applyFont="1" applyBorder="1" applyAlignment="1" applyProtection="1">
      <alignment horizontal="center" vertical="center" wrapText="1"/>
      <protection locked="0"/>
    </xf>
    <xf numFmtId="0" fontId="31" fillId="35" borderId="11" xfId="0" applyFont="1" applyFill="1" applyBorder="1" applyAlignment="1" applyProtection="1">
      <alignment horizontal="center" vertical="center" wrapText="1"/>
      <protection hidden="1"/>
    </xf>
    <xf numFmtId="0" fontId="31" fillId="15" borderId="11" xfId="0" applyFont="1" applyFill="1" applyBorder="1" applyAlignment="1" applyProtection="1">
      <alignment horizontal="center" vertical="center" textRotation="90" wrapText="1"/>
      <protection hidden="1"/>
    </xf>
    <xf numFmtId="0" fontId="31" fillId="15" borderId="11" xfId="0" applyFont="1" applyFill="1" applyBorder="1" applyAlignment="1" applyProtection="1">
      <alignment horizontal="center" vertical="center" wrapText="1"/>
      <protection hidden="1"/>
    </xf>
    <xf numFmtId="0" fontId="31" fillId="35" borderId="11" xfId="0" applyFont="1" applyFill="1" applyBorder="1" applyAlignment="1">
      <alignment horizontal="center" vertical="center" wrapText="1"/>
    </xf>
    <xf numFmtId="0" fontId="31" fillId="40" borderId="11" xfId="0" applyFont="1" applyFill="1" applyBorder="1" applyAlignment="1" applyProtection="1">
      <alignment horizontal="center" vertical="center" wrapText="1"/>
      <protection hidden="1"/>
    </xf>
    <xf numFmtId="0" fontId="47" fillId="42" borderId="11" xfId="0" applyFont="1" applyFill="1" applyBorder="1" applyAlignment="1" applyProtection="1">
      <alignment horizontal="center" vertical="center" wrapText="1"/>
      <protection hidden="1" locked="0"/>
    </xf>
    <xf numFmtId="0" fontId="32" fillId="44" borderId="11" xfId="0" applyFont="1" applyFill="1" applyBorder="1" applyAlignment="1" applyProtection="1">
      <alignment horizontal="center" vertical="center" wrapText="1"/>
      <protection hidden="1" locked="0"/>
    </xf>
    <xf numFmtId="0" fontId="28" fillId="15" borderId="11" xfId="0" applyFont="1" applyFill="1" applyBorder="1" applyAlignment="1" applyProtection="1">
      <alignment horizontal="center" vertical="center" textRotation="90" wrapText="1"/>
      <protection hidden="1"/>
    </xf>
    <xf numFmtId="22" fontId="34" fillId="0" borderId="38" xfId="0" applyNumberFormat="1" applyFont="1" applyBorder="1" applyAlignment="1" applyProtection="1">
      <alignment horizontal="center" vertical="center" wrapText="1"/>
      <protection locked="0"/>
    </xf>
    <xf numFmtId="0" fontId="34" fillId="0" borderId="39" xfId="0" applyFont="1" applyBorder="1" applyAlignment="1" applyProtection="1">
      <alignment horizontal="center" vertical="center" wrapText="1"/>
      <protection locked="0"/>
    </xf>
    <xf numFmtId="0" fontId="37" fillId="0" borderId="40" xfId="0" applyFont="1" applyBorder="1" applyAlignment="1" applyProtection="1">
      <alignment horizontal="center" vertical="center" wrapText="1"/>
      <protection locked="0"/>
    </xf>
    <xf numFmtId="0" fontId="37" fillId="0" borderId="41" xfId="0" applyFont="1" applyBorder="1" applyAlignment="1" applyProtection="1">
      <alignment horizontal="center" vertical="center" wrapText="1"/>
      <protection locked="0"/>
    </xf>
    <xf numFmtId="0" fontId="37" fillId="0" borderId="42" xfId="0" applyFont="1" applyBorder="1" applyAlignment="1" applyProtection="1">
      <alignment horizontal="center" vertical="center" wrapText="1"/>
      <protection locked="0"/>
    </xf>
    <xf numFmtId="0" fontId="37" fillId="0" borderId="30" xfId="0" applyFont="1" applyBorder="1" applyAlignment="1" applyProtection="1">
      <alignment horizontal="center" vertical="center" wrapText="1"/>
      <protection locked="0"/>
    </xf>
    <xf numFmtId="0" fontId="37" fillId="0" borderId="0" xfId="0" applyFont="1" applyAlignment="1" applyProtection="1">
      <alignment horizontal="center" vertical="center" wrapText="1"/>
      <protection locked="0"/>
    </xf>
    <xf numFmtId="0" fontId="37" fillId="0" borderId="28" xfId="0" applyFont="1" applyBorder="1" applyAlignment="1" applyProtection="1">
      <alignment horizontal="center" vertical="center" wrapText="1"/>
      <protection locked="0"/>
    </xf>
    <xf numFmtId="0" fontId="37" fillId="0" borderId="43" xfId="0" applyFont="1" applyBorder="1" applyAlignment="1" applyProtection="1">
      <alignment horizontal="center" vertical="center" wrapText="1"/>
      <protection locked="0"/>
    </xf>
    <xf numFmtId="0" fontId="37" fillId="0" borderId="12" xfId="0" applyFont="1" applyBorder="1" applyAlignment="1" applyProtection="1">
      <alignment horizontal="center" vertical="center" wrapText="1"/>
      <protection locked="0"/>
    </xf>
    <xf numFmtId="0" fontId="37" fillId="0" borderId="29" xfId="0" applyFont="1" applyBorder="1" applyAlignment="1" applyProtection="1">
      <alignment horizontal="center" vertical="center" wrapText="1"/>
      <protection locked="0"/>
    </xf>
    <xf numFmtId="0" fontId="40" fillId="38" borderId="38" xfId="0" applyFont="1" applyFill="1" applyBorder="1" applyAlignment="1">
      <alignment horizontal="center" vertical="center"/>
    </xf>
    <xf numFmtId="0" fontId="40" fillId="38" borderId="44" xfId="0" applyFont="1" applyFill="1" applyBorder="1" applyAlignment="1">
      <alignment horizontal="center" vertical="center"/>
    </xf>
    <xf numFmtId="0" fontId="40" fillId="38" borderId="39" xfId="0" applyFont="1" applyFill="1" applyBorder="1" applyAlignment="1">
      <alignment horizontal="center" vertical="center"/>
    </xf>
    <xf numFmtId="0" fontId="40" fillId="0" borderId="38" xfId="0" applyFont="1" applyBorder="1" applyAlignment="1">
      <alignment horizontal="center" vertical="center"/>
    </xf>
    <xf numFmtId="0" fontId="40" fillId="0" borderId="44" xfId="0" applyFont="1" applyBorder="1" applyAlignment="1">
      <alignment horizontal="center" vertical="center"/>
    </xf>
    <xf numFmtId="0" fontId="40" fillId="0" borderId="39" xfId="0" applyFont="1" applyBorder="1" applyAlignment="1">
      <alignment horizontal="center" vertical="center"/>
    </xf>
    <xf numFmtId="0" fontId="4" fillId="22" borderId="22" xfId="0" applyFont="1" applyFill="1" applyBorder="1" applyAlignment="1">
      <alignment horizontal="center" vertical="center" wrapText="1"/>
    </xf>
    <xf numFmtId="0" fontId="4" fillId="22" borderId="32" xfId="0" applyFont="1" applyFill="1" applyBorder="1" applyAlignment="1">
      <alignment horizontal="center" vertical="center" wrapText="1"/>
    </xf>
    <xf numFmtId="0" fontId="4" fillId="22" borderId="33" xfId="0" applyFont="1" applyFill="1" applyBorder="1" applyAlignment="1">
      <alignment horizontal="center" vertical="center" wrapText="1"/>
    </xf>
    <xf numFmtId="0" fontId="34" fillId="0" borderId="11" xfId="0" applyFont="1" applyBorder="1" applyAlignment="1">
      <alignment horizontal="center" vertical="center" wrapText="1"/>
    </xf>
    <xf numFmtId="0" fontId="34" fillId="0" borderId="0" xfId="0" applyFont="1" applyAlignment="1">
      <alignment horizontal="center" vertical="center" wrapText="1"/>
    </xf>
    <xf numFmtId="0" fontId="36" fillId="45" borderId="11" xfId="0" applyFont="1" applyFill="1" applyBorder="1" applyAlignment="1">
      <alignment horizontal="center" vertical="center" wrapText="1"/>
    </xf>
    <xf numFmtId="0" fontId="32" fillId="45" borderId="11" xfId="0" applyFont="1" applyFill="1" applyBorder="1" applyAlignment="1">
      <alignment horizontal="center" vertical="center" wrapText="1"/>
    </xf>
    <xf numFmtId="0" fontId="33" fillId="0" borderId="11" xfId="0" applyFont="1" applyBorder="1" applyAlignment="1">
      <alignment horizontal="center" vertical="center" wrapText="1"/>
    </xf>
    <xf numFmtId="0" fontId="33" fillId="0" borderId="11" xfId="0" applyFont="1" applyBorder="1" applyAlignment="1">
      <alignment horizontal="center" vertical="center" textRotation="90" wrapText="1"/>
    </xf>
  </cellXfs>
  <cellStyles count="73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Accent1" xfId="20"/>
    <cellStyle name="Accent1 - 20%" xfId="21"/>
    <cellStyle name="Accent1 - 40%" xfId="22"/>
    <cellStyle name="Accent1 - 60%" xfId="23"/>
    <cellStyle name="Accent2" xfId="24"/>
    <cellStyle name="Accent2 - 20%" xfId="25"/>
    <cellStyle name="Accent2 - 40%" xfId="26"/>
    <cellStyle name="Accent2 - 60%" xfId="27"/>
    <cellStyle name="Accent3" xfId="28"/>
    <cellStyle name="Accent3 - 20%" xfId="29"/>
    <cellStyle name="Accent3 - 40%" xfId="30"/>
    <cellStyle name="Accent3 - 60%" xfId="31"/>
    <cellStyle name="Accent4" xfId="32"/>
    <cellStyle name="Accent4 - 20%" xfId="33"/>
    <cellStyle name="Accent4 - 40%" xfId="34"/>
    <cellStyle name="Accent4 - 60%" xfId="35"/>
    <cellStyle name="Accent5" xfId="36"/>
    <cellStyle name="Accent5 - 20%" xfId="37"/>
    <cellStyle name="Accent5 - 40%" xfId="38"/>
    <cellStyle name="Accent5 - 60%" xfId="39"/>
    <cellStyle name="Accent6" xfId="40"/>
    <cellStyle name="Accent6 - 20%" xfId="41"/>
    <cellStyle name="Accent6 - 40%" xfId="42"/>
    <cellStyle name="Accent6 - 60%" xfId="43"/>
    <cellStyle name="Bad" xfId="44"/>
    <cellStyle name="Calculation" xfId="45"/>
    <cellStyle name="Check Cell" xfId="46"/>
    <cellStyle name="Comma [0] 2" xfId="47"/>
    <cellStyle name="Comma 2" xfId="48"/>
    <cellStyle name="Comma 3" xfId="49"/>
    <cellStyle name="Currency [0] 2" xfId="50"/>
    <cellStyle name="Currency 2" xfId="51"/>
    <cellStyle name="Currency 3" xfId="52"/>
    <cellStyle name="Emphasis 1" xfId="53"/>
    <cellStyle name="Emphasis 2" xfId="54"/>
    <cellStyle name="Emphasis 3" xfId="55"/>
    <cellStyle name="Good" xfId="56"/>
    <cellStyle name="Heading 1" xfId="57"/>
    <cellStyle name="Heading 2" xfId="58"/>
    <cellStyle name="Heading 3" xfId="59"/>
    <cellStyle name="Heading 4" xfId="60"/>
    <cellStyle name="Input" xfId="61"/>
    <cellStyle name="Linked Cell" xfId="62"/>
    <cellStyle name="Neutral" xfId="63"/>
    <cellStyle name="Normal 2" xfId="64"/>
    <cellStyle name="Normal 3" xfId="65"/>
    <cellStyle name="Note" xfId="66"/>
    <cellStyle name="Output" xfId="67"/>
    <cellStyle name="Percent 2" xfId="68"/>
    <cellStyle name="Sheet Title" xfId="69"/>
    <cellStyle name="Total" xfId="70"/>
    <cellStyle name="Warning Text" xfId="71"/>
    <cellStyle name="Hyperlink 2" xfId="72"/>
    <cellStyle name="Bad 2" xfId="73"/>
    <cellStyle name="Followed Hyperlink" xfId="74"/>
    <cellStyle name="Input 2" xfId="75"/>
    <cellStyle name="Normal 2 2" xfId="76"/>
    <cellStyle name="Normal 2 3" xfId="77"/>
    <cellStyle name="Normal 2_Components" xfId="78"/>
    <cellStyle name="Normal 3 2" xfId="79"/>
    <cellStyle name="Normal 3_Components" xfId="80"/>
    <cellStyle name="Normal 4" xfId="81"/>
    <cellStyle name="Normal 5" xfId="82"/>
    <cellStyle name="Normal 6" xfId="83"/>
    <cellStyle name="Normal 7" xfId="84"/>
    <cellStyle name="Normal 8" xfId="85"/>
    <cellStyle name="Normal 3 3" xfId="86"/>
  </cellStyles>
  <dxfs count="5">
    <dxf>
      <fill>
        <patternFill>
          <bgColor rgb="FFFFFF00"/>
        </patternFill>
      </fill>
    </dxf>
    <dxf>
      <fill>
        <patternFill patternType="none"/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openxmlformats.org/officeDocument/2006/relationships/worksheet" Target="worksheets/sheet3.xml" /><Relationship Id="rId4" Type="http://schemas.openxmlformats.org/officeDocument/2006/relationships/worksheet" Target="worksheets/sheet4.xml" /><Relationship Id="rId5" Type="http://schemas.openxmlformats.org/officeDocument/2006/relationships/worksheet" Target="worksheets/sheet5.xml" /><Relationship Id="rId6" Type="http://schemas.openxmlformats.org/officeDocument/2006/relationships/worksheet" Target="worksheets/sheet6.xml" /><Relationship Id="rId7" Type="http://schemas.openxmlformats.org/officeDocument/2006/relationships/worksheet" Target="worksheets/sheet7.xml" /><Relationship Id="rId8" Type="http://schemas.openxmlformats.org/officeDocument/2006/relationships/worksheet" Target="worksheets/sheet8.xml" /><Relationship Id="rId9" Type="http://schemas.openxmlformats.org/officeDocument/2006/relationships/worksheet" Target="worksheets/sheet9.xml" /><Relationship Id="rId10" Type="http://schemas.openxmlformats.org/officeDocument/2006/relationships/worksheet" Target="worksheets/sheet10.xml" /><Relationship Id="rId11" Type="http://schemas.openxmlformats.org/officeDocument/2006/relationships/worksheet" Target="worksheets/sheet11.xml" /><Relationship Id="rId12" Type="http://schemas.openxmlformats.org/officeDocument/2006/relationships/worksheet" Target="worksheets/sheet12.xml" /><Relationship Id="rId13" Type="http://schemas.openxmlformats.org/officeDocument/2006/relationships/worksheet" Target="worksheets/sheet13.xml" /><Relationship Id="rId14" Type="http://schemas.openxmlformats.org/officeDocument/2006/relationships/worksheet" Target="worksheets/sheet14.xml" /><Relationship Id="rId15" Type="http://schemas.openxmlformats.org/officeDocument/2006/relationships/worksheet" Target="worksheets/sheet15.xml" /><Relationship Id="rId16" Type="http://schemas.microsoft.com/office/2006/relationships/vbaProject" Target="vbaProject.bin" /><Relationship Id="rId17" Type="http://schemas.openxmlformats.org/officeDocument/2006/relationships/styles" Target="styles.xml" /><Relationship Id="rId18" Type="http://schemas.openxmlformats.org/officeDocument/2006/relationships/sharedStrings" Target="sharedStrings.xml" /><Relationship Id="rId19" Type="http://schemas.openxmlformats.org/officeDocument/2006/relationships/theme" Target="theme/theme1.xml" /><Relationship Id="rId20" Type="http://schemas.openxmlformats.org/officeDocument/2006/relationships/externalLink" Target="externalLinks/externalLink1.xml" /><Relationship Id="rId21" Type="http://schemas.openxmlformats.org/officeDocument/2006/relationships/externalLink" Target="externalLinks/externalLink2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104774</xdr:colOff>
      <xdr:row>0</xdr:row>
      <xdr:rowOff>114299</xdr:rowOff>
    </xdr:from>
    <xdr:to>
      <xdr:col>4</xdr:col>
      <xdr:colOff>1083945</xdr:colOff>
      <xdr:row>6</xdr:row>
      <xdr:rowOff>135853</xdr:rowOff>
    </xdr:to>
    <xdr:pic>
      <xdr:nvPicPr>
        <xdr:cNvPr id="2" name="Picture 1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104775" y="114300"/>
          <a:ext cx="6048375" cy="1047750"/>
        </a:xfrm>
        <a:prstGeom prst="rect"/>
        <a:ln>
          <a:noFill/>
        </a:ln>
      </xdr:spPr>
    </xdr:pic>
    <xdr:clientData/>
  </xdr:twoCellAnchor>
  <xdr:twoCellAnchor>
    <xdr:from>
      <xdr:col>3</xdr:col>
      <xdr:colOff>15240</xdr:colOff>
      <xdr:row>20</xdr:row>
      <xdr:rowOff>152400</xdr:rowOff>
    </xdr:from>
    <xdr:to>
      <xdr:col>3</xdr:col>
      <xdr:colOff>196850</xdr:colOff>
      <xdr:row>20</xdr:row>
      <xdr:rowOff>152400</xdr:rowOff>
    </xdr:to>
    <xdr:cxnSp macro="">
      <xdr:nvCxnSpPr>
        <xdr:cNvPr id="6" name="Straight Connector 5"/>
        <xdr:cNvCxnSpPr/>
      </xdr:nvCxnSpPr>
      <xdr:spPr bwMode="auto">
        <a:xfrm>
          <a:off x="3457575" y="3467100"/>
          <a:ext cx="180975" cy="0"/>
        </a:xfrm>
        <a:prstGeom prst="line"/>
        <a:ln/>
      </xdr:spPr>
      <xdr:style>
        <a:lnRef idx="1">
          <a:schemeClr val="tx1"/>
        </a:lnRef>
        <a:fillRef idx="0">
          <a:schemeClr val="tx1"/>
        </a:fillRef>
        <a:effectRef idx="0">
          <a:schemeClr val="tx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123825</xdr:colOff>
      <xdr:row>13</xdr:row>
      <xdr:rowOff>38100</xdr:rowOff>
    </xdr:from>
    <xdr:to>
      <xdr:col>2</xdr:col>
      <xdr:colOff>590550</xdr:colOff>
      <xdr:row>15</xdr:row>
      <xdr:rowOff>66675</xdr:rowOff>
    </xdr:to>
    <xdr:cxnSp macro="">
      <xdr:nvCxnSpPr>
        <xdr:cNvPr id="11" name="Straight Arrow Connector 10"/>
        <xdr:cNvCxnSpPr/>
      </xdr:nvCxnSpPr>
      <xdr:spPr bwMode="auto">
        <a:xfrm flipH="1">
          <a:off x="1933575" y="2219325"/>
          <a:ext cx="466725" cy="352425"/>
        </a:xfrm>
        <a:prstGeom prst="straightConnector1"/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tailEnd type="triangle"/>
        </a:ln>
        <a:effectLst/>
      </xdr:spPr>
    </xdr:cxnSp>
    <xdr:clientData/>
  </xdr:twoCellAnchor>
  <xdr:twoCellAnchor>
    <xdr:from>
      <xdr:col>1</xdr:col>
      <xdr:colOff>1314450</xdr:colOff>
      <xdr:row>13</xdr:row>
      <xdr:rowOff>0</xdr:rowOff>
    </xdr:from>
    <xdr:to>
      <xdr:col>2</xdr:col>
      <xdr:colOff>9525</xdr:colOff>
      <xdr:row>13</xdr:row>
      <xdr:rowOff>9525</xdr:rowOff>
    </xdr:to>
    <xdr:cxnSp macro="">
      <xdr:nvCxnSpPr>
        <xdr:cNvPr id="15" name="Straight Connector 14"/>
        <xdr:cNvCxnSpPr/>
      </xdr:nvCxnSpPr>
      <xdr:spPr bwMode="auto">
        <a:xfrm flipH="1" flipV="1">
          <a:off x="1809750" y="2181225"/>
          <a:ext cx="9525" cy="9525"/>
        </a:xfrm>
        <a:prstGeom prst="line"/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</a:ln>
        <a:effectLst/>
      </xdr:spPr>
    </xdr:cxnSp>
    <xdr:clientData/>
  </xdr:twoCellAnchor>
  <xdr:twoCellAnchor>
    <xdr:from>
      <xdr:col>1</xdr:col>
      <xdr:colOff>962025</xdr:colOff>
      <xdr:row>13</xdr:row>
      <xdr:rowOff>9525</xdr:rowOff>
    </xdr:from>
    <xdr:to>
      <xdr:col>2</xdr:col>
      <xdr:colOff>19050</xdr:colOff>
      <xdr:row>13</xdr:row>
      <xdr:rowOff>9525</xdr:rowOff>
    </xdr:to>
    <xdr:cxnSp macro="">
      <xdr:nvCxnSpPr>
        <xdr:cNvPr id="17" name="Straight Connector 16"/>
        <xdr:cNvCxnSpPr/>
      </xdr:nvCxnSpPr>
      <xdr:spPr bwMode="auto">
        <a:xfrm flipH="1">
          <a:off x="1609725" y="2190750"/>
          <a:ext cx="219075" cy="0"/>
        </a:xfrm>
        <a:prstGeom prst="line"/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</a:ln>
        <a:effectLst/>
      </xdr:spPr>
    </xdr:cxnSp>
    <xdr:clientData/>
  </xdr:twoCellAnchor>
  <xdr:twoCellAnchor>
    <xdr:from>
      <xdr:col>3</xdr:col>
      <xdr:colOff>71120</xdr:colOff>
      <xdr:row>20</xdr:row>
      <xdr:rowOff>107950</xdr:rowOff>
    </xdr:from>
    <xdr:to>
      <xdr:col>3</xdr:col>
      <xdr:colOff>196850</xdr:colOff>
      <xdr:row>20</xdr:row>
      <xdr:rowOff>146050</xdr:rowOff>
    </xdr:to>
    <xdr:cxnSp macro="">
      <xdr:nvCxnSpPr>
        <xdr:cNvPr id="21" name="Straight Connector 20"/>
        <xdr:cNvCxnSpPr/>
      </xdr:nvCxnSpPr>
      <xdr:spPr bwMode="auto">
        <a:xfrm flipH="1" flipV="1">
          <a:off x="3505200" y="3419475"/>
          <a:ext cx="133350" cy="38100"/>
        </a:xfrm>
        <a:prstGeom prst="line"/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</a:ln>
        <a:effectLst/>
      </xdr:spPr>
    </xdr:cxnSp>
    <xdr:clientData/>
  </xdr:twoCellAnchor>
  <xdr:twoCellAnchor>
    <xdr:from>
      <xdr:col>2</xdr:col>
      <xdr:colOff>828675</xdr:colOff>
      <xdr:row>13</xdr:row>
      <xdr:rowOff>19050</xdr:rowOff>
    </xdr:from>
    <xdr:to>
      <xdr:col>2</xdr:col>
      <xdr:colOff>1533525</xdr:colOff>
      <xdr:row>15</xdr:row>
      <xdr:rowOff>123825</xdr:rowOff>
    </xdr:to>
    <xdr:cxnSp macro="">
      <xdr:nvCxnSpPr>
        <xdr:cNvPr id="26" name="Straight Arrow Connector 25"/>
        <xdr:cNvCxnSpPr/>
      </xdr:nvCxnSpPr>
      <xdr:spPr bwMode="auto">
        <a:xfrm>
          <a:off x="2638425" y="2200275"/>
          <a:ext cx="704850" cy="428625"/>
        </a:xfrm>
        <a:prstGeom prst="straightConnector1"/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tailEnd type="triangle"/>
        </a:ln>
        <a:effectLst/>
      </xdr:spPr>
    </xdr:cxnSp>
    <xdr:clientData/>
  </xdr:twoCellAnchor>
  <xdr:twoCellAnchor>
    <xdr:from>
      <xdr:col>1</xdr:col>
      <xdr:colOff>0</xdr:colOff>
      <xdr:row>21</xdr:row>
      <xdr:rowOff>9525</xdr:rowOff>
    </xdr:from>
    <xdr:to>
      <xdr:col>1</xdr:col>
      <xdr:colOff>0</xdr:colOff>
      <xdr:row>21</xdr:row>
      <xdr:rowOff>152400</xdr:rowOff>
    </xdr:to>
    <xdr:cxnSp macro="">
      <xdr:nvCxnSpPr>
        <xdr:cNvPr id="28" name="Straight Connector 27"/>
        <xdr:cNvCxnSpPr/>
      </xdr:nvCxnSpPr>
      <xdr:spPr bwMode="auto">
        <a:xfrm>
          <a:off x="647700" y="3486150"/>
          <a:ext cx="0" cy="142875"/>
        </a:xfrm>
        <a:prstGeom prst="line"/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</a:ln>
        <a:effectLst/>
      </xdr:spPr>
    </xdr:cxnSp>
    <xdr:clientData/>
  </xdr:twoCellAnchor>
  <xdr:twoCellAnchor>
    <xdr:from>
      <xdr:col>0</xdr:col>
      <xdr:colOff>621665</xdr:colOff>
      <xdr:row>21</xdr:row>
      <xdr:rowOff>56515</xdr:rowOff>
    </xdr:from>
    <xdr:to>
      <xdr:col>0</xdr:col>
      <xdr:colOff>651510</xdr:colOff>
      <xdr:row>21</xdr:row>
      <xdr:rowOff>154305</xdr:rowOff>
    </xdr:to>
    <xdr:cxnSp macro="">
      <xdr:nvCxnSpPr>
        <xdr:cNvPr id="9" name="Straight Connector 8"/>
        <xdr:cNvCxnSpPr/>
      </xdr:nvCxnSpPr>
      <xdr:spPr bwMode="auto">
        <a:xfrm>
          <a:off x="619125" y="3533775"/>
          <a:ext cx="28575" cy="95250"/>
        </a:xfrm>
        <a:prstGeom prst="line"/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</a:ln>
        <a:effectLst/>
      </xdr:spPr>
    </xdr:cxnSp>
    <xdr:clientData/>
  </xdr:twoCellAnchor>
</xdr:wsDr>
</file>

<file path=xl/externalLinks/_rels/externalLink1.xml.rels><?xml version="1.0" encoding="UTF-8" standalone="yes"?><Relationships xmlns="http://schemas.openxmlformats.org/package/2006/relationships"><Relationship Id="rId1" Type="http://schemas.openxmlformats.org/officeDocument/2006/relationships/externalLinkPath" Target="\Users\Trav.DBAS01TP01\Downloads\20170518.0846_Roller%20Blinds_Job_Sheet_BUZ_Davidson_s_Blinds_Shutters.xlsm" TargetMode="External" /></Relationships>
</file>

<file path=xl/externalLinks/_rels/externalLink2.xml.rels><?xml version="1.0" encoding="UTF-8" standalone="yes"?><Relationships xmlns="http://schemas.openxmlformats.org/package/2006/relationships"><Relationship Id="rId1" Type="http://schemas.openxmlformats.org/officeDocument/2006/relationships/externalLinkPath" Target="\Users\wesleyh.NORFOLKB\Dropbox\BUZ\Customer%20Folders\NorfolkBlinds\XLS\AVEN%20+%20Labels.xlsm" TargetMode="External" 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Data"/>
      <sheetName val="Job Sheet"/>
      <sheetName val="Fabric Cutting"/>
      <sheetName val="Components"/>
      <sheetName val="Labels"/>
      <sheetName val="Deductions"/>
      <sheetName val="Tube Size &amp; Chain Drops"/>
    </sheetNames>
    <sheetDataSet>
      <sheetData sheetId="0" refreshError="1">
        <row r="5">
          <cell r="AX5" t="str">
            <v>15-5</v>
          </cell>
        </row>
        <row r="10">
          <cell r="CE10" t="str">
            <v>OrderItemPkId | Descn</v>
          </cell>
          <cell r="CF10" t="str">
            <v>PkId</v>
          </cell>
          <cell r="CG10" t="str">
            <v>PkId</v>
          </cell>
          <cell r="CH10" t="str">
            <v>OrderItemPkId</v>
          </cell>
          <cell r="CI10" t="str">
            <v>Descn</v>
          </cell>
          <cell r="CJ10" t="str">
            <v>StrValue</v>
          </cell>
        </row>
        <row r="11">
          <cell r="CE11" t="str">
            <v>45c47ff1-e8b2-4d50-a686-ea762a7904f6|DESCN</v>
          </cell>
          <cell r="CF11" t="str">
            <v>786cc107-d532-47a6-b4d9-0ae4920f9619</v>
          </cell>
          <cell r="CG11" t="str">
            <v>786cc107-d532-47a6-b4d9-0ae4920f9619</v>
          </cell>
          <cell r="CH11" t="str">
            <v>45c47ff1-e8b2-4d50-a686-ea762a7904f6</v>
          </cell>
          <cell r="CI11" t="str">
            <v>DESCN</v>
          </cell>
          <cell r="CJ11" t="str">
            <v>Ironing</v>
          </cell>
        </row>
        <row r="12">
          <cell r="CE12" t="str">
            <v>45c47ff1-e8b2-4d50-a686-ea762a7904f6|ITEMWIDTH</v>
          </cell>
          <cell r="CF12" t="str">
            <v>57f418ca-41aa-43b1-aaa0-f004a716e51c</v>
          </cell>
          <cell r="CG12" t="str">
            <v>57f418ca-41aa-43b1-aaa0-f004a716e51c</v>
          </cell>
          <cell r="CH12" t="str">
            <v>45c47ff1-e8b2-4d50-a686-ea762a7904f6</v>
          </cell>
          <cell r="CI12" t="str">
            <v>ITEMWIDTH</v>
          </cell>
          <cell r="CJ12" t="str">
            <v>585</v>
          </cell>
        </row>
        <row r="13">
          <cell r="CE13" t="str">
            <v>45c47ff1-e8b2-4d50-a686-ea762a7904f6|ITEMHEIGHT</v>
          </cell>
          <cell r="CF13" t="str">
            <v>a5957fdc-d2f9-45cb-9517-a6753b9f9f8c</v>
          </cell>
          <cell r="CG13" t="str">
            <v>a5957fdc-d2f9-45cb-9517-a6753b9f9f8c</v>
          </cell>
          <cell r="CH13" t="str">
            <v>45c47ff1-e8b2-4d50-a686-ea762a7904f6</v>
          </cell>
          <cell r="CI13" t="str">
            <v>ITEMHEIGHT</v>
          </cell>
          <cell r="CJ13" t="str">
            <v>1120</v>
          </cell>
        </row>
        <row r="14">
          <cell r="CE14" t="str">
            <v>45c47ff1-e8b2-4d50-a686-ea762a7904f6|SIZE</v>
          </cell>
          <cell r="CF14" t="str">
            <v>704c616f-7424-4eab-9ead-c266799b4b22</v>
          </cell>
          <cell r="CG14" t="str">
            <v>704c616f-7424-4eab-9ead-c266799b4b22</v>
          </cell>
          <cell r="CH14" t="str">
            <v>45c47ff1-e8b2-4d50-a686-ea762a7904f6</v>
          </cell>
          <cell r="CI14" t="str">
            <v>SIZE</v>
          </cell>
          <cell r="CJ14" t="str">
            <v>Opening</v>
          </cell>
        </row>
        <row r="15">
          <cell r="CE15" t="str">
            <v>45c47ff1-e8b2-4d50-a686-ea762a7904f6|FIT</v>
          </cell>
          <cell r="CF15" t="str">
            <v>9d2797bf-5d8d-483c-92ed-51c5b98a2a1a</v>
          </cell>
          <cell r="CG15" t="str">
            <v>9d2797bf-5d8d-483c-92ed-51c5b98a2a1a</v>
          </cell>
          <cell r="CH15" t="str">
            <v>45c47ff1-e8b2-4d50-a686-ea762a7904f6</v>
          </cell>
          <cell r="CI15" t="str">
            <v>FIT</v>
          </cell>
          <cell r="CJ15" t="str">
            <v>Face</v>
          </cell>
        </row>
        <row r="16">
          <cell r="CE16" t="str">
            <v>45c47ff1-e8b2-4d50-a686-ea762a7904f6|FIXING</v>
          </cell>
          <cell r="CF16" t="str">
            <v>f3d7116f-5533-45ff-8f1b-1031ddb00a57</v>
          </cell>
          <cell r="CG16" t="str">
            <v>f3d7116f-5533-45ff-8f1b-1031ddb00a57</v>
          </cell>
          <cell r="CH16" t="str">
            <v>45c47ff1-e8b2-4d50-a686-ea762a7904f6</v>
          </cell>
          <cell r="CI16" t="str">
            <v>FIXING</v>
          </cell>
          <cell r="CJ16" t="str">
            <v>Timber</v>
          </cell>
        </row>
        <row r="17">
          <cell r="CE17" t="str">
            <v>45c47ff1-e8b2-4d50-a686-ea762a7904f6|ITEMDEPTH</v>
          </cell>
          <cell r="CF17" t="str">
            <v>62bada5d-0156-4ad9-8942-fae1744dae6f</v>
          </cell>
          <cell r="CG17" t="str">
            <v>62bada5d-0156-4ad9-8942-fae1744dae6f</v>
          </cell>
          <cell r="CH17" t="str">
            <v>45c47ff1-e8b2-4d50-a686-ea762a7904f6</v>
          </cell>
          <cell r="CI17" t="str">
            <v>ITEMDEPTH</v>
          </cell>
          <cell r="CJ17" t="str">
            <v>D30 Silent Bottom Rail</v>
          </cell>
          <cell r="CK17">
            <v>2.34</v>
          </cell>
        </row>
        <row r="18">
          <cell r="CE18" t="str">
            <v>45c47ff1-e8b2-4d50-a686-ea762a7904f6|RAILCOLOUR</v>
          </cell>
          <cell r="CF18" t="str">
            <v>0fd5e8c0-2436-46a5-a0b3-cdf83d76fe4d</v>
          </cell>
          <cell r="CG18" t="str">
            <v>0fd5e8c0-2436-46a5-a0b3-cdf83d76fe4d</v>
          </cell>
          <cell r="CH18" t="str">
            <v>45c47ff1-e8b2-4d50-a686-ea762a7904f6</v>
          </cell>
          <cell r="CI18" t="str">
            <v>RAILCOLOUR</v>
          </cell>
          <cell r="CJ18" t="str">
            <v>Anodised Silver</v>
          </cell>
        </row>
        <row r="19">
          <cell r="CE19" t="str">
            <v>45c47ff1-e8b2-4d50-a686-ea762a7904f6|CONTROLS</v>
          </cell>
          <cell r="CF19" t="str">
            <v>4106b9a0-ac66-4f83-96b6-99b86106bc35</v>
          </cell>
          <cell r="CG19" t="str">
            <v>4106b9a0-ac66-4f83-96b6-99b86106bc35</v>
          </cell>
          <cell r="CH19" t="str">
            <v>45c47ff1-e8b2-4d50-a686-ea762a7904f6</v>
          </cell>
          <cell r="CI19" t="str">
            <v>CONTROLS</v>
          </cell>
          <cell r="CJ19" t="str">
            <v>Right Chain</v>
          </cell>
        </row>
        <row r="20">
          <cell r="CE20" t="str">
            <v>45c47ff1-e8b2-4d50-a686-ea762a7904f6|CONTROLOPTION</v>
          </cell>
          <cell r="CF20" t="str">
            <v>992e4cd8-0053-42f2-a54f-59634c6c00f3</v>
          </cell>
          <cell r="CG20" t="str">
            <v>992e4cd8-0053-42f2-a54f-59634c6c00f3</v>
          </cell>
          <cell r="CH20" t="str">
            <v>45c47ff1-e8b2-4d50-a686-ea762a7904f6</v>
          </cell>
          <cell r="CI20" t="str">
            <v>CONTROLOPTION</v>
          </cell>
          <cell r="CJ20" t="str">
            <v>Nickel Steel</v>
          </cell>
        </row>
        <row r="21">
          <cell r="CE21" t="str">
            <v>45c47ff1-e8b2-4d50-a686-ea762a7904f6|REVROLL</v>
          </cell>
          <cell r="CF21" t="str">
            <v>407cdc8f-130f-4da9-9f7b-b89bc3a773ad</v>
          </cell>
          <cell r="CG21" t="str">
            <v>407cdc8f-130f-4da9-9f7b-b89bc3a773ad</v>
          </cell>
          <cell r="CH21" t="str">
            <v>45c47ff1-e8b2-4d50-a686-ea762a7904f6</v>
          </cell>
          <cell r="CI21" t="str">
            <v>REVROLL</v>
          </cell>
          <cell r="CJ21" t="str">
            <v>Back</v>
          </cell>
        </row>
        <row r="22">
          <cell r="CE22" t="str">
            <v>45c47ff1-e8b2-4d50-a686-ea762a7904f6|BRACKET</v>
          </cell>
          <cell r="CF22" t="str">
            <v>5b6df1ad-580c-443b-85d7-3d88644185ae</v>
          </cell>
          <cell r="CG22" t="str">
            <v>5b6df1ad-580c-443b-85d7-3d88644185ae</v>
          </cell>
          <cell r="CH22" t="str">
            <v>45c47ff1-e8b2-4d50-a686-ea762a7904f6</v>
          </cell>
          <cell r="CI22" t="str">
            <v>BRACKET</v>
          </cell>
          <cell r="CJ22" t="str">
            <v>Single</v>
          </cell>
        </row>
        <row r="23">
          <cell r="CE23" t="str">
            <v>45c47ff1-e8b2-4d50-a686-ea762a7904f6|BRACKETCOLR</v>
          </cell>
          <cell r="CF23" t="str">
            <v>197f4d57-f74f-4457-87f1-41c3b183bba5</v>
          </cell>
          <cell r="CG23" t="str">
            <v>197f4d57-f74f-4457-87f1-41c3b183bba5</v>
          </cell>
          <cell r="CH23" t="str">
            <v>45c47ff1-e8b2-4d50-a686-ea762a7904f6</v>
          </cell>
          <cell r="CI23" t="str">
            <v>BRACKETCOLR</v>
          </cell>
          <cell r="CJ23" t="str">
            <v>White</v>
          </cell>
        </row>
        <row r="24">
          <cell r="CE24" t="str">
            <v>45c47ff1-e8b2-4d50-a686-ea762a7904f6|SIDEBYSIDE</v>
          </cell>
          <cell r="CF24" t="str">
            <v>565a2c07-ed3a-48bf-b29a-a692c39a5a70</v>
          </cell>
          <cell r="CG24" t="str">
            <v>565a2c07-ed3a-48bf-b29a-a692c39a5a70</v>
          </cell>
          <cell r="CH24" t="str">
            <v>45c47ff1-e8b2-4d50-a686-ea762a7904f6</v>
          </cell>
          <cell r="CI24" t="str">
            <v>SIDEBYSIDE</v>
          </cell>
          <cell r="CJ24" t="str">
            <v>No</v>
          </cell>
        </row>
        <row r="25">
          <cell r="CE25" t="str">
            <v>a599e26c-1b4c-42d8-ba90-20f9b92652ee|DESCN</v>
          </cell>
          <cell r="CF25" t="str">
            <v>bab109f8-17d3-4cfa-85e9-38cc84165d0c</v>
          </cell>
          <cell r="CG25" t="str">
            <v>bab109f8-17d3-4cfa-85e9-38cc84165d0c</v>
          </cell>
          <cell r="CH25" t="str">
            <v>a599e26c-1b4c-42d8-ba90-20f9b92652ee</v>
          </cell>
          <cell r="CI25" t="str">
            <v>DESCN</v>
          </cell>
          <cell r="CJ25" t="str">
            <v>Toni</v>
          </cell>
        </row>
        <row r="26">
          <cell r="CE26" t="str">
            <v>a599e26c-1b4c-42d8-ba90-20f9b92652ee|ITEMWIDTH</v>
          </cell>
          <cell r="CF26" t="str">
            <v>daadb425-8f78-4e3f-9cb8-bef41a346222</v>
          </cell>
          <cell r="CG26" t="str">
            <v>daadb425-8f78-4e3f-9cb8-bef41a346222</v>
          </cell>
          <cell r="CH26" t="str">
            <v>a599e26c-1b4c-42d8-ba90-20f9b92652ee</v>
          </cell>
          <cell r="CI26" t="str">
            <v>ITEMWIDTH</v>
          </cell>
          <cell r="CJ26" t="str">
            <v>2223</v>
          </cell>
        </row>
        <row r="27">
          <cell r="CE27" t="str">
            <v>a599e26c-1b4c-42d8-ba90-20f9b92652ee|ITEMHEIGHT</v>
          </cell>
          <cell r="CF27" t="str">
            <v>c6c5b1a4-6fc4-4b63-820f-f46fce6a47da</v>
          </cell>
          <cell r="CG27" t="str">
            <v>c6c5b1a4-6fc4-4b63-820f-f46fce6a47da</v>
          </cell>
          <cell r="CH27" t="str">
            <v>a599e26c-1b4c-42d8-ba90-20f9b92652ee</v>
          </cell>
          <cell r="CI27" t="str">
            <v>ITEMHEIGHT</v>
          </cell>
          <cell r="CJ27" t="str">
            <v>2280</v>
          </cell>
        </row>
        <row r="28">
          <cell r="CE28" t="str">
            <v>a599e26c-1b4c-42d8-ba90-20f9b92652ee|SIZE</v>
          </cell>
          <cell r="CF28" t="str">
            <v>c729c28a-b220-401e-a376-97543ff31221</v>
          </cell>
          <cell r="CG28" t="str">
            <v>c729c28a-b220-401e-a376-97543ff31221</v>
          </cell>
          <cell r="CH28" t="str">
            <v>a599e26c-1b4c-42d8-ba90-20f9b92652ee</v>
          </cell>
          <cell r="CI28" t="str">
            <v>SIZE</v>
          </cell>
          <cell r="CJ28" t="str">
            <v>Opening</v>
          </cell>
        </row>
        <row r="29">
          <cell r="CE29" t="str">
            <v>a599e26c-1b4c-42d8-ba90-20f9b92652ee|FIT</v>
          </cell>
          <cell r="CF29" t="str">
            <v>07db19c5-4ab8-4922-8ff6-96235334ce42</v>
          </cell>
          <cell r="CG29" t="str">
            <v>07db19c5-4ab8-4922-8ff6-96235334ce42</v>
          </cell>
          <cell r="CH29" t="str">
            <v>a599e26c-1b4c-42d8-ba90-20f9b92652ee</v>
          </cell>
          <cell r="CI29" t="str">
            <v>FIT</v>
          </cell>
          <cell r="CJ29" t="str">
            <v>Face</v>
          </cell>
        </row>
        <row r="30">
          <cell r="CE30" t="str">
            <v>a599e26c-1b4c-42d8-ba90-20f9b92652ee|FIXING</v>
          </cell>
          <cell r="CF30" t="str">
            <v>77b41c7a-4aae-4a09-8c05-1f9a19b978d9</v>
          </cell>
          <cell r="CG30" t="str">
            <v>77b41c7a-4aae-4a09-8c05-1f9a19b978d9</v>
          </cell>
          <cell r="CH30" t="str">
            <v>a599e26c-1b4c-42d8-ba90-20f9b92652ee</v>
          </cell>
          <cell r="CI30" t="str">
            <v>FIXING</v>
          </cell>
          <cell r="CJ30" t="str">
            <v>Timber</v>
          </cell>
        </row>
        <row r="31">
          <cell r="CE31" t="str">
            <v>a599e26c-1b4c-42d8-ba90-20f9b92652ee|ITEMDEPTH</v>
          </cell>
          <cell r="CF31" t="str">
            <v>86d755fd-ff8f-4f42-86bf-53e84b54020d</v>
          </cell>
          <cell r="CG31" t="str">
            <v>86d755fd-ff8f-4f42-86bf-53e84b54020d</v>
          </cell>
          <cell r="CH31" t="str">
            <v>a599e26c-1b4c-42d8-ba90-20f9b92652ee</v>
          </cell>
          <cell r="CI31" t="str">
            <v>ITEMDEPTH</v>
          </cell>
          <cell r="CJ31" t="str">
            <v>D30 Silent Bottom Rail</v>
          </cell>
          <cell r="CK31">
            <v>8.892</v>
          </cell>
        </row>
        <row r="32">
          <cell r="CE32" t="str">
            <v>a599e26c-1b4c-42d8-ba90-20f9b92652ee|RAILCOLOUR</v>
          </cell>
          <cell r="CF32" t="str">
            <v>3abc2c6f-3a52-43e1-85d1-6cce5a75dd0c</v>
          </cell>
          <cell r="CG32" t="str">
            <v>3abc2c6f-3a52-43e1-85d1-6cce5a75dd0c</v>
          </cell>
          <cell r="CH32" t="str">
            <v>a599e26c-1b4c-42d8-ba90-20f9b92652ee</v>
          </cell>
          <cell r="CI32" t="str">
            <v>RAILCOLOUR</v>
          </cell>
          <cell r="CJ32" t="str">
            <v>Anodised Silver</v>
          </cell>
        </row>
        <row r="33">
          <cell r="CE33" t="str">
            <v>a599e26c-1b4c-42d8-ba90-20f9b92652ee|CONTROLS</v>
          </cell>
          <cell r="CF33" t="str">
            <v>fa16b9ad-3319-440e-9ab3-39a2be85f326</v>
          </cell>
          <cell r="CG33" t="str">
            <v>fa16b9ad-3319-440e-9ab3-39a2be85f326</v>
          </cell>
          <cell r="CH33" t="str">
            <v>a599e26c-1b4c-42d8-ba90-20f9b92652ee</v>
          </cell>
          <cell r="CI33" t="str">
            <v>CONTROLS</v>
          </cell>
          <cell r="CJ33" t="str">
            <v>Right Chain</v>
          </cell>
        </row>
        <row r="34">
          <cell r="CE34" t="str">
            <v>a599e26c-1b4c-42d8-ba90-20f9b92652ee|CONTROLOPTION</v>
          </cell>
          <cell r="CF34" t="str">
            <v>09cf22fd-1b95-40eb-ac7c-7db0b23abca7</v>
          </cell>
          <cell r="CG34" t="str">
            <v>09cf22fd-1b95-40eb-ac7c-7db0b23abca7</v>
          </cell>
          <cell r="CH34" t="str">
            <v>a599e26c-1b4c-42d8-ba90-20f9b92652ee</v>
          </cell>
          <cell r="CI34" t="str">
            <v>CONTROLOPTION</v>
          </cell>
          <cell r="CJ34" t="str">
            <v>Nickel Steel</v>
          </cell>
        </row>
        <row r="35">
          <cell r="CE35" t="str">
            <v>a599e26c-1b4c-42d8-ba90-20f9b92652ee|REVROLL</v>
          </cell>
          <cell r="CF35" t="str">
            <v>85a9a5bb-bb82-4bab-b9d2-981ddc54c56e</v>
          </cell>
          <cell r="CG35" t="str">
            <v>85a9a5bb-bb82-4bab-b9d2-981ddc54c56e</v>
          </cell>
          <cell r="CH35" t="str">
            <v>a599e26c-1b4c-42d8-ba90-20f9b92652ee</v>
          </cell>
          <cell r="CI35" t="str">
            <v>REVROLL</v>
          </cell>
          <cell r="CJ35" t="str">
            <v>Front</v>
          </cell>
        </row>
        <row r="36">
          <cell r="CE36" t="str">
            <v>a599e26c-1b4c-42d8-ba90-20f9b92652ee|BRACKET</v>
          </cell>
          <cell r="CF36" t="str">
            <v>58d15b3e-0496-4360-b2f1-3f573e84bdfc</v>
          </cell>
          <cell r="CG36" t="str">
            <v>58d15b3e-0496-4360-b2f1-3f573e84bdfc</v>
          </cell>
          <cell r="CH36" t="str">
            <v>a599e26c-1b4c-42d8-ba90-20f9b92652ee</v>
          </cell>
          <cell r="CI36" t="str">
            <v>BRACKET</v>
          </cell>
          <cell r="CJ36" t="str">
            <v>Single</v>
          </cell>
        </row>
        <row r="37">
          <cell r="CE37" t="str">
            <v>a599e26c-1b4c-42d8-ba90-20f9b92652ee|BRACKETCOLR</v>
          </cell>
          <cell r="CF37" t="str">
            <v>83589bfd-34d8-4185-b245-1877642acfa7</v>
          </cell>
          <cell r="CG37" t="str">
            <v>83589bfd-34d8-4185-b245-1877642acfa7</v>
          </cell>
          <cell r="CH37" t="str">
            <v>a599e26c-1b4c-42d8-ba90-20f9b92652ee</v>
          </cell>
          <cell r="CI37" t="str">
            <v>BRACKETCOLR</v>
          </cell>
          <cell r="CJ37" t="str">
            <v>White</v>
          </cell>
        </row>
        <row r="38">
          <cell r="CE38" t="str">
            <v>a599e26c-1b4c-42d8-ba90-20f9b92652ee|SIDEBYSIDE</v>
          </cell>
          <cell r="CF38" t="str">
            <v>8994fbdc-82b0-404a-91c9-ccbbb7019b2d</v>
          </cell>
          <cell r="CG38" t="str">
            <v>8994fbdc-82b0-404a-91c9-ccbbb7019b2d</v>
          </cell>
          <cell r="CH38" t="str">
            <v>a599e26c-1b4c-42d8-ba90-20f9b92652ee</v>
          </cell>
          <cell r="CI38" t="str">
            <v>SIDEBYSIDE</v>
          </cell>
          <cell r="CJ38" t="str">
            <v>No</v>
          </cell>
        </row>
        <row r="39">
          <cell r="CE39" t="str">
            <v>c4c98a7f-af79-4874-8d7c-ea16893e4a2d|DESCN</v>
          </cell>
          <cell r="CF39" t="str">
            <v>511fd9f8-b743-4b9d-a690-45c13af5c312</v>
          </cell>
          <cell r="CG39" t="str">
            <v>511fd9f8-b743-4b9d-a690-45c13af5c312</v>
          </cell>
          <cell r="CH39" t="str">
            <v>c4c98a7f-af79-4874-8d7c-ea16893e4a2d</v>
          </cell>
          <cell r="CI39" t="str">
            <v>DESCN</v>
          </cell>
          <cell r="CJ39" t="str">
            <v>Toni</v>
          </cell>
        </row>
        <row r="40">
          <cell r="CE40" t="str">
            <v>c4c98a7f-af79-4874-8d7c-ea16893e4a2d|ITEMWIDTH</v>
          </cell>
          <cell r="CF40" t="str">
            <v>020f645a-e2b2-4be7-90bf-ebc3dc8ec7a2</v>
          </cell>
          <cell r="CG40" t="str">
            <v>020f645a-e2b2-4be7-90bf-ebc3dc8ec7a2</v>
          </cell>
          <cell r="CH40" t="str">
            <v>c4c98a7f-af79-4874-8d7c-ea16893e4a2d</v>
          </cell>
          <cell r="CI40" t="str">
            <v>ITEMWIDTH</v>
          </cell>
          <cell r="CJ40" t="str">
            <v>1250</v>
          </cell>
        </row>
        <row r="41">
          <cell r="CE41" t="str">
            <v>c4c98a7f-af79-4874-8d7c-ea16893e4a2d|ITEMHEIGHT</v>
          </cell>
          <cell r="CF41" t="str">
            <v>681183fc-7df5-432a-99a9-f9f4b8bc9c6e</v>
          </cell>
          <cell r="CG41" t="str">
            <v>681183fc-7df5-432a-99a9-f9f4b8bc9c6e</v>
          </cell>
          <cell r="CH41" t="str">
            <v>c4c98a7f-af79-4874-8d7c-ea16893e4a2d</v>
          </cell>
          <cell r="CI41" t="str">
            <v>ITEMHEIGHT</v>
          </cell>
          <cell r="CJ41" t="str">
            <v>1370</v>
          </cell>
        </row>
        <row r="42">
          <cell r="CE42" t="str">
            <v>c4c98a7f-af79-4874-8d7c-ea16893e4a2d|SIZE</v>
          </cell>
          <cell r="CF42" t="str">
            <v>47e5707e-f2f4-4c8a-beb8-33135da15241</v>
          </cell>
          <cell r="CG42" t="str">
            <v>47e5707e-f2f4-4c8a-beb8-33135da15241</v>
          </cell>
          <cell r="CH42" t="str">
            <v>c4c98a7f-af79-4874-8d7c-ea16893e4a2d</v>
          </cell>
          <cell r="CI42" t="str">
            <v>SIZE</v>
          </cell>
          <cell r="CJ42" t="str">
            <v>Opening</v>
          </cell>
        </row>
        <row r="43">
          <cell r="CE43" t="str">
            <v>c4c98a7f-af79-4874-8d7c-ea16893e4a2d|FIT</v>
          </cell>
          <cell r="CF43" t="str">
            <v>f8029378-05fb-4ff3-b89c-ae9399245273</v>
          </cell>
          <cell r="CG43" t="str">
            <v>f8029378-05fb-4ff3-b89c-ae9399245273</v>
          </cell>
          <cell r="CH43" t="str">
            <v>c4c98a7f-af79-4874-8d7c-ea16893e4a2d</v>
          </cell>
          <cell r="CI43" t="str">
            <v>FIT</v>
          </cell>
          <cell r="CJ43" t="str">
            <v>Face</v>
          </cell>
        </row>
        <row r="44">
          <cell r="CE44" t="str">
            <v>c4c98a7f-af79-4874-8d7c-ea16893e4a2d|FIXING</v>
          </cell>
          <cell r="CF44" t="str">
            <v>fece09ef-042f-4fa6-bcb1-f0d0f2fb2a1f</v>
          </cell>
          <cell r="CG44" t="str">
            <v>fece09ef-042f-4fa6-bcb1-f0d0f2fb2a1f</v>
          </cell>
          <cell r="CH44" t="str">
            <v>c4c98a7f-af79-4874-8d7c-ea16893e4a2d</v>
          </cell>
          <cell r="CI44" t="str">
            <v>FIXING</v>
          </cell>
          <cell r="CJ44" t="str">
            <v>Timber</v>
          </cell>
        </row>
        <row r="45">
          <cell r="CE45" t="str">
            <v>c4c98a7f-af79-4874-8d7c-ea16893e4a2d|ITEMDEPTH</v>
          </cell>
          <cell r="CF45" t="str">
            <v>f74d1754-02ff-4d6e-a264-3cb2aecc7a77</v>
          </cell>
          <cell r="CG45" t="str">
            <v>f74d1754-02ff-4d6e-a264-3cb2aecc7a77</v>
          </cell>
          <cell r="CH45" t="str">
            <v>c4c98a7f-af79-4874-8d7c-ea16893e4a2d</v>
          </cell>
          <cell r="CI45" t="str">
            <v>ITEMDEPTH</v>
          </cell>
          <cell r="CJ45" t="str">
            <v>D30 Silent Bottom Rail</v>
          </cell>
          <cell r="CK45">
            <v>5</v>
          </cell>
        </row>
        <row r="46">
          <cell r="CE46" t="str">
            <v>c4c98a7f-af79-4874-8d7c-ea16893e4a2d|RAILCOLOUR</v>
          </cell>
          <cell r="CF46" t="str">
            <v>307cc086-37f6-499e-a486-4d646e56b01d</v>
          </cell>
          <cell r="CG46" t="str">
            <v>307cc086-37f6-499e-a486-4d646e56b01d</v>
          </cell>
          <cell r="CH46" t="str">
            <v>c4c98a7f-af79-4874-8d7c-ea16893e4a2d</v>
          </cell>
          <cell r="CI46" t="str">
            <v>RAILCOLOUR</v>
          </cell>
          <cell r="CJ46" t="str">
            <v>Anodised Silver</v>
          </cell>
        </row>
        <row r="47">
          <cell r="CE47" t="str">
            <v>c4c98a7f-af79-4874-8d7c-ea16893e4a2d|CONTROLS</v>
          </cell>
          <cell r="CF47" t="str">
            <v>4d86bb74-3762-4085-acb0-fd8cedd7ed36</v>
          </cell>
          <cell r="CG47" t="str">
            <v>4d86bb74-3762-4085-acb0-fd8cedd7ed36</v>
          </cell>
          <cell r="CH47" t="str">
            <v>c4c98a7f-af79-4874-8d7c-ea16893e4a2d</v>
          </cell>
          <cell r="CI47" t="str">
            <v>CONTROLS</v>
          </cell>
          <cell r="CJ47" t="str">
            <v>Right Chain</v>
          </cell>
        </row>
        <row r="48">
          <cell r="CE48" t="str">
            <v>c4c98a7f-af79-4874-8d7c-ea16893e4a2d|CONTROLOPTION</v>
          </cell>
          <cell r="CF48" t="str">
            <v>db963e3f-eda1-4972-8c40-b59dd40e56e4</v>
          </cell>
          <cell r="CG48" t="str">
            <v>db963e3f-eda1-4972-8c40-b59dd40e56e4</v>
          </cell>
          <cell r="CH48" t="str">
            <v>c4c98a7f-af79-4874-8d7c-ea16893e4a2d</v>
          </cell>
          <cell r="CI48" t="str">
            <v>CONTROLOPTION</v>
          </cell>
          <cell r="CJ48" t="str">
            <v>Nickel Steel</v>
          </cell>
        </row>
        <row r="49">
          <cell r="CE49" t="str">
            <v>c4c98a7f-af79-4874-8d7c-ea16893e4a2d|REVROLL</v>
          </cell>
          <cell r="CF49" t="str">
            <v>f915694b-400d-4217-8f2f-712e03101a9b</v>
          </cell>
          <cell r="CG49" t="str">
            <v>f915694b-400d-4217-8f2f-712e03101a9b</v>
          </cell>
          <cell r="CH49" t="str">
            <v>c4c98a7f-af79-4874-8d7c-ea16893e4a2d</v>
          </cell>
          <cell r="CI49" t="str">
            <v>REVROLL</v>
          </cell>
          <cell r="CJ49" t="str">
            <v>Front</v>
          </cell>
        </row>
        <row r="50">
          <cell r="CE50" t="str">
            <v>c4c98a7f-af79-4874-8d7c-ea16893e4a2d|BRACKET</v>
          </cell>
          <cell r="CF50" t="str">
            <v>47e07f44-f650-44b9-b594-9108b7fdecb8</v>
          </cell>
          <cell r="CG50" t="str">
            <v>47e07f44-f650-44b9-b594-9108b7fdecb8</v>
          </cell>
          <cell r="CH50" t="str">
            <v>c4c98a7f-af79-4874-8d7c-ea16893e4a2d</v>
          </cell>
          <cell r="CI50" t="str">
            <v>BRACKET</v>
          </cell>
          <cell r="CJ50" t="str">
            <v>Single</v>
          </cell>
        </row>
        <row r="51">
          <cell r="CE51" t="str">
            <v>c4c98a7f-af79-4874-8d7c-ea16893e4a2d|BRACKETCOLR</v>
          </cell>
          <cell r="CF51" t="str">
            <v>797167e6-aa57-4ec7-8d0e-5606f6c32e6c</v>
          </cell>
          <cell r="CG51" t="str">
            <v>797167e6-aa57-4ec7-8d0e-5606f6c32e6c</v>
          </cell>
          <cell r="CH51" t="str">
            <v>c4c98a7f-af79-4874-8d7c-ea16893e4a2d</v>
          </cell>
          <cell r="CI51" t="str">
            <v>BRACKETCOLR</v>
          </cell>
          <cell r="CJ51" t="str">
            <v>White</v>
          </cell>
        </row>
        <row r="52">
          <cell r="CE52" t="str">
            <v>c4c98a7f-af79-4874-8d7c-ea16893e4a2d|SIDEBYSIDE</v>
          </cell>
          <cell r="CF52" t="str">
            <v>d91f3e39-a80b-4c57-b177-6398d24056d8</v>
          </cell>
          <cell r="CG52" t="str">
            <v>d91f3e39-a80b-4c57-b177-6398d24056d8</v>
          </cell>
          <cell r="CH52" t="str">
            <v>c4c98a7f-af79-4874-8d7c-ea16893e4a2d</v>
          </cell>
          <cell r="CI52" t="str">
            <v>SIDEBYSIDE</v>
          </cell>
          <cell r="CJ52" t="str">
            <v>No</v>
          </cell>
        </row>
        <row r="53">
          <cell r="CE53" t="str">
            <v>4f2ee277-d173-49cb-95a8-a336ba4e498c|DESCN</v>
          </cell>
          <cell r="CF53" t="str">
            <v>ceec0806-e497-4af5-b710-8243a06c3e8d</v>
          </cell>
          <cell r="CG53" t="str">
            <v>ceec0806-e497-4af5-b710-8243a06c3e8d</v>
          </cell>
          <cell r="CH53" t="str">
            <v>4f2ee277-d173-49cb-95a8-a336ba4e498c</v>
          </cell>
          <cell r="CI53" t="str">
            <v>DESCN</v>
          </cell>
          <cell r="CJ53" t="str">
            <v>spare</v>
          </cell>
        </row>
        <row r="54">
          <cell r="CE54" t="str">
            <v>4f2ee277-d173-49cb-95a8-a336ba4e498c|ITEMWIDTH</v>
          </cell>
          <cell r="CF54" t="str">
            <v>c671a3bd-7333-411d-9742-a2f6a65debc2</v>
          </cell>
          <cell r="CG54" t="str">
            <v>c671a3bd-7333-411d-9742-a2f6a65debc2</v>
          </cell>
          <cell r="CH54" t="str">
            <v>4f2ee277-d173-49cb-95a8-a336ba4e498c</v>
          </cell>
          <cell r="CI54" t="str">
            <v>ITEMWIDTH</v>
          </cell>
          <cell r="CJ54" t="str">
            <v>1045</v>
          </cell>
        </row>
        <row r="55">
          <cell r="CE55" t="str">
            <v>4f2ee277-d173-49cb-95a8-a336ba4e498c|ITEMHEIGHT</v>
          </cell>
          <cell r="CF55" t="str">
            <v>b226190e-7b26-4014-9c14-02476ecf8ef2</v>
          </cell>
          <cell r="CG55" t="str">
            <v>b226190e-7b26-4014-9c14-02476ecf8ef2</v>
          </cell>
          <cell r="CH55" t="str">
            <v>4f2ee277-d173-49cb-95a8-a336ba4e498c</v>
          </cell>
          <cell r="CI55" t="str">
            <v>ITEMHEIGHT</v>
          </cell>
          <cell r="CJ55" t="str">
            <v>1265</v>
          </cell>
        </row>
        <row r="56">
          <cell r="CE56" t="str">
            <v>4f2ee277-d173-49cb-95a8-a336ba4e498c|SIZE</v>
          </cell>
          <cell r="CF56" t="str">
            <v>3ae9c2a7-60b0-47dc-84f6-ae58e7a7a128</v>
          </cell>
          <cell r="CG56" t="str">
            <v>3ae9c2a7-60b0-47dc-84f6-ae58e7a7a128</v>
          </cell>
          <cell r="CH56" t="str">
            <v>4f2ee277-d173-49cb-95a8-a336ba4e498c</v>
          </cell>
          <cell r="CI56" t="str">
            <v>SIZE</v>
          </cell>
          <cell r="CJ56" t="str">
            <v>Opening</v>
          </cell>
        </row>
        <row r="57">
          <cell r="CE57" t="str">
            <v>4f2ee277-d173-49cb-95a8-a336ba4e498c|FIT</v>
          </cell>
          <cell r="CF57" t="str">
            <v>8f127498-e934-4194-8fae-0092455e03ab</v>
          </cell>
          <cell r="CG57" t="str">
            <v>8f127498-e934-4194-8fae-0092455e03ab</v>
          </cell>
          <cell r="CH57" t="str">
            <v>4f2ee277-d173-49cb-95a8-a336ba4e498c</v>
          </cell>
          <cell r="CI57" t="str">
            <v>FIT</v>
          </cell>
          <cell r="CJ57" t="str">
            <v>Face</v>
          </cell>
        </row>
        <row r="58">
          <cell r="CE58" t="str">
            <v>4f2ee277-d173-49cb-95a8-a336ba4e498c|FIXING</v>
          </cell>
          <cell r="CF58" t="str">
            <v>2e263c08-1857-45d3-b9e6-b627b64f848f</v>
          </cell>
          <cell r="CG58" t="str">
            <v>2e263c08-1857-45d3-b9e6-b627b64f848f</v>
          </cell>
          <cell r="CH58" t="str">
            <v>4f2ee277-d173-49cb-95a8-a336ba4e498c</v>
          </cell>
          <cell r="CI58" t="str">
            <v>FIXING</v>
          </cell>
          <cell r="CJ58" t="str">
            <v>Timber</v>
          </cell>
        </row>
        <row r="59">
          <cell r="CE59" t="str">
            <v>4f2ee277-d173-49cb-95a8-a336ba4e498c|ITEMDEPTH</v>
          </cell>
          <cell r="CF59" t="str">
            <v>6fa5079a-4ad7-4710-b26e-b1920921db7f</v>
          </cell>
          <cell r="CG59" t="str">
            <v>6fa5079a-4ad7-4710-b26e-b1920921db7f</v>
          </cell>
          <cell r="CH59" t="str">
            <v>4f2ee277-d173-49cb-95a8-a336ba4e498c</v>
          </cell>
          <cell r="CI59" t="str">
            <v>ITEMDEPTH</v>
          </cell>
          <cell r="CJ59" t="str">
            <v>D30 Silent Bottom Rail</v>
          </cell>
          <cell r="CK59">
            <v>4.18</v>
          </cell>
        </row>
        <row r="60">
          <cell r="CE60" t="str">
            <v>4f2ee277-d173-49cb-95a8-a336ba4e498c|RAILCOLOUR</v>
          </cell>
          <cell r="CF60" t="str">
            <v>936c7125-329c-4f31-a8a7-c05f9f5c5b04</v>
          </cell>
          <cell r="CG60" t="str">
            <v>936c7125-329c-4f31-a8a7-c05f9f5c5b04</v>
          </cell>
          <cell r="CH60" t="str">
            <v>4f2ee277-d173-49cb-95a8-a336ba4e498c</v>
          </cell>
          <cell r="CI60" t="str">
            <v>RAILCOLOUR</v>
          </cell>
          <cell r="CJ60" t="str">
            <v>Anodised Silver</v>
          </cell>
        </row>
        <row r="61">
          <cell r="CE61" t="str">
            <v>4f2ee277-d173-49cb-95a8-a336ba4e498c|CONTROLS</v>
          </cell>
          <cell r="CF61" t="str">
            <v>779ab7a4-20fe-4381-a2f5-60f85f278502</v>
          </cell>
          <cell r="CG61" t="str">
            <v>779ab7a4-20fe-4381-a2f5-60f85f278502</v>
          </cell>
          <cell r="CH61" t="str">
            <v>4f2ee277-d173-49cb-95a8-a336ba4e498c</v>
          </cell>
          <cell r="CI61" t="str">
            <v>CONTROLS</v>
          </cell>
          <cell r="CJ61" t="str">
            <v>Left Chain</v>
          </cell>
        </row>
        <row r="62">
          <cell r="CE62" t="str">
            <v>4f2ee277-d173-49cb-95a8-a336ba4e498c|CONTROLOPTION</v>
          </cell>
          <cell r="CF62" t="str">
            <v>43ba6ec2-783c-4f54-ac6d-3c62a643d03c</v>
          </cell>
          <cell r="CG62" t="str">
            <v>43ba6ec2-783c-4f54-ac6d-3c62a643d03c</v>
          </cell>
          <cell r="CH62" t="str">
            <v>4f2ee277-d173-49cb-95a8-a336ba4e498c</v>
          </cell>
          <cell r="CI62" t="str">
            <v>CONTROLOPTION</v>
          </cell>
          <cell r="CJ62" t="str">
            <v>Nickel Steel</v>
          </cell>
        </row>
        <row r="63">
          <cell r="CE63" t="str">
            <v>4f2ee277-d173-49cb-95a8-a336ba4e498c|REVROLL</v>
          </cell>
          <cell r="CF63" t="str">
            <v>c5253016-3134-4c13-96e4-a7c23f1a86f4</v>
          </cell>
          <cell r="CG63" t="str">
            <v>c5253016-3134-4c13-96e4-a7c23f1a86f4</v>
          </cell>
          <cell r="CH63" t="str">
            <v>4f2ee277-d173-49cb-95a8-a336ba4e498c</v>
          </cell>
          <cell r="CI63" t="str">
            <v>REVROLL</v>
          </cell>
          <cell r="CJ63" t="str">
            <v>Back</v>
          </cell>
        </row>
        <row r="64">
          <cell r="CE64" t="str">
            <v>4f2ee277-d173-49cb-95a8-a336ba4e498c|BRACKET</v>
          </cell>
          <cell r="CF64" t="str">
            <v>91802ae3-30fe-4215-a171-43fe6d9a60ea</v>
          </cell>
          <cell r="CG64" t="str">
            <v>91802ae3-30fe-4215-a171-43fe6d9a60ea</v>
          </cell>
          <cell r="CH64" t="str">
            <v>4f2ee277-d173-49cb-95a8-a336ba4e498c</v>
          </cell>
          <cell r="CI64" t="str">
            <v>BRACKET</v>
          </cell>
          <cell r="CJ64" t="str">
            <v>Single</v>
          </cell>
        </row>
        <row r="65">
          <cell r="CE65" t="str">
            <v>4f2ee277-d173-49cb-95a8-a336ba4e498c|BRACKETCOLR</v>
          </cell>
          <cell r="CF65" t="str">
            <v>27fb50d5-1cf9-4fe3-ba7e-927eba8fde2a</v>
          </cell>
          <cell r="CG65" t="str">
            <v>27fb50d5-1cf9-4fe3-ba7e-927eba8fde2a</v>
          </cell>
          <cell r="CH65" t="str">
            <v>4f2ee277-d173-49cb-95a8-a336ba4e498c</v>
          </cell>
          <cell r="CI65" t="str">
            <v>BRACKETCOLR</v>
          </cell>
          <cell r="CJ65" t="str">
            <v>White</v>
          </cell>
        </row>
        <row r="66">
          <cell r="CE66" t="str">
            <v>4f2ee277-d173-49cb-95a8-a336ba4e498c|SIDEBYSIDE</v>
          </cell>
          <cell r="CF66" t="str">
            <v>7f7eda9a-0798-44cf-be1a-7ad34d1a9c97</v>
          </cell>
          <cell r="CG66" t="str">
            <v>7f7eda9a-0798-44cf-be1a-7ad34d1a9c97</v>
          </cell>
          <cell r="CH66" t="str">
            <v>4f2ee277-d173-49cb-95a8-a336ba4e498c</v>
          </cell>
          <cell r="CI66" t="str">
            <v>SIDEBYSIDE</v>
          </cell>
          <cell r="CJ66" t="str">
            <v>No</v>
          </cell>
        </row>
        <row r="67">
          <cell r="CE67" t="str">
            <v>|CHECKMEAS</v>
          </cell>
          <cell r="CF67" t="str">
            <v>6083a8a8-9b96-49e6-bff4-9bc9bbe2b34b</v>
          </cell>
          <cell r="CG67" t="str">
            <v>6083a8a8-9b96-49e6-bff4-9bc9bbe2b34b</v>
          </cell>
          <cell r="CH67" t="str">
            <v>Extras</v>
          </cell>
          <cell r="CI67" t="str">
            <v>CHECKMEAS</v>
          </cell>
          <cell r="CJ67" t="str">
            <v>No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>
        <row r="1">
          <cell r="A1" t="str">
            <v>Sizes</v>
          </cell>
          <cell r="B1" t="str">
            <v>Deduction</v>
          </cell>
          <cell r="C1" t="str">
            <v>Fit</v>
          </cell>
          <cell r="D1" t="str">
            <v>Deduction</v>
          </cell>
          <cell r="E1" t="str">
            <v>Controls</v>
          </cell>
          <cell r="F1" t="str">
            <v>Deduction</v>
          </cell>
          <cell r="I1" t="str">
            <v>Side by Side</v>
          </cell>
          <cell r="J1" t="str">
            <v>Deduction</v>
          </cell>
          <cell r="K1" t="str">
            <v>Pelmet Type</v>
          </cell>
          <cell r="L1" t="str">
            <v>Deduction</v>
          </cell>
        </row>
        <row r="2">
          <cell r="A2" t="str">
            <v>Opening</v>
          </cell>
          <cell r="B2">
            <v>0</v>
          </cell>
          <cell r="C2" t="str">
            <v>Face</v>
          </cell>
          <cell r="D2">
            <v>0</v>
          </cell>
          <cell r="E2" t="str">
            <v>Right Chain</v>
          </cell>
          <cell r="F2">
            <v>29</v>
          </cell>
          <cell r="I2" t="str">
            <v>No</v>
          </cell>
          <cell r="J2">
            <v>0</v>
          </cell>
          <cell r="K2" t="str">
            <v>150mm Matching Upholstered Pelmet Face</v>
          </cell>
          <cell r="L2">
            <v>0</v>
          </cell>
        </row>
        <row r="3">
          <cell r="A3" t="str">
            <v>Cloth</v>
          </cell>
          <cell r="B3">
            <v>-31</v>
          </cell>
          <cell r="C3" t="str">
            <v>Reveal</v>
          </cell>
          <cell r="D3">
            <v>3</v>
          </cell>
          <cell r="E3" t="str">
            <v>Left Chain</v>
          </cell>
          <cell r="F3">
            <v>29</v>
          </cell>
          <cell r="I3" t="str">
            <v>Yes</v>
          </cell>
          <cell r="J3">
            <v>1</v>
          </cell>
          <cell r="K3" t="str">
            <v>200mm Matching Upholstered Pelmet Face</v>
          </cell>
          <cell r="L3">
            <v>0</v>
          </cell>
        </row>
        <row r="4">
          <cell r="E4" t="str">
            <v>Spring</v>
          </cell>
          <cell r="F4">
            <v>29</v>
          </cell>
          <cell r="K4" t="str">
            <v>Aluminium Pelmet - Anodised</v>
          </cell>
          <cell r="L4">
            <v>6</v>
          </cell>
        </row>
        <row r="5">
          <cell r="E5" t="str">
            <v>Becker Remote Motor RHS</v>
          </cell>
          <cell r="F5">
            <v>35</v>
          </cell>
          <cell r="K5" t="str">
            <v>Aluminium Pelmet - White</v>
          </cell>
          <cell r="L5">
            <v>6</v>
          </cell>
        </row>
        <row r="6">
          <cell r="E6" t="str">
            <v>Becker Remote Motor LHS</v>
          </cell>
          <cell r="F6">
            <v>35</v>
          </cell>
          <cell r="K6" t="str">
            <v>Aluminium Pelmet - Black</v>
          </cell>
          <cell r="L6">
            <v>6</v>
          </cell>
        </row>
        <row r="7">
          <cell r="E7" t="str">
            <v>Becker CBUS Motor RHS</v>
          </cell>
          <cell r="F7">
            <v>35</v>
          </cell>
          <cell r="K7" t="str">
            <v>Aluminium Pelmet - Cream</v>
          </cell>
          <cell r="L7">
            <v>6</v>
          </cell>
        </row>
        <row r="8">
          <cell r="E8" t="str">
            <v>Becker CBUS Motor LHS</v>
          </cell>
          <cell r="F8">
            <v>35</v>
          </cell>
          <cell r="K8" t="str">
            <v>Square Cassette - White</v>
          </cell>
          <cell r="L8">
            <v>0</v>
          </cell>
        </row>
        <row r="9">
          <cell r="E9" t="str">
            <v>Acmeda 12v Motor RHS</v>
          </cell>
          <cell r="F9">
            <v>33</v>
          </cell>
          <cell r="K9" t="str">
            <v>Square Cassette - Black</v>
          </cell>
          <cell r="L9">
            <v>0</v>
          </cell>
        </row>
        <row r="10">
          <cell r="E10" t="str">
            <v>Acmeda 12v Motor LHS</v>
          </cell>
          <cell r="F10">
            <v>33</v>
          </cell>
          <cell r="K10" t="str">
            <v>Square Cassette - Cream</v>
          </cell>
          <cell r="L10">
            <v>0</v>
          </cell>
        </row>
        <row r="11">
          <cell r="E11" t="str">
            <v>Acmeda 12v Motor Solar RHS</v>
          </cell>
          <cell r="F11">
            <v>33</v>
          </cell>
          <cell r="K11" t="str">
            <v>Square Cassette - Anodised Silver</v>
          </cell>
          <cell r="L11">
            <v>0</v>
          </cell>
        </row>
        <row r="12">
          <cell r="E12" t="str">
            <v>Acmeda 12v Motor Solar LHS</v>
          </cell>
          <cell r="F12">
            <v>33</v>
          </cell>
          <cell r="K12" t="str">
            <v>Square Cassette with Side Channel - White</v>
          </cell>
          <cell r="L12">
            <v>0</v>
          </cell>
        </row>
        <row r="13">
          <cell r="E13" t="str">
            <v>Somfy Sonesse Motor RHS</v>
          </cell>
          <cell r="F13">
            <v>33</v>
          </cell>
          <cell r="K13" t="str">
            <v>Square Cassette with Side Channel - Black</v>
          </cell>
          <cell r="L13">
            <v>0</v>
          </cell>
        </row>
        <row r="14">
          <cell r="E14" t="str">
            <v>Somfy Sonesse Motor LHS</v>
          </cell>
          <cell r="F14">
            <v>33</v>
          </cell>
          <cell r="K14" t="str">
            <v>Square Cassette with Side Channel - Cream</v>
          </cell>
          <cell r="L14">
            <v>0</v>
          </cell>
        </row>
        <row r="15">
          <cell r="E15" t="str">
            <v>Linked</v>
          </cell>
          <cell r="K15" t="str">
            <v>Square Cassette with Side Channel - Anodised Silver</v>
          </cell>
          <cell r="L15">
            <v>0</v>
          </cell>
        </row>
        <row r="16">
          <cell r="K16" t="str">
            <v>Round Cassette - White</v>
          </cell>
          <cell r="L16">
            <v>0</v>
          </cell>
        </row>
        <row r="17">
          <cell r="K17" t="str">
            <v>Round Cassette - Black</v>
          </cell>
          <cell r="L17">
            <v>0</v>
          </cell>
        </row>
        <row r="18">
          <cell r="K18" t="str">
            <v>Round Cassette - Cream</v>
          </cell>
          <cell r="L18">
            <v>0</v>
          </cell>
        </row>
        <row r="19">
          <cell r="K19" t="str">
            <v>Round Cassette - Anodised Silver</v>
          </cell>
          <cell r="L19">
            <v>0</v>
          </cell>
        </row>
        <row r="20">
          <cell r="K20" t="str">
            <v>Round Cassette with Side Channel - White</v>
          </cell>
          <cell r="L20">
            <v>0</v>
          </cell>
        </row>
        <row r="21">
          <cell r="K21" t="str">
            <v>Round Cassette with Side Channel - Black</v>
          </cell>
          <cell r="L21">
            <v>0</v>
          </cell>
        </row>
        <row r="22">
          <cell r="K22" t="str">
            <v>Round Cassette with Side Channel - Cream</v>
          </cell>
          <cell r="L22">
            <v>0</v>
          </cell>
        </row>
        <row r="23">
          <cell r="K23" t="str">
            <v>Round Cassette with Side Channel - Anodised Silver</v>
          </cell>
          <cell r="L23">
            <v>0</v>
          </cell>
        </row>
      </sheetData>
      <sheetData sheetId="6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Job Sheet"/>
      <sheetName val="Labels"/>
      <sheetName val="Components"/>
      <sheetName val="Slat Calcs"/>
    </sheetNames>
    <sheetDataSet>
      <sheetData sheetId="0">
        <row r="10">
          <cell r="AL10" t="str">
            <v>Code</v>
          </cell>
          <cell r="AM10" t="str">
            <v>Slat Size</v>
          </cell>
          <cell r="AN10" t="str">
            <v>HEADBOX</v>
          </cell>
          <cell r="AO10" t="str">
            <v>Ladder Colour</v>
          </cell>
        </row>
        <row r="11">
          <cell r="AL11" t="str">
            <v>AVALU25A13</v>
          </cell>
          <cell r="AM11" t="str">
            <v>Alabaster 100</v>
          </cell>
          <cell r="AN11" t="str">
            <v>Alabaster</v>
          </cell>
          <cell r="AO11" t="str">
            <v>Artic White</v>
          </cell>
        </row>
        <row r="12">
          <cell r="AL12" t="str">
            <v>AVALU25L15</v>
          </cell>
          <cell r="AM12" t="str">
            <v>Lt Alabaster 270</v>
          </cell>
          <cell r="AN12" t="str">
            <v>Alabaster</v>
          </cell>
          <cell r="AO12" t="str">
            <v>Artic White</v>
          </cell>
        </row>
        <row r="13">
          <cell r="AL13" t="str">
            <v>AVALU25W38</v>
          </cell>
          <cell r="AM13" t="str">
            <v>Warm White 475</v>
          </cell>
          <cell r="AN13" t="str">
            <v>Warm White</v>
          </cell>
          <cell r="AO13" t="str">
            <v>Artic White</v>
          </cell>
        </row>
        <row r="14">
          <cell r="AL14" t="str">
            <v>AVALU25J1</v>
          </cell>
          <cell r="AM14" t="str">
            <v>Jarrah 084</v>
          </cell>
          <cell r="AN14" t="str">
            <v>Bright Copper</v>
          </cell>
          <cell r="AO14" t="str">
            <v>Biscuit</v>
          </cell>
        </row>
        <row r="15">
          <cell r="AL15" t="str">
            <v>AVALU25V2</v>
          </cell>
          <cell r="AM15" t="str">
            <v>Vic Ash 083</v>
          </cell>
          <cell r="AN15" t="str">
            <v>Bright Copper</v>
          </cell>
          <cell r="AO15" t="str">
            <v>Biscuit</v>
          </cell>
        </row>
        <row r="16">
          <cell r="AL16" t="str">
            <v>AVALU25W39</v>
          </cell>
          <cell r="AM16" t="str">
            <v>Walnut 095</v>
          </cell>
          <cell r="AN16" t="str">
            <v>Walnut</v>
          </cell>
          <cell r="AO16" t="str">
            <v>Biscuit</v>
          </cell>
        </row>
        <row r="17">
          <cell r="AL17" t="str">
            <v>AVALU25O9</v>
          </cell>
          <cell r="AM17" t="str">
            <v>Oak 082</v>
          </cell>
          <cell r="AN17" t="str">
            <v>Oak</v>
          </cell>
          <cell r="AO17" t="str">
            <v>Biscuit</v>
          </cell>
        </row>
        <row r="18">
          <cell r="AL18" t="str">
            <v>AVALU25I3</v>
          </cell>
          <cell r="AM18" t="str">
            <v>Indigo 250</v>
          </cell>
          <cell r="AN18" t="str">
            <v>Indigo</v>
          </cell>
          <cell r="AO18" t="str">
            <v>Blue</v>
          </cell>
        </row>
        <row r="19">
          <cell r="AL19" t="str">
            <v>AVALU25S15</v>
          </cell>
          <cell r="AM19" t="str">
            <v>Stratford Blue 354</v>
          </cell>
          <cell r="AN19" t="str">
            <v>Stratford Blue</v>
          </cell>
          <cell r="AO19" t="str">
            <v>Blue</v>
          </cell>
        </row>
        <row r="20">
          <cell r="AL20" t="str">
            <v>AVALU25B32</v>
          </cell>
          <cell r="AM20" t="str">
            <v>Bright Copper 142</v>
          </cell>
          <cell r="AN20" t="str">
            <v>Bright Copper</v>
          </cell>
          <cell r="AO20" t="str">
            <v>Caramel Cream</v>
          </cell>
        </row>
        <row r="21">
          <cell r="AL21" t="str">
            <v>AVALU25C52</v>
          </cell>
          <cell r="AM21" t="str">
            <v>Chinchilla 175</v>
          </cell>
          <cell r="AN21" t="str">
            <v>Chinchilla</v>
          </cell>
          <cell r="AO21" t="str">
            <v>Chinchilla</v>
          </cell>
        </row>
        <row r="22">
          <cell r="AL22" t="str">
            <v>AVALU25C55</v>
          </cell>
          <cell r="AM22" t="str">
            <v>Cinnamon 385</v>
          </cell>
          <cell r="AN22" t="str">
            <v>Cinnamon</v>
          </cell>
          <cell r="AO22" t="str">
            <v>Chinchilla</v>
          </cell>
        </row>
        <row r="23">
          <cell r="AL23" t="str">
            <v>AVALU25B34</v>
          </cell>
          <cell r="AM23" t="str">
            <v>Bison 478</v>
          </cell>
          <cell r="AN23" t="str">
            <v>Bison</v>
          </cell>
          <cell r="AO23" t="str">
            <v>Chino</v>
          </cell>
        </row>
        <row r="24">
          <cell r="AL24" t="str">
            <v>AVALU25B24</v>
          </cell>
          <cell r="AM24" t="str">
            <v>Ebony 136</v>
          </cell>
          <cell r="AN24" t="str">
            <v>Ebony</v>
          </cell>
          <cell r="AO24" t="str">
            <v>Ebony</v>
          </cell>
        </row>
        <row r="25">
          <cell r="AL25" t="str">
            <v>AVALU25B27</v>
          </cell>
          <cell r="AM25" t="str">
            <v>Bright Steel 150</v>
          </cell>
          <cell r="AN25" t="str">
            <v>Bright Steel</v>
          </cell>
          <cell r="AO25" t="str">
            <v>Ebony</v>
          </cell>
        </row>
        <row r="26">
          <cell r="AL26" t="str">
            <v>AVALU25E1</v>
          </cell>
          <cell r="AM26" t="str">
            <v>Earthen 473</v>
          </cell>
          <cell r="AN26" t="str">
            <v>Earthen</v>
          </cell>
          <cell r="AO26" t="str">
            <v>Fawn</v>
          </cell>
        </row>
        <row r="27">
          <cell r="AL27" t="str">
            <v>AVALU25F3</v>
          </cell>
          <cell r="AM27" t="str">
            <v>Fawn 201</v>
          </cell>
          <cell r="AN27" t="str">
            <v>Fawn</v>
          </cell>
          <cell r="AO27" t="str">
            <v>Fawn</v>
          </cell>
        </row>
        <row r="28">
          <cell r="AL28" t="str">
            <v>AVALU25I4</v>
          </cell>
          <cell r="AM28" t="str">
            <v>Ivory 260</v>
          </cell>
          <cell r="AN28" t="str">
            <v>Ivory</v>
          </cell>
          <cell r="AO28" t="str">
            <v>Fawn</v>
          </cell>
        </row>
        <row r="29">
          <cell r="AL29" t="str">
            <v>AVALU25L16</v>
          </cell>
          <cell r="AM29" t="str">
            <v>Latte 387</v>
          </cell>
          <cell r="AN29" t="str">
            <v>Latte</v>
          </cell>
          <cell r="AO29" t="str">
            <v>Fawn</v>
          </cell>
        </row>
        <row r="30">
          <cell r="AL30" t="str">
            <v>AVALU25B26</v>
          </cell>
          <cell r="AM30" t="str">
            <v>Bright Silver 141</v>
          </cell>
          <cell r="AN30" t="str">
            <v>Bright Silver</v>
          </cell>
          <cell r="AO30" t="str">
            <v>Grey Sheen</v>
          </cell>
        </row>
        <row r="31">
          <cell r="AL31" t="str">
            <v>AVALU25G10</v>
          </cell>
          <cell r="AM31" t="str">
            <v>Grey Sheen 216</v>
          </cell>
          <cell r="AN31" t="str">
            <v>Grey Sheen</v>
          </cell>
          <cell r="AO31" t="str">
            <v>Grey Sheen</v>
          </cell>
        </row>
        <row r="32">
          <cell r="AL32" t="str">
            <v>AVALU25B28</v>
          </cell>
          <cell r="AM32" t="str">
            <v>Bright Blue 146</v>
          </cell>
          <cell r="AN32" t="str">
            <v>Bright Blue</v>
          </cell>
          <cell r="AO32" t="str">
            <v>Gulf Blue</v>
          </cell>
        </row>
        <row r="33">
          <cell r="AL33" t="str">
            <v>AVALU25L13</v>
          </cell>
          <cell r="AM33" t="str">
            <v>Lime Foil 394</v>
          </cell>
          <cell r="AN33" t="str">
            <v>Lime Foil</v>
          </cell>
          <cell r="AO33" t="str">
            <v>Lime foil</v>
          </cell>
        </row>
        <row r="34">
          <cell r="AL34" t="str">
            <v>AVALU25B25</v>
          </cell>
          <cell r="AM34" t="str">
            <v>Bright Grey 143</v>
          </cell>
          <cell r="AN34" t="str">
            <v>Briight Grey</v>
          </cell>
          <cell r="AO34" t="str">
            <v>Shadow Grey</v>
          </cell>
        </row>
        <row r="35">
          <cell r="AL35" t="str">
            <v>AVALU25S14</v>
          </cell>
          <cell r="AM35" t="str">
            <v>Shadow Grey 352</v>
          </cell>
          <cell r="AN35" t="str">
            <v>Shadow Grey</v>
          </cell>
          <cell r="AO35" t="str">
            <v>Shadow Grey</v>
          </cell>
        </row>
        <row r="36">
          <cell r="AL36" t="str">
            <v>AVALU25S13</v>
          </cell>
          <cell r="AM36" t="str">
            <v>Slate 361</v>
          </cell>
          <cell r="AN36" t="str">
            <v>Slate</v>
          </cell>
          <cell r="AO36" t="str">
            <v>Slate</v>
          </cell>
        </row>
        <row r="37">
          <cell r="AL37" t="str">
            <v>AVALU25C54</v>
          </cell>
          <cell r="AM37" t="str">
            <v>Cotton 177</v>
          </cell>
          <cell r="AN37" t="str">
            <v>Cotton</v>
          </cell>
          <cell r="AO37" t="str">
            <v>White</v>
          </cell>
        </row>
        <row r="38">
          <cell r="AL38" t="str">
            <v>AVALU25W35</v>
          </cell>
          <cell r="AM38" t="str">
            <v>White Snow 404</v>
          </cell>
          <cell r="AN38" t="str">
            <v>Alabaster</v>
          </cell>
          <cell r="AO38" t="str">
            <v>White</v>
          </cell>
        </row>
        <row r="39">
          <cell r="AL39" t="str">
            <v>AVALU25W36</v>
          </cell>
          <cell r="AM39" t="str">
            <v>White Satin 400</v>
          </cell>
          <cell r="AN39" t="str">
            <v>White Satin</v>
          </cell>
          <cell r="AO39" t="str">
            <v>White</v>
          </cell>
        </row>
        <row r="40">
          <cell r="AL40" t="str">
            <v>AVALU25W37</v>
          </cell>
          <cell r="AM40" t="str">
            <v>White Gloss 402</v>
          </cell>
          <cell r="AN40" t="str">
            <v>White Gloss</v>
          </cell>
          <cell r="AO40" t="str">
            <v>White</v>
          </cell>
        </row>
        <row r="41">
          <cell r="AL41" t="str">
            <v>AVALU25M34</v>
          </cell>
          <cell r="AM41" t="str">
            <v>Mocca 389</v>
          </cell>
          <cell r="AN41" t="str">
            <v>Mocca 389</v>
          </cell>
        </row>
        <row r="42">
          <cell r="AL42" t="str">
            <v>AVALU25B35</v>
          </cell>
          <cell r="AM42" t="str">
            <v>Bright Sterling 140</v>
          </cell>
          <cell r="AN42" t="str">
            <v>Bright Sterling</v>
          </cell>
          <cell r="AO42" t="str">
            <v>Grey Sheen</v>
          </cell>
        </row>
        <row r="43">
          <cell r="AL43" t="str">
            <v>AVALU25J2</v>
          </cell>
          <cell r="AM43" t="str">
            <v>Jade 261</v>
          </cell>
          <cell r="AN43" t="str">
            <v>Jade</v>
          </cell>
          <cell r="AO43" t="str">
            <v>Jade</v>
          </cell>
        </row>
        <row r="44">
          <cell r="AL44" t="str">
            <v>AVALU25N4</v>
          </cell>
          <cell r="AM44" t="str">
            <v>Natural 486</v>
          </cell>
          <cell r="AN44" t="str">
            <v>Natural</v>
          </cell>
          <cell r="AO44" t="str">
            <v>Artic white</v>
          </cell>
        </row>
        <row r="45">
          <cell r="AL45" t="str">
            <v>AVALU25S21</v>
          </cell>
          <cell r="AM45" t="str">
            <v>Seal 487</v>
          </cell>
          <cell r="AN45" t="str">
            <v>Seal</v>
          </cell>
          <cell r="AO45" t="str">
            <v>Gulf Blue</v>
          </cell>
        </row>
        <row r="46">
          <cell r="AL46" t="str">
            <v>AVALU25W40</v>
          </cell>
          <cell r="AM46" t="str">
            <v>Willow 491</v>
          </cell>
          <cell r="AN46" t="str">
            <v>Willow</v>
          </cell>
          <cell r="AO46" t="str">
            <v>Grey Sheen</v>
          </cell>
        </row>
        <row r="47">
          <cell r="AL47" t="str">
            <v>AVALU25A12</v>
          </cell>
          <cell r="AM47" t="str">
            <v>Almond 104</v>
          </cell>
          <cell r="AN47" t="str">
            <v>Almond 104</v>
          </cell>
          <cell r="AO47" t="str">
            <v>Artic White</v>
          </cell>
        </row>
        <row r="48">
          <cell r="AL48" t="str">
            <v>AVALU25S20</v>
          </cell>
          <cell r="AM48" t="str">
            <v>Sesame 474</v>
          </cell>
          <cell r="AN48" t="str">
            <v>Sesame</v>
          </cell>
          <cell r="AO48" t="str">
            <v>Artic White</v>
          </cell>
        </row>
        <row r="49">
          <cell r="AL49" t="str">
            <v>AVALU25L14</v>
          </cell>
          <cell r="AM49" t="str">
            <v>Lime 275</v>
          </cell>
          <cell r="AN49" t="str">
            <v>Lime</v>
          </cell>
          <cell r="AO49" t="str">
            <v>Lime</v>
          </cell>
        </row>
        <row r="50">
          <cell r="AL50" t="str">
            <v>AVALU25L17</v>
          </cell>
          <cell r="AM50" t="str">
            <v>Lt Bison 397</v>
          </cell>
          <cell r="AN50" t="str">
            <v>Light Bison</v>
          </cell>
          <cell r="AO50" t="str">
            <v>Chino</v>
          </cell>
        </row>
        <row r="51">
          <cell r="AL51" t="str">
            <v>AVALU25A15</v>
          </cell>
          <cell r="AM51" t="str">
            <v>Artic Breeze 480</v>
          </cell>
          <cell r="AN51" t="str">
            <v>Artic Breeze</v>
          </cell>
          <cell r="AO51" t="str">
            <v>Distant Hace</v>
          </cell>
        </row>
      </sheetData>
      <sheetData sheetId="1" refreshError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lnDef>
  </a:objectDefaults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_rels/sheet3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3.bin" /></Relationships>
</file>

<file path=xl/worksheets/_rels/sheet4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4.bin" /></Relationships>
</file>

<file path=xl/worksheets/_rels/sheet5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5.bin" /></Relationships>
</file>

<file path=xl/worksheets/_rels/sheet6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6.bin" /></Relationships>
</file>

<file path=xl/worksheets/_rels/sheet7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7.bin" /></Relationships>
</file>

<file path=xl/worksheets/_rels/sheet8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8.bin" /></Relationships>
</file>

<file path=xl/worksheets/_rels/sheet9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9.bin" /></Relationships>
</file>

<file path=xl/worksheets/_rels/sheet10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0.bin" /></Relationships>
</file>

<file path=xl/worksheets/_rels/sheet11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1.bin" /></Relationships>
</file>

<file path=xl/worksheets/_rels/sheet1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2.bin" /></Relationships>
</file>

<file path=xl/worksheets/_rels/sheet14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3.bin" /></Relationships>
</file>

<file path=xl/worksheets/_rels/sheet15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4.bin" 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W100"/>
  <sheetViews>
    <sheetView tabSelected="1" workbookViewId="0" topLeftCell="A1">
      <selection pane="topLeft" activeCell="AV11" sqref="AV11:XFD1048576"/>
    </sheetView>
  </sheetViews>
  <sheetFormatPr defaultColWidth="9.44140625" defaultRowHeight="13.5"/>
  <cols>
    <col min="1" max="1" width="24.8571428571429" bestFit="1" customWidth="1"/>
    <col min="4" max="4" width="13.7142857142857" customWidth="1"/>
    <col min="5" max="5" width="14.4285714285714" bestFit="1" customWidth="1"/>
    <col min="6" max="6" width="17.7142857142857" bestFit="1" customWidth="1"/>
    <col min="8" max="47" width="9.28571428571429" hidden="1" customWidth="1"/>
    <col min="48" max="49" width="11" customWidth="1"/>
    <col min="50" max="50" width="18.2857142857143" customWidth="1"/>
    <col min="51" max="51" width="15.2857142857143" customWidth="1"/>
    <col min="52" max="52" width="14.2857142857143" customWidth="1"/>
    <col min="53" max="53" width="10.4285714285714" bestFit="1" customWidth="1"/>
    <col min="54" max="54" width="11.7142857142857" bestFit="1" customWidth="1"/>
    <col min="55" max="55" width="20.7142857142857" customWidth="1"/>
    <col min="56" max="56" width="47.2857142857143" customWidth="1"/>
    <col min="57" max="57" width="8.28571428571429" bestFit="1" customWidth="1"/>
    <col min="58" max="58" width="16.7142857142857" customWidth="1"/>
    <col min="59" max="59" width="61" bestFit="1" customWidth="1"/>
    <col min="60" max="60" width="11.2857142857143" customWidth="1"/>
    <col min="61" max="61" width="9" customWidth="1"/>
    <col min="62" max="62" width="42.7142857142857" bestFit="1" customWidth="1"/>
    <col min="63" max="63" width="23.7142857142857" customWidth="1"/>
    <col min="64" max="64" width="29.2857142857143" customWidth="1"/>
    <col min="65" max="65" width="16.5714285714286" bestFit="1" customWidth="1"/>
    <col min="66" max="66" width="20.1428571428571" bestFit="1" customWidth="1"/>
    <col min="67" max="67" width="22.2857142857143" bestFit="1" customWidth="1"/>
    <col min="68" max="68" width="17" bestFit="1" customWidth="1"/>
    <col min="69" max="69" width="14.5714285714286" customWidth="1"/>
    <col min="71" max="71" width="16.7142857142857" customWidth="1"/>
    <col min="72" max="72" width="21" customWidth="1"/>
    <col min="74" max="74" width="9.28571428571429" customWidth="1"/>
    <col min="75" max="75" width="12.7142857142857" customWidth="1"/>
    <col min="76" max="76" width="14.2857142857143" customWidth="1"/>
    <col min="77" max="77" width="15.7142857142857" customWidth="1"/>
    <col min="78" max="78" width="7.71428571428571" customWidth="1"/>
    <col min="79" max="79" width="10" bestFit="1" customWidth="1"/>
    <col min="80" max="80" width="6.71428571428571" customWidth="1"/>
    <col min="81" max="81" width="13.2857142857143" customWidth="1"/>
    <col min="82" max="83" width="12.7142857142857" customWidth="1"/>
    <col min="84" max="84" width="17.2857142857143" customWidth="1"/>
    <col min="85" max="85" width="11.4285714285714" customWidth="1"/>
    <col min="86" max="86" width="13.7142857142857" customWidth="1"/>
    <col min="87" max="87" width="33.8571428571429" bestFit="1" customWidth="1"/>
    <col min="88" max="88" width="29" bestFit="1" customWidth="1"/>
    <col min="89" max="89" width="14.1428571428571" bestFit="1" customWidth="1"/>
    <col min="90" max="90" width="12.7142857142857" customWidth="1"/>
    <col min="91" max="91" width="17.5714285714286" customWidth="1"/>
    <col min="92" max="92" width="16.2857142857143" bestFit="1" customWidth="1"/>
    <col min="93" max="93" width="7.57142857142857" customWidth="1"/>
    <col min="94" max="94" width="15" customWidth="1"/>
    <col min="95" max="95" width="12" customWidth="1"/>
    <col min="96" max="96" width="11.2857142857143" customWidth="1"/>
    <col min="97" max="97" width="11.4285714285714" customWidth="1"/>
    <col min="98" max="98" width="9.71428571428571" bestFit="1" customWidth="1"/>
    <col min="99" max="99" width="12.7142857142857" customWidth="1"/>
    <col min="100" max="100" width="13.4285714285714" customWidth="1"/>
    <col min="101" max="101" width="11.2857142857143" customWidth="1"/>
    <col min="102" max="102" width="13" customWidth="1"/>
    <col min="103" max="103" width="13.7142857142857" customWidth="1"/>
    <col min="104" max="104" width="7.28571428571429" customWidth="1"/>
    <col min="105" max="105" width="12.7142857142857" customWidth="1"/>
    <col min="106" max="106" width="12.2857142857143" customWidth="1"/>
    <col min="107" max="107" width="9.71428571428571" bestFit="1" customWidth="1"/>
    <col min="108" max="108" width="11.2857142857143" customWidth="1"/>
    <col min="109" max="110" width="12.2857142857143" customWidth="1"/>
    <col min="111" max="111" width="7.42857142857143" customWidth="1"/>
    <col min="112" max="112" width="8.28571428571429" customWidth="1"/>
    <col min="113" max="113" width="13.7142857142857" customWidth="1"/>
  </cols>
  <sheetData>
    <row r="1" spans="48:123" ht="26.4">
      <c r="AV1" s="23"/>
      <c r="AW1" s="23"/>
      <c r="AX1" s="27" t="s">
        <v>694</v>
      </c>
      <c r="AY1" s="24"/>
      <c r="AZ1" s="24" t="s">
        <v>16</v>
      </c>
      <c r="BA1" s="26" t="s">
        <v>23</v>
      </c>
      <c r="BB1" s="24"/>
      <c r="BC1" s="24"/>
      <c r="BD1" s="24"/>
      <c r="BE1" s="24"/>
      <c r="BF1" s="24"/>
      <c r="BG1" s="24" t="s">
        <v>11</v>
      </c>
      <c r="BO1" s="24"/>
      <c r="BP1" s="24"/>
      <c r="BQ1" s="24"/>
      <c r="BR1" s="24"/>
      <c r="BS1" s="24"/>
      <c r="BT1" s="24"/>
      <c r="BU1" s="24"/>
      <c r="BV1" s="24"/>
      <c r="BW1" s="24"/>
      <c r="BX1" s="24"/>
      <c r="BY1" s="24"/>
      <c r="BZ1" s="24"/>
      <c r="CA1" s="24"/>
      <c r="CB1" s="24"/>
      <c r="CC1" s="24"/>
      <c r="CD1" s="24"/>
      <c r="CE1" s="24"/>
      <c r="CF1" s="24"/>
      <c r="CG1" s="24"/>
      <c r="CH1" s="24"/>
      <c r="CI1" s="24"/>
      <c r="CJ1" s="24"/>
      <c r="CK1" s="24"/>
      <c r="CL1" s="24"/>
      <c r="CM1" s="24"/>
      <c r="CN1" s="24"/>
      <c r="CO1" s="24"/>
      <c r="CP1" s="24"/>
      <c r="CQ1" s="24"/>
      <c r="CR1" s="24"/>
      <c r="CS1" s="24"/>
      <c r="CT1" s="24"/>
      <c r="CU1" s="24"/>
      <c r="CV1" s="24"/>
      <c r="CW1" s="24"/>
      <c r="CX1" s="24"/>
      <c r="CY1" s="24"/>
      <c r="CZ1" s="24"/>
      <c r="DA1" s="24"/>
      <c r="DB1" s="24"/>
      <c r="DC1" s="24"/>
      <c r="DD1" s="24"/>
      <c r="DE1" s="24"/>
      <c r="DF1" s="24"/>
      <c r="DG1" s="24"/>
      <c r="DH1" s="24"/>
      <c r="DI1" s="24"/>
      <c r="DJ1" s="24"/>
      <c r="DK1" s="24"/>
      <c r="DL1" s="24"/>
      <c r="DM1" s="24"/>
      <c r="DN1" s="24"/>
      <c r="DO1" s="24"/>
      <c r="DP1" s="24"/>
      <c r="DQ1" s="24"/>
      <c r="DR1" s="24"/>
      <c r="DS1" s="24"/>
    </row>
    <row r="2" spans="48:123" ht="13.2">
      <c r="AV2" s="25"/>
      <c r="AW2" s="25"/>
      <c r="AX2" s="25"/>
      <c r="AY2" s="26"/>
      <c r="AZ2" s="24" t="s">
        <v>14</v>
      </c>
      <c r="BA2" s="28">
        <v>20</v>
      </c>
      <c r="BB2" s="24" t="s">
        <v>26</v>
      </c>
      <c r="BC2" s="24"/>
      <c r="BD2" s="24"/>
      <c r="BE2" s="24"/>
      <c r="BF2" s="24"/>
      <c r="BG2" s="24"/>
      <c r="BO2" s="26"/>
      <c r="BP2" s="26"/>
      <c r="BQ2" s="26"/>
      <c r="BR2" s="26"/>
      <c r="BS2" s="26"/>
      <c r="BT2" s="26"/>
      <c r="BU2" s="26"/>
      <c r="BV2" s="26"/>
      <c r="BW2" s="26"/>
      <c r="BX2" s="26"/>
      <c r="BY2" s="26"/>
      <c r="BZ2" s="26"/>
      <c r="CA2" s="26"/>
      <c r="CB2" s="26"/>
      <c r="CC2" s="26"/>
      <c r="CD2" s="26"/>
      <c r="CE2" s="26"/>
      <c r="CF2" s="26"/>
      <c r="CG2" s="26"/>
      <c r="CH2" s="26"/>
      <c r="CI2" s="26"/>
      <c r="CJ2" s="26"/>
      <c r="CK2" s="26"/>
      <c r="CL2" s="26"/>
      <c r="CM2" s="26"/>
      <c r="CN2" s="26"/>
      <c r="CO2" s="26"/>
      <c r="CP2" s="26"/>
      <c r="CQ2" s="26"/>
      <c r="CR2" s="26"/>
      <c r="CS2" s="26"/>
      <c r="CT2" s="26"/>
      <c r="CU2" s="26"/>
      <c r="CV2" s="26"/>
      <c r="CW2" s="26"/>
      <c r="CX2" s="26"/>
      <c r="CY2" s="26"/>
      <c r="CZ2" s="26"/>
      <c r="DA2" s="26"/>
      <c r="DB2" s="26"/>
      <c r="DC2" s="26"/>
      <c r="DD2" s="26"/>
      <c r="DE2" s="26"/>
      <c r="DF2" s="26"/>
      <c r="DG2" s="26"/>
      <c r="DH2" s="26"/>
      <c r="DI2" s="26"/>
      <c r="DJ2" s="26"/>
      <c r="DK2" s="26"/>
      <c r="DL2" s="26"/>
      <c r="DM2" s="26"/>
      <c r="DN2" s="26"/>
      <c r="DO2" s="26"/>
      <c r="DP2" s="26"/>
      <c r="DQ2" s="26"/>
      <c r="DR2" s="26"/>
      <c r="DS2" s="26"/>
    </row>
    <row r="3" spans="48:123" ht="13.2">
      <c r="AV3" s="25" t="s">
        <v>25</v>
      </c>
      <c r="AW3" s="25"/>
      <c r="AX3" s="25"/>
      <c r="AY3" s="26"/>
      <c r="AZ3" s="26" t="s">
        <v>17</v>
      </c>
      <c r="BA3" s="26" t="s">
        <v>18</v>
      </c>
      <c r="BB3" s="26"/>
      <c r="BC3" s="26"/>
      <c r="BD3" s="24"/>
      <c r="BE3" s="24"/>
      <c r="BF3" s="24"/>
      <c r="BG3" s="24"/>
      <c r="BO3" s="26"/>
      <c r="BP3" s="26"/>
      <c r="BQ3" s="26"/>
      <c r="BR3" s="26"/>
      <c r="BS3" s="26"/>
      <c r="BT3" s="26"/>
      <c r="BU3" s="26"/>
      <c r="BV3" s="26"/>
      <c r="BW3" s="26"/>
      <c r="BX3" s="26"/>
      <c r="BY3" s="26"/>
      <c r="BZ3" s="26"/>
      <c r="CA3" s="26"/>
      <c r="CB3" s="26"/>
      <c r="CC3" s="26"/>
      <c r="CD3" s="26"/>
      <c r="CE3" s="26"/>
      <c r="CF3" s="26"/>
      <c r="CG3" s="26"/>
      <c r="CH3" s="26"/>
      <c r="CI3" s="26"/>
      <c r="CJ3" s="26"/>
      <c r="CK3" s="26"/>
      <c r="CL3" s="26"/>
      <c r="CM3" s="26"/>
      <c r="CN3" s="26"/>
      <c r="CO3" s="26"/>
      <c r="CP3" s="26"/>
      <c r="CQ3" s="26"/>
      <c r="CR3" s="26"/>
      <c r="CS3" s="26"/>
      <c r="CT3" s="26"/>
      <c r="CU3" s="26"/>
      <c r="CV3" s="26"/>
      <c r="CW3" s="26"/>
      <c r="CX3" s="26"/>
      <c r="CY3" s="26"/>
      <c r="CZ3" s="26"/>
      <c r="DA3" s="26"/>
      <c r="DB3" s="26"/>
      <c r="DC3" s="26"/>
      <c r="DD3" s="26"/>
      <c r="DE3" s="26"/>
      <c r="DF3" s="26"/>
      <c r="DG3" s="26"/>
      <c r="DH3" s="26"/>
      <c r="DI3" s="26"/>
      <c r="DJ3" s="26"/>
      <c r="DK3" s="26"/>
      <c r="DL3" s="26"/>
      <c r="DM3" s="26"/>
      <c r="DN3" s="26"/>
      <c r="DO3" s="26"/>
      <c r="DP3" s="26"/>
      <c r="DQ3" s="26"/>
      <c r="DR3" s="26"/>
      <c r="DS3" s="26"/>
    </row>
    <row r="4" spans="48:127" ht="13.2">
      <c r="AV4" s="20" t="s">
        <v>0</v>
      </c>
      <c r="AW4" s="20" t="s">
        <v>19</v>
      </c>
      <c r="AX4" s="20" t="s">
        <v>1</v>
      </c>
      <c r="AY4" s="20" t="s">
        <v>2</v>
      </c>
      <c r="AZ4" s="20" t="s">
        <v>22</v>
      </c>
      <c r="BA4" s="20" t="s">
        <v>20</v>
      </c>
      <c r="BB4" s="17" t="s">
        <v>27</v>
      </c>
      <c r="BC4" s="17" t="s">
        <v>3</v>
      </c>
      <c r="BD4" s="17" t="s">
        <v>28</v>
      </c>
      <c r="BE4" s="17" t="s">
        <v>29</v>
      </c>
      <c r="BF4" s="17" t="s">
        <v>30</v>
      </c>
      <c r="BG4" s="17" t="s">
        <v>6</v>
      </c>
      <c r="BH4" s="17" t="s">
        <v>31</v>
      </c>
      <c r="BI4" s="17" t="s">
        <v>32</v>
      </c>
      <c r="BJ4" s="17" t="s">
        <v>33</v>
      </c>
      <c r="BK4" s="17" t="s">
        <v>34</v>
      </c>
      <c r="BL4" s="17" t="s">
        <v>35</v>
      </c>
      <c r="BM4" s="17" t="s">
        <v>36</v>
      </c>
      <c r="BN4" s="17" t="s">
        <v>37</v>
      </c>
      <c r="BO4" s="20" t="s">
        <v>38</v>
      </c>
      <c r="BP4" s="20" t="s">
        <v>39</v>
      </c>
      <c r="BQ4" s="20" t="s">
        <v>24</v>
      </c>
      <c r="BR4" s="20" t="s">
        <v>40</v>
      </c>
      <c r="BS4" s="15" t="s">
        <v>41</v>
      </c>
      <c r="BT4" s="15" t="s">
        <v>42</v>
      </c>
      <c r="BU4" s="15" t="s">
        <v>43</v>
      </c>
      <c r="BV4" s="15" t="s">
        <v>44</v>
      </c>
      <c r="BW4" s="15" t="s">
        <v>45</v>
      </c>
      <c r="BX4" s="15" t="s">
        <v>46</v>
      </c>
      <c r="BY4" s="15" t="s">
        <v>47</v>
      </c>
      <c r="BZ4" s="15" t="s">
        <v>48</v>
      </c>
      <c r="CA4" s="15" t="s">
        <v>49</v>
      </c>
      <c r="CB4" s="15" t="s">
        <v>50</v>
      </c>
      <c r="CC4" s="15" t="s">
        <v>51</v>
      </c>
      <c r="CD4" s="15" t="s">
        <v>52</v>
      </c>
      <c r="CE4" s="15" t="s">
        <v>53</v>
      </c>
      <c r="CF4" s="15" t="s">
        <v>54</v>
      </c>
      <c r="CG4" s="15"/>
      <c r="CH4" s="15" t="s">
        <v>55</v>
      </c>
      <c r="CI4" s="15" t="s">
        <v>56</v>
      </c>
      <c r="CJ4" s="15" t="s">
        <v>57</v>
      </c>
      <c r="CK4" s="15" t="s">
        <v>58</v>
      </c>
      <c r="CL4" s="15" t="s">
        <v>59</v>
      </c>
      <c r="CM4" s="15" t="s">
        <v>60</v>
      </c>
      <c r="CN4" s="15" t="s">
        <v>61</v>
      </c>
      <c r="CO4" s="15" t="s">
        <v>62</v>
      </c>
      <c r="CP4" s="15" t="s">
        <v>63</v>
      </c>
      <c r="CQ4" s="15" t="s">
        <v>64</v>
      </c>
      <c r="CR4" s="15" t="s">
        <v>65</v>
      </c>
      <c r="CS4" s="15" t="s">
        <v>66</v>
      </c>
      <c r="CT4" s="15" t="s">
        <v>67</v>
      </c>
      <c r="CU4" s="15" t="s">
        <v>68</v>
      </c>
      <c r="CV4" s="15" t="s">
        <v>69</v>
      </c>
      <c r="CW4" s="15" t="s">
        <v>70</v>
      </c>
      <c r="CX4" s="15" t="s">
        <v>71</v>
      </c>
      <c r="CY4" s="15" t="s">
        <v>72</v>
      </c>
      <c r="CZ4" s="15" t="s">
        <v>73</v>
      </c>
      <c r="DA4" s="15" t="s">
        <v>74</v>
      </c>
      <c r="DB4" s="15" t="s">
        <v>75</v>
      </c>
      <c r="DC4" s="15" t="s">
        <v>76</v>
      </c>
      <c r="DD4" s="15" t="s">
        <v>77</v>
      </c>
      <c r="DE4" s="15" t="s">
        <v>78</v>
      </c>
      <c r="DF4" s="15" t="s">
        <v>79</v>
      </c>
      <c r="DG4" s="15" t="s">
        <v>80</v>
      </c>
      <c r="DH4" s="15" t="s">
        <v>81</v>
      </c>
      <c r="DI4" s="15" t="s">
        <v>82</v>
      </c>
      <c r="DJ4" s="15" t="s">
        <v>83</v>
      </c>
      <c r="DK4" s="15" t="s">
        <v>84</v>
      </c>
      <c r="DL4" s="15" t="s">
        <v>85</v>
      </c>
      <c r="DM4" s="15" t="s">
        <v>86</v>
      </c>
      <c r="DN4" s="15" t="s">
        <v>87</v>
      </c>
      <c r="DO4" s="15" t="s">
        <v>88</v>
      </c>
      <c r="DP4" s="15" t="s">
        <v>89</v>
      </c>
      <c r="DQ4" s="15" t="s">
        <v>90</v>
      </c>
      <c r="DR4" s="15" t="s">
        <v>91</v>
      </c>
      <c r="DS4" s="15" t="s">
        <v>92</v>
      </c>
      <c r="DT4" t="s">
        <v>137</v>
      </c>
      <c r="DU4" t="s">
        <v>186</v>
      </c>
      <c r="DV4" t="s">
        <v>369</v>
      </c>
      <c r="DW4" t="s">
        <v>370</v>
      </c>
    </row>
    <row r="5" spans="1:127" ht="17.4">
      <c r="A5" s="14" t="s">
        <v>124</v>
      </c>
      <c r="B5" s="14"/>
      <c r="C5" s="14"/>
      <c r="D5" s="14"/>
      <c r="E5" s="14"/>
      <c r="F5" s="14"/>
      <c r="AV5" t="s">
        <v>974</v>
      </c>
      <c r="AW5" s="21" t="s">
        <v>975</v>
      </c>
      <c r="AX5" s="21" t="s">
        <v>976</v>
      </c>
      <c r="AY5" s="21" t="s">
        <v>977</v>
      </c>
      <c r="AZ5" s="21" t="s">
        <v>978</v>
      </c>
      <c r="BA5" s="21" t="s">
        <v>979</v>
      </c>
      <c r="BC5" s="21" t="s">
        <v>980</v>
      </c>
      <c r="BD5" s="21" t="s">
        <v>205</v>
      </c>
      <c r="BE5" t="s">
        <v>981</v>
      </c>
      <c r="BF5" t="s">
        <v>982</v>
      </c>
      <c r="BH5" t="s">
        <v>983</v>
      </c>
      <c r="BI5" t="s">
        <v>984</v>
      </c>
      <c r="BJ5" t="s">
        <v>983</v>
      </c>
      <c r="BK5" t="s">
        <v>985</v>
      </c>
      <c r="BM5" t="s">
        <v>986</v>
      </c>
      <c r="BN5" t="s">
        <v>987</v>
      </c>
      <c r="BO5" s="15" t="s">
        <v>988</v>
      </c>
      <c r="BP5" s="19" t="s">
        <v>989</v>
      </c>
      <c r="BQ5" s="19"/>
      <c r="BR5" s="19" t="s">
        <v>990</v>
      </c>
      <c r="BS5" s="15" t="s">
        <v>983</v>
      </c>
      <c r="BT5" s="15" t="s">
        <v>991</v>
      </c>
      <c r="BU5" s="15" t="s">
        <v>983</v>
      </c>
      <c r="BV5" s="15" t="s">
        <v>983</v>
      </c>
      <c r="BW5" s="15" t="s">
        <v>983</v>
      </c>
      <c r="BX5" s="15" t="s">
        <v>983</v>
      </c>
      <c r="BY5" s="15" t="s">
        <v>992</v>
      </c>
      <c r="BZ5" s="15" t="s">
        <v>983</v>
      </c>
      <c r="CA5" s="15" t="s">
        <v>983</v>
      </c>
      <c r="CB5" s="15" t="s">
        <v>983</v>
      </c>
      <c r="CC5" s="15" t="s">
        <v>983</v>
      </c>
      <c r="CD5" s="15" t="s">
        <v>983</v>
      </c>
      <c r="CE5" s="15" t="s">
        <v>993</v>
      </c>
      <c r="CF5" s="15" t="s">
        <v>983</v>
      </c>
      <c r="CG5" s="15"/>
      <c r="CH5" s="15"/>
      <c r="CI5" s="15" t="s">
        <v>983</v>
      </c>
      <c r="CJ5" s="15" t="s">
        <v>984</v>
      </c>
      <c r="CK5" s="15" t="s">
        <v>983</v>
      </c>
      <c r="CL5" s="15" t="s">
        <v>985</v>
      </c>
      <c r="CM5" s="15"/>
      <c r="CN5" s="15" t="s">
        <v>986</v>
      </c>
      <c r="CO5" s="15" t="s">
        <v>987</v>
      </c>
      <c r="CP5" s="15" t="s">
        <v>988</v>
      </c>
      <c r="CQ5" s="15" t="s">
        <v>989</v>
      </c>
      <c r="CR5" s="15">
        <v>0</v>
      </c>
      <c r="CS5" s="15">
        <v>0</v>
      </c>
      <c r="CT5" s="15"/>
      <c r="CU5" s="15" t="s">
        <v>995</v>
      </c>
      <c r="CV5" s="15" t="s">
        <v>996</v>
      </c>
      <c r="CW5" s="15" t="s">
        <v>983</v>
      </c>
      <c r="CX5" s="15" t="s">
        <v>995</v>
      </c>
      <c r="CY5" s="15" t="s">
        <v>996</v>
      </c>
      <c r="CZ5" s="15" t="s">
        <v>998</v>
      </c>
      <c r="DA5" s="15" t="s">
        <v>991</v>
      </c>
      <c r="DB5" s="15" t="s">
        <v>983</v>
      </c>
      <c r="DC5" s="15"/>
      <c r="DD5" s="15"/>
      <c r="DE5" s="15"/>
      <c r="DF5" s="15"/>
      <c r="DG5" s="15" t="s">
        <v>999</v>
      </c>
      <c r="DH5" s="15">
        <v>0</v>
      </c>
      <c r="DI5" s="15">
        <v>14545.4547</v>
      </c>
      <c r="DJ5" s="15" t="s">
        <v>994</v>
      </c>
      <c r="DK5" s="15" t="s">
        <v>997</v>
      </c>
      <c r="DL5" s="15" t="s">
        <v>983</v>
      </c>
      <c r="DM5" s="15">
        <v>0</v>
      </c>
      <c r="DN5" s="15">
        <v>0</v>
      </c>
      <c r="DO5" s="15">
        <v>0</v>
      </c>
      <c r="DP5" s="15">
        <v>0</v>
      </c>
      <c r="DQ5" s="15">
        <v>15999.9999</v>
      </c>
      <c r="DR5" s="15" t="s">
        <v>1000</v>
      </c>
      <c r="DS5" s="15" t="s">
        <v>1001</v>
      </c>
      <c r="DT5" t="s">
        <v>1002</v>
      </c>
      <c r="DU5" t="s">
        <v>1003</v>
      </c>
    </row>
    <row r="6" spans="1:123" ht="13.2">
      <c r="A6" s="30" t="s">
        <v>125</v>
      </c>
      <c r="B6" s="30" t="s">
        <v>126</v>
      </c>
      <c r="C6" s="30" t="s">
        <v>127</v>
      </c>
      <c r="D6" s="30" t="s">
        <v>128</v>
      </c>
      <c r="E6" s="30" t="s">
        <v>129</v>
      </c>
      <c r="F6" s="30" t="s">
        <v>130</v>
      </c>
      <c r="AV6" s="15"/>
      <c r="AW6" s="15"/>
      <c r="AX6" s="15"/>
      <c r="AY6" s="19"/>
      <c r="AZ6" s="19"/>
      <c r="BA6" s="15"/>
      <c r="BO6" s="15"/>
      <c r="BP6" s="15"/>
      <c r="BQ6" s="15"/>
      <c r="BR6" s="15"/>
      <c r="BS6" s="15"/>
      <c r="BT6" s="19"/>
      <c r="BU6" s="19"/>
      <c r="BV6" s="19"/>
      <c r="BW6" s="15"/>
      <c r="BX6" s="15"/>
      <c r="BY6" s="15"/>
      <c r="BZ6" s="15"/>
      <c r="CA6" s="15"/>
      <c r="CB6" s="15"/>
      <c r="CC6" s="15"/>
      <c r="CD6" s="15"/>
      <c r="CE6" s="15"/>
      <c r="CF6" s="15"/>
      <c r="CG6" s="15"/>
      <c r="CH6" s="15"/>
      <c r="CI6" s="15"/>
      <c r="CJ6" s="15"/>
      <c r="CK6" s="15"/>
      <c r="CL6" s="15"/>
      <c r="CM6" s="15"/>
      <c r="CN6" s="15"/>
      <c r="CO6" s="15"/>
      <c r="CP6" s="15"/>
      <c r="CQ6" s="15"/>
      <c r="CR6" s="15"/>
      <c r="CS6" s="15"/>
      <c r="CT6" s="15"/>
      <c r="CU6" s="15"/>
      <c r="CV6" s="15"/>
      <c r="CW6" s="15"/>
      <c r="CX6" s="15"/>
      <c r="CY6" s="15"/>
      <c r="CZ6" s="15"/>
      <c r="DA6" s="15"/>
      <c r="DB6" s="15"/>
      <c r="DC6" s="15"/>
      <c r="DD6" s="15"/>
      <c r="DE6" s="15"/>
      <c r="DF6" s="15"/>
      <c r="DG6" s="15"/>
      <c r="DH6" s="15"/>
      <c r="DI6" s="15"/>
      <c r="DJ6" s="15"/>
      <c r="DK6" s="15"/>
      <c r="DL6" s="15"/>
      <c r="DM6" s="15"/>
      <c r="DN6" s="15"/>
      <c r="DO6" s="15"/>
      <c r="DP6" s="15"/>
      <c r="DQ6" s="15"/>
      <c r="DR6" s="15"/>
      <c r="DS6" s="15"/>
    </row>
    <row r="7" spans="1:123" ht="13.2">
      <c r="A7" s="34" t="s">
        <v>131</v>
      </c>
      <c r="B7" s="34">
        <v>11</v>
      </c>
      <c r="C7" s="34">
        <v>20</v>
      </c>
      <c r="D7" s="34" t="s">
        <v>591</v>
      </c>
      <c r="E7" s="34" t="b">
        <v>1</v>
      </c>
      <c r="F7" s="34">
        <v>1</v>
      </c>
      <c r="AV7" s="15"/>
      <c r="AW7" s="15"/>
      <c r="AX7" s="15"/>
      <c r="AY7" s="15"/>
      <c r="AZ7" s="15"/>
      <c r="BA7" s="15"/>
      <c r="BO7" s="15"/>
      <c r="BP7" s="15"/>
      <c r="BQ7" s="15"/>
      <c r="BR7" s="15"/>
      <c r="BS7" s="15"/>
      <c r="BT7" s="15"/>
      <c r="BU7" s="15"/>
      <c r="BV7" s="15"/>
      <c r="BW7" s="15"/>
      <c r="BX7" s="15"/>
      <c r="BY7" s="15"/>
      <c r="BZ7" s="15"/>
      <c r="CA7" s="15"/>
      <c r="CB7" s="15"/>
      <c r="CC7" s="15"/>
      <c r="CD7" s="15"/>
      <c r="CE7" s="15"/>
      <c r="CF7" s="15"/>
      <c r="CG7" s="15"/>
      <c r="CH7" s="15"/>
      <c r="CI7" s="15"/>
      <c r="CJ7" s="15"/>
      <c r="CK7" s="15"/>
      <c r="CL7" s="15"/>
      <c r="CM7" s="15"/>
      <c r="CN7" s="15"/>
      <c r="CO7" s="15"/>
      <c r="CP7" s="15"/>
      <c r="CQ7" s="15"/>
      <c r="CR7" s="15"/>
      <c r="CS7" s="15"/>
      <c r="CT7" s="15"/>
      <c r="CU7" s="15"/>
      <c r="CV7" s="15"/>
      <c r="CW7" s="15"/>
      <c r="CX7" s="15"/>
      <c r="CY7" s="15"/>
      <c r="CZ7" s="15"/>
      <c r="DA7" s="15"/>
      <c r="DB7" s="15"/>
      <c r="DC7" s="15"/>
      <c r="DD7" s="15"/>
      <c r="DE7" s="15"/>
      <c r="DF7" s="15"/>
      <c r="DG7" s="15"/>
      <c r="DH7" s="15"/>
      <c r="DI7" s="15"/>
      <c r="DJ7" s="15"/>
      <c r="DK7" s="15"/>
      <c r="DL7" s="15"/>
      <c r="DM7" s="15"/>
      <c r="DN7" s="15"/>
      <c r="DO7" s="15"/>
      <c r="DP7" s="15"/>
      <c r="DQ7" s="15"/>
      <c r="DR7" s="15"/>
      <c r="DS7" s="15"/>
    </row>
    <row r="8" spans="1:123" ht="13.2">
      <c r="A8" s="34" t="s">
        <v>147</v>
      </c>
      <c r="B8" s="34">
        <v>11</v>
      </c>
      <c r="C8" s="34">
        <v>20</v>
      </c>
      <c r="D8" s="34" t="s">
        <v>691</v>
      </c>
      <c r="E8" s="34" t="b">
        <v>1</v>
      </c>
      <c r="F8" s="34">
        <v>1</v>
      </c>
      <c r="AV8" s="15"/>
      <c r="AW8" s="15"/>
      <c r="AX8" s="15"/>
      <c r="AY8" s="15"/>
      <c r="AZ8" s="15"/>
      <c r="BA8" s="15"/>
      <c r="BO8" s="15"/>
      <c r="BP8" s="15"/>
      <c r="BQ8" s="15"/>
      <c r="BR8" s="15"/>
      <c r="BS8" s="15"/>
      <c r="BT8" s="15"/>
      <c r="BU8" s="15"/>
      <c r="BV8" s="15"/>
      <c r="BW8" s="15"/>
      <c r="BX8" s="15"/>
      <c r="BY8" s="15"/>
      <c r="BZ8" s="15"/>
      <c r="CA8" s="15"/>
      <c r="CB8" s="15"/>
      <c r="CC8" s="15"/>
      <c r="CD8" s="15"/>
      <c r="CE8" s="15"/>
      <c r="CF8" s="15"/>
      <c r="CG8" s="15"/>
      <c r="CH8" s="15"/>
      <c r="CI8" s="15"/>
      <c r="CJ8" s="15"/>
      <c r="CK8" s="15"/>
      <c r="CL8" s="15"/>
      <c r="CM8" s="15"/>
      <c r="CN8" s="15"/>
      <c r="CO8" s="15"/>
      <c r="CP8" s="15"/>
      <c r="CQ8" s="15"/>
      <c r="CR8" s="15"/>
      <c r="CS8" s="15"/>
      <c r="CT8" s="15"/>
      <c r="CU8" s="15"/>
      <c r="CV8" s="15"/>
      <c r="CW8" s="15"/>
      <c r="CX8" s="15"/>
      <c r="CY8" s="15"/>
      <c r="CZ8" s="15"/>
      <c r="DA8" s="15"/>
      <c r="DB8" s="15"/>
      <c r="DC8" s="15"/>
      <c r="DD8" s="15"/>
      <c r="DE8" s="15"/>
      <c r="DF8" s="15"/>
      <c r="DG8" s="15"/>
      <c r="DH8" s="15"/>
      <c r="DI8" s="15"/>
      <c r="DJ8" s="15"/>
      <c r="DK8" s="15"/>
      <c r="DL8" s="15"/>
      <c r="DM8" s="15"/>
      <c r="DN8" s="15"/>
      <c r="DO8" s="15"/>
      <c r="DP8" s="15"/>
      <c r="DQ8" s="15"/>
      <c r="DR8" s="15"/>
      <c r="DS8" s="15"/>
    </row>
    <row r="9" spans="1:123" ht="13.2">
      <c r="A9" s="34" t="s">
        <v>148</v>
      </c>
      <c r="B9" s="34">
        <v>11</v>
      </c>
      <c r="C9" s="34">
        <v>20</v>
      </c>
      <c r="D9" s="34" t="s">
        <v>691</v>
      </c>
      <c r="E9" s="34" t="b">
        <v>1</v>
      </c>
      <c r="F9" s="34">
        <v>1</v>
      </c>
      <c r="AV9" s="15"/>
      <c r="AW9" s="15"/>
      <c r="AX9" s="15"/>
      <c r="AY9" s="15"/>
      <c r="AZ9" s="15"/>
      <c r="BA9" s="15"/>
      <c r="BP9" s="15"/>
      <c r="BQ9" s="15"/>
      <c r="BR9" s="15"/>
      <c r="BS9" s="15"/>
      <c r="BT9" s="15"/>
      <c r="BU9" s="15"/>
      <c r="BV9" s="15"/>
      <c r="BW9" s="15"/>
      <c r="BX9" s="16"/>
      <c r="BY9" s="16"/>
      <c r="BZ9" s="16"/>
      <c r="CA9" s="16"/>
      <c r="CB9" s="15"/>
      <c r="CC9" s="15"/>
      <c r="CD9" s="15"/>
      <c r="CE9" s="15"/>
      <c r="CF9" s="15"/>
      <c r="CG9" s="15"/>
      <c r="CH9" s="15"/>
      <c r="CI9" s="15"/>
      <c r="CJ9" s="15"/>
      <c r="CK9" s="15"/>
      <c r="CL9" s="15"/>
      <c r="CM9" s="15"/>
      <c r="CN9" s="15"/>
      <c r="CO9" s="15"/>
      <c r="CP9" s="15"/>
      <c r="CQ9" s="15"/>
      <c r="CR9" s="15"/>
      <c r="CS9" s="15"/>
      <c r="CT9" s="15"/>
      <c r="CU9" s="15"/>
      <c r="CV9" s="15"/>
      <c r="CW9" s="15"/>
      <c r="CX9" s="15"/>
      <c r="CY9" s="15"/>
      <c r="CZ9" s="15"/>
      <c r="DA9" s="15"/>
      <c r="DB9" s="15"/>
      <c r="DC9" s="15"/>
      <c r="DD9" s="15"/>
      <c r="DE9" s="15"/>
      <c r="DF9" s="15"/>
      <c r="DG9" s="15"/>
      <c r="DH9" s="15"/>
      <c r="DI9" s="15"/>
      <c r="DJ9" s="15"/>
      <c r="DK9" s="15"/>
      <c r="DL9" s="15"/>
      <c r="DM9" s="15"/>
      <c r="DN9" s="15"/>
      <c r="DO9" s="15"/>
      <c r="DP9" s="15"/>
      <c r="DQ9" s="15"/>
      <c r="DR9" s="15"/>
      <c r="DS9" s="15"/>
    </row>
    <row r="10" spans="1:123" ht="13.2">
      <c r="A10" s="34" t="s">
        <v>185</v>
      </c>
      <c r="B10" s="34">
        <v>11</v>
      </c>
      <c r="C10" s="34">
        <v>20</v>
      </c>
      <c r="D10" s="34" t="s">
        <v>603</v>
      </c>
      <c r="E10" s="34" t="b">
        <v>1</v>
      </c>
      <c r="F10" s="34">
        <v>2</v>
      </c>
      <c r="AV10" s="17" t="s">
        <v>0</v>
      </c>
      <c r="AW10" s="17" t="s">
        <v>13</v>
      </c>
      <c r="AX10" s="17" t="s">
        <v>93</v>
      </c>
      <c r="AY10" s="17" t="s">
        <v>1</v>
      </c>
      <c r="AZ10" s="17" t="s">
        <v>94</v>
      </c>
      <c r="BA10" s="17" t="s">
        <v>95</v>
      </c>
      <c r="BB10" s="17" t="s">
        <v>96</v>
      </c>
      <c r="BC10" s="17" t="s">
        <v>6</v>
      </c>
      <c r="BD10" s="17" t="s">
        <v>97</v>
      </c>
      <c r="BE10" s="17" t="s">
        <v>98</v>
      </c>
      <c r="BF10" s="17" t="s">
        <v>99</v>
      </c>
      <c r="BG10" s="17" t="s">
        <v>82</v>
      </c>
      <c r="BH10" s="17" t="s">
        <v>100</v>
      </c>
      <c r="BI10" s="17" t="s">
        <v>101</v>
      </c>
      <c r="BJ10" s="17" t="s">
        <v>102</v>
      </c>
      <c r="BK10" s="17" t="s">
        <v>103</v>
      </c>
      <c r="BL10" s="17" t="s">
        <v>104</v>
      </c>
      <c r="BM10" s="17" t="s">
        <v>105</v>
      </c>
      <c r="BN10" t="s">
        <v>106</v>
      </c>
      <c r="BO10" s="17" t="s">
        <v>107</v>
      </c>
      <c r="BP10" s="17" t="s">
        <v>108</v>
      </c>
      <c r="BQ10" s="17" t="s">
        <v>109</v>
      </c>
      <c r="BR10" s="17" t="s">
        <v>110</v>
      </c>
      <c r="BS10" s="17" t="s">
        <v>111</v>
      </c>
      <c r="BT10" s="16" t="s">
        <v>138</v>
      </c>
      <c r="BU10" s="16" t="s">
        <v>139</v>
      </c>
      <c r="BV10" s="16" t="s">
        <v>140</v>
      </c>
      <c r="BW10" s="16" t="s">
        <v>143</v>
      </c>
      <c r="BX10" s="16"/>
      <c r="BY10" s="16"/>
      <c r="BZ10" s="16"/>
      <c r="CA10" s="16" t="s">
        <v>112</v>
      </c>
      <c r="CB10" s="16" t="s">
        <v>0</v>
      </c>
      <c r="CC10" s="16" t="s">
        <v>0</v>
      </c>
      <c r="CD10" s="16" t="s">
        <v>21</v>
      </c>
      <c r="CE10" s="16" t="s">
        <v>112</v>
      </c>
      <c r="CF10" s="16" t="s">
        <v>0</v>
      </c>
      <c r="CG10" s="16" t="s">
        <v>0</v>
      </c>
      <c r="CH10" s="16" t="s">
        <v>21</v>
      </c>
      <c r="CI10" s="16" t="s">
        <v>1</v>
      </c>
      <c r="CJ10" s="16" t="s">
        <v>113</v>
      </c>
      <c r="CK10" s="16"/>
      <c r="CL10" s="16"/>
      <c r="CM10" s="16"/>
      <c r="CN10" s="16"/>
      <c r="CO10" s="16"/>
      <c r="CP10" s="16"/>
      <c r="CQ10" s="16"/>
      <c r="CR10" s="16"/>
      <c r="CS10" s="16"/>
      <c r="CT10" s="16"/>
      <c r="CU10" s="16"/>
      <c r="CV10" s="16"/>
      <c r="CW10" s="16"/>
      <c r="CX10" s="16"/>
      <c r="CY10" s="16"/>
      <c r="CZ10" s="16"/>
      <c r="DA10" s="16"/>
      <c r="DB10" s="16"/>
      <c r="DC10" s="16"/>
      <c r="DD10" s="16"/>
      <c r="DE10" s="16"/>
      <c r="DF10" s="16"/>
      <c r="DG10" s="16"/>
      <c r="DH10" s="16"/>
      <c r="DI10" s="16"/>
      <c r="DJ10" s="16"/>
      <c r="DK10" s="16"/>
      <c r="DL10" s="16"/>
      <c r="DM10" s="16"/>
      <c r="DN10" s="16"/>
      <c r="DO10" s="16"/>
      <c r="DP10" s="16"/>
      <c r="DQ10" s="16"/>
      <c r="DR10" s="16"/>
      <c r="DS10" s="16"/>
    </row>
    <row r="11" spans="1:123" ht="13.2">
      <c r="A11" s="34" t="s">
        <v>153</v>
      </c>
      <c r="B11" s="34">
        <v>11</v>
      </c>
      <c r="C11" s="34">
        <v>20</v>
      </c>
      <c r="D11" s="34" t="s">
        <v>692</v>
      </c>
      <c r="E11" s="34" t="b">
        <v>1</v>
      </c>
      <c r="F11" s="34">
        <v>1</v>
      </c>
      <c r="AV11" t="s">
        <v>1004</v>
      </c>
      <c r="AW11">
        <v>1</v>
      </c>
      <c r="AX11" t="s">
        <v>1005</v>
      </c>
      <c r="AY11" t="s">
        <v>1006</v>
      </c>
      <c r="AZ11">
        <v>1</v>
      </c>
      <c r="BA11">
        <v>3977</v>
      </c>
      <c r="BB11">
        <v>2650</v>
      </c>
      <c r="BC11" t="s">
        <v>983</v>
      </c>
      <c r="BD11" t="s">
        <v>1007</v>
      </c>
      <c r="BE11" t="s">
        <v>1008</v>
      </c>
      <c r="BF11" s="31">
        <v>46244</v>
      </c>
      <c r="BG11">
        <v>4476.2143</v>
      </c>
      <c r="BH11">
        <v>0</v>
      </c>
      <c r="BI11">
        <v>447.6214</v>
      </c>
      <c r="BJ11">
        <v>4892</v>
      </c>
      <c r="BK11">
        <v>-415.7854</v>
      </c>
      <c r="BL11">
        <v>2402.4</v>
      </c>
      <c r="BM11" t="s">
        <v>1009</v>
      </c>
      <c r="BN11" t="s">
        <v>1010</v>
      </c>
      <c r="BO11" t="s">
        <v>1011</v>
      </c>
      <c r="BP11" t="s">
        <v>1012</v>
      </c>
      <c r="BR11" s="21" t="s">
        <v>983</v>
      </c>
      <c r="BS11" s="18" t="s">
        <v>983</v>
      </c>
      <c r="BT11" s="18" t="s">
        <v>1013</v>
      </c>
      <c r="BU11" s="18">
        <v>0</v>
      </c>
      <c r="BV11" s="18" t="s">
        <v>983</v>
      </c>
      <c r="BW11" s="18" t="s">
        <v>983</v>
      </c>
      <c r="BX11" s="18"/>
      <c r="BY11" s="18"/>
      <c r="BZ11" s="18"/>
      <c r="CA11" s="18"/>
      <c r="CB11" s="18"/>
      <c r="CC11" s="18"/>
      <c r="CD11" s="18"/>
      <c r="CE11" s="18" t="s">
        <v>1014</v>
      </c>
      <c r="CF11" s="18" t="s">
        <v>1015</v>
      </c>
      <c r="CG11" s="18" t="s">
        <v>1015</v>
      </c>
      <c r="CH11" s="18" t="s">
        <v>1004</v>
      </c>
      <c r="CI11" s="18" t="s">
        <v>1016</v>
      </c>
      <c r="CJ11" s="18" t="s">
        <v>1006</v>
      </c>
      <c r="CK11" s="18"/>
      <c r="CL11" s="18"/>
      <c r="CM11" s="18"/>
      <c r="CN11" s="18"/>
      <c r="CO11" s="18"/>
      <c r="CP11" s="18"/>
      <c r="CQ11" s="18"/>
      <c r="CR11" s="18"/>
      <c r="CS11" s="18"/>
      <c r="CT11" s="18"/>
      <c r="CU11" s="18"/>
      <c r="CV11" s="18"/>
      <c r="CW11" s="18"/>
      <c r="CX11" s="18"/>
      <c r="CY11" s="18"/>
      <c r="CZ11" s="18"/>
      <c r="DA11" s="18"/>
      <c r="DB11" s="18"/>
      <c r="DC11" s="18"/>
      <c r="DD11" s="18"/>
      <c r="DE11" s="18"/>
      <c r="DF11" s="18"/>
      <c r="DG11" s="18"/>
      <c r="DH11" s="18"/>
      <c r="DI11" s="18"/>
      <c r="DJ11" s="18"/>
      <c r="DK11" s="18"/>
      <c r="DL11" s="18"/>
      <c r="DM11" s="18"/>
      <c r="DN11" s="18"/>
      <c r="DO11" s="18"/>
      <c r="DP11" s="18"/>
      <c r="DQ11" s="18"/>
      <c r="DR11" s="18"/>
      <c r="DS11" s="18"/>
    </row>
    <row r="12" spans="1:123" ht="13.2">
      <c r="A12" s="34" t="s">
        <v>368</v>
      </c>
      <c r="B12" s="34">
        <v>11</v>
      </c>
      <c r="C12" s="34">
        <v>20</v>
      </c>
      <c r="D12" s="34" t="s">
        <v>693</v>
      </c>
      <c r="E12" s="34" t="b">
        <v>1</v>
      </c>
      <c r="F12" s="34">
        <v>1</v>
      </c>
      <c r="BF12" s="31"/>
      <c r="BR12" s="21"/>
      <c r="BS12" s="18"/>
      <c r="BT12" s="18"/>
      <c r="BU12" s="18"/>
      <c r="BV12" s="18"/>
      <c r="BW12" s="18"/>
      <c r="BX12" s="18"/>
      <c r="BY12" s="18"/>
      <c r="BZ12" s="18"/>
      <c r="CA12" s="18"/>
      <c r="CB12" s="18"/>
      <c r="CC12" s="18"/>
      <c r="CD12" s="18"/>
      <c r="CE12" s="18" t="s">
        <v>1017</v>
      </c>
      <c r="CF12" s="18" t="s">
        <v>1018</v>
      </c>
      <c r="CG12" s="18" t="s">
        <v>1018</v>
      </c>
      <c r="CH12" s="22" t="s">
        <v>1004</v>
      </c>
      <c r="CI12" s="18" t="s">
        <v>1019</v>
      </c>
      <c r="CJ12" s="22" t="s">
        <v>1020</v>
      </c>
      <c r="CK12" s="22"/>
      <c r="CL12" s="22"/>
      <c r="CM12" s="18"/>
      <c r="CN12" s="18"/>
      <c r="CO12" s="18"/>
      <c r="CP12" s="18"/>
      <c r="CQ12" s="18"/>
      <c r="CR12" s="18"/>
      <c r="CS12" s="18"/>
      <c r="CT12" s="18"/>
      <c r="CU12" s="18"/>
      <c r="CV12" s="18"/>
      <c r="CW12" s="18"/>
      <c r="CX12" s="18"/>
      <c r="CY12" s="18"/>
      <c r="CZ12" s="18"/>
      <c r="DA12" s="18"/>
      <c r="DB12" s="18"/>
      <c r="DC12" s="18"/>
      <c r="DD12" s="18"/>
      <c r="DE12" s="18"/>
      <c r="DF12" s="18"/>
      <c r="DG12" s="18"/>
      <c r="DH12" s="18"/>
      <c r="DI12" s="18"/>
      <c r="DJ12" s="18"/>
      <c r="DK12" s="18"/>
      <c r="DL12" s="18"/>
      <c r="DM12" s="18"/>
      <c r="DN12" s="18"/>
      <c r="DO12" s="18"/>
      <c r="DP12" s="18"/>
      <c r="DQ12" s="18"/>
      <c r="DR12" s="18"/>
      <c r="DS12" s="18"/>
    </row>
    <row r="13" spans="1:123" ht="13.2">
      <c r="A13" s="34" t="s">
        <v>367</v>
      </c>
      <c r="B13" s="34">
        <v>11</v>
      </c>
      <c r="C13" s="34">
        <v>20</v>
      </c>
      <c r="D13" s="34" t="s">
        <v>592</v>
      </c>
      <c r="E13" s="34" t="b">
        <v>1</v>
      </c>
      <c r="F13" s="34">
        <v>1</v>
      </c>
      <c r="BF13" s="31"/>
      <c r="BR13" s="21"/>
      <c r="BS13" s="18"/>
      <c r="BT13" s="18"/>
      <c r="BU13" s="18"/>
      <c r="BV13" s="18"/>
      <c r="BW13" s="18"/>
      <c r="BX13" s="18"/>
      <c r="BY13" s="18"/>
      <c r="BZ13" s="18"/>
      <c r="CA13" s="18"/>
      <c r="CB13" s="18"/>
      <c r="CC13" s="18"/>
      <c r="CD13" s="18"/>
      <c r="CE13" s="18" t="s">
        <v>1021</v>
      </c>
      <c r="CF13" s="18" t="s">
        <v>1022</v>
      </c>
      <c r="CG13" s="18" t="s">
        <v>1022</v>
      </c>
      <c r="CH13" s="22" t="s">
        <v>1004</v>
      </c>
      <c r="CI13" s="18" t="s">
        <v>1023</v>
      </c>
      <c r="CJ13" s="22" t="s">
        <v>1024</v>
      </c>
      <c r="CK13" s="22"/>
      <c r="CL13" s="22"/>
      <c r="CM13" s="18"/>
      <c r="CN13" s="18"/>
      <c r="CO13" s="18"/>
      <c r="CP13" s="18"/>
      <c r="CQ13" s="18"/>
      <c r="CR13" s="18"/>
      <c r="CS13" s="18"/>
      <c r="CT13" s="18"/>
      <c r="CU13" s="18"/>
      <c r="CV13" s="18"/>
      <c r="CW13" s="18"/>
      <c r="CX13" s="18"/>
      <c r="CY13" s="18"/>
      <c r="CZ13" s="18"/>
      <c r="DA13" s="18"/>
      <c r="DB13" s="18"/>
      <c r="DC13" s="18"/>
      <c r="DD13" s="18"/>
      <c r="DE13" s="18"/>
      <c r="DF13" s="18"/>
      <c r="DG13" s="18"/>
      <c r="DH13" s="18"/>
      <c r="DI13" s="18"/>
      <c r="DJ13" s="18"/>
      <c r="DK13" s="18"/>
      <c r="DL13" s="18"/>
      <c r="DM13" s="18"/>
      <c r="DN13" s="18"/>
      <c r="DO13" s="18"/>
      <c r="DP13" s="18"/>
      <c r="DQ13" s="18"/>
      <c r="DR13" s="18"/>
      <c r="DS13" s="18"/>
    </row>
    <row r="14" spans="1:123" ht="13.2">
      <c r="A14" s="34" t="s">
        <v>958</v>
      </c>
      <c r="B14" s="34">
        <v>11</v>
      </c>
      <c r="C14" s="34">
        <v>20</v>
      </c>
      <c r="D14" s="34" t="s">
        <v>691</v>
      </c>
      <c r="E14" s="34" t="b">
        <v>1</v>
      </c>
      <c r="F14" s="34">
        <v>1</v>
      </c>
      <c r="BF14" s="31"/>
      <c r="BR14" s="21"/>
      <c r="BS14" s="18"/>
      <c r="BT14" s="18"/>
      <c r="BU14" s="18"/>
      <c r="BV14" s="18"/>
      <c r="BW14" s="18"/>
      <c r="BX14" s="18"/>
      <c r="BY14" s="18"/>
      <c r="BZ14" s="18"/>
      <c r="CA14" s="18"/>
      <c r="CB14" s="18"/>
      <c r="CC14" s="18"/>
      <c r="CD14" s="18"/>
      <c r="CE14" s="18" t="s">
        <v>1025</v>
      </c>
      <c r="CF14" s="18" t="s">
        <v>1026</v>
      </c>
      <c r="CG14" s="18" t="s">
        <v>1026</v>
      </c>
      <c r="CH14" s="22" t="s">
        <v>1004</v>
      </c>
      <c r="CI14" s="18" t="s">
        <v>1027</v>
      </c>
      <c r="CJ14" s="22" t="s">
        <v>1028</v>
      </c>
      <c r="CK14" s="22"/>
      <c r="CL14" s="22"/>
      <c r="CM14" s="18"/>
      <c r="CN14" s="18"/>
      <c r="CO14" s="18"/>
      <c r="CP14" s="18"/>
      <c r="CQ14" s="18"/>
      <c r="CR14" s="18"/>
      <c r="CS14" s="18"/>
      <c r="CT14" s="18"/>
      <c r="CU14" s="18"/>
      <c r="CV14" s="18"/>
      <c r="CW14" s="18"/>
      <c r="CX14" s="18"/>
      <c r="CY14" s="18"/>
      <c r="CZ14" s="18"/>
      <c r="DA14" s="18"/>
      <c r="DB14" s="18"/>
      <c r="DC14" s="18"/>
      <c r="DD14" s="18"/>
      <c r="DE14" s="18"/>
      <c r="DF14" s="18"/>
      <c r="DG14" s="18"/>
      <c r="DH14" s="18"/>
      <c r="DI14" s="18"/>
      <c r="DJ14" s="18"/>
      <c r="DK14" s="18"/>
      <c r="DL14" s="18"/>
      <c r="DM14" s="18"/>
      <c r="DN14" s="18"/>
      <c r="DO14" s="18"/>
      <c r="DP14" s="18"/>
      <c r="DQ14" s="18"/>
      <c r="DR14" s="18"/>
      <c r="DS14" s="18"/>
    </row>
    <row r="15" spans="1:123" ht="13.2">
      <c r="A15" s="34" t="s">
        <v>406</v>
      </c>
      <c r="B15" s="34">
        <v>26</v>
      </c>
      <c r="C15" s="34">
        <v>40</v>
      </c>
      <c r="D15" s="34" t="s">
        <v>407</v>
      </c>
      <c r="E15" s="34" t="b">
        <v>1</v>
      </c>
      <c r="F15" s="34">
        <v>1</v>
      </c>
      <c r="BF15" s="31"/>
      <c r="BR15" s="21"/>
      <c r="BS15" s="18"/>
      <c r="BT15" s="22"/>
      <c r="BU15" s="22"/>
      <c r="BV15" s="18"/>
      <c r="BW15" s="18"/>
      <c r="BX15" s="18"/>
      <c r="BY15" s="18"/>
      <c r="BZ15" s="18"/>
      <c r="CA15" s="18"/>
      <c r="CB15" s="18"/>
      <c r="CC15" s="18"/>
      <c r="CD15" s="18"/>
      <c r="CE15" s="18" t="s">
        <v>1029</v>
      </c>
      <c r="CF15" s="18" t="s">
        <v>1030</v>
      </c>
      <c r="CG15" s="18" t="s">
        <v>1030</v>
      </c>
      <c r="CH15" s="18" t="s">
        <v>1004</v>
      </c>
      <c r="CI15" s="18" t="s">
        <v>1031</v>
      </c>
      <c r="CJ15" s="18" t="s">
        <v>1032</v>
      </c>
      <c r="CK15" s="22"/>
      <c r="CL15" s="18"/>
      <c r="CM15" s="22"/>
      <c r="CN15" s="22"/>
      <c r="CO15" s="22"/>
      <c r="CP15" s="18"/>
      <c r="CQ15" s="18"/>
      <c r="CR15" s="18"/>
      <c r="CS15" s="18"/>
      <c r="CT15" s="18"/>
      <c r="CU15" s="18"/>
      <c r="CV15" s="18"/>
      <c r="CW15" s="18"/>
      <c r="CX15" s="18"/>
      <c r="CY15" s="18"/>
      <c r="CZ15" s="18"/>
      <c r="DA15" s="18"/>
      <c r="DB15" s="18"/>
      <c r="DC15" s="18"/>
      <c r="DD15" s="18"/>
      <c r="DE15" s="18"/>
      <c r="DF15" s="18"/>
      <c r="DG15" s="18"/>
      <c r="DH15" s="18"/>
      <c r="DI15" s="18"/>
      <c r="DJ15" s="18"/>
      <c r="DK15" s="18"/>
      <c r="DL15" s="18"/>
      <c r="DM15" s="18"/>
      <c r="DN15" s="18"/>
      <c r="DO15" s="18"/>
      <c r="DP15" s="18"/>
      <c r="DQ15" s="18"/>
      <c r="DR15" s="18"/>
      <c r="DS15" s="18"/>
    </row>
    <row r="16" spans="1:123" ht="13.2">
      <c r="A16" s="34" t="s">
        <v>353</v>
      </c>
      <c r="B16" s="34">
        <v>11</v>
      </c>
      <c r="C16" s="34">
        <v>20</v>
      </c>
      <c r="D16" s="34" t="s">
        <v>363</v>
      </c>
      <c r="E16" s="34" t="b">
        <v>1</v>
      </c>
      <c r="F16" s="34">
        <v>1</v>
      </c>
      <c r="BF16" s="31"/>
      <c r="BR16" s="21"/>
      <c r="BS16" s="18"/>
      <c r="BT16" s="22"/>
      <c r="BU16" s="22"/>
      <c r="BV16" s="18"/>
      <c r="BW16" s="18"/>
      <c r="BX16" s="18"/>
      <c r="BY16" s="18"/>
      <c r="BZ16" s="18"/>
      <c r="CA16" s="18"/>
      <c r="CB16" s="18"/>
      <c r="CC16" s="18"/>
      <c r="CD16" s="18"/>
      <c r="CE16" s="18" t="s">
        <v>1033</v>
      </c>
      <c r="CF16" s="18" t="s">
        <v>1034</v>
      </c>
      <c r="CG16" s="18" t="s">
        <v>1034</v>
      </c>
      <c r="CH16" s="18" t="s">
        <v>1004</v>
      </c>
      <c r="CI16" s="18" t="s">
        <v>1035</v>
      </c>
      <c r="CJ16" s="18" t="s">
        <v>177</v>
      </c>
      <c r="CK16" s="22"/>
      <c r="CL16" s="18"/>
      <c r="CM16" s="22"/>
      <c r="CN16" s="22"/>
      <c r="CO16" s="22"/>
      <c r="CP16" s="18"/>
      <c r="CQ16" s="18"/>
      <c r="CR16" s="18"/>
      <c r="CS16" s="18"/>
      <c r="CT16" s="18"/>
      <c r="CU16" s="18"/>
      <c r="CV16" s="18"/>
      <c r="CW16" s="18"/>
      <c r="CX16" s="18"/>
      <c r="CY16" s="18"/>
      <c r="CZ16" s="18"/>
      <c r="DA16" s="18"/>
      <c r="DB16" s="18"/>
      <c r="DC16" s="18"/>
      <c r="DD16" s="18"/>
      <c r="DE16" s="18"/>
      <c r="DF16" s="18"/>
      <c r="DG16" s="18"/>
      <c r="DH16" s="18"/>
      <c r="DI16" s="18"/>
      <c r="DJ16" s="18"/>
      <c r="DK16" s="18"/>
      <c r="DL16" s="18"/>
      <c r="DM16" s="18"/>
      <c r="DN16" s="18"/>
      <c r="DO16" s="18"/>
      <c r="DP16" s="18"/>
      <c r="DQ16" s="18"/>
      <c r="DR16" s="18"/>
      <c r="DS16" s="18"/>
    </row>
    <row r="17" spans="1:123" ht="13.2">
      <c r="A17" s="34" t="s">
        <v>132</v>
      </c>
      <c r="B17" s="34">
        <v>11</v>
      </c>
      <c r="C17" s="34">
        <v>20</v>
      </c>
      <c r="D17" s="34" t="s">
        <v>133</v>
      </c>
      <c r="E17" s="34" t="b">
        <v>0</v>
      </c>
      <c r="F17" s="34">
        <v>3</v>
      </c>
      <c r="BF17" s="31"/>
      <c r="BR17" s="21"/>
      <c r="BS17" s="18"/>
      <c r="BT17" s="18"/>
      <c r="BU17" s="18"/>
      <c r="BV17" s="18"/>
      <c r="BW17" s="18"/>
      <c r="BX17" s="18"/>
      <c r="BY17" s="18"/>
      <c r="BZ17" s="18"/>
      <c r="CA17" s="18"/>
      <c r="CB17" s="18"/>
      <c r="CC17" s="18"/>
      <c r="CD17" s="18"/>
      <c r="CE17" s="18" t="s">
        <v>1036</v>
      </c>
      <c r="CF17" s="18" t="s">
        <v>1037</v>
      </c>
      <c r="CG17" s="18" t="s">
        <v>1037</v>
      </c>
      <c r="CH17" s="18" t="s">
        <v>1004</v>
      </c>
      <c r="CI17" s="18" t="s">
        <v>1038</v>
      </c>
      <c r="CJ17" s="18" t="s">
        <v>177</v>
      </c>
      <c r="CK17" s="45"/>
      <c r="CL17" s="18"/>
      <c r="CM17" s="22"/>
      <c r="CN17" s="22"/>
      <c r="CO17" s="22"/>
      <c r="CP17" s="18"/>
      <c r="CQ17" s="18"/>
      <c r="CR17" s="18"/>
      <c r="CS17" s="18"/>
      <c r="CT17" s="18"/>
      <c r="CU17" s="18"/>
      <c r="CV17" s="18"/>
      <c r="CW17" s="18"/>
      <c r="CX17" s="18"/>
      <c r="CY17" s="18"/>
      <c r="CZ17" s="18"/>
      <c r="DA17" s="18"/>
      <c r="DB17" s="18"/>
      <c r="DC17" s="18"/>
      <c r="DD17" s="18"/>
      <c r="DE17" s="18"/>
      <c r="DF17" s="18"/>
      <c r="DG17" s="18"/>
      <c r="DH17" s="18"/>
      <c r="DI17" s="18"/>
      <c r="DJ17" s="18"/>
      <c r="DK17" s="18"/>
      <c r="DL17" s="18"/>
      <c r="DM17" s="18"/>
      <c r="DN17" s="18"/>
      <c r="DO17" s="18"/>
      <c r="DP17" s="18"/>
      <c r="DQ17" s="18"/>
      <c r="DR17" s="18"/>
      <c r="DS17" s="18"/>
    </row>
    <row r="18" spans="1:123" ht="13.2">
      <c r="A18" s="34" t="s">
        <v>583</v>
      </c>
      <c r="B18" s="34">
        <v>5</v>
      </c>
      <c r="C18" s="34">
        <v>14</v>
      </c>
      <c r="D18" s="34" t="s">
        <v>781</v>
      </c>
      <c r="E18" s="34" t="b">
        <v>0</v>
      </c>
      <c r="F18" s="34">
        <v>0</v>
      </c>
      <c r="BF18" s="31"/>
      <c r="BR18" s="21"/>
      <c r="BS18" s="18"/>
      <c r="BT18" s="18"/>
      <c r="BU18" s="18"/>
      <c r="BV18" s="18"/>
      <c r="BW18" s="18"/>
      <c r="BX18" s="18"/>
      <c r="BY18" s="18"/>
      <c r="BZ18" s="18"/>
      <c r="CA18" s="18"/>
      <c r="CB18" s="18"/>
      <c r="CC18" s="18"/>
      <c r="CD18" s="18"/>
      <c r="CE18" s="18" t="s">
        <v>1039</v>
      </c>
      <c r="CF18" s="18" t="s">
        <v>1040</v>
      </c>
      <c r="CG18" s="18" t="s">
        <v>1040</v>
      </c>
      <c r="CH18" s="18" t="s">
        <v>1004</v>
      </c>
      <c r="CI18" s="18" t="s">
        <v>1041</v>
      </c>
      <c r="CJ18" s="18" t="s">
        <v>1042</v>
      </c>
      <c r="CK18" s="45"/>
      <c r="CL18" s="18"/>
      <c r="CM18" s="22"/>
      <c r="CN18" s="22"/>
      <c r="CO18" s="22"/>
      <c r="CP18" s="18"/>
      <c r="CQ18" s="18"/>
      <c r="CR18" s="18"/>
      <c r="CS18" s="18"/>
      <c r="CT18" s="18"/>
      <c r="CU18" s="18"/>
      <c r="CV18" s="18"/>
      <c r="CW18" s="18"/>
      <c r="CX18" s="18"/>
      <c r="CY18" s="18"/>
      <c r="CZ18" s="18"/>
      <c r="DA18" s="18"/>
      <c r="DB18" s="18"/>
      <c r="DC18" s="18"/>
      <c r="DD18" s="18"/>
      <c r="DE18" s="18"/>
      <c r="DF18" s="18"/>
      <c r="DG18" s="18"/>
      <c r="DH18" s="18"/>
      <c r="DI18" s="18"/>
      <c r="DJ18" s="18"/>
      <c r="DK18" s="18"/>
      <c r="DL18" s="18"/>
      <c r="DM18" s="18"/>
      <c r="DN18" s="18"/>
      <c r="DO18" s="18"/>
      <c r="DP18" s="18"/>
      <c r="DQ18" s="18"/>
      <c r="DR18" s="18"/>
      <c r="DS18" s="18"/>
    </row>
    <row r="19" spans="1:123" ht="13.2">
      <c r="A19" s="34" t="s">
        <v>204</v>
      </c>
      <c r="B19" s="34">
        <v>0</v>
      </c>
      <c r="C19" s="34">
        <v>0</v>
      </c>
      <c r="D19" s="34" t="s">
        <v>205</v>
      </c>
      <c r="E19" s="34" t="b">
        <v>0</v>
      </c>
      <c r="F19" s="34">
        <v>0</v>
      </c>
      <c r="BF19" s="31"/>
      <c r="BR19" s="21"/>
      <c r="BS19" s="18"/>
      <c r="BT19" s="18"/>
      <c r="BU19" s="18"/>
      <c r="BV19" s="18"/>
      <c r="BW19" s="18"/>
      <c r="BX19" s="18"/>
      <c r="BY19" s="18"/>
      <c r="BZ19" s="18"/>
      <c r="CA19" s="18"/>
      <c r="CB19" s="18"/>
      <c r="CC19" s="18"/>
      <c r="CD19" s="18"/>
      <c r="CE19" s="18" t="s">
        <v>1043</v>
      </c>
      <c r="CF19" s="18" t="s">
        <v>1044</v>
      </c>
      <c r="CG19" s="18" t="s">
        <v>1044</v>
      </c>
      <c r="CH19" s="18" t="s">
        <v>1004</v>
      </c>
      <c r="CI19" s="18" t="s">
        <v>1045</v>
      </c>
      <c r="CJ19" s="18" t="s">
        <v>587</v>
      </c>
      <c r="CK19" s="18">
        <v>503.2539</v>
      </c>
      <c r="CL19" s="18"/>
      <c r="CM19" s="18"/>
      <c r="CN19" s="18"/>
      <c r="CO19" s="18"/>
      <c r="CP19" s="18"/>
      <c r="CQ19" s="18"/>
      <c r="CR19" s="18"/>
      <c r="CS19" s="18"/>
      <c r="CT19" s="18"/>
      <c r="CU19" s="18"/>
      <c r="CV19" s="18"/>
      <c r="CW19" s="18"/>
      <c r="CX19" s="18"/>
      <c r="CY19" s="18"/>
      <c r="CZ19" s="18"/>
      <c r="DA19" s="18"/>
      <c r="DB19" s="18"/>
      <c r="DC19" s="18"/>
      <c r="DD19" s="18"/>
      <c r="DE19" s="18"/>
      <c r="DF19" s="18"/>
      <c r="DG19" s="18"/>
      <c r="DH19" s="18"/>
      <c r="DI19" s="18"/>
      <c r="DJ19" s="18"/>
      <c r="DK19" s="18"/>
      <c r="DL19" s="18"/>
      <c r="DM19" s="18"/>
      <c r="DN19" s="18"/>
      <c r="DO19" s="18"/>
      <c r="DP19" s="18"/>
      <c r="DQ19" s="18"/>
      <c r="DR19" s="18"/>
      <c r="DS19" s="18"/>
    </row>
    <row r="20" spans="1:123" ht="13.2">
      <c r="A20" s="34" t="s">
        <v>206</v>
      </c>
      <c r="B20" s="34">
        <v>0</v>
      </c>
      <c r="C20" s="34">
        <v>0</v>
      </c>
      <c r="D20" s="34" t="s">
        <v>205</v>
      </c>
      <c r="E20" s="34" t="b">
        <v>0</v>
      </c>
      <c r="F20" s="34">
        <v>0</v>
      </c>
      <c r="BF20" s="31"/>
      <c r="BR20" s="21"/>
      <c r="BS20" s="18"/>
      <c r="BT20" s="18"/>
      <c r="BU20" s="18"/>
      <c r="BV20" s="18"/>
      <c r="BW20" s="18"/>
      <c r="BX20" s="18"/>
      <c r="BY20" s="18"/>
      <c r="BZ20" s="18"/>
      <c r="CA20" s="18"/>
      <c r="CB20" s="18"/>
      <c r="CC20" s="18"/>
      <c r="CD20" s="18"/>
      <c r="CE20" s="18" t="s">
        <v>1046</v>
      </c>
      <c r="CF20" s="18" t="s">
        <v>1047</v>
      </c>
      <c r="CG20" s="18" t="s">
        <v>1047</v>
      </c>
      <c r="CH20" s="18" t="s">
        <v>1004</v>
      </c>
      <c r="CI20" s="18" t="s">
        <v>1048</v>
      </c>
      <c r="CJ20" s="18" t="s">
        <v>950</v>
      </c>
      <c r="CK20" s="18"/>
      <c r="CL20" s="18"/>
      <c r="CM20" s="18"/>
      <c r="CN20" s="18"/>
      <c r="CO20" s="18"/>
      <c r="CP20" s="18"/>
      <c r="CQ20" s="18"/>
      <c r="CR20" s="18"/>
      <c r="CS20" s="18"/>
      <c r="CT20" s="18"/>
      <c r="CU20" s="18"/>
      <c r="CV20" s="18"/>
      <c r="CW20" s="18"/>
      <c r="CX20" s="18"/>
      <c r="CY20" s="18"/>
      <c r="CZ20" s="18"/>
      <c r="DA20" s="18"/>
      <c r="DB20" s="18"/>
      <c r="DC20" s="18"/>
      <c r="DD20" s="18"/>
      <c r="DE20" s="18"/>
      <c r="DF20" s="18"/>
      <c r="DG20" s="18"/>
      <c r="DH20" s="18"/>
      <c r="DI20" s="18"/>
      <c r="DJ20" s="18"/>
      <c r="DK20" s="18"/>
      <c r="DL20" s="18"/>
      <c r="DM20" s="18"/>
      <c r="DN20" s="18"/>
      <c r="DO20" s="18"/>
      <c r="DP20" s="18"/>
      <c r="DQ20" s="18"/>
      <c r="DR20" s="18"/>
      <c r="DS20" s="18"/>
    </row>
    <row r="21" spans="1:123" ht="13.2">
      <c r="A21" s="34"/>
      <c r="B21" s="34"/>
      <c r="C21" s="34"/>
      <c r="D21" s="34"/>
      <c r="E21" s="34"/>
      <c r="F21" s="34"/>
      <c r="BF21" s="31"/>
      <c r="BR21" s="21"/>
      <c r="BS21" s="18"/>
      <c r="BT21" s="18"/>
      <c r="BU21" s="18"/>
      <c r="BV21" s="18"/>
      <c r="BW21" s="18"/>
      <c r="BX21" s="18"/>
      <c r="BY21" s="18"/>
      <c r="BZ21" s="18"/>
      <c r="CA21" s="18"/>
      <c r="CB21" s="18"/>
      <c r="CC21" s="18"/>
      <c r="CD21" s="18"/>
      <c r="CE21" s="18" t="s">
        <v>1049</v>
      </c>
      <c r="CF21" s="18" t="s">
        <v>1050</v>
      </c>
      <c r="CG21" s="18" t="s">
        <v>1050</v>
      </c>
      <c r="CH21" s="18" t="s">
        <v>1004</v>
      </c>
      <c r="CI21" s="18" t="s">
        <v>1051</v>
      </c>
      <c r="CJ21" s="18" t="s">
        <v>1052</v>
      </c>
      <c r="CK21" s="18">
        <v>118.9509</v>
      </c>
      <c r="CL21" s="18"/>
      <c r="CM21" s="18"/>
      <c r="CN21" s="18"/>
      <c r="CO21" s="18"/>
      <c r="CP21" s="18"/>
      <c r="CQ21" s="18"/>
      <c r="CR21" s="18"/>
      <c r="CS21" s="18"/>
      <c r="CT21" s="18"/>
      <c r="CU21" s="18"/>
      <c r="CV21" s="18"/>
      <c r="CW21" s="18"/>
      <c r="CX21" s="18"/>
      <c r="CY21" s="18"/>
      <c r="CZ21" s="18"/>
      <c r="DA21" s="18"/>
      <c r="DB21" s="18"/>
      <c r="DC21" s="18"/>
      <c r="DD21" s="18"/>
      <c r="DE21" s="18"/>
      <c r="DF21" s="18"/>
      <c r="DG21" s="18"/>
      <c r="DH21" s="18"/>
      <c r="DI21" s="18"/>
      <c r="DJ21" s="18"/>
      <c r="DK21" s="18"/>
      <c r="DL21" s="18"/>
      <c r="DM21" s="18"/>
      <c r="DN21" s="18"/>
      <c r="DO21" s="18"/>
      <c r="DP21" s="18"/>
      <c r="DQ21" s="18"/>
      <c r="DR21" s="18"/>
      <c r="DS21" s="18"/>
    </row>
    <row r="22" spans="48:89" ht="13.2">
      <c r="BF22" s="31"/>
      <c r="BR22" s="21"/>
      <c r="CE22" t="s">
        <v>1053</v>
      </c>
      <c r="CF22" t="s">
        <v>1054</v>
      </c>
      <c r="CG22" t="s">
        <v>1054</v>
      </c>
      <c r="CH22" t="s">
        <v>1004</v>
      </c>
      <c r="CI22" t="s">
        <v>1055</v>
      </c>
      <c r="CJ22" t="s">
        <v>1056</v>
      </c>
      <c r="CK22">
        <v>973.5674</v>
      </c>
    </row>
    <row r="23" spans="48:88" ht="13.2">
      <c r="BF23" s="31"/>
      <c r="CE23" t="s">
        <v>1057</v>
      </c>
      <c r="CF23" t="s">
        <v>1058</v>
      </c>
      <c r="CG23" t="s">
        <v>1058</v>
      </c>
      <c r="CH23" t="s">
        <v>1004</v>
      </c>
      <c r="CI23" t="s">
        <v>1059</v>
      </c>
      <c r="CJ23" t="s">
        <v>1060</v>
      </c>
    </row>
    <row r="24" spans="48:88" ht="13.2">
      <c r="BF24" s="31"/>
      <c r="CE24" t="s">
        <v>1061</v>
      </c>
      <c r="CF24" t="s">
        <v>1062</v>
      </c>
      <c r="CG24" t="s">
        <v>1062</v>
      </c>
      <c r="CH24" t="s">
        <v>1004</v>
      </c>
      <c r="CI24" t="s">
        <v>1063</v>
      </c>
      <c r="CJ24" t="s">
        <v>1064</v>
      </c>
    </row>
    <row r="25" spans="48:88" ht="13.2">
      <c r="BF25" s="31"/>
      <c r="CE25" t="s">
        <v>1065</v>
      </c>
      <c r="CF25" t="s">
        <v>1066</v>
      </c>
      <c r="CG25" t="s">
        <v>1066</v>
      </c>
      <c r="CH25" t="s">
        <v>1004</v>
      </c>
      <c r="CI25" t="s">
        <v>1067</v>
      </c>
      <c r="CJ25" t="s">
        <v>1060</v>
      </c>
    </row>
    <row r="26" spans="48:88" ht="13.2">
      <c r="BF26" s="31"/>
      <c r="CE26" t="s">
        <v>1068</v>
      </c>
      <c r="CF26" t="s">
        <v>1069</v>
      </c>
      <c r="CG26" t="s">
        <v>1069</v>
      </c>
      <c r="CH26" t="s">
        <v>1004</v>
      </c>
      <c r="CI26" t="s">
        <v>1070</v>
      </c>
      <c r="CJ26" t="s">
        <v>1064</v>
      </c>
    </row>
    <row r="27" spans="48:88" ht="22.8">
      <c r="AX27" s="18"/>
      <c r="AY27" s="18"/>
      <c r="AZ27" s="33"/>
      <c r="BA27" s="18"/>
      <c r="BF27" s="31"/>
      <c r="CE27" t="s">
        <v>1071</v>
      </c>
      <c r="CF27" t="s">
        <v>1072</v>
      </c>
      <c r="CG27" t="s">
        <v>1072</v>
      </c>
      <c r="CH27" t="s">
        <v>1004</v>
      </c>
      <c r="CI27" t="s">
        <v>1073</v>
      </c>
      <c r="CJ27" t="s">
        <v>1060</v>
      </c>
    </row>
    <row r="28" spans="48:88" ht="22.8">
      <c r="AX28" s="18"/>
      <c r="AY28" s="18"/>
      <c r="AZ28" s="33"/>
      <c r="BF28" s="31"/>
      <c r="CE28" t="s">
        <v>1074</v>
      </c>
      <c r="CF28" t="s">
        <v>1075</v>
      </c>
      <c r="CG28" t="s">
        <v>1075</v>
      </c>
      <c r="CH28" t="s">
        <v>1004</v>
      </c>
      <c r="CI28" t="s">
        <v>1076</v>
      </c>
      <c r="CJ28" t="s">
        <v>1064</v>
      </c>
    </row>
    <row r="29" spans="48:88" ht="13.2">
      <c r="BF29" s="31"/>
      <c r="CE29" t="s">
        <v>1077</v>
      </c>
      <c r="CF29" t="s">
        <v>1078</v>
      </c>
      <c r="CG29" t="s">
        <v>1078</v>
      </c>
      <c r="CH29" t="s">
        <v>1004</v>
      </c>
      <c r="CI29" t="s">
        <v>1079</v>
      </c>
      <c r="CJ29" t="s">
        <v>1080</v>
      </c>
    </row>
    <row r="30" spans="48:88" ht="13.2">
      <c r="BF30" s="31"/>
      <c r="CE30" t="s">
        <v>1081</v>
      </c>
      <c r="CF30" t="s">
        <v>1082</v>
      </c>
      <c r="CG30" t="s">
        <v>1082</v>
      </c>
      <c r="CH30" t="s">
        <v>1004</v>
      </c>
      <c r="CI30" t="s">
        <v>1083</v>
      </c>
      <c r="CJ30" t="s">
        <v>935</v>
      </c>
    </row>
    <row r="31" spans="48:88" ht="13.2">
      <c r="BF31" s="31"/>
      <c r="CE31" t="s">
        <v>1084</v>
      </c>
      <c r="CF31" t="s">
        <v>1085</v>
      </c>
      <c r="CG31" t="s">
        <v>1085</v>
      </c>
      <c r="CH31" t="s">
        <v>1004</v>
      </c>
      <c r="CI31" t="s">
        <v>1086</v>
      </c>
      <c r="CJ31" t="s">
        <v>178</v>
      </c>
    </row>
    <row r="32" spans="48:89" ht="13.2">
      <c r="BF32" s="31"/>
      <c r="CE32" t="s">
        <v>1087</v>
      </c>
      <c r="CF32" t="s">
        <v>1088</v>
      </c>
      <c r="CG32" t="s">
        <v>1088</v>
      </c>
      <c r="CH32" t="s">
        <v>1004</v>
      </c>
      <c r="CI32" t="s">
        <v>1089</v>
      </c>
      <c r="CJ32" t="s">
        <v>1090</v>
      </c>
      <c r="CK32">
        <v>137.2511</v>
      </c>
    </row>
    <row r="33" spans="48:88" ht="13.2">
      <c r="CE33" t="s">
        <v>1091</v>
      </c>
      <c r="CF33" t="s">
        <v>1092</v>
      </c>
      <c r="CG33" t="s">
        <v>1092</v>
      </c>
      <c r="CH33" t="s">
        <v>1004</v>
      </c>
      <c r="CI33" t="s">
        <v>1093</v>
      </c>
      <c r="CJ33" t="s">
        <v>1094</v>
      </c>
    </row>
    <row r="34" spans="48:88" ht="13.2">
      <c r="CE34" t="s">
        <v>1095</v>
      </c>
      <c r="CF34" t="s">
        <v>1096</v>
      </c>
      <c r="CG34" t="s">
        <v>1096</v>
      </c>
      <c r="CH34" t="s">
        <v>1004</v>
      </c>
      <c r="CI34" t="s">
        <v>1097</v>
      </c>
      <c r="CJ34" t="s">
        <v>1098</v>
      </c>
    </row>
    <row r="35" spans="48:88" ht="13.2">
      <c r="CE35" t="s">
        <v>1099</v>
      </c>
      <c r="CF35" t="s">
        <v>1100</v>
      </c>
      <c r="CG35" t="s">
        <v>1100</v>
      </c>
      <c r="CH35" t="s">
        <v>1004</v>
      </c>
      <c r="CI35" t="s">
        <v>1101</v>
      </c>
      <c r="CJ35" t="s">
        <v>178</v>
      </c>
    </row>
    <row r="36" spans="48:88" ht="13.2">
      <c r="CE36" t="s">
        <v>1102</v>
      </c>
      <c r="CF36" t="s">
        <v>1103</v>
      </c>
      <c r="CG36" t="s">
        <v>1103</v>
      </c>
      <c r="CH36" t="s">
        <v>1004</v>
      </c>
      <c r="CI36" t="s">
        <v>1104</v>
      </c>
      <c r="CJ36" t="s">
        <v>178</v>
      </c>
    </row>
    <row r="37" spans="48:89" ht="13.2">
      <c r="CE37" t="s">
        <v>1105</v>
      </c>
      <c r="CF37" t="s">
        <v>1106</v>
      </c>
      <c r="CG37" t="s">
        <v>1106</v>
      </c>
      <c r="CH37" t="s">
        <v>1004</v>
      </c>
      <c r="CI37" t="s">
        <v>1107</v>
      </c>
      <c r="CJ37" t="s">
        <v>203</v>
      </c>
      <c r="CK37">
        <v>237.9018</v>
      </c>
    </row>
    <row r="38" spans="48:88" ht="13.2">
      <c r="CE38" t="s">
        <v>1108</v>
      </c>
      <c r="CF38" t="s">
        <v>1109</v>
      </c>
      <c r="CG38" t="s">
        <v>1109</v>
      </c>
      <c r="CH38" t="s">
        <v>1004</v>
      </c>
      <c r="CI38" t="s">
        <v>1110</v>
      </c>
      <c r="CJ38" t="s">
        <v>1042</v>
      </c>
    </row>
    <row r="39" spans="48:88" ht="13.2">
      <c r="CE39" t="s">
        <v>1111</v>
      </c>
      <c r="CF39" t="s">
        <v>1112</v>
      </c>
      <c r="CG39" t="s">
        <v>1112</v>
      </c>
      <c r="CH39" t="s">
        <v>1004</v>
      </c>
      <c r="CI39" t="s">
        <v>1113</v>
      </c>
      <c r="CJ39" t="s">
        <v>1114</v>
      </c>
    </row>
    <row r="40" spans="48:88" ht="13.2">
      <c r="CE40" t="s">
        <v>1115</v>
      </c>
      <c r="CF40" t="s">
        <v>1116</v>
      </c>
      <c r="CG40" t="s">
        <v>1116</v>
      </c>
      <c r="CH40" t="s">
        <v>1004</v>
      </c>
      <c r="CI40" t="s">
        <v>1117</v>
      </c>
      <c r="CJ40" t="s">
        <v>178</v>
      </c>
    </row>
    <row r="41" spans="48:88" ht="13.2">
      <c r="CE41" t="s">
        <v>1118</v>
      </c>
      <c r="CF41" t="s">
        <v>1119</v>
      </c>
      <c r="CG41" t="s">
        <v>1119</v>
      </c>
      <c r="CH41" t="s">
        <v>1004</v>
      </c>
      <c r="CI41" t="s">
        <v>1120</v>
      </c>
      <c r="CJ41" t="s">
        <v>1121</v>
      </c>
    </row>
    <row r="42" spans="48:88" ht="13.2">
      <c r="CE42" t="s">
        <v>1122</v>
      </c>
      <c r="CF42" t="s">
        <v>1123</v>
      </c>
      <c r="CG42" t="s">
        <v>1123</v>
      </c>
      <c r="CH42" t="s">
        <v>1004</v>
      </c>
      <c r="CI42" t="s">
        <v>1124</v>
      </c>
      <c r="CJ42" t="s">
        <v>1125</v>
      </c>
    </row>
    <row r="43" spans="48:88" ht="13.2">
      <c r="CE43" t="s">
        <v>1126</v>
      </c>
      <c r="CF43" t="s">
        <v>1127</v>
      </c>
      <c r="CG43" t="s">
        <v>1127</v>
      </c>
      <c r="CH43" t="s">
        <v>1004</v>
      </c>
      <c r="CI43" t="s">
        <v>1128</v>
      </c>
      <c r="CJ43" t="s">
        <v>178</v>
      </c>
    </row>
    <row r="44" spans="48:88" ht="13.2">
      <c r="CE44" t="s">
        <v>1129</v>
      </c>
      <c r="CF44" t="s">
        <v>1130</v>
      </c>
      <c r="CG44" t="s">
        <v>1130</v>
      </c>
      <c r="CH44" t="s">
        <v>1131</v>
      </c>
      <c r="CI44" t="s">
        <v>1132</v>
      </c>
      <c r="CJ44" t="s">
        <v>178</v>
      </c>
    </row>
    <row r="45" spans="48:74" ht="13.2"/>
    <row r="46" spans="48:74" ht="13.2"/>
    <row r="47" spans="48:74" ht="13.2"/>
    <row r="48" spans="48:74" ht="13.2"/>
    <row r="49" spans="48:74" ht="13.2"/>
    <row r="50" spans="48:74" ht="13.2"/>
    <row r="51" spans="48:74" ht="13.2"/>
    <row r="52" spans="48:74" ht="13.2"/>
    <row r="53" spans="48:74" ht="13.2"/>
    <row r="54" spans="48:74" ht="13.2"/>
    <row r="55" spans="48:74" ht="13.2"/>
    <row r="56" spans="48:74" ht="13.2"/>
    <row r="57" spans="48:74" ht="13.2"/>
    <row r="58" spans="48:74" ht="13.2"/>
    <row r="59" spans="48:74" ht="13.2"/>
    <row r="60" spans="48:74" ht="13.2"/>
    <row r="61" spans="48:74" ht="13.2"/>
    <row r="62" spans="48:74" ht="13.2"/>
    <row r="63" spans="48:74" ht="13.2"/>
    <row r="64" spans="48:74" ht="13.2"/>
    <row r="65" spans="48:74" ht="13.2"/>
    <row r="66" spans="48:74" ht="13.2"/>
    <row r="67" spans="48:74" ht="13.2"/>
    <row r="68" spans="48:74" ht="13.2"/>
    <row r="69" spans="48:74" ht="13.2"/>
    <row r="70" spans="48:74" ht="13.2"/>
    <row r="71" spans="48:74" ht="13.2"/>
    <row r="72" spans="48:74" ht="13.2"/>
    <row r="73" spans="48:74" ht="13.2"/>
    <row r="74" spans="48:74" ht="13.2"/>
    <row r="75" spans="48:74" ht="13.2"/>
    <row r="76" spans="48:74" ht="13.2"/>
    <row r="77" spans="48:74" ht="13.2"/>
    <row r="78" spans="48:74" ht="13.2"/>
    <row r="79" spans="48:74" ht="13.2"/>
    <row r="80" spans="48:74" ht="13.2"/>
    <row r="81" spans="48:74" ht="13.2"/>
    <row r="82" spans="48:74" ht="13.2"/>
    <row r="83" spans="48:74" ht="13.2"/>
    <row r="84" spans="48:74" ht="13.2"/>
    <row r="85" spans="48:74" ht="13.2"/>
    <row r="86" spans="48:74" ht="13.2"/>
    <row r="87" spans="48:74" ht="13.2"/>
    <row r="88" spans="48:74" ht="13.2"/>
    <row r="89" spans="48:74" ht="13.2"/>
    <row r="90" spans="48:74" ht="13.2"/>
    <row r="91" spans="48:74" ht="13.2"/>
    <row r="92" spans="48:74" ht="13.2"/>
    <row r="93" spans="48:74" ht="13.2"/>
    <row r="94" spans="48:74" ht="13.2"/>
    <row r="95" spans="48:74" ht="13.2"/>
    <row r="96" spans="48:74" ht="13.2"/>
    <row r="97" spans="48:74" ht="13.2"/>
    <row r="98" spans="48:74" ht="13.2"/>
    <row r="99" spans="48:74" ht="13.2"/>
    <row r="100" spans="48:74" ht="13.2"/>
  </sheetData>
  <mergeCells count="1">
    <mergeCell ref="A5:F5"/>
  </mergeCells>
  <pageMargins left="0.7" right="0.7" top="0.75" bottom="0.75" header="0.3" footer="0.3"/>
  <pageSetup horizontalDpi="300" verticalDpi="30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JobSheet">
    <pageSetUpPr fitToPage="1"/>
  </sheetPr>
  <dimension ref="A1:AO21"/>
  <sheetViews>
    <sheetView showZeros="0" view="pageBreakPreview" zoomScale="40" zoomScaleNormal="25" zoomScaleSheetLayoutView="40" zoomScalePageLayoutView="25" workbookViewId="0" topLeftCell="I2">
      <selection pane="topLeft" activeCell="I11" sqref="A11:XFD20"/>
    </sheetView>
  </sheetViews>
  <sheetFormatPr defaultColWidth="9.44140625" defaultRowHeight="39.9" customHeight="1"/>
  <cols>
    <col min="1" max="1" width="13.7142857142857" style="47" customWidth="1"/>
    <col min="2" max="2" width="31.5714285714286" style="47" customWidth="1"/>
    <col min="3" max="3" width="23.8571428571429" style="47" customWidth="1"/>
    <col min="4" max="4" width="22.4285714285714" style="47" customWidth="1"/>
    <col min="5" max="5" width="35.1428571428571" style="47" customWidth="1"/>
    <col min="6" max="6" width="18.2857142857143" style="47" customWidth="1"/>
    <col min="7" max="7" width="17.5714285714286" style="47" customWidth="1"/>
    <col min="8" max="8" width="20.1428571428571" style="47" customWidth="1"/>
    <col min="9" max="9" width="26" style="47" customWidth="1"/>
    <col min="10" max="10" width="24.2857142857143" style="53" customWidth="1"/>
    <col min="11" max="11" width="28.4285714285714" style="53" customWidth="1"/>
    <col min="12" max="12" width="41.7142857142857" style="47" customWidth="1"/>
    <col min="13" max="13" width="28.1428571428571" style="47" customWidth="1"/>
    <col min="14" max="14" width="25.4285714285714" style="47" customWidth="1"/>
    <col min="15" max="15" width="26.7142857142857" style="47" customWidth="1"/>
    <col min="16" max="16" width="22" style="54" customWidth="1"/>
    <col min="17" max="17" width="36" style="47" customWidth="1"/>
    <col min="18" max="18" width="24.8571428571429" style="47" customWidth="1"/>
    <col min="19" max="19" width="29" style="47" customWidth="1"/>
    <col min="20" max="20" width="26.1428571428571" style="47" customWidth="1"/>
    <col min="21" max="21" width="33.1428571428571" style="47" customWidth="1"/>
    <col min="22" max="22" width="30.5714285714286" style="47" customWidth="1"/>
    <col min="23" max="23" width="29.1428571428571" style="47" customWidth="1"/>
    <col min="24" max="24" width="29" style="47" customWidth="1"/>
    <col min="25" max="25" width="28.2857142857143" style="47" customWidth="1"/>
    <col min="26" max="26" width="24.4285714285714" style="47" customWidth="1"/>
    <col min="27" max="27" width="28.2857142857143" style="47" customWidth="1"/>
    <col min="28" max="28" width="26.8571428571429" style="47" customWidth="1"/>
    <col min="29" max="29" width="43.2857142857143" style="47" customWidth="1"/>
    <col min="30" max="30" width="31.1428571428571" style="47" customWidth="1"/>
    <col min="31" max="31" width="47.5714285714286" style="47" customWidth="1"/>
    <col min="32" max="32" width="7.57142857142857" customWidth="1"/>
    <col min="33" max="33" width="21.4285714285714" customWidth="1"/>
    <col min="34" max="34" width="21.1428571428571" customWidth="1"/>
    <col min="35" max="35" width="22.1428571428571" customWidth="1"/>
    <col min="36" max="36" width="20.5714285714286" customWidth="1"/>
    <col min="37" max="37" width="23.1428571428571" customWidth="1"/>
    <col min="38" max="38" width="23.8571428571429" customWidth="1"/>
    <col min="39" max="39" width="21.7142857142857" customWidth="1"/>
    <col min="40" max="40" width="22.7142857142857" customWidth="1"/>
    <col min="41" max="41" width="30.7142857142857" customWidth="1"/>
    <col min="42" max="42" width="20.5714285714286" customWidth="1"/>
  </cols>
  <sheetData>
    <row r="1" spans="1:31" s="24" customFormat="1" ht="219.15" customHeight="1">
      <c r="A1" s="13" t="s">
        <v>422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</row>
    <row r="2" spans="1:31" s="73" customFormat="1" ht="60" customHeight="1">
      <c r="A2" s="4" t="s">
        <v>7</v>
      </c>
      <c r="B2" s="4"/>
      <c r="C2" s="4"/>
      <c r="D2" s="10"/>
      <c r="E2" s="10"/>
      <c r="F2" s="10"/>
      <c r="G2" s="10"/>
      <c r="H2" s="10" t="s">
        <v>118</v>
      </c>
      <c r="I2" s="10"/>
      <c r="J2" s="10"/>
      <c r="K2" s="10"/>
      <c r="L2" s="10"/>
      <c r="M2" s="11" t="str">
        <f>Data!BF5</f>
        <v>Campbell, Neil</v>
      </c>
      <c r="N2" s="11"/>
      <c r="O2" s="11"/>
      <c r="P2" s="11"/>
      <c r="Q2" s="11"/>
      <c r="R2" s="11"/>
      <c r="S2" s="11"/>
      <c r="T2" s="12" t="s">
        <v>4</v>
      </c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</row>
    <row r="3" spans="1:31" s="73" customFormat="1" ht="60" customHeight="1">
      <c r="A3" s="3" t="s">
        <v>142</v>
      </c>
      <c r="B3" s="3"/>
      <c r="C3" s="3"/>
      <c r="D3" s="8" t="str">
        <f>Data!BC5</f>
        <v>12085</v>
      </c>
      <c r="E3" s="8"/>
      <c r="F3" s="8"/>
      <c r="G3" s="8"/>
      <c r="H3" s="9" t="s">
        <v>8</v>
      </c>
      <c r="I3" s="9"/>
      <c r="J3" s="9"/>
      <c r="K3" s="9"/>
      <c r="L3" s="9"/>
      <c r="M3" s="11" t="str">
        <f>TRIM(Data!AX5)</f>
        <v>Verticali Patio Blinds &amp; Fixed Guide Awnings</v>
      </c>
      <c r="N3" s="11"/>
      <c r="O3" s="11"/>
      <c r="P3" s="11"/>
      <c r="Q3" s="11"/>
      <c r="R3" s="11"/>
      <c r="S3" s="11"/>
      <c r="T3" s="11" t="str">
        <f>TRIM(Data!BG5)</f>
        <v/>
      </c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</row>
    <row r="4" spans="1:31" s="67" customFormat="1" ht="60" customHeight="1">
      <c r="A4" s="2" t="s">
        <v>15</v>
      </c>
      <c r="B4" s="2"/>
      <c r="C4" s="2"/>
      <c r="D4" s="8" t="str">
        <f>Data!BD5</f>
        <v>A</v>
      </c>
      <c r="E4" s="8"/>
      <c r="F4" s="8"/>
      <c r="G4" s="8"/>
      <c r="H4" s="9" t="s">
        <v>136</v>
      </c>
      <c r="I4" s="9"/>
      <c r="J4" s="9"/>
      <c r="K4" s="9"/>
      <c r="L4" s="9"/>
      <c r="M4" s="11" t="str">
        <f>LEFT(Data!BA5,10)</f>
        <v>18/09/2026</v>
      </c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</row>
    <row r="5" spans="1:31" s="67" customFormat="1" ht="60" customHeight="1">
      <c r="A5" s="1" t="s">
        <v>10</v>
      </c>
      <c r="B5" s="1"/>
      <c r="C5" s="1"/>
      <c r="D5" s="8" t="str">
        <f>Data!AY5</f>
        <v>6/08/2026 12:00:00 AM</v>
      </c>
      <c r="E5" s="8"/>
      <c r="F5" s="8"/>
      <c r="G5" s="8"/>
      <c r="H5" s="8" t="s">
        <v>12</v>
      </c>
      <c r="I5" s="8"/>
      <c r="J5" s="8"/>
      <c r="K5" s="8"/>
      <c r="L5" s="8"/>
      <c r="M5" s="11" t="str">
        <f>TRIM(Data!BF5)</f>
        <v>Campbell, Neil</v>
      </c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</row>
    <row r="6" spans="1:31" s="67" customFormat="1" ht="60" customHeight="1">
      <c r="A6" s="173" t="str">
        <f>Data!CZ5</f>
        <v>Retail Customer</v>
      </c>
      <c r="B6" s="173"/>
      <c r="C6" s="173"/>
      <c r="D6" s="173"/>
      <c r="E6" s="173"/>
      <c r="F6" s="173"/>
      <c r="G6" s="173"/>
      <c r="H6" s="8"/>
      <c r="I6" s="8"/>
      <c r="J6" s="8"/>
      <c r="K6" s="8"/>
      <c r="L6" s="8"/>
      <c r="M6" s="11" t="str">
        <f>CONCATENATE(Data!BH5," ",Data!BI5," ",Data!BJ5," ",Data!BK5," ",Data!BL5)</f>
        <v xml:space="preserve"> 7161  Midland Highway </v>
      </c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</row>
    <row r="7" spans="1:31" s="67" customFormat="1" ht="60" customHeight="1">
      <c r="A7" s="173"/>
      <c r="B7" s="173"/>
      <c r="C7" s="173"/>
      <c r="D7" s="173"/>
      <c r="E7" s="173"/>
      <c r="F7" s="173"/>
      <c r="G7" s="173"/>
      <c r="H7" s="8"/>
      <c r="I7" s="8"/>
      <c r="J7" s="8"/>
      <c r="K7" s="8"/>
      <c r="L7" s="8"/>
      <c r="M7" s="11" t="str">
        <f>CONCATENATE(Data!BM5," ",Data!BN5," ",Data!BO5," ",Data!BP5)</f>
        <v>Buninyong VIC 3357 Australia</v>
      </c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</row>
    <row r="8" spans="1:41" s="78" customFormat="1" ht="50.1" customHeight="1">
      <c r="A8" s="5" t="s">
        <v>141</v>
      </c>
      <c r="B8" s="174" t="s">
        <v>120</v>
      </c>
      <c r="C8" s="176" t="s">
        <v>199</v>
      </c>
      <c r="D8" s="175" t="s">
        <v>165</v>
      </c>
      <c r="E8" s="176" t="s">
        <v>188</v>
      </c>
      <c r="F8" s="7" t="s">
        <v>152</v>
      </c>
      <c r="G8" s="7" t="s">
        <v>144</v>
      </c>
      <c r="H8" s="7" t="s">
        <v>171</v>
      </c>
      <c r="I8" s="6" t="s">
        <v>170</v>
      </c>
      <c r="J8" s="7" t="s">
        <v>173</v>
      </c>
      <c r="K8" s="7" t="s">
        <v>119</v>
      </c>
      <c r="L8" s="7" t="s">
        <v>9</v>
      </c>
      <c r="M8" s="7" t="s">
        <v>169</v>
      </c>
      <c r="N8" s="7" t="s">
        <v>200</v>
      </c>
      <c r="O8" s="7" t="s">
        <v>364</v>
      </c>
      <c r="P8" s="7" t="s">
        <v>585</v>
      </c>
      <c r="Q8" s="7" t="s">
        <v>161</v>
      </c>
      <c r="R8" s="7" t="s">
        <v>372</v>
      </c>
      <c r="S8" s="7" t="s">
        <v>427</v>
      </c>
      <c r="T8" s="7" t="s">
        <v>207</v>
      </c>
      <c r="U8" s="7" t="s">
        <v>184</v>
      </c>
      <c r="V8" s="6" t="s">
        <v>166</v>
      </c>
      <c r="W8" s="174" t="s">
        <v>174</v>
      </c>
      <c r="X8" s="174" t="s">
        <v>172</v>
      </c>
      <c r="Y8" s="174" t="s">
        <v>381</v>
      </c>
      <c r="Z8" s="7" t="s">
        <v>371</v>
      </c>
      <c r="AA8" s="7" t="s">
        <v>365</v>
      </c>
      <c r="AB8" s="7" t="s">
        <v>420</v>
      </c>
      <c r="AC8" s="7" t="s">
        <v>421</v>
      </c>
      <c r="AD8" s="7" t="s">
        <v>201</v>
      </c>
      <c r="AE8" s="7" t="s">
        <v>5</v>
      </c>
      <c r="AF8" s="74"/>
      <c r="AG8" s="174" t="s">
        <v>202</v>
      </c>
      <c r="AH8" s="174" t="s">
        <v>156</v>
      </c>
      <c r="AI8" s="7" t="s">
        <v>157</v>
      </c>
      <c r="AJ8" s="7" t="s">
        <v>138</v>
      </c>
      <c r="AK8" s="7" t="s">
        <v>158</v>
      </c>
      <c r="AL8" s="7" t="s">
        <v>379</v>
      </c>
      <c r="AM8" s="7" t="s">
        <v>380</v>
      </c>
      <c r="AN8" s="7" t="s">
        <v>160</v>
      </c>
      <c r="AO8" s="7" t="s">
        <v>594</v>
      </c>
    </row>
    <row r="9" spans="1:41" s="78" customFormat="1" ht="19.2" customHeight="1">
      <c r="A9" s="5"/>
      <c r="B9" s="174"/>
      <c r="C9" s="176"/>
      <c r="D9" s="175"/>
      <c r="E9" s="176"/>
      <c r="F9" s="7"/>
      <c r="G9" s="7"/>
      <c r="H9" s="7"/>
      <c r="I9" s="6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6"/>
      <c r="W9" s="174"/>
      <c r="X9" s="174"/>
      <c r="Y9" s="174"/>
      <c r="Z9" s="7"/>
      <c r="AA9" s="7"/>
      <c r="AB9" s="7"/>
      <c r="AC9" s="7"/>
      <c r="AD9" s="7"/>
      <c r="AE9" s="7"/>
      <c r="AF9" s="47"/>
      <c r="AG9" s="174"/>
      <c r="AH9" s="174"/>
      <c r="AI9" s="7"/>
      <c r="AJ9" s="7"/>
      <c r="AK9" s="7"/>
      <c r="AL9" s="7"/>
      <c r="AM9" s="7"/>
      <c r="AN9" s="7"/>
      <c r="AO9" s="7"/>
    </row>
    <row r="10" spans="1:41" s="79" customFormat="1" ht="86.4" customHeight="1">
      <c r="A10" s="5"/>
      <c r="B10" s="174"/>
      <c r="C10" s="176"/>
      <c r="D10" s="175"/>
      <c r="E10" s="176"/>
      <c r="F10" s="7"/>
      <c r="G10" s="7"/>
      <c r="H10" s="7"/>
      <c r="I10" s="6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6"/>
      <c r="W10" s="174"/>
      <c r="X10" s="174"/>
      <c r="Y10" s="174"/>
      <c r="Z10" s="7"/>
      <c r="AA10" s="7"/>
      <c r="AB10" s="7"/>
      <c r="AC10" s="7"/>
      <c r="AD10" s="7"/>
      <c r="AE10" s="7"/>
      <c r="AF10" s="47"/>
      <c r="AG10" s="174"/>
      <c r="AH10" s="174"/>
      <c r="AI10" s="7"/>
      <c r="AJ10" s="7"/>
      <c r="AK10" s="7"/>
      <c r="AL10" s="7"/>
      <c r="AM10" s="7"/>
      <c r="AN10" s="7"/>
      <c r="AO10" s="7"/>
    </row>
    <row r="11" spans="1:41" s="77" customFormat="1" ht="138">
      <c r="A11" s="91">
        <f>Data!AW11</f>
        <v>1</v>
      </c>
      <c r="B11" s="69" t="str">
        <f>Data!AY11</f>
        <v>Patio 1</v>
      </c>
      <c r="C11" s="102">
        <f>Data!BA11</f>
        <v>3977</v>
      </c>
      <c r="D11" s="103" t="str">
        <f t="array" ref="D11">bpLOOKUP(Data!$AV11,$D$8,CustOrdOpt,6,FALSE)</f>
        <v>Opening</v>
      </c>
      <c r="E11" s="104" t="str">
        <f t="array" ref="E11">bpLOOKUP(Data!$AV11,"SIDEBYSIDE",CustOrdOpt,6,FALSE)</f>
        <v>No</v>
      </c>
      <c r="F11" s="105">
        <f>IF(Data!BA11="","",IF(D11="Cloth",Data!BA11+VLOOKUP(J11,CONTROLDEDUCT,2,FALSE)-VLOOKUP(I11,FitDeduct,2,FALSE)-VLOOKUP(E11,SideDeduct,2,FALSE),IF(AND(D11="Opening",H11="Reveal"),Data!BA11-VLOOKUP(H11,OpenDeduct,2,FALSE)-VLOOKUP(E11,SideDeduct,2,FALSE),IF(D11="Opening",Data!BA11-VLOOKUP(I11,FitDeduct,2,FALSE)-VLOOKUP(E11,SideDeduct,2,FALSE),IF(D11="Making",Data!BA11)))))</f>
        <v>3972</v>
      </c>
      <c r="G11" s="105">
        <f>IF(Data!AV11="","",Data!BB11)</f>
        <v>2650</v>
      </c>
      <c r="H11" s="106" t="str">
        <f t="array" ref="H11">bpLOOKUP(Data!$AV11,"FIT",CustOrdOpt,6,FALSE)</f>
        <v>Reveal</v>
      </c>
      <c r="I11" s="70" t="str">
        <f t="array" ref="I11">bpLOOKUP(Data!$AV11,"SIDECHANNELFITTING",CustOrdOpt,6,FALSE)</f>
        <v>Reveal</v>
      </c>
      <c r="J11" s="70" t="str">
        <f t="array" ref="J11">bpLOOKUP(Data!$AV11,"FIXING",CustOrdOpt,6,FALSE)</f>
        <v>Brick</v>
      </c>
      <c r="K11" s="69" t="str">
        <f t="array" ref="K11">bpLOOKUP(Data!$AV11,"ITEMDEPTH",CustOrdOpt,6,FALSE)</f>
        <v>1.Verticali</v>
      </c>
      <c r="L11" s="69" t="str">
        <f>IF(Data!BE11="","",MID(Data!BE11,6,80))</f>
        <v xml:space="preserve"> HVG Visiontex Glisse Sunscreen Naxos</v>
      </c>
      <c r="M11" s="70" t="str">
        <f t="array" ref="M11">CONCATENATE(bpLOOKUP(Data!$AV11,"OPERATION",CustOrdOpt,6,FALSE))</f>
        <v>Becker Remote Operated</v>
      </c>
      <c r="N11" s="70" t="str">
        <f t="array" ref="N11">bpLOOKUP(Data!$AV11,"GEARBOXCOLOUR",CustOrdOpt,6,FALSE)</f>
        <v/>
      </c>
      <c r="O11" s="70" t="str">
        <f t="array" ref="O11">bpLOOKUP(Data!$AV11,"GEARBOXFB",CustOrdOpt,6,FALSE)</f>
        <v/>
      </c>
      <c r="P11" s="70" t="str">
        <f t="array" ref="P11">CONCATENATE(bpLOOKUP(Data!$AV11,"CONTROLSIDE",CustOrdOpt,6,FALSE))</f>
        <v>Right</v>
      </c>
      <c r="Q11" s="70" t="str">
        <f t="array" ref="Q11">bpLOOKUP(Data!$AV11,"CONTROL",CustOrdOpt,6,FALSE)</f>
        <v>Becker 5 Channel White Remote</v>
      </c>
      <c r="R11" s="70" t="str">
        <f t="array" ref="R11">bpLOOKUP(Data!$AV11,"MOTOREX",CustOrdOpt,6,FALSE)</f>
        <v/>
      </c>
      <c r="S11" s="70" t="str">
        <f t="array" ref="S11">bpLOOKUP(Data!$AV11,"SENSORS",CustOrdOpt,6,FALSE)</f>
        <v>No</v>
      </c>
      <c r="T11" s="70" t="str">
        <f t="array" ref="T11">bpLOOKUP(Data!$AV11,"BRACKETFIXING",CustOrdOpt,6,FALSE)</f>
        <v/>
      </c>
      <c r="U11" s="70" t="str">
        <f t="array" ref="U11">bpLOOKUP(Data!$AV11,"HOODTYPE",CustOrdOpt,6,FALSE)</f>
        <v>Verticali Square Hooding</v>
      </c>
      <c r="V11" s="70" t="str">
        <f t="array" ref="V11">IF(Data!AW11="","",IF(AND(OR(U11="Verticali Square Hooding",U11="Powder Coated Brackets"),bpLOOKUP(Data!$AV11,"HOOD/BRACKETCOLOUR",CustOrdOpt,6,FALSE)="Custom Powdercoat"),bpLOOKUP(Data!$AV11,"CUSTOMPCHBOX",CustOrdOpt,6,FALSE),IF(AND(bpLOOKUP(Data!$AV11,"HOOD/BRACKETCOLOUR",CustOrdOpt,6,FALSE)="Custom Powdercoat",OR(bpLOOKUP(Data!$AV11,"HOODTYPE",CustOrdOpt,6,FALSE)="Verticali Hooding (Old)",bpLOOKUP(Data!$AV11,"HOODTYPE",CustOrdOpt,6,FALSE)="Zipscreen Hooding")),bpLOOKUP(Data!$AV11,"CUSTOMPCHBOX",CustOrdOpt,6,FALSE),IF(bpLOOKUP(Data!$AV11,"HOOD/BRACKETCOLOUR",CustOrdOpt,6,FALSE)="Hooding","Zinc for Powder Coating",bpLOOKUP(Data!$AV11,"HOOD/BRACKETCOLOUR",CustOrdOpt,6,FALSE)))))</f>
        <v>Paperbark (Merino)</v>
      </c>
      <c r="W11" s="70" t="str">
        <f t="array" ref="W11">IF(bpLOOKUP(Data!$AV11,"SIDECHANNELCOLOUR",CustOrdOpt,6,FALSE)="Custom Powdercoat",bpLOOKUP(Data!$AV11,"CUSTOMPCSIDECH",CustOrdOpt,6,FALSE),IF(bpLOOKUP(Data!$AV11,"SIDECHANNELCOLOUR",CustOrdOpt,6,FALSE)="Secondary Custom Powdercoat",bpLOOKUP(Data!$AV11,"CUSTOMPCSIDECH",CustOrdOpt,6,FALSE),bpLOOKUP(Data!$AV11,"SIDECHANNELCOLOUR",CustOrdOpt,6,FALSE)))</f>
        <v>Paperbark (Merino)</v>
      </c>
      <c r="X11" s="70" t="str">
        <f t="array" ref="X11">IF(bpLOOKUP(Data!$AV11,"BOTTOMRAILCOLOUR",CustOrdOpt,6,FALSE)="Custom Powdercoat",bpLOOKUP(Data!$AV11,"CUSTOMPCHBRAIL",CustOrdOpt,6,FALSE),IF(bpLOOKUP(Data!$AV11,"BOTTOMRAILCOLOUR",CustOrdOpt,6,FALSE)="Secondary Custom Powdercoat",bpLOOKUP(Data!$AV11,"CUSTOMPCHBRAIL",CustOrdOpt,6,FALSE),bpLOOKUP(Data!$AV11,"BOTTOMRAILCOLOUR",CustOrdOpt,6,FALSE)))</f>
        <v>Paperbark (Merino)</v>
      </c>
      <c r="Y11" s="70" t="str">
        <f t="array" ref="Y11">bpLOOKUP(Data!$AV11,"MESHFLAP",CustOrdOpt,6,FALSE)</f>
        <v/>
      </c>
      <c r="Z11" s="70" t="str">
        <f t="array" ref="Z11">bpLOOKUP(Data!$AV11,"BFLAP",CustOrdOpt,6,FALSE)</f>
        <v>30mm Bubble Seal</v>
      </c>
      <c r="AA11" s="70" t="str">
        <f t="array" ref="AA11">bpLOOKUP(Data!$AV11,"HOODEXTENSIONBRACKETS",CustOrdOpt,6,FALSE)</f>
        <v/>
      </c>
      <c r="AB11" s="70" t="str">
        <f t="array" ref="AB11">bpLOOKUP(Data!$AV11,"LEGFOOT",CustOrdOpt,6,FALSE)</f>
        <v>None</v>
      </c>
      <c r="AC11" s="70" t="str">
        <f t="array" ref="AC11">bpLOOKUP(Data!$AV11,"FLASH",CustOrdOpt,6,FALSE)</f>
        <v/>
      </c>
      <c r="AD11" s="70" t="str">
        <f t="array" ref="AD11">bpLOOKUP(Data!$AV11,"INSTALLATION",CustOrdOpt,6,FALSE)</f>
        <v>Installation</v>
      </c>
      <c r="AE11" s="70" t="str">
        <f t="array" ref="AE11">bpLOOKUP(Data!$AV11,"Notes",CustOrdOpt,6,FALSE)</f>
        <v/>
      </c>
      <c r="AF11" s="47"/>
      <c r="AG11" s="70" t="str">
        <f>IF(Data!AZ11="","",VLOOKUP(M11,ZipTubeDeduct,3,FALSE))</f>
        <v>Attached to Motor</v>
      </c>
      <c r="AH11" s="87">
        <f>IF(F11="","",IF(K11="2.Zipscreen",F11-VLOOKUP(M11,ZipTubeDeduct,2,FALSE)+27,F11-VLOOKUP(M11,ZipTubeDeduct,2,FALSE)))</f>
        <v>3835</v>
      </c>
      <c r="AI11" s="87">
        <f>IF(Data!BA11="","",IF(K11="2.Zipscreen",F11-121,F11-160))</f>
        <v>3812</v>
      </c>
      <c r="AJ11" s="87">
        <f>IF(Data!BA11="","",IF(K11="2.Zipscreen",F11-82,IF(AND(K11="2.Zipscreen",Data!BO11="PVC"),F11-72,IF(AND(K11="1.Verticali",Data!BO11="PVC"),F11-100,F11-110))))</f>
        <v>3862</v>
      </c>
      <c r="AK11" s="87">
        <f>IF(Data!BA11="","",G11+400)</f>
        <v>3050</v>
      </c>
      <c r="AL11" s="76">
        <f>IF(Data!BA11="","",AJ11-60)</f>
        <v>3802</v>
      </c>
      <c r="AM11" s="87">
        <f>IF(Data!BB11="","",AK11-60)</f>
        <v>2990</v>
      </c>
      <c r="AN11" s="70" t="str">
        <f>IF(Data!AV11="","",IF(Data!BO11="PVC",VLOOKUP(Y11,ColourMatch,2,FALSE),VLOOKUP(Data!BN11&amp;" "&amp;Data!BO11&amp;" "&amp;Data!BP11,ColourMatch,2,FALSE)))</f>
        <v>Black</v>
      </c>
      <c r="AO11" s="70" t="str">
        <f t="shared" si="0" ref="AO11:AO20">IF(AND(K11="2.Zipscreen",M11="Spring"),(INDEX(SpringGrid,MATCH(G11,SpringDrop,1),MATCH(F11,SpringWidth,1))),"")</f>
        <v/>
      </c>
    </row>
    <row r="12" spans="1:41" s="77" customFormat="1" ht="60" customHeight="1">
      <c r="A12" s="91">
        <f>Data!AW12</f>
        <v>0</v>
      </c>
      <c r="B12" s="69">
        <f>Data!AY12</f>
        <v>0</v>
      </c>
      <c r="C12" s="102">
        <f>Data!BA12</f>
        <v>0</v>
      </c>
      <c r="D12" s="103" t="str">
        <f t="array" ref="D12">bpLOOKUP(Data!$AV12,$D$8,CustOrdOpt,6,FALSE)</f>
        <v/>
      </c>
      <c r="E12" s="104" t="str">
        <f t="array" ref="E12">bpLOOKUP(Data!$AV12,"SIDEBYSIDE",CustOrdOpt,6,FALSE)</f>
        <v/>
      </c>
      <c r="F12" s="105" t="str">
        <f>IF(Data!BA12="","",IF(D12="Cloth",Data!BA12+VLOOKUP(J12,CONTROLDEDUCT,2,FALSE)-VLOOKUP(I12,FitDeduct,2,FALSE)-VLOOKUP(E12,SideDeduct,2,FALSE),IF(AND(D12="Opening",H12="Reveal"),Data!BA12-VLOOKUP(H12,OpenDeduct,2,FALSE)-VLOOKUP(E12,SideDeduct,2,FALSE),IF(D12="Opening",Data!BA12-VLOOKUP(I12,FitDeduct,2,FALSE)-VLOOKUP(E12,SideDeduct,2,FALSE),IF(D12="Making",Data!BA12)))))</f>
        <v/>
      </c>
      <c r="G12" s="105" t="str">
        <f>IF(Data!AV12="","",Data!BB12)</f>
        <v/>
      </c>
      <c r="H12" s="106" t="str">
        <f t="array" ref="H12">bpLOOKUP(Data!$AV12,"FIT",CustOrdOpt,6,FALSE)</f>
        <v/>
      </c>
      <c r="I12" s="70" t="str">
        <f t="array" ref="I12">bpLOOKUP(Data!$AV12,"SIDECHANNELFITTING",CustOrdOpt,6,FALSE)</f>
        <v/>
      </c>
      <c r="J12" s="70" t="str">
        <f t="array" ref="J12">bpLOOKUP(Data!$AV12,"FIXING",CustOrdOpt,6,FALSE)</f>
        <v/>
      </c>
      <c r="K12" s="69" t="str">
        <f t="array" ref="K12">bpLOOKUP(Data!$AV12,"ITEMDEPTH",CustOrdOpt,6,FALSE)</f>
        <v/>
      </c>
      <c r="L12" s="69" t="str">
        <f>IF(Data!BE12="","",MID(Data!BE12,6,80))</f>
        <v/>
      </c>
      <c r="M12" s="70" t="str">
        <f t="array" ref="M12">CONCATENATE(bpLOOKUP(Data!$AV12,"OPERATION",CustOrdOpt,6,FALSE))</f>
        <v/>
      </c>
      <c r="N12" s="70" t="str">
        <f t="array" ref="N12">bpLOOKUP(Data!$AV12,"GEARBOXCOLOUR",CustOrdOpt,6,FALSE)</f>
        <v/>
      </c>
      <c r="O12" s="70" t="str">
        <f t="array" ref="O12">bpLOOKUP(Data!$AV12,"GEARBOXFB",CustOrdOpt,6,FALSE)</f>
        <v/>
      </c>
      <c r="P12" s="70" t="str">
        <f t="array" ref="P12">CONCATENATE(bpLOOKUP(Data!$AV12,"CONTROLSIDE",CustOrdOpt,6,FALSE))</f>
        <v/>
      </c>
      <c r="Q12" s="70" t="str">
        <f t="array" ref="Q12">bpLOOKUP(Data!$AV12,"CONTROL",CustOrdOpt,6,FALSE)</f>
        <v/>
      </c>
      <c r="R12" s="70" t="str">
        <f t="array" ref="R12">bpLOOKUP(Data!$AV12,"MOTOREX",CustOrdOpt,6,FALSE)</f>
        <v/>
      </c>
      <c r="S12" s="70" t="str">
        <f t="array" ref="S12">bpLOOKUP(Data!$AV12,"SENSORS",CustOrdOpt,6,FALSE)</f>
        <v/>
      </c>
      <c r="T12" s="70" t="str">
        <f t="array" ref="T12">bpLOOKUP(Data!$AV12,"BRACKETFIXING",CustOrdOpt,6,FALSE)</f>
        <v/>
      </c>
      <c r="U12" s="70" t="str">
        <f t="array" ref="U12">bpLOOKUP(Data!$AV12,"HOODTYPE",CustOrdOpt,6,FALSE)</f>
        <v/>
      </c>
      <c r="V12" s="70" t="str">
        <f t="array" ref="V12">IF(Data!AW12="","",IF(AND(OR(U12="Verticali Square Hooding",U12="Powder Coated Brackets"),bpLOOKUP(Data!$AV12,"HOOD/BRACKETCOLOUR",CustOrdOpt,6,FALSE)="Custom Powdercoat"),bpLOOKUP(Data!$AV12,"CUSTOMPCHBOX",CustOrdOpt,6,FALSE),IF(AND(bpLOOKUP(Data!$AV12,"HOOD/BRACKETCOLOUR",CustOrdOpt,6,FALSE)="Custom Powdercoat",OR(bpLOOKUP(Data!$AV12,"HOODTYPE",CustOrdOpt,6,FALSE)="Verticali Hooding (Old)",bpLOOKUP(Data!$AV12,"HOODTYPE",CustOrdOpt,6,FALSE)="Zipscreen Hooding")),bpLOOKUP(Data!$AV12,"CUSTOMPCHBOX",CustOrdOpt,6,FALSE),IF(bpLOOKUP(Data!$AV12,"HOOD/BRACKETCOLOUR",CustOrdOpt,6,FALSE)="Hooding","Zinc for Powder Coating",bpLOOKUP(Data!$AV12,"HOOD/BRACKETCOLOUR",CustOrdOpt,6,FALSE)))))</f>
        <v/>
      </c>
      <c r="W12" s="70" t="str">
        <f t="array" ref="W12">IF(bpLOOKUP(Data!$AV12,"SIDECHANNELCOLOUR",CustOrdOpt,6,FALSE)="Custom Powdercoat",bpLOOKUP(Data!$AV12,"CUSTOMPCSIDECH",CustOrdOpt,6,FALSE),IF(bpLOOKUP(Data!$AV12,"SIDECHANNELCOLOUR",CustOrdOpt,6,FALSE)="Secondary Custom Powdercoat",bpLOOKUP(Data!$AV12,"CUSTOMPCSIDECH",CustOrdOpt,6,FALSE),bpLOOKUP(Data!$AV12,"SIDECHANNELCOLOUR",CustOrdOpt,6,FALSE)))</f>
        <v/>
      </c>
      <c r="X12" s="70" t="str">
        <f t="array" ref="X12">IF(bpLOOKUP(Data!$AV12,"BOTTOMRAILCOLOUR",CustOrdOpt,6,FALSE)="Custom Powdercoat",bpLOOKUP(Data!$AV12,"CUSTOMPCHBRAIL",CustOrdOpt,6,FALSE),IF(bpLOOKUP(Data!$AV12,"BOTTOMRAILCOLOUR",CustOrdOpt,6,FALSE)="Secondary Custom Powdercoat",bpLOOKUP(Data!$AV12,"CUSTOMPCHBRAIL",CustOrdOpt,6,FALSE),bpLOOKUP(Data!$AV12,"BOTTOMRAILCOLOUR",CustOrdOpt,6,FALSE)))</f>
        <v/>
      </c>
      <c r="Y12" s="70" t="str">
        <f t="array" ref="Y12">bpLOOKUP(Data!$AV12,"MESHFLAP",CustOrdOpt,6,FALSE)</f>
        <v/>
      </c>
      <c r="Z12" s="70" t="str">
        <f t="array" ref="Z12">bpLOOKUP(Data!$AV12,"BFLAP",CustOrdOpt,6,FALSE)</f>
        <v/>
      </c>
      <c r="AA12" s="70" t="str">
        <f t="array" ref="AA12">bpLOOKUP(Data!$AV12,"HOODEXTENSIONBRACKETS",CustOrdOpt,6,FALSE)</f>
        <v/>
      </c>
      <c r="AB12" s="70" t="str">
        <f t="array" ref="AB12">bpLOOKUP(Data!$AV12,"LEGFOOT",CustOrdOpt,6,FALSE)</f>
        <v/>
      </c>
      <c r="AC12" s="70" t="str">
        <f t="array" ref="AC12">bpLOOKUP(Data!$AV12,"FLASH",CustOrdOpt,6,FALSE)</f>
        <v/>
      </c>
      <c r="AD12" s="70" t="str">
        <f t="array" ref="AD12">bpLOOKUP(Data!$AV12,"INSTALLATION",CustOrdOpt,6,FALSE)</f>
        <v/>
      </c>
      <c r="AE12" s="70" t="str">
        <f t="array" ref="AE12">bpLOOKUP(Data!$AV12,"Notes",CustOrdOpt,6,FALSE)</f>
        <v/>
      </c>
      <c r="AF12" s="47"/>
      <c r="AG12" s="70" t="str">
        <f>IF(Data!AZ12="","",VLOOKUP(M12,ZipTubeDeduct,3,FALSE))</f>
        <v/>
      </c>
      <c r="AH12" s="87" t="str">
        <f t="shared" si="1" ref="AH12:AH20">IF(F12="","",IF(K12="2.Zipscreen",F12-VLOOKUP(M12,ZipTubeDeduct,2,FALSE)+27,F12-VLOOKUP(M12,ZipTubeDeduct,2,FALSE)))</f>
        <v/>
      </c>
      <c r="AI12" s="87" t="str">
        <f>IF(Data!BA12="","",IF(K12="2.Zipscreen",F12-121,F12-160))</f>
        <v/>
      </c>
      <c r="AJ12" s="87" t="str">
        <f>IF(Data!BA12="","",IF(K12="2.Zipscreen",F12-82,IF(AND(K12="2.Zipscreen",Data!BO12="PVC"),F12-72,IF(AND(K12="1.Verticali",Data!BO12="PVC"),F12-100,F12-110))))</f>
        <v/>
      </c>
      <c r="AK12" s="87" t="str">
        <f>IF(Data!BA12="","",G12+400)</f>
        <v/>
      </c>
      <c r="AL12" s="76" t="str">
        <f>IF(Data!BA12="","",AJ12-60)</f>
        <v/>
      </c>
      <c r="AM12" s="87" t="str">
        <f>IF(Data!BB12="","",AK12-60)</f>
        <v/>
      </c>
      <c r="AN12" s="70" t="str">
        <f>IF(Data!AV12="","",IF(Data!BO12="PVC",VLOOKUP(Y12,ColourMatch,2,FALSE),VLOOKUP(Data!BN12&amp;" "&amp;Data!BO12&amp;" "&amp;Data!BP12,ColourMatch,2,FALSE)))</f>
        <v/>
      </c>
      <c r="AO12" s="70" t="str">
        <f t="shared" si="0"/>
        <v/>
      </c>
    </row>
    <row r="13" spans="1:41" s="77" customFormat="1" ht="60" customHeight="1">
      <c r="A13" s="91">
        <f>Data!AW13</f>
        <v>0</v>
      </c>
      <c r="B13" s="69">
        <f>Data!AY13</f>
        <v>0</v>
      </c>
      <c r="C13" s="102">
        <f>Data!BA13</f>
        <v>0</v>
      </c>
      <c r="D13" s="103" t="str">
        <f t="array" ref="D13">bpLOOKUP(Data!$AV13,$D$8,CustOrdOpt,6,FALSE)</f>
        <v/>
      </c>
      <c r="E13" s="104" t="str">
        <f t="array" ref="E13">bpLOOKUP(Data!$AV13,"SIDEBYSIDE",CustOrdOpt,6,FALSE)</f>
        <v/>
      </c>
      <c r="F13" s="105" t="str">
        <f>IF(Data!BA13="","",IF(D13="Cloth",Data!BA13+VLOOKUP(J13,CONTROLDEDUCT,2,FALSE)-VLOOKUP(I13,FitDeduct,2,FALSE)-VLOOKUP(E13,SideDeduct,2,FALSE),IF(AND(D13="Opening",H13="Reveal"),Data!BA13-VLOOKUP(H13,OpenDeduct,2,FALSE)-VLOOKUP(E13,SideDeduct,2,FALSE),IF(D13="Opening",Data!BA13-VLOOKUP(I13,FitDeduct,2,FALSE)-VLOOKUP(E13,SideDeduct,2,FALSE),IF(D13="Making",Data!BA13)))))</f>
        <v/>
      </c>
      <c r="G13" s="105" t="str">
        <f>IF(Data!AV13="","",Data!BB13)</f>
        <v/>
      </c>
      <c r="H13" s="106" t="str">
        <f t="array" ref="H13">bpLOOKUP(Data!$AV13,"FIT",CustOrdOpt,6,FALSE)</f>
        <v/>
      </c>
      <c r="I13" s="70" t="str">
        <f t="array" ref="I13">bpLOOKUP(Data!$AV13,"SIDECHANNELFITTING",CustOrdOpt,6,FALSE)</f>
        <v/>
      </c>
      <c r="J13" s="70" t="str">
        <f t="array" ref="J13">bpLOOKUP(Data!$AV13,"FIXING",CustOrdOpt,6,FALSE)</f>
        <v/>
      </c>
      <c r="K13" s="69" t="str">
        <f t="array" ref="K13">bpLOOKUP(Data!$AV13,"ITEMDEPTH",CustOrdOpt,6,FALSE)</f>
        <v/>
      </c>
      <c r="L13" s="69" t="str">
        <f>IF(Data!BE13="","",MID(Data!BE13,6,80))</f>
        <v/>
      </c>
      <c r="M13" s="70" t="str">
        <f t="array" ref="M13">CONCATENATE(bpLOOKUP(Data!$AV13,"OPERATION",CustOrdOpt,6,FALSE))</f>
        <v/>
      </c>
      <c r="N13" s="70" t="str">
        <f t="array" ref="N13">bpLOOKUP(Data!$AV13,"GEARBOXCOLOUR",CustOrdOpt,6,FALSE)</f>
        <v/>
      </c>
      <c r="O13" s="70" t="str">
        <f t="array" ref="O13">bpLOOKUP(Data!$AV13,"GEARBOXFB",CustOrdOpt,6,FALSE)</f>
        <v/>
      </c>
      <c r="P13" s="70" t="str">
        <f t="array" ref="P13">CONCATENATE(bpLOOKUP(Data!$AV13,"CONTROLSIDE",CustOrdOpt,6,FALSE))</f>
        <v/>
      </c>
      <c r="Q13" s="70" t="str">
        <f t="array" ref="Q13">bpLOOKUP(Data!$AV13,"CONTROL",CustOrdOpt,6,FALSE)</f>
        <v/>
      </c>
      <c r="R13" s="70" t="str">
        <f t="array" ref="R13">bpLOOKUP(Data!$AV13,"MOTOREX",CustOrdOpt,6,FALSE)</f>
        <v/>
      </c>
      <c r="S13" s="70" t="str">
        <f t="array" ref="S13">bpLOOKUP(Data!$AV13,"SENSORS",CustOrdOpt,6,FALSE)</f>
        <v/>
      </c>
      <c r="T13" s="70" t="str">
        <f t="array" ref="T13">bpLOOKUP(Data!$AV13,"BRACKETFIXING",CustOrdOpt,6,FALSE)</f>
        <v/>
      </c>
      <c r="U13" s="70" t="str">
        <f t="array" ref="U13">bpLOOKUP(Data!$AV13,"HOODTYPE",CustOrdOpt,6,FALSE)</f>
        <v/>
      </c>
      <c r="V13" s="70" t="str">
        <f t="array" ref="V13">IF(Data!AW13="","",IF(AND(OR(U13="Verticali Square Hooding",U13="Powder Coated Brackets"),bpLOOKUP(Data!$AV13,"HOOD/BRACKETCOLOUR",CustOrdOpt,6,FALSE)="Custom Powdercoat"),bpLOOKUP(Data!$AV13,"CUSTOMPCHBOX",CustOrdOpt,6,FALSE),IF(AND(bpLOOKUP(Data!$AV13,"HOOD/BRACKETCOLOUR",CustOrdOpt,6,FALSE)="Custom Powdercoat",OR(bpLOOKUP(Data!$AV13,"HOODTYPE",CustOrdOpt,6,FALSE)="Verticali Hooding (Old)",bpLOOKUP(Data!$AV13,"HOODTYPE",CustOrdOpt,6,FALSE)="Zipscreen Hooding")),bpLOOKUP(Data!$AV13,"CUSTOMPCHBOX",CustOrdOpt,6,FALSE),IF(bpLOOKUP(Data!$AV13,"HOOD/BRACKETCOLOUR",CustOrdOpt,6,FALSE)="Hooding","Zinc for Powder Coating",bpLOOKUP(Data!$AV13,"HOOD/BRACKETCOLOUR",CustOrdOpt,6,FALSE)))))</f>
        <v/>
      </c>
      <c r="W13" s="70" t="str">
        <f t="array" ref="W13">IF(bpLOOKUP(Data!$AV13,"SIDECHANNELCOLOUR",CustOrdOpt,6,FALSE)="Custom Powdercoat",bpLOOKUP(Data!$AV13,"CUSTOMPCSIDECH",CustOrdOpt,6,FALSE),IF(bpLOOKUP(Data!$AV13,"SIDECHANNELCOLOUR",CustOrdOpt,6,FALSE)="Secondary Custom Powdercoat",bpLOOKUP(Data!$AV13,"CUSTOMPCSIDECH",CustOrdOpt,6,FALSE),bpLOOKUP(Data!$AV13,"SIDECHANNELCOLOUR",CustOrdOpt,6,FALSE)))</f>
        <v/>
      </c>
      <c r="X13" s="70" t="str">
        <f t="array" ref="X13">IF(bpLOOKUP(Data!$AV13,"BOTTOMRAILCOLOUR",CustOrdOpt,6,FALSE)="Custom Powdercoat",bpLOOKUP(Data!$AV13,"CUSTOMPCHBRAIL",CustOrdOpt,6,FALSE),IF(bpLOOKUP(Data!$AV13,"BOTTOMRAILCOLOUR",CustOrdOpt,6,FALSE)="Secondary Custom Powdercoat",bpLOOKUP(Data!$AV13,"CUSTOMPCHBRAIL",CustOrdOpt,6,FALSE),bpLOOKUP(Data!$AV13,"BOTTOMRAILCOLOUR",CustOrdOpt,6,FALSE)))</f>
        <v/>
      </c>
      <c r="Y13" s="70" t="str">
        <f t="array" ref="Y13">bpLOOKUP(Data!$AV13,"MESHFLAP",CustOrdOpt,6,FALSE)</f>
        <v/>
      </c>
      <c r="Z13" s="70" t="str">
        <f t="array" ref="Z13">bpLOOKUP(Data!$AV13,"BFLAP",CustOrdOpt,6,FALSE)</f>
        <v/>
      </c>
      <c r="AA13" s="70" t="str">
        <f t="array" ref="AA13">bpLOOKUP(Data!$AV13,"HOODEXTENSIONBRACKETS",CustOrdOpt,6,FALSE)</f>
        <v/>
      </c>
      <c r="AB13" s="70" t="str">
        <f t="array" ref="AB13">bpLOOKUP(Data!$AV13,"LEGFOOT",CustOrdOpt,6,FALSE)</f>
        <v/>
      </c>
      <c r="AC13" s="70" t="str">
        <f t="array" ref="AC13">bpLOOKUP(Data!$AV13,"FLASH",CustOrdOpt,6,FALSE)</f>
        <v/>
      </c>
      <c r="AD13" s="70" t="str">
        <f t="array" ref="AD13">bpLOOKUP(Data!$AV13,"INSTALLATION",CustOrdOpt,6,FALSE)</f>
        <v/>
      </c>
      <c r="AE13" s="70" t="str">
        <f t="array" ref="AE13">bpLOOKUP(Data!$AV13,"Notes",CustOrdOpt,6,FALSE)</f>
        <v/>
      </c>
      <c r="AF13" s="47"/>
      <c r="AG13" s="70" t="str">
        <f>IF(Data!AZ13="","",VLOOKUP(M13,ZipTubeDeduct,3,FALSE))</f>
        <v/>
      </c>
      <c r="AH13" s="87" t="str">
        <f t="shared" si="1"/>
        <v/>
      </c>
      <c r="AI13" s="87" t="str">
        <f>IF(Data!BA13="","",IF(K13="2.Zipscreen",F13-121,F13-160))</f>
        <v/>
      </c>
      <c r="AJ13" s="87" t="str">
        <f>IF(Data!BA13="","",IF(K13="2.Zipscreen",F13-82,IF(AND(K13="2.Zipscreen",Data!BO13="PVC"),F13-72,IF(AND(K13="1.Verticali",Data!BO13="PVC"),F13-100,F13-110))))</f>
        <v/>
      </c>
      <c r="AK13" s="87" t="str">
        <f>IF(Data!BA13="","",G13+400)</f>
        <v/>
      </c>
      <c r="AL13" s="76" t="str">
        <f>IF(Data!BA13="","",AJ13-60)</f>
        <v/>
      </c>
      <c r="AM13" s="87" t="str">
        <f>IF(Data!BB13="","",AK13-60)</f>
        <v/>
      </c>
      <c r="AN13" s="70" t="str">
        <f>IF(Data!AV13="","",IF(Data!BO13="PVC",VLOOKUP(Y13,ColourMatch,2,FALSE),VLOOKUP(Data!BN13&amp;" "&amp;Data!BO13&amp;" "&amp;Data!BP13,ColourMatch,2,FALSE)))</f>
        <v/>
      </c>
      <c r="AO13" s="70" t="str">
        <f t="shared" si="0"/>
        <v/>
      </c>
    </row>
    <row r="14" spans="1:41" s="77" customFormat="1" ht="60" customHeight="1">
      <c r="A14" s="91">
        <f>Data!AW14</f>
        <v>0</v>
      </c>
      <c r="B14" s="69">
        <f>Data!AY14</f>
        <v>0</v>
      </c>
      <c r="C14" s="102">
        <f>Data!BA14</f>
        <v>0</v>
      </c>
      <c r="D14" s="103" t="str">
        <f t="array" ref="D14">bpLOOKUP(Data!$AV14,$D$8,CustOrdOpt,6,FALSE)</f>
        <v/>
      </c>
      <c r="E14" s="104" t="str">
        <f t="array" ref="E14">bpLOOKUP(Data!$AV14,"SIDEBYSIDE",CustOrdOpt,6,FALSE)</f>
        <v/>
      </c>
      <c r="F14" s="105" t="str">
        <f>IF(Data!BA14="","",IF(D14="Cloth",Data!BA14+VLOOKUP(J14,CONTROLDEDUCT,2,FALSE)-VLOOKUP(I14,FitDeduct,2,FALSE)-VLOOKUP(E14,SideDeduct,2,FALSE),IF(AND(D14="Opening",H14="Reveal"),Data!BA14-VLOOKUP(H14,OpenDeduct,2,FALSE)-VLOOKUP(E14,SideDeduct,2,FALSE),IF(D14="Opening",Data!BA14-VLOOKUP(I14,FitDeduct,2,FALSE)-VLOOKUP(E14,SideDeduct,2,FALSE),IF(D14="Making",Data!BA14)))))</f>
        <v/>
      </c>
      <c r="G14" s="105" t="str">
        <f>IF(Data!AV14="","",Data!BB14)</f>
        <v/>
      </c>
      <c r="H14" s="106" t="str">
        <f t="array" ref="H14">bpLOOKUP(Data!$AV14,"FIT",CustOrdOpt,6,FALSE)</f>
        <v/>
      </c>
      <c r="I14" s="70" t="str">
        <f t="array" ref="I14">bpLOOKUP(Data!$AV14,"SIDECHANNELFITTING",CustOrdOpt,6,FALSE)</f>
        <v/>
      </c>
      <c r="J14" s="70" t="str">
        <f t="array" ref="J14">bpLOOKUP(Data!$AV14,"FIXING",CustOrdOpt,6,FALSE)</f>
        <v/>
      </c>
      <c r="K14" s="69" t="str">
        <f t="array" ref="K14">bpLOOKUP(Data!$AV14,"ITEMDEPTH",CustOrdOpt,6,FALSE)</f>
        <v/>
      </c>
      <c r="L14" s="69" t="str">
        <f>IF(Data!BE14="","",MID(Data!BE14,6,80))</f>
        <v/>
      </c>
      <c r="M14" s="70" t="str">
        <f t="array" ref="M14">CONCATENATE(bpLOOKUP(Data!$AV14,"OPERATION",CustOrdOpt,6,FALSE))</f>
        <v/>
      </c>
      <c r="N14" s="70" t="str">
        <f t="array" ref="N14">bpLOOKUP(Data!$AV14,"GEARBOXCOLOUR",CustOrdOpt,6,FALSE)</f>
        <v/>
      </c>
      <c r="O14" s="70" t="str">
        <f t="array" ref="O14">bpLOOKUP(Data!$AV14,"GEARBOXFB",CustOrdOpt,6,FALSE)</f>
        <v/>
      </c>
      <c r="P14" s="70" t="str">
        <f t="array" ref="P14">CONCATENATE(bpLOOKUP(Data!$AV14,"CONTROLSIDE",CustOrdOpt,6,FALSE))</f>
        <v/>
      </c>
      <c r="Q14" s="70" t="str">
        <f t="array" ref="Q14">bpLOOKUP(Data!$AV14,"CONTROL",CustOrdOpt,6,FALSE)</f>
        <v/>
      </c>
      <c r="R14" s="70" t="str">
        <f t="array" ref="R14">bpLOOKUP(Data!$AV14,"MOTOREX",CustOrdOpt,6,FALSE)</f>
        <v/>
      </c>
      <c r="S14" s="70" t="str">
        <f t="array" ref="S14">bpLOOKUP(Data!$AV14,"SENSORS",CustOrdOpt,6,FALSE)</f>
        <v/>
      </c>
      <c r="T14" s="70" t="str">
        <f t="array" ref="T14">bpLOOKUP(Data!$AV14,"BRACKETFIXING",CustOrdOpt,6,FALSE)</f>
        <v/>
      </c>
      <c r="U14" s="70" t="str">
        <f t="array" ref="U14">bpLOOKUP(Data!$AV14,"HOODTYPE",CustOrdOpt,6,FALSE)</f>
        <v/>
      </c>
      <c r="V14" s="70" t="str">
        <f t="array" ref="V14">IF(Data!AW14="","",IF(AND(OR(U14="Verticali Square Hooding",U14="Powder Coated Brackets"),bpLOOKUP(Data!$AV14,"HOOD/BRACKETCOLOUR",CustOrdOpt,6,FALSE)="Custom Powdercoat"),bpLOOKUP(Data!$AV14,"CUSTOMPCHBOX",CustOrdOpt,6,FALSE),IF(AND(bpLOOKUP(Data!$AV14,"HOOD/BRACKETCOLOUR",CustOrdOpt,6,FALSE)="Custom Powdercoat",OR(bpLOOKUP(Data!$AV14,"HOODTYPE",CustOrdOpt,6,FALSE)="Verticali Hooding (Old)",bpLOOKUP(Data!$AV14,"HOODTYPE",CustOrdOpt,6,FALSE)="Zipscreen Hooding")),bpLOOKUP(Data!$AV14,"CUSTOMPCHBOX",CustOrdOpt,6,FALSE),IF(bpLOOKUP(Data!$AV14,"HOOD/BRACKETCOLOUR",CustOrdOpt,6,FALSE)="Hooding","Zinc for Powder Coating",bpLOOKUP(Data!$AV14,"HOOD/BRACKETCOLOUR",CustOrdOpt,6,FALSE)))))</f>
        <v/>
      </c>
      <c r="W14" s="70" t="str">
        <f t="array" ref="W14">IF(bpLOOKUP(Data!$AV14,"SIDECHANNELCOLOUR",CustOrdOpt,6,FALSE)="Custom Powdercoat",bpLOOKUP(Data!$AV14,"CUSTOMPCSIDECH",CustOrdOpt,6,FALSE),IF(bpLOOKUP(Data!$AV14,"SIDECHANNELCOLOUR",CustOrdOpt,6,FALSE)="Secondary Custom Powdercoat",bpLOOKUP(Data!$AV14,"CUSTOMPCSIDECH",CustOrdOpt,6,FALSE),bpLOOKUP(Data!$AV14,"SIDECHANNELCOLOUR",CustOrdOpt,6,FALSE)))</f>
        <v/>
      </c>
      <c r="X14" s="70" t="str">
        <f t="array" ref="X14">IF(bpLOOKUP(Data!$AV14,"BOTTOMRAILCOLOUR",CustOrdOpt,6,FALSE)="Custom Powdercoat",bpLOOKUP(Data!$AV14,"CUSTOMPCHBRAIL",CustOrdOpt,6,FALSE),IF(bpLOOKUP(Data!$AV14,"BOTTOMRAILCOLOUR",CustOrdOpt,6,FALSE)="Secondary Custom Powdercoat",bpLOOKUP(Data!$AV14,"CUSTOMPCHBRAIL",CustOrdOpt,6,FALSE),bpLOOKUP(Data!$AV14,"BOTTOMRAILCOLOUR",CustOrdOpt,6,FALSE)))</f>
        <v/>
      </c>
      <c r="Y14" s="70" t="str">
        <f t="array" ref="Y14">bpLOOKUP(Data!$AV14,"MESHFLAP",CustOrdOpt,6,FALSE)</f>
        <v/>
      </c>
      <c r="Z14" s="70" t="str">
        <f t="array" ref="Z14">bpLOOKUP(Data!$AV14,"BFLAP",CustOrdOpt,6,FALSE)</f>
        <v/>
      </c>
      <c r="AA14" s="70" t="str">
        <f t="array" ref="AA14">bpLOOKUP(Data!$AV14,"HOODEXTENSIONBRACKETS",CustOrdOpt,6,FALSE)</f>
        <v/>
      </c>
      <c r="AB14" s="70" t="str">
        <f t="array" ref="AB14">bpLOOKUP(Data!$AV14,"LEGFOOT",CustOrdOpt,6,FALSE)</f>
        <v/>
      </c>
      <c r="AC14" s="70" t="str">
        <f t="array" ref="AC14">bpLOOKUP(Data!$AV14,"FLASH",CustOrdOpt,6,FALSE)</f>
        <v/>
      </c>
      <c r="AD14" s="70" t="str">
        <f t="array" ref="AD14">bpLOOKUP(Data!$AV14,"INSTALLATION",CustOrdOpt,6,FALSE)</f>
        <v/>
      </c>
      <c r="AE14" s="70" t="str">
        <f t="array" ref="AE14">bpLOOKUP(Data!$AV14,"Notes",CustOrdOpt,6,FALSE)</f>
        <v/>
      </c>
      <c r="AF14" s="47"/>
      <c r="AG14" s="70" t="str">
        <f>IF(Data!AZ14="","",VLOOKUP(M14,ZipTubeDeduct,3,FALSE))</f>
        <v/>
      </c>
      <c r="AH14" s="87" t="str">
        <f t="shared" si="1"/>
        <v/>
      </c>
      <c r="AI14" s="87" t="str">
        <f>IF(Data!BA14="","",IF(K14="2.Zipscreen",F14-121,F14-160))</f>
        <v/>
      </c>
      <c r="AJ14" s="87" t="str">
        <f>IF(Data!BA14="","",IF(K14="2.Zipscreen",F14-82,IF(AND(K14="2.Zipscreen",Data!BO14="PVC"),F14-72,IF(AND(K14="1.Verticali",Data!BO14="PVC"),F14-100,F14-110))))</f>
        <v/>
      </c>
      <c r="AK14" s="87" t="str">
        <f>IF(Data!BA14="","",G14+400)</f>
        <v/>
      </c>
      <c r="AL14" s="76" t="str">
        <f>IF(Data!BA14="","",AJ14-60)</f>
        <v/>
      </c>
      <c r="AM14" s="87" t="str">
        <f>IF(Data!BB14="","",AK14-60)</f>
        <v/>
      </c>
      <c r="AN14" s="70" t="str">
        <f>IF(Data!AV14="","",IF(Data!BO14="PVC",VLOOKUP(Y14,ColourMatch,2,FALSE),VLOOKUP(Data!BN14&amp;" "&amp;Data!BO14&amp;" "&amp;Data!BP14,ColourMatch,2,FALSE)))</f>
        <v/>
      </c>
      <c r="AO14" s="70" t="str">
        <f t="shared" si="0"/>
        <v/>
      </c>
    </row>
    <row r="15" spans="1:41" s="77" customFormat="1" ht="60" customHeight="1">
      <c r="A15" s="91">
        <f>Data!AW15</f>
        <v>0</v>
      </c>
      <c r="B15" s="69">
        <f>Data!AY15</f>
        <v>0</v>
      </c>
      <c r="C15" s="102">
        <f>Data!BA15</f>
        <v>0</v>
      </c>
      <c r="D15" s="103" t="str">
        <f t="array" ref="D15">bpLOOKUP(Data!$AV15,$D$8,CustOrdOpt,6,FALSE)</f>
        <v/>
      </c>
      <c r="E15" s="104" t="str">
        <f t="array" ref="E15">bpLOOKUP(Data!$AV15,"SIDEBYSIDE",CustOrdOpt,6,FALSE)</f>
        <v/>
      </c>
      <c r="F15" s="105" t="str">
        <f>IF(Data!BA15="","",IF(D15="Cloth",Data!BA15+VLOOKUP(J15,CONTROLDEDUCT,2,FALSE)-VLOOKUP(I15,FitDeduct,2,FALSE)-VLOOKUP(E15,SideDeduct,2,FALSE),IF(AND(D15="Opening",H15="Reveal"),Data!BA15-VLOOKUP(H15,OpenDeduct,2,FALSE)-VLOOKUP(E15,SideDeduct,2,FALSE),IF(D15="Opening",Data!BA15-VLOOKUP(I15,FitDeduct,2,FALSE)-VLOOKUP(E15,SideDeduct,2,FALSE),IF(D15="Making",Data!BA15)))))</f>
        <v/>
      </c>
      <c r="G15" s="105" t="str">
        <f>IF(Data!AV15="","",Data!BB15)</f>
        <v/>
      </c>
      <c r="H15" s="106" t="str">
        <f t="array" ref="H15">bpLOOKUP(Data!$AV15,"FIT",CustOrdOpt,6,FALSE)</f>
        <v/>
      </c>
      <c r="I15" s="70" t="str">
        <f t="array" ref="I15">bpLOOKUP(Data!$AV15,"SIDECHANNELFITTING",CustOrdOpt,6,FALSE)</f>
        <v/>
      </c>
      <c r="J15" s="70" t="str">
        <f t="array" ref="J15">bpLOOKUP(Data!$AV15,"FIXING",CustOrdOpt,6,FALSE)</f>
        <v/>
      </c>
      <c r="K15" s="69" t="str">
        <f t="array" ref="K15">bpLOOKUP(Data!$AV15,"ITEMDEPTH",CustOrdOpt,6,FALSE)</f>
        <v/>
      </c>
      <c r="L15" s="69" t="str">
        <f>IF(Data!BE15="","",MID(Data!BE15,6,80))</f>
        <v/>
      </c>
      <c r="M15" s="70" t="str">
        <f t="array" ref="M15">CONCATENATE(bpLOOKUP(Data!$AV15,"OPERATION",CustOrdOpt,6,FALSE))</f>
        <v/>
      </c>
      <c r="N15" s="70" t="str">
        <f t="array" ref="N15">bpLOOKUP(Data!$AV15,"GEARBOXCOLOUR",CustOrdOpt,6,FALSE)</f>
        <v/>
      </c>
      <c r="O15" s="70" t="str">
        <f t="array" ref="O15">bpLOOKUP(Data!$AV15,"GEARBOXFB",CustOrdOpt,6,FALSE)</f>
        <v/>
      </c>
      <c r="P15" s="70" t="str">
        <f t="array" ref="P15">CONCATENATE(bpLOOKUP(Data!$AV15,"CONTROLSIDE",CustOrdOpt,6,FALSE))</f>
        <v/>
      </c>
      <c r="Q15" s="70" t="str">
        <f t="array" ref="Q15">bpLOOKUP(Data!$AV15,"CONTROL",CustOrdOpt,6,FALSE)</f>
        <v/>
      </c>
      <c r="R15" s="70" t="str">
        <f t="array" ref="R15">bpLOOKUP(Data!$AV15,"MOTOREX",CustOrdOpt,6,FALSE)</f>
        <v/>
      </c>
      <c r="S15" s="70" t="str">
        <f t="array" ref="S15">bpLOOKUP(Data!$AV15,"SENSORS",CustOrdOpt,6,FALSE)</f>
        <v/>
      </c>
      <c r="T15" s="70" t="str">
        <f t="array" ref="T15">bpLOOKUP(Data!$AV15,"BRACKETFIXING",CustOrdOpt,6,FALSE)</f>
        <v/>
      </c>
      <c r="U15" s="70" t="str">
        <f t="array" ref="U15">bpLOOKUP(Data!$AV15,"HOODTYPE",CustOrdOpt,6,FALSE)</f>
        <v/>
      </c>
      <c r="V15" s="70" t="str">
        <f t="array" ref="V15">IF(Data!AW15="","",IF(AND(OR(U15="Verticali Square Hooding",U15="Powder Coated Brackets"),bpLOOKUP(Data!$AV15,"HOOD/BRACKETCOLOUR",CustOrdOpt,6,FALSE)="Custom Powdercoat"),bpLOOKUP(Data!$AV15,"CUSTOMPCHBOX",CustOrdOpt,6,FALSE),IF(AND(bpLOOKUP(Data!$AV15,"HOOD/BRACKETCOLOUR",CustOrdOpt,6,FALSE)="Custom Powdercoat",OR(bpLOOKUP(Data!$AV15,"HOODTYPE",CustOrdOpt,6,FALSE)="Verticali Hooding (Old)",bpLOOKUP(Data!$AV15,"HOODTYPE",CustOrdOpt,6,FALSE)="Zipscreen Hooding")),bpLOOKUP(Data!$AV15,"CUSTOMPCHBOX",CustOrdOpt,6,FALSE),IF(bpLOOKUP(Data!$AV15,"HOOD/BRACKETCOLOUR",CustOrdOpt,6,FALSE)="Hooding","Zinc for Powder Coating",bpLOOKUP(Data!$AV15,"HOOD/BRACKETCOLOUR",CustOrdOpt,6,FALSE)))))</f>
        <v/>
      </c>
      <c r="W15" s="70" t="str">
        <f t="array" ref="W15">IF(bpLOOKUP(Data!$AV15,"SIDECHANNELCOLOUR",CustOrdOpt,6,FALSE)="Custom Powdercoat",bpLOOKUP(Data!$AV15,"CUSTOMPCSIDECH",CustOrdOpt,6,FALSE),IF(bpLOOKUP(Data!$AV15,"SIDECHANNELCOLOUR",CustOrdOpt,6,FALSE)="Secondary Custom Powdercoat",bpLOOKUP(Data!$AV15,"CUSTOMPCSIDECH",CustOrdOpt,6,FALSE),bpLOOKUP(Data!$AV15,"SIDECHANNELCOLOUR",CustOrdOpt,6,FALSE)))</f>
        <v/>
      </c>
      <c r="X15" s="70" t="str">
        <f t="array" ref="X15">IF(bpLOOKUP(Data!$AV15,"BOTTOMRAILCOLOUR",CustOrdOpt,6,FALSE)="Custom Powdercoat",bpLOOKUP(Data!$AV15,"CUSTOMPCHBRAIL",CustOrdOpt,6,FALSE),IF(bpLOOKUP(Data!$AV15,"BOTTOMRAILCOLOUR",CustOrdOpt,6,FALSE)="Secondary Custom Powdercoat",bpLOOKUP(Data!$AV15,"CUSTOMPCHBRAIL",CustOrdOpt,6,FALSE),bpLOOKUP(Data!$AV15,"BOTTOMRAILCOLOUR",CustOrdOpt,6,FALSE)))</f>
        <v/>
      </c>
      <c r="Y15" s="70" t="str">
        <f t="array" ref="Y15">bpLOOKUP(Data!$AV15,"MESHFLAP",CustOrdOpt,6,FALSE)</f>
        <v/>
      </c>
      <c r="Z15" s="70" t="str">
        <f t="array" ref="Z15">bpLOOKUP(Data!$AV15,"BFLAP",CustOrdOpt,6,FALSE)</f>
        <v/>
      </c>
      <c r="AA15" s="70" t="str">
        <f t="array" ref="AA15">bpLOOKUP(Data!$AV15,"HOODEXTENSIONBRACKETS",CustOrdOpt,6,FALSE)</f>
        <v/>
      </c>
      <c r="AB15" s="70" t="str">
        <f t="array" ref="AB15">bpLOOKUP(Data!$AV15,"LEGFOOT",CustOrdOpt,6,FALSE)</f>
        <v/>
      </c>
      <c r="AC15" s="70" t="str">
        <f t="array" ref="AC15">bpLOOKUP(Data!$AV15,"FLASH",CustOrdOpt,6,FALSE)</f>
        <v/>
      </c>
      <c r="AD15" s="70" t="str">
        <f t="array" ref="AD15">bpLOOKUP(Data!$AV15,"INSTALLATION",CustOrdOpt,6,FALSE)</f>
        <v/>
      </c>
      <c r="AE15" s="70" t="str">
        <f t="array" ref="AE15">bpLOOKUP(Data!$AV15,"Notes",CustOrdOpt,6,FALSE)</f>
        <v/>
      </c>
      <c r="AF15" s="47"/>
      <c r="AG15" s="70" t="str">
        <f>IF(Data!AZ15="","",VLOOKUP(M15,ZipTubeDeduct,3,FALSE))</f>
        <v/>
      </c>
      <c r="AH15" s="87" t="str">
        <f t="shared" si="1"/>
        <v/>
      </c>
      <c r="AI15" s="87" t="str">
        <f>IF(Data!BA15="","",IF(K15="2.Zipscreen",F15-121,F15-160))</f>
        <v/>
      </c>
      <c r="AJ15" s="87" t="str">
        <f>IF(Data!BA15="","",IF(K15="2.Zipscreen",F15-82,IF(AND(K15="2.Zipscreen",Data!BO15="PVC"),F15-72,IF(AND(K15="1.Verticali",Data!BO15="PVC"),F15-100,F15-110))))</f>
        <v/>
      </c>
      <c r="AK15" s="87" t="str">
        <f>IF(Data!BA15="","",G15+400)</f>
        <v/>
      </c>
      <c r="AL15" s="76" t="str">
        <f>IF(Data!BA15="","",AJ15-60)</f>
        <v/>
      </c>
      <c r="AM15" s="87" t="str">
        <f>IF(Data!BB15="","",AK15-60)</f>
        <v/>
      </c>
      <c r="AN15" s="70" t="str">
        <f>IF(Data!AV15="","",IF(Data!BO15="PVC",VLOOKUP(Y15,ColourMatch,2,FALSE),VLOOKUP(Data!BN15&amp;" "&amp;Data!BO15&amp;" "&amp;Data!BP15,ColourMatch,2,FALSE)))</f>
        <v/>
      </c>
      <c r="AO15" s="70" t="str">
        <f t="shared" si="0"/>
        <v/>
      </c>
    </row>
    <row r="16" spans="1:41" s="77" customFormat="1" ht="60" customHeight="1">
      <c r="A16" s="91">
        <f>Data!AW16</f>
        <v>0</v>
      </c>
      <c r="B16" s="69">
        <f>Data!AY16</f>
        <v>0</v>
      </c>
      <c r="C16" s="102">
        <f>Data!BA16</f>
        <v>0</v>
      </c>
      <c r="D16" s="103" t="str">
        <f t="array" ref="D16">bpLOOKUP(Data!$AV16,$D$8,CustOrdOpt,6,FALSE)</f>
        <v/>
      </c>
      <c r="E16" s="104" t="str">
        <f t="array" ref="E16">bpLOOKUP(Data!$AV16,"SIDEBYSIDE",CustOrdOpt,6,FALSE)</f>
        <v/>
      </c>
      <c r="F16" s="105" t="str">
        <f>IF(Data!BA16="","",IF(D16="Cloth",Data!BA16+VLOOKUP(J16,CONTROLDEDUCT,2,FALSE)-VLOOKUP(I16,FitDeduct,2,FALSE)-VLOOKUP(E16,SideDeduct,2,FALSE),IF(AND(D16="Opening",H16="Reveal"),Data!BA16-VLOOKUP(H16,OpenDeduct,2,FALSE)-VLOOKUP(E16,SideDeduct,2,FALSE),IF(D16="Opening",Data!BA16-VLOOKUP(I16,FitDeduct,2,FALSE)-VLOOKUP(E16,SideDeduct,2,FALSE),IF(D16="Making",Data!BA16)))))</f>
        <v/>
      </c>
      <c r="G16" s="105" t="str">
        <f>IF(Data!AV16="","",Data!BB16)</f>
        <v/>
      </c>
      <c r="H16" s="106" t="str">
        <f t="array" ref="H16">bpLOOKUP(Data!$AV16,"FIT",CustOrdOpt,6,FALSE)</f>
        <v/>
      </c>
      <c r="I16" s="70" t="str">
        <f t="array" ref="I16">bpLOOKUP(Data!$AV16,"SIDECHANNELFITTING",CustOrdOpt,6,FALSE)</f>
        <v/>
      </c>
      <c r="J16" s="70" t="str">
        <f t="array" ref="J16">bpLOOKUP(Data!$AV16,"FIXING",CustOrdOpt,6,FALSE)</f>
        <v/>
      </c>
      <c r="K16" s="69" t="str">
        <f t="array" ref="K16">bpLOOKUP(Data!$AV16,"ITEMDEPTH",CustOrdOpt,6,FALSE)</f>
        <v/>
      </c>
      <c r="L16" s="69" t="str">
        <f>IF(Data!BE16="","",MID(Data!BE16,6,80))</f>
        <v/>
      </c>
      <c r="M16" s="70" t="str">
        <f t="array" ref="M16">CONCATENATE(bpLOOKUP(Data!$AV16,"OPERATION",CustOrdOpt,6,FALSE))</f>
        <v/>
      </c>
      <c r="N16" s="70" t="str">
        <f t="array" ref="N16">bpLOOKUP(Data!$AV16,"GEARBOXCOLOUR",CustOrdOpt,6,FALSE)</f>
        <v/>
      </c>
      <c r="O16" s="70" t="str">
        <f t="array" ref="O16">bpLOOKUP(Data!$AV16,"GEARBOXFB",CustOrdOpt,6,FALSE)</f>
        <v/>
      </c>
      <c r="P16" s="70" t="str">
        <f t="array" ref="P16">CONCATENATE(bpLOOKUP(Data!$AV16,"CONTROLSIDE",CustOrdOpt,6,FALSE))</f>
        <v/>
      </c>
      <c r="Q16" s="70" t="str">
        <f t="array" ref="Q16">bpLOOKUP(Data!$AV16,"CONTROL",CustOrdOpt,6,FALSE)</f>
        <v/>
      </c>
      <c r="R16" s="70" t="str">
        <f t="array" ref="R16">bpLOOKUP(Data!$AV16,"MOTOREX",CustOrdOpt,6,FALSE)</f>
        <v/>
      </c>
      <c r="S16" s="70" t="str">
        <f t="array" ref="S16">bpLOOKUP(Data!$AV16,"SENSORS",CustOrdOpt,6,FALSE)</f>
        <v/>
      </c>
      <c r="T16" s="70" t="str">
        <f t="array" ref="T16">bpLOOKUP(Data!$AV16,"BRACKETFIXING",CustOrdOpt,6,FALSE)</f>
        <v/>
      </c>
      <c r="U16" s="70" t="str">
        <f t="array" ref="U16">bpLOOKUP(Data!$AV16,"HOODTYPE",CustOrdOpt,6,FALSE)</f>
        <v/>
      </c>
      <c r="V16" s="70" t="str">
        <f t="array" ref="V16">IF(Data!AW16="","",IF(AND(OR(U16="Verticali Square Hooding",U16="Powder Coated Brackets"),bpLOOKUP(Data!$AV16,"HOOD/BRACKETCOLOUR",CustOrdOpt,6,FALSE)="Custom Powdercoat"),bpLOOKUP(Data!$AV16,"CUSTOMPCHBOX",CustOrdOpt,6,FALSE),IF(AND(bpLOOKUP(Data!$AV16,"HOOD/BRACKETCOLOUR",CustOrdOpt,6,FALSE)="Custom Powdercoat",OR(bpLOOKUP(Data!$AV16,"HOODTYPE",CustOrdOpt,6,FALSE)="Verticali Hooding (Old)",bpLOOKUP(Data!$AV16,"HOODTYPE",CustOrdOpt,6,FALSE)="Zipscreen Hooding")),bpLOOKUP(Data!$AV16,"CUSTOMPCHBOX",CustOrdOpt,6,FALSE),IF(bpLOOKUP(Data!$AV16,"HOOD/BRACKETCOLOUR",CustOrdOpt,6,FALSE)="Hooding","Zinc for Powder Coating",bpLOOKUP(Data!$AV16,"HOOD/BRACKETCOLOUR",CustOrdOpt,6,FALSE)))))</f>
        <v/>
      </c>
      <c r="W16" s="70" t="str">
        <f t="array" ref="W16">IF(bpLOOKUP(Data!$AV16,"SIDECHANNELCOLOUR",CustOrdOpt,6,FALSE)="Custom Powdercoat",bpLOOKUP(Data!$AV16,"CUSTOMPCSIDECH",CustOrdOpt,6,FALSE),IF(bpLOOKUP(Data!$AV16,"SIDECHANNELCOLOUR",CustOrdOpt,6,FALSE)="Secondary Custom Powdercoat",bpLOOKUP(Data!$AV16,"CUSTOMPCSIDECH",CustOrdOpt,6,FALSE),bpLOOKUP(Data!$AV16,"SIDECHANNELCOLOUR",CustOrdOpt,6,FALSE)))</f>
        <v/>
      </c>
      <c r="X16" s="70" t="str">
        <f t="array" ref="X16">IF(bpLOOKUP(Data!$AV16,"BOTTOMRAILCOLOUR",CustOrdOpt,6,FALSE)="Custom Powdercoat",bpLOOKUP(Data!$AV16,"CUSTOMPCHBRAIL",CustOrdOpt,6,FALSE),IF(bpLOOKUP(Data!$AV16,"BOTTOMRAILCOLOUR",CustOrdOpt,6,FALSE)="Secondary Custom Powdercoat",bpLOOKUP(Data!$AV16,"CUSTOMPCHBRAIL",CustOrdOpt,6,FALSE),bpLOOKUP(Data!$AV16,"BOTTOMRAILCOLOUR",CustOrdOpt,6,FALSE)))</f>
        <v/>
      </c>
      <c r="Y16" s="70" t="str">
        <f t="array" ref="Y16">bpLOOKUP(Data!$AV16,"MESHFLAP",CustOrdOpt,6,FALSE)</f>
        <v/>
      </c>
      <c r="Z16" s="70" t="str">
        <f t="array" ref="Z16">bpLOOKUP(Data!$AV16,"BFLAP",CustOrdOpt,6,FALSE)</f>
        <v/>
      </c>
      <c r="AA16" s="70" t="str">
        <f t="array" ref="AA16">bpLOOKUP(Data!$AV16,"HOODEXTENSIONBRACKETS",CustOrdOpt,6,FALSE)</f>
        <v/>
      </c>
      <c r="AB16" s="70" t="str">
        <f t="array" ref="AB16">bpLOOKUP(Data!$AV16,"LEGFOOT",CustOrdOpt,6,FALSE)</f>
        <v/>
      </c>
      <c r="AC16" s="70" t="str">
        <f t="array" ref="AC16">bpLOOKUP(Data!$AV16,"FLASH",CustOrdOpt,6,FALSE)</f>
        <v/>
      </c>
      <c r="AD16" s="70" t="str">
        <f t="array" ref="AD16">bpLOOKUP(Data!$AV16,"INSTALLATION",CustOrdOpt,6,FALSE)</f>
        <v/>
      </c>
      <c r="AE16" s="70" t="str">
        <f t="array" ref="AE16">bpLOOKUP(Data!$AV16,"Notes",CustOrdOpt,6,FALSE)</f>
        <v/>
      </c>
      <c r="AF16" s="47"/>
      <c r="AG16" s="70" t="str">
        <f>IF(Data!AZ16="","",VLOOKUP(M16,ZipTubeDeduct,3,FALSE))</f>
        <v/>
      </c>
      <c r="AH16" s="87" t="str">
        <f t="shared" si="1"/>
        <v/>
      </c>
      <c r="AI16" s="87" t="str">
        <f>IF(Data!BA16="","",IF(K16="2.Zipscreen",F16-121,F16-160))</f>
        <v/>
      </c>
      <c r="AJ16" s="87" t="str">
        <f>IF(Data!BA16="","",IF(K16="2.Zipscreen",F16-82,IF(AND(K16="2.Zipscreen",Data!BO16="PVC"),F16-72,IF(AND(K16="1.Verticali",Data!BO16="PVC"),F16-100,F16-110))))</f>
        <v/>
      </c>
      <c r="AK16" s="87" t="str">
        <f>IF(Data!BA16="","",G16+400)</f>
        <v/>
      </c>
      <c r="AL16" s="76" t="str">
        <f>IF(Data!BA16="","",AJ16-60)</f>
        <v/>
      </c>
      <c r="AM16" s="87" t="str">
        <f>IF(Data!BB16="","",AK16-60)</f>
        <v/>
      </c>
      <c r="AN16" s="70" t="str">
        <f>IF(Data!AV16="","",IF(Data!BO16="PVC",VLOOKUP(Y16,ColourMatch,2,FALSE),VLOOKUP(Data!BN16&amp;" "&amp;Data!BO16&amp;" "&amp;Data!BP16,ColourMatch,2,FALSE)))</f>
        <v/>
      </c>
      <c r="AO16" s="70" t="str">
        <f t="shared" si="0"/>
        <v/>
      </c>
    </row>
    <row r="17" spans="1:41" s="77" customFormat="1" ht="60" customHeight="1">
      <c r="A17" s="91">
        <f>Data!AW17</f>
        <v>0</v>
      </c>
      <c r="B17" s="69">
        <f>Data!AY17</f>
        <v>0</v>
      </c>
      <c r="C17" s="102">
        <f>Data!BA17</f>
        <v>0</v>
      </c>
      <c r="D17" s="103" t="str">
        <f t="array" ref="D17">bpLOOKUP(Data!$AV17,$D$8,CustOrdOpt,6,FALSE)</f>
        <v/>
      </c>
      <c r="E17" s="104" t="str">
        <f t="array" ref="E17">bpLOOKUP(Data!$AV17,"SIDEBYSIDE",CustOrdOpt,6,FALSE)</f>
        <v/>
      </c>
      <c r="F17" s="105" t="str">
        <f>IF(Data!BA17="","",IF(D17="Cloth",Data!BA17+VLOOKUP(J17,CONTROLDEDUCT,2,FALSE)-VLOOKUP(I17,FitDeduct,2,FALSE)-VLOOKUP(E17,SideDeduct,2,FALSE),IF(AND(D17="Opening",H17="Reveal"),Data!BA17-VLOOKUP(H17,OpenDeduct,2,FALSE)-VLOOKUP(E17,SideDeduct,2,FALSE),IF(D17="Opening",Data!BA17-VLOOKUP(I17,FitDeduct,2,FALSE)-VLOOKUP(E17,SideDeduct,2,FALSE),IF(D17="Making",Data!BA17)))))</f>
        <v/>
      </c>
      <c r="G17" s="105" t="str">
        <f>IF(Data!AV17="","",Data!BB17)</f>
        <v/>
      </c>
      <c r="H17" s="106" t="str">
        <f t="array" ref="H17">bpLOOKUP(Data!$AV17,"FIT",CustOrdOpt,6,FALSE)</f>
        <v/>
      </c>
      <c r="I17" s="70" t="str">
        <f t="array" ref="I17">bpLOOKUP(Data!$AV17,"SIDECHANNELFITTING",CustOrdOpt,6,FALSE)</f>
        <v/>
      </c>
      <c r="J17" s="70" t="str">
        <f t="array" ref="J17">bpLOOKUP(Data!$AV17,"FIXING",CustOrdOpt,6,FALSE)</f>
        <v/>
      </c>
      <c r="K17" s="69" t="str">
        <f t="array" ref="K17">bpLOOKUP(Data!$AV17,"ITEMDEPTH",CustOrdOpt,6,FALSE)</f>
        <v/>
      </c>
      <c r="L17" s="69" t="str">
        <f>IF(Data!BE17="","",MID(Data!BE17,6,80))</f>
        <v/>
      </c>
      <c r="M17" s="70" t="str">
        <f t="array" ref="M17">CONCATENATE(bpLOOKUP(Data!$AV17,"OPERATION",CustOrdOpt,6,FALSE))</f>
        <v/>
      </c>
      <c r="N17" s="70" t="str">
        <f t="array" ref="N17">bpLOOKUP(Data!$AV17,"GEARBOXCOLOUR",CustOrdOpt,6,FALSE)</f>
        <v/>
      </c>
      <c r="O17" s="70" t="str">
        <f t="array" ref="O17">bpLOOKUP(Data!$AV17,"GEARBOXFB",CustOrdOpt,6,FALSE)</f>
        <v/>
      </c>
      <c r="P17" s="70" t="str">
        <f t="array" ref="P17">CONCATENATE(bpLOOKUP(Data!$AV17,"CONTROLSIDE",CustOrdOpt,6,FALSE))</f>
        <v/>
      </c>
      <c r="Q17" s="70" t="str">
        <f t="array" ref="Q17">bpLOOKUP(Data!$AV17,"CONTROL",CustOrdOpt,6,FALSE)</f>
        <v/>
      </c>
      <c r="R17" s="70" t="str">
        <f t="array" ref="R17">bpLOOKUP(Data!$AV17,"MOTOREX",CustOrdOpt,6,FALSE)</f>
        <v/>
      </c>
      <c r="S17" s="70" t="str">
        <f t="array" ref="S17">bpLOOKUP(Data!$AV17,"SENSORS",CustOrdOpt,6,FALSE)</f>
        <v/>
      </c>
      <c r="T17" s="70" t="str">
        <f t="array" ref="T17">bpLOOKUP(Data!$AV17,"BRACKETFIXING",CustOrdOpt,6,FALSE)</f>
        <v/>
      </c>
      <c r="U17" s="70" t="str">
        <f t="array" ref="U17">bpLOOKUP(Data!$AV17,"HOODTYPE",CustOrdOpt,6,FALSE)</f>
        <v/>
      </c>
      <c r="V17" s="70" t="str">
        <f t="array" ref="V17">IF(Data!AW17="","",IF(AND(OR(U17="Verticali Square Hooding",U17="Powder Coated Brackets"),bpLOOKUP(Data!$AV17,"HOOD/BRACKETCOLOUR",CustOrdOpt,6,FALSE)="Custom Powdercoat"),bpLOOKUP(Data!$AV17,"CUSTOMPCHBOX",CustOrdOpt,6,FALSE),IF(AND(bpLOOKUP(Data!$AV17,"HOOD/BRACKETCOLOUR",CustOrdOpt,6,FALSE)="Custom Powdercoat",OR(bpLOOKUP(Data!$AV17,"HOODTYPE",CustOrdOpt,6,FALSE)="Verticali Hooding (Old)",bpLOOKUP(Data!$AV17,"HOODTYPE",CustOrdOpt,6,FALSE)="Zipscreen Hooding")),bpLOOKUP(Data!$AV17,"CUSTOMPCHBOX",CustOrdOpt,6,FALSE),IF(bpLOOKUP(Data!$AV17,"HOOD/BRACKETCOLOUR",CustOrdOpt,6,FALSE)="Hooding","Zinc for Powder Coating",bpLOOKUP(Data!$AV17,"HOOD/BRACKETCOLOUR",CustOrdOpt,6,FALSE)))))</f>
        <v/>
      </c>
      <c r="W17" s="70" t="str">
        <f t="array" ref="W17">IF(bpLOOKUP(Data!$AV17,"SIDECHANNELCOLOUR",CustOrdOpt,6,FALSE)="Custom Powdercoat",bpLOOKUP(Data!$AV17,"CUSTOMPCSIDECH",CustOrdOpt,6,FALSE),IF(bpLOOKUP(Data!$AV17,"SIDECHANNELCOLOUR",CustOrdOpt,6,FALSE)="Secondary Custom Powdercoat",bpLOOKUP(Data!$AV17,"CUSTOMPCSIDECH",CustOrdOpt,6,FALSE),bpLOOKUP(Data!$AV17,"SIDECHANNELCOLOUR",CustOrdOpt,6,FALSE)))</f>
        <v/>
      </c>
      <c r="X17" s="70" t="str">
        <f t="array" ref="X17">IF(bpLOOKUP(Data!$AV17,"BOTTOMRAILCOLOUR",CustOrdOpt,6,FALSE)="Custom Powdercoat",bpLOOKUP(Data!$AV17,"CUSTOMPCHBRAIL",CustOrdOpt,6,FALSE),IF(bpLOOKUP(Data!$AV17,"BOTTOMRAILCOLOUR",CustOrdOpt,6,FALSE)="Secondary Custom Powdercoat",bpLOOKUP(Data!$AV17,"CUSTOMPCHBRAIL",CustOrdOpt,6,FALSE),bpLOOKUP(Data!$AV17,"BOTTOMRAILCOLOUR",CustOrdOpt,6,FALSE)))</f>
        <v/>
      </c>
      <c r="Y17" s="70" t="str">
        <f t="array" ref="Y17">bpLOOKUP(Data!$AV17,"MESHFLAP",CustOrdOpt,6,FALSE)</f>
        <v/>
      </c>
      <c r="Z17" s="70" t="str">
        <f t="array" ref="Z17">bpLOOKUP(Data!$AV17,"BFLAP",CustOrdOpt,6,FALSE)</f>
        <v/>
      </c>
      <c r="AA17" s="70" t="str">
        <f t="array" ref="AA17">bpLOOKUP(Data!$AV17,"HOODEXTENSIONBRACKETS",CustOrdOpt,6,FALSE)</f>
        <v/>
      </c>
      <c r="AB17" s="70" t="str">
        <f t="array" ref="AB17">bpLOOKUP(Data!$AV17,"LEGFOOT",CustOrdOpt,6,FALSE)</f>
        <v/>
      </c>
      <c r="AC17" s="70" t="str">
        <f t="array" ref="AC17">bpLOOKUP(Data!$AV17,"FLASH",CustOrdOpt,6,FALSE)</f>
        <v/>
      </c>
      <c r="AD17" s="70" t="str">
        <f t="array" ref="AD17">bpLOOKUP(Data!$AV17,"INSTALLATION",CustOrdOpt,6,FALSE)</f>
        <v/>
      </c>
      <c r="AE17" s="70" t="str">
        <f t="array" ref="AE17">bpLOOKUP(Data!$AV17,"Notes",CustOrdOpt,6,FALSE)</f>
        <v/>
      </c>
      <c r="AF17" s="47"/>
      <c r="AG17" s="70" t="str">
        <f>IF(Data!AZ17="","",VLOOKUP(M17,ZipTubeDeduct,3,FALSE))</f>
        <v/>
      </c>
      <c r="AH17" s="87" t="str">
        <f t="shared" si="1"/>
        <v/>
      </c>
      <c r="AI17" s="87" t="str">
        <f>IF(Data!BA17="","",IF(K17="2.Zipscreen",F17-121,F17-160))</f>
        <v/>
      </c>
      <c r="AJ17" s="87" t="str">
        <f>IF(Data!BA17="","",IF(K17="2.Zipscreen",F17-82,IF(AND(K17="2.Zipscreen",Data!BO17="PVC"),F17-72,IF(AND(K17="1.Verticali",Data!BO17="PVC"),F17-100,F17-110))))</f>
        <v/>
      </c>
      <c r="AK17" s="87" t="str">
        <f>IF(Data!BA17="","",G17+400)</f>
        <v/>
      </c>
      <c r="AL17" s="76" t="str">
        <f>IF(Data!BA17="","",AJ17-60)</f>
        <v/>
      </c>
      <c r="AM17" s="87" t="str">
        <f>IF(Data!BB17="","",AK17-60)</f>
        <v/>
      </c>
      <c r="AN17" s="70" t="str">
        <f>IF(Data!AV17="","",IF(Data!BO17="PVC",VLOOKUP(Y17,ColourMatch,2,FALSE),VLOOKUP(Data!BN17&amp;" "&amp;Data!BO17&amp;" "&amp;Data!BP17,ColourMatch,2,FALSE)))</f>
        <v/>
      </c>
      <c r="AO17" s="70" t="str">
        <f t="shared" si="0"/>
        <v/>
      </c>
    </row>
    <row r="18" spans="1:41" s="77" customFormat="1" ht="60" customHeight="1">
      <c r="A18" s="91">
        <f>Data!AW18</f>
        <v>0</v>
      </c>
      <c r="B18" s="69">
        <f>Data!AY18</f>
        <v>0</v>
      </c>
      <c r="C18" s="102">
        <f>Data!BA18</f>
        <v>0</v>
      </c>
      <c r="D18" s="103" t="str">
        <f t="array" ref="D18">bpLOOKUP(Data!$AV18,$D$8,CustOrdOpt,6,FALSE)</f>
        <v/>
      </c>
      <c r="E18" s="104" t="str">
        <f t="array" ref="E18">bpLOOKUP(Data!$AV18,"SIDEBYSIDE",CustOrdOpt,6,FALSE)</f>
        <v/>
      </c>
      <c r="F18" s="105" t="str">
        <f>IF(Data!BA18="","",IF(D18="Cloth",Data!BA18+VLOOKUP(J18,CONTROLDEDUCT,2,FALSE)-VLOOKUP(I18,FitDeduct,2,FALSE)-VLOOKUP(E18,SideDeduct,2,FALSE),IF(AND(D18="Opening",H18="Reveal"),Data!BA18-VLOOKUP(H18,OpenDeduct,2,FALSE)-VLOOKUP(E18,SideDeduct,2,FALSE),IF(D18="Opening",Data!BA18-VLOOKUP(I18,FitDeduct,2,FALSE)-VLOOKUP(E18,SideDeduct,2,FALSE),IF(D18="Making",Data!BA18)))))</f>
        <v/>
      </c>
      <c r="G18" s="105" t="str">
        <f>IF(Data!AV18="","",Data!BB18)</f>
        <v/>
      </c>
      <c r="H18" s="106" t="str">
        <f t="array" ref="H18">bpLOOKUP(Data!$AV18,"FIT",CustOrdOpt,6,FALSE)</f>
        <v/>
      </c>
      <c r="I18" s="70" t="str">
        <f t="array" ref="I18">bpLOOKUP(Data!$AV18,"SIDECHANNELFITTING",CustOrdOpt,6,FALSE)</f>
        <v/>
      </c>
      <c r="J18" s="70" t="str">
        <f t="array" ref="J18">bpLOOKUP(Data!$AV18,"FIXING",CustOrdOpt,6,FALSE)</f>
        <v/>
      </c>
      <c r="K18" s="69" t="str">
        <f t="array" ref="K18">bpLOOKUP(Data!$AV18,"ITEMDEPTH",CustOrdOpt,6,FALSE)</f>
        <v/>
      </c>
      <c r="L18" s="69" t="str">
        <f>IF(Data!BE18="","",MID(Data!BE18,6,80))</f>
        <v/>
      </c>
      <c r="M18" s="70" t="str">
        <f t="array" ref="M18">CONCATENATE(bpLOOKUP(Data!$AV18,"OPERATION",CustOrdOpt,6,FALSE))</f>
        <v/>
      </c>
      <c r="N18" s="70" t="str">
        <f t="array" ref="N18">bpLOOKUP(Data!$AV18,"GEARBOXCOLOUR",CustOrdOpt,6,FALSE)</f>
        <v/>
      </c>
      <c r="O18" s="70" t="str">
        <f t="array" ref="O18">bpLOOKUP(Data!$AV18,"GEARBOXFB",CustOrdOpt,6,FALSE)</f>
        <v/>
      </c>
      <c r="P18" s="70" t="str">
        <f t="array" ref="P18">CONCATENATE(bpLOOKUP(Data!$AV18,"CONTROLSIDE",CustOrdOpt,6,FALSE))</f>
        <v/>
      </c>
      <c r="Q18" s="70" t="str">
        <f t="array" ref="Q18">bpLOOKUP(Data!$AV18,"CONTROL",CustOrdOpt,6,FALSE)</f>
        <v/>
      </c>
      <c r="R18" s="70" t="str">
        <f t="array" ref="R18">bpLOOKUP(Data!$AV18,"MOTOREX",CustOrdOpt,6,FALSE)</f>
        <v/>
      </c>
      <c r="S18" s="70" t="str">
        <f t="array" ref="S18">bpLOOKUP(Data!$AV18,"SENSORS",CustOrdOpt,6,FALSE)</f>
        <v/>
      </c>
      <c r="T18" s="70" t="str">
        <f t="array" ref="T18">bpLOOKUP(Data!$AV18,"BRACKETFIXING",CustOrdOpt,6,FALSE)</f>
        <v/>
      </c>
      <c r="U18" s="70" t="str">
        <f t="array" ref="U18">bpLOOKUP(Data!$AV18,"HOODTYPE",CustOrdOpt,6,FALSE)</f>
        <v/>
      </c>
      <c r="V18" s="70" t="str">
        <f t="array" ref="V18">IF(Data!AW18="","",IF(AND(OR(U18="Verticali Square Hooding",U18="Powder Coated Brackets"),bpLOOKUP(Data!$AV18,"HOOD/BRACKETCOLOUR",CustOrdOpt,6,FALSE)="Custom Powdercoat"),bpLOOKUP(Data!$AV18,"CUSTOMPCHBOX",CustOrdOpt,6,FALSE),IF(AND(bpLOOKUP(Data!$AV18,"HOOD/BRACKETCOLOUR",CustOrdOpt,6,FALSE)="Custom Powdercoat",OR(bpLOOKUP(Data!$AV18,"HOODTYPE",CustOrdOpt,6,FALSE)="Verticali Hooding (Old)",bpLOOKUP(Data!$AV18,"HOODTYPE",CustOrdOpt,6,FALSE)="Zipscreen Hooding")),bpLOOKUP(Data!$AV18,"CUSTOMPCHBOX",CustOrdOpt,6,FALSE),IF(bpLOOKUP(Data!$AV18,"HOOD/BRACKETCOLOUR",CustOrdOpt,6,FALSE)="Hooding","Zinc for Powder Coating",bpLOOKUP(Data!$AV18,"HOOD/BRACKETCOLOUR",CustOrdOpt,6,FALSE)))))</f>
        <v/>
      </c>
      <c r="W18" s="70" t="str">
        <f t="array" ref="W18">IF(bpLOOKUP(Data!$AV18,"SIDECHANNELCOLOUR",CustOrdOpt,6,FALSE)="Custom Powdercoat",bpLOOKUP(Data!$AV18,"CUSTOMPCSIDECH",CustOrdOpt,6,FALSE),IF(bpLOOKUP(Data!$AV18,"SIDECHANNELCOLOUR",CustOrdOpt,6,FALSE)="Secondary Custom Powdercoat",bpLOOKUP(Data!$AV18,"CUSTOMPCSIDECH",CustOrdOpt,6,FALSE),bpLOOKUP(Data!$AV18,"SIDECHANNELCOLOUR",CustOrdOpt,6,FALSE)))</f>
        <v/>
      </c>
      <c r="X18" s="70" t="str">
        <f t="array" ref="X18">IF(bpLOOKUP(Data!$AV18,"BOTTOMRAILCOLOUR",CustOrdOpt,6,FALSE)="Custom Powdercoat",bpLOOKUP(Data!$AV18,"CUSTOMPCHBRAIL",CustOrdOpt,6,FALSE),IF(bpLOOKUP(Data!$AV18,"BOTTOMRAILCOLOUR",CustOrdOpt,6,FALSE)="Secondary Custom Powdercoat",bpLOOKUP(Data!$AV18,"CUSTOMPCHBRAIL",CustOrdOpt,6,FALSE),bpLOOKUP(Data!$AV18,"BOTTOMRAILCOLOUR",CustOrdOpt,6,FALSE)))</f>
        <v/>
      </c>
      <c r="Y18" s="70" t="str">
        <f t="array" ref="Y18">bpLOOKUP(Data!$AV18,"MESHFLAP",CustOrdOpt,6,FALSE)</f>
        <v/>
      </c>
      <c r="Z18" s="70" t="str">
        <f t="array" ref="Z18">bpLOOKUP(Data!$AV18,"BFLAP",CustOrdOpt,6,FALSE)</f>
        <v/>
      </c>
      <c r="AA18" s="70" t="str">
        <f t="array" ref="AA18">bpLOOKUP(Data!$AV18,"HOODEXTENSIONBRACKETS",CustOrdOpt,6,FALSE)</f>
        <v/>
      </c>
      <c r="AB18" s="70" t="str">
        <f t="array" ref="AB18">bpLOOKUP(Data!$AV18,"LEGFOOT",CustOrdOpt,6,FALSE)</f>
        <v/>
      </c>
      <c r="AC18" s="70" t="str">
        <f t="array" ref="AC18">bpLOOKUP(Data!$AV18,"FLASH",CustOrdOpt,6,FALSE)</f>
        <v/>
      </c>
      <c r="AD18" s="70" t="str">
        <f t="array" ref="AD18">bpLOOKUP(Data!$AV18,"INSTALLATION",CustOrdOpt,6,FALSE)</f>
        <v/>
      </c>
      <c r="AE18" s="70" t="str">
        <f t="array" ref="AE18">bpLOOKUP(Data!$AV18,"Notes",CustOrdOpt,6,FALSE)</f>
        <v/>
      </c>
      <c r="AF18" s="47"/>
      <c r="AG18" s="70" t="str">
        <f>IF(Data!AZ18="","",VLOOKUP(M18,ZipTubeDeduct,3,FALSE))</f>
        <v/>
      </c>
      <c r="AH18" s="87" t="str">
        <f t="shared" si="1"/>
        <v/>
      </c>
      <c r="AI18" s="87" t="str">
        <f>IF(Data!BA18="","",IF(K18="2.Zipscreen",F18-121,F18-160))</f>
        <v/>
      </c>
      <c r="AJ18" s="87" t="str">
        <f>IF(Data!BA18="","",IF(K18="2.Zipscreen",F18-82,IF(AND(K18="2.Zipscreen",Data!BO18="PVC"),F18-72,IF(AND(K18="1.Verticali",Data!BO18="PVC"),F18-100,F18-110))))</f>
        <v/>
      </c>
      <c r="AK18" s="87" t="str">
        <f>IF(Data!BA18="","",G18+400)</f>
        <v/>
      </c>
      <c r="AL18" s="76" t="str">
        <f>IF(Data!BA18="","",AJ18-60)</f>
        <v/>
      </c>
      <c r="AM18" s="87" t="str">
        <f>IF(Data!BB18="","",AK18-60)</f>
        <v/>
      </c>
      <c r="AN18" s="70" t="str">
        <f>IF(Data!AV18="","",IF(Data!BO18="PVC",VLOOKUP(Y18,ColourMatch,2,FALSE),VLOOKUP(Data!BN18&amp;" "&amp;Data!BO18&amp;" "&amp;Data!BP18,ColourMatch,2,FALSE)))</f>
        <v/>
      </c>
      <c r="AO18" s="70" t="str">
        <f t="shared" si="0"/>
        <v/>
      </c>
    </row>
    <row r="19" spans="1:41" s="77" customFormat="1" ht="60" customHeight="1">
      <c r="A19" s="91">
        <f>Data!AW19</f>
        <v>0</v>
      </c>
      <c r="B19" s="69">
        <f>Data!AY19</f>
        <v>0</v>
      </c>
      <c r="C19" s="102">
        <f>Data!BA19</f>
        <v>0</v>
      </c>
      <c r="D19" s="103" t="str">
        <f t="array" ref="D19">bpLOOKUP(Data!$AV19,$D$8,CustOrdOpt,6,FALSE)</f>
        <v/>
      </c>
      <c r="E19" s="104" t="str">
        <f t="array" ref="E19">bpLOOKUP(Data!$AV19,"SIDEBYSIDE",CustOrdOpt,6,FALSE)</f>
        <v/>
      </c>
      <c r="F19" s="105" t="str">
        <f>IF(Data!BA19="","",IF(D19="Cloth",Data!BA19+VLOOKUP(J19,CONTROLDEDUCT,2,FALSE)-VLOOKUP(I19,FitDeduct,2,FALSE)-VLOOKUP(E19,SideDeduct,2,FALSE),IF(AND(D19="Opening",H19="Reveal"),Data!BA19-VLOOKUP(H19,OpenDeduct,2,FALSE)-VLOOKUP(E19,SideDeduct,2,FALSE),IF(D19="Opening",Data!BA19-VLOOKUP(I19,FitDeduct,2,FALSE)-VLOOKUP(E19,SideDeduct,2,FALSE),IF(D19="Making",Data!BA19)))))</f>
        <v/>
      </c>
      <c r="G19" s="105" t="str">
        <f>IF(Data!AV19="","",Data!BB19)</f>
        <v/>
      </c>
      <c r="H19" s="106" t="str">
        <f t="array" ref="H19">bpLOOKUP(Data!$AV19,"FIT",CustOrdOpt,6,FALSE)</f>
        <v/>
      </c>
      <c r="I19" s="70" t="str">
        <f t="array" ref="I19">bpLOOKUP(Data!$AV19,"SIDECHANNELFITTING",CustOrdOpt,6,FALSE)</f>
        <v/>
      </c>
      <c r="J19" s="70" t="str">
        <f t="array" ref="J19">bpLOOKUP(Data!$AV19,"FIXING",CustOrdOpt,6,FALSE)</f>
        <v/>
      </c>
      <c r="K19" s="69" t="str">
        <f t="array" ref="K19">bpLOOKUP(Data!$AV19,"ITEMDEPTH",CustOrdOpt,6,FALSE)</f>
        <v/>
      </c>
      <c r="L19" s="69" t="str">
        <f>IF(Data!BE19="","",MID(Data!BE19,6,80))</f>
        <v/>
      </c>
      <c r="M19" s="70" t="str">
        <f t="array" ref="M19">CONCATENATE(bpLOOKUP(Data!$AV19,"OPERATION",CustOrdOpt,6,FALSE))</f>
        <v/>
      </c>
      <c r="N19" s="70" t="str">
        <f t="array" ref="N19">bpLOOKUP(Data!$AV19,"GEARBOXCOLOUR",CustOrdOpt,6,FALSE)</f>
        <v/>
      </c>
      <c r="O19" s="70" t="str">
        <f t="array" ref="O19">bpLOOKUP(Data!$AV19,"GEARBOXFB",CustOrdOpt,6,FALSE)</f>
        <v/>
      </c>
      <c r="P19" s="70" t="str">
        <f t="array" ref="P19">CONCATENATE(bpLOOKUP(Data!$AV19,"CONTROLSIDE",CustOrdOpt,6,FALSE))</f>
        <v/>
      </c>
      <c r="Q19" s="70" t="str">
        <f t="array" ref="Q19">bpLOOKUP(Data!$AV19,"CONTROL",CustOrdOpt,6,FALSE)</f>
        <v/>
      </c>
      <c r="R19" s="70" t="str">
        <f t="array" ref="R19">bpLOOKUP(Data!$AV19,"MOTOREX",CustOrdOpt,6,FALSE)</f>
        <v/>
      </c>
      <c r="S19" s="70" t="str">
        <f t="array" ref="S19">bpLOOKUP(Data!$AV19,"SENSORS",CustOrdOpt,6,FALSE)</f>
        <v/>
      </c>
      <c r="T19" s="70" t="str">
        <f t="array" ref="T19">bpLOOKUP(Data!$AV19,"BRACKETFIXING",CustOrdOpt,6,FALSE)</f>
        <v/>
      </c>
      <c r="U19" s="70" t="str">
        <f t="array" ref="U19">bpLOOKUP(Data!$AV19,"HOODTYPE",CustOrdOpt,6,FALSE)</f>
        <v/>
      </c>
      <c r="V19" s="70" t="str">
        <f t="array" ref="V19">IF(Data!AW19="","",IF(AND(OR(U19="Verticali Square Hooding",U19="Powder Coated Brackets"),bpLOOKUP(Data!$AV19,"HOOD/BRACKETCOLOUR",CustOrdOpt,6,FALSE)="Custom Powdercoat"),bpLOOKUP(Data!$AV19,"CUSTOMPCHBOX",CustOrdOpt,6,FALSE),IF(AND(bpLOOKUP(Data!$AV19,"HOOD/BRACKETCOLOUR",CustOrdOpt,6,FALSE)="Custom Powdercoat",OR(bpLOOKUP(Data!$AV19,"HOODTYPE",CustOrdOpt,6,FALSE)="Verticali Hooding (Old)",bpLOOKUP(Data!$AV19,"HOODTYPE",CustOrdOpt,6,FALSE)="Zipscreen Hooding")),bpLOOKUP(Data!$AV19,"CUSTOMPCHBOX",CustOrdOpt,6,FALSE),IF(bpLOOKUP(Data!$AV19,"HOOD/BRACKETCOLOUR",CustOrdOpt,6,FALSE)="Hooding","Zinc for Powder Coating",bpLOOKUP(Data!$AV19,"HOOD/BRACKETCOLOUR",CustOrdOpt,6,FALSE)))))</f>
        <v/>
      </c>
      <c r="W19" s="70" t="str">
        <f t="array" ref="W19">IF(bpLOOKUP(Data!$AV19,"SIDECHANNELCOLOUR",CustOrdOpt,6,FALSE)="Custom Powdercoat",bpLOOKUP(Data!$AV19,"CUSTOMPCSIDECH",CustOrdOpt,6,FALSE),IF(bpLOOKUP(Data!$AV19,"SIDECHANNELCOLOUR",CustOrdOpt,6,FALSE)="Secondary Custom Powdercoat",bpLOOKUP(Data!$AV19,"CUSTOMPCSIDECH",CustOrdOpt,6,FALSE),bpLOOKUP(Data!$AV19,"SIDECHANNELCOLOUR",CustOrdOpt,6,FALSE)))</f>
        <v/>
      </c>
      <c r="X19" s="70" t="str">
        <f t="array" ref="X19">IF(bpLOOKUP(Data!$AV19,"BOTTOMRAILCOLOUR",CustOrdOpt,6,FALSE)="Custom Powdercoat",bpLOOKUP(Data!$AV19,"CUSTOMPCHBRAIL",CustOrdOpt,6,FALSE),IF(bpLOOKUP(Data!$AV19,"BOTTOMRAILCOLOUR",CustOrdOpt,6,FALSE)="Secondary Custom Powdercoat",bpLOOKUP(Data!$AV19,"CUSTOMPCHBRAIL",CustOrdOpt,6,FALSE),bpLOOKUP(Data!$AV19,"BOTTOMRAILCOLOUR",CustOrdOpt,6,FALSE)))</f>
        <v/>
      </c>
      <c r="Y19" s="70" t="str">
        <f t="array" ref="Y19">bpLOOKUP(Data!$AV19,"MESHFLAP",CustOrdOpt,6,FALSE)</f>
        <v/>
      </c>
      <c r="Z19" s="70" t="str">
        <f t="array" ref="Z19">bpLOOKUP(Data!$AV19,"BFLAP",CustOrdOpt,6,FALSE)</f>
        <v/>
      </c>
      <c r="AA19" s="70" t="str">
        <f t="array" ref="AA19">bpLOOKUP(Data!$AV19,"HOODEXTENSIONBRACKETS",CustOrdOpt,6,FALSE)</f>
        <v/>
      </c>
      <c r="AB19" s="70" t="str">
        <f t="array" ref="AB19">bpLOOKUP(Data!$AV19,"LEGFOOT",CustOrdOpt,6,FALSE)</f>
        <v/>
      </c>
      <c r="AC19" s="70" t="str">
        <f t="array" ref="AC19">bpLOOKUP(Data!$AV19,"FLASH",CustOrdOpt,6,FALSE)</f>
        <v/>
      </c>
      <c r="AD19" s="70" t="str">
        <f t="array" ref="AD19">bpLOOKUP(Data!$AV19,"INSTALLATION",CustOrdOpt,6,FALSE)</f>
        <v/>
      </c>
      <c r="AE19" s="70" t="str">
        <f t="array" ref="AE19">bpLOOKUP(Data!$AV19,"Notes",CustOrdOpt,6,FALSE)</f>
        <v/>
      </c>
      <c r="AF19" s="47"/>
      <c r="AG19" s="70" t="str">
        <f>IF(Data!AZ19="","",VLOOKUP(M19,ZipTubeDeduct,3,FALSE))</f>
        <v/>
      </c>
      <c r="AH19" s="87" t="str">
        <f t="shared" si="1"/>
        <v/>
      </c>
      <c r="AI19" s="87" t="str">
        <f>IF(Data!BA19="","",IF(K19="2.Zipscreen",F19-121,F19-160))</f>
        <v/>
      </c>
      <c r="AJ19" s="87" t="str">
        <f>IF(Data!BA19="","",IF(K19="2.Zipscreen",F19-82,IF(AND(K19="2.Zipscreen",Data!BO19="PVC"),F19-72,IF(AND(K19="1.Verticali",Data!BO19="PVC"),F19-100,F19-110))))</f>
        <v/>
      </c>
      <c r="AK19" s="87" t="str">
        <f>IF(Data!BA19="","",G19+400)</f>
        <v/>
      </c>
      <c r="AL19" s="76" t="str">
        <f>IF(Data!BA19="","",AJ19-60)</f>
        <v/>
      </c>
      <c r="AM19" s="87" t="str">
        <f>IF(Data!BB19="","",AK19-60)</f>
        <v/>
      </c>
      <c r="AN19" s="70" t="str">
        <f>IF(Data!AV19="","",IF(Data!BO19="PVC",VLOOKUP(Y19,ColourMatch,2,FALSE),VLOOKUP(Data!BN19&amp;" "&amp;Data!BO19&amp;" "&amp;Data!BP19,ColourMatch,2,FALSE)))</f>
        <v/>
      </c>
      <c r="AO19" s="70" t="str">
        <f t="shared" si="0"/>
        <v/>
      </c>
    </row>
    <row r="20" spans="1:41" s="77" customFormat="1" ht="60" customHeight="1">
      <c r="A20" s="91">
        <f>Data!AW20</f>
        <v>0</v>
      </c>
      <c r="B20" s="69">
        <f>Data!AY20</f>
        <v>0</v>
      </c>
      <c r="C20" s="102">
        <f>Data!BA20</f>
        <v>0</v>
      </c>
      <c r="D20" s="103" t="str">
        <f t="array" ref="D20">bpLOOKUP(Data!$AV20,$D$8,CustOrdOpt,6,FALSE)</f>
        <v/>
      </c>
      <c r="E20" s="104" t="str">
        <f t="array" ref="E20">bpLOOKUP(Data!$AV20,"SIDEBYSIDE",CustOrdOpt,6,FALSE)</f>
        <v/>
      </c>
      <c r="F20" s="105" t="str">
        <f>IF(Data!BA20="","",IF(D20="Cloth",Data!BA20+VLOOKUP(J20,CONTROLDEDUCT,2,FALSE)-VLOOKUP(I20,FitDeduct,2,FALSE)-VLOOKUP(E20,SideDeduct,2,FALSE),IF(AND(D20="Opening",H20="Reveal"),Data!BA20-VLOOKUP(H20,OpenDeduct,2,FALSE)-VLOOKUP(E20,SideDeduct,2,FALSE),IF(D20="Opening",Data!BA20-VLOOKUP(I20,FitDeduct,2,FALSE)-VLOOKUP(E20,SideDeduct,2,FALSE),IF(D20="Making",Data!BA20)))))</f>
        <v/>
      </c>
      <c r="G20" s="105" t="str">
        <f>IF(Data!AV20="","",Data!BB20)</f>
        <v/>
      </c>
      <c r="H20" s="106" t="str">
        <f t="array" ref="H20">bpLOOKUP(Data!$AV20,"FIT",CustOrdOpt,6,FALSE)</f>
        <v/>
      </c>
      <c r="I20" s="70" t="str">
        <f t="array" ref="I20">bpLOOKUP(Data!$AV20,"SIDECHANNELFITTING",CustOrdOpt,6,FALSE)</f>
        <v/>
      </c>
      <c r="J20" s="70" t="str">
        <f t="array" ref="J20">bpLOOKUP(Data!$AV20,"FIXING",CustOrdOpt,6,FALSE)</f>
        <v/>
      </c>
      <c r="K20" s="69" t="str">
        <f t="array" ref="K20">bpLOOKUP(Data!$AV20,"ITEMDEPTH",CustOrdOpt,6,FALSE)</f>
        <v/>
      </c>
      <c r="L20" s="69" t="str">
        <f>IF(Data!BE20="","",MID(Data!BE20,6,80))</f>
        <v/>
      </c>
      <c r="M20" s="70" t="str">
        <f t="array" ref="M20">CONCATENATE(bpLOOKUP(Data!$AV20,"OPERATION",CustOrdOpt,6,FALSE))</f>
        <v/>
      </c>
      <c r="N20" s="70" t="str">
        <f t="array" ref="N20">bpLOOKUP(Data!$AV20,"GEARBOXCOLOUR",CustOrdOpt,6,FALSE)</f>
        <v/>
      </c>
      <c r="O20" s="70" t="str">
        <f t="array" ref="O20">bpLOOKUP(Data!$AV20,"GEARBOXFB",CustOrdOpt,6,FALSE)</f>
        <v/>
      </c>
      <c r="P20" s="70" t="str">
        <f t="array" ref="P20">CONCATENATE(bpLOOKUP(Data!$AV20,"CONTROLSIDE",CustOrdOpt,6,FALSE))</f>
        <v/>
      </c>
      <c r="Q20" s="70" t="str">
        <f t="array" ref="Q20">bpLOOKUP(Data!$AV20,"CONTROL",CustOrdOpt,6,FALSE)</f>
        <v/>
      </c>
      <c r="R20" s="70" t="str">
        <f t="array" ref="R20">bpLOOKUP(Data!$AV20,"MOTOREX",CustOrdOpt,6,FALSE)</f>
        <v/>
      </c>
      <c r="S20" s="70" t="str">
        <f t="array" ref="S20">bpLOOKUP(Data!$AV20,"SENSORS",CustOrdOpt,6,FALSE)</f>
        <v/>
      </c>
      <c r="T20" s="70" t="str">
        <f t="array" ref="T20">bpLOOKUP(Data!$AV20,"BRACKETFIXING",CustOrdOpt,6,FALSE)</f>
        <v/>
      </c>
      <c r="U20" s="70" t="str">
        <f t="array" ref="U20">bpLOOKUP(Data!$AV20,"HOODTYPE",CustOrdOpt,6,FALSE)</f>
        <v/>
      </c>
      <c r="V20" s="70" t="str">
        <f t="array" ref="V20">IF(Data!AW20="","",IF(AND(OR(U20="Verticali Square Hooding",U20="Powder Coated Brackets"),bpLOOKUP(Data!$AV20,"HOOD/BRACKETCOLOUR",CustOrdOpt,6,FALSE)="Custom Powdercoat"),bpLOOKUP(Data!$AV20,"CUSTOMPCHBOX",CustOrdOpt,6,FALSE),IF(AND(bpLOOKUP(Data!$AV20,"HOOD/BRACKETCOLOUR",CustOrdOpt,6,FALSE)="Custom Powdercoat",OR(bpLOOKUP(Data!$AV20,"HOODTYPE",CustOrdOpt,6,FALSE)="Verticali Hooding (Old)",bpLOOKUP(Data!$AV20,"HOODTYPE",CustOrdOpt,6,FALSE)="Zipscreen Hooding")),bpLOOKUP(Data!$AV20,"CUSTOMPCHBOX",CustOrdOpt,6,FALSE),IF(bpLOOKUP(Data!$AV20,"HOOD/BRACKETCOLOUR",CustOrdOpt,6,FALSE)="Hooding","Zinc for Powder Coating",bpLOOKUP(Data!$AV20,"HOOD/BRACKETCOLOUR",CustOrdOpt,6,FALSE)))))</f>
        <v/>
      </c>
      <c r="W20" s="70" t="str">
        <f t="array" ref="W20">IF(bpLOOKUP(Data!$AV20,"SIDECHANNELCOLOUR",CustOrdOpt,6,FALSE)="Custom Powdercoat",bpLOOKUP(Data!$AV20,"CUSTOMPCSIDECH",CustOrdOpt,6,FALSE),IF(bpLOOKUP(Data!$AV20,"SIDECHANNELCOLOUR",CustOrdOpt,6,FALSE)="Secondary Custom Powdercoat",bpLOOKUP(Data!$AV20,"CUSTOMPCSIDECH",CustOrdOpt,6,FALSE),bpLOOKUP(Data!$AV20,"SIDECHANNELCOLOUR",CustOrdOpt,6,FALSE)))</f>
        <v/>
      </c>
      <c r="X20" s="70" t="str">
        <f t="array" ref="X20">IF(bpLOOKUP(Data!$AV20,"BOTTOMRAILCOLOUR",CustOrdOpt,6,FALSE)="Custom Powdercoat",bpLOOKUP(Data!$AV20,"CUSTOMPCHBRAIL",CustOrdOpt,6,FALSE),IF(bpLOOKUP(Data!$AV20,"BOTTOMRAILCOLOUR",CustOrdOpt,6,FALSE)="Secondary Custom Powdercoat",bpLOOKUP(Data!$AV20,"CUSTOMPCHBRAIL",CustOrdOpt,6,FALSE),bpLOOKUP(Data!$AV20,"BOTTOMRAILCOLOUR",CustOrdOpt,6,FALSE)))</f>
        <v/>
      </c>
      <c r="Y20" s="70" t="str">
        <f t="array" ref="Y20">bpLOOKUP(Data!$AV20,"MESHFLAP",CustOrdOpt,6,FALSE)</f>
        <v/>
      </c>
      <c r="Z20" s="70" t="str">
        <f t="array" ref="Z20">bpLOOKUP(Data!$AV20,"BFLAP",CustOrdOpt,6,FALSE)</f>
        <v/>
      </c>
      <c r="AA20" s="70" t="str">
        <f t="array" ref="AA20">bpLOOKUP(Data!$AV20,"HOODEXTENSIONBRACKETS",CustOrdOpt,6,FALSE)</f>
        <v/>
      </c>
      <c r="AB20" s="70" t="str">
        <f t="array" ref="AB20">bpLOOKUP(Data!$AV20,"LEGFOOT",CustOrdOpt,6,FALSE)</f>
        <v/>
      </c>
      <c r="AC20" s="70" t="str">
        <f t="array" ref="AC20">bpLOOKUP(Data!$AV20,"FLASH",CustOrdOpt,6,FALSE)</f>
        <v/>
      </c>
      <c r="AD20" s="70" t="str">
        <f t="array" ref="AD20">bpLOOKUP(Data!$AV20,"INSTALLATION",CustOrdOpt,6,FALSE)</f>
        <v/>
      </c>
      <c r="AE20" s="70" t="str">
        <f t="array" ref="AE20">bpLOOKUP(Data!$AV20,"Notes",CustOrdOpt,6,FALSE)</f>
        <v/>
      </c>
      <c r="AF20" s="47"/>
      <c r="AG20" s="70" t="str">
        <f>IF(Data!AZ20="","",VLOOKUP(M20,ZipTubeDeduct,3,FALSE))</f>
        <v/>
      </c>
      <c r="AH20" s="87" t="str">
        <f t="shared" si="1"/>
        <v/>
      </c>
      <c r="AI20" s="87" t="str">
        <f>IF(Data!BA20="","",IF(K20="2.Zipscreen",F20-121,F20-160))</f>
        <v/>
      </c>
      <c r="AJ20" s="87" t="str">
        <f>IF(Data!BA20="","",IF(K20="2.Zipscreen",F20-82,IF(AND(K20="2.Zipscreen",Data!BO20="PVC"),F20-72,IF(AND(K20="1.Verticali",Data!BO20="PVC"),F20-100,F20-110))))</f>
        <v/>
      </c>
      <c r="AK20" s="87" t="str">
        <f>IF(Data!BA20="","",G20+400)</f>
        <v/>
      </c>
      <c r="AL20" s="76" t="str">
        <f>IF(Data!BA20="","",AJ20-60)</f>
        <v/>
      </c>
      <c r="AM20" s="87" t="str">
        <f>IF(Data!BB20="","",AK20-60)</f>
        <v/>
      </c>
      <c r="AN20" s="70" t="str">
        <f>IF(Data!AV20="","",IF(Data!BO20="PVC",VLOOKUP(Y20,ColourMatch,2,FALSE),VLOOKUP(Data!BN20&amp;" "&amp;Data!BO20&amp;" "&amp;Data!BP20,ColourMatch,2,FALSE)))</f>
        <v/>
      </c>
      <c r="AO20" s="70" t="str">
        <f t="shared" si="0"/>
        <v/>
      </c>
    </row>
    <row r="21" spans="1:31" s="68" customFormat="1" ht="60" customHeight="1">
      <c r="A21" s="74"/>
      <c r="B21" s="74"/>
      <c r="C21" s="74"/>
      <c r="D21" s="74"/>
      <c r="E21" s="74"/>
      <c r="F21" s="74"/>
      <c r="G21" s="74"/>
      <c r="H21" s="74"/>
      <c r="I21" s="74"/>
      <c r="J21" s="80"/>
      <c r="K21" s="80"/>
      <c r="L21" s="74"/>
      <c r="M21" s="74"/>
      <c r="N21" s="74"/>
      <c r="O21" s="74"/>
      <c r="P21" s="81"/>
      <c r="Q21" s="74"/>
      <c r="R21" s="74"/>
      <c r="S21" s="74"/>
      <c r="T21" s="74"/>
      <c r="U21" s="74"/>
      <c r="V21" s="74"/>
      <c r="W21" s="74"/>
      <c r="X21" s="74"/>
      <c r="Y21" s="74"/>
      <c r="Z21" s="47"/>
      <c r="AA21" s="47"/>
      <c r="AB21" s="47"/>
      <c r="AC21" s="47"/>
      <c r="AD21" s="74"/>
      <c r="AE21" s="74"/>
    </row>
    <row r="22" ht="60" customHeight="1"/>
    <row r="23" ht="60" customHeight="1"/>
    <row r="24" ht="60" customHeight="1"/>
    <row r="25" ht="60" customHeight="1"/>
    <row r="26" ht="60" customHeight="1"/>
    <row r="27" ht="60" customHeight="1"/>
    <row r="28" ht="60" customHeight="1"/>
    <row r="29" ht="60" customHeight="1"/>
    <row r="30" ht="60" customHeight="1"/>
    <row r="31" ht="60" customHeight="1"/>
    <row r="32" ht="60" customHeight="1"/>
    <row r="33" ht="60" customHeight="1"/>
    <row r="34" ht="60" customHeight="1"/>
    <row r="35" ht="60" customHeight="1"/>
    <row r="36" ht="60" customHeight="1"/>
    <row r="37" ht="60" customHeight="1"/>
    <row r="38" ht="60" customHeight="1"/>
    <row r="39" ht="60" customHeight="1"/>
    <row r="40" ht="60" customHeight="1"/>
    <row r="41" ht="60" customHeight="1"/>
    <row r="42" ht="60" customHeight="1"/>
    <row r="43" ht="60" customHeight="1"/>
    <row r="44" ht="60" customHeight="1"/>
    <row r="45" ht="60" customHeight="1"/>
    <row r="46" ht="60" customHeight="1"/>
    <row r="47" ht="60" customHeight="1"/>
    <row r="48" ht="60" customHeight="1"/>
    <row r="49" ht="60" customHeight="1"/>
    <row r="50" ht="60" customHeight="1"/>
    <row r="51" ht="60" customHeight="1"/>
    <row r="52" ht="60" customHeight="1"/>
    <row r="53" ht="60" customHeight="1"/>
    <row r="54" ht="60" customHeight="1"/>
    <row r="55" ht="60" customHeight="1"/>
    <row r="56" ht="60" customHeight="1"/>
    <row r="57" ht="60" customHeight="1"/>
    <row r="58" ht="60" customHeight="1"/>
    <row r="59" ht="60" customHeight="1"/>
    <row r="60" ht="60" customHeight="1"/>
    <row r="61" ht="60" customHeight="1"/>
    <row r="62" ht="60" customHeight="1"/>
    <row r="63" ht="60" customHeight="1"/>
    <row r="64" ht="60" customHeight="1"/>
    <row r="65" ht="60" customHeight="1"/>
    <row r="66" ht="60" customHeight="1"/>
    <row r="67" ht="60" customHeight="1"/>
    <row r="68" ht="60" customHeight="1"/>
    <row r="69" ht="60" customHeight="1"/>
    <row r="70" ht="60" customHeight="1"/>
    <row r="71" ht="60" customHeight="1"/>
    <row r="72" ht="60" customHeight="1"/>
    <row r="73" ht="60" customHeight="1"/>
    <row r="74" ht="60" customHeight="1"/>
    <row r="75" ht="60" customHeight="1"/>
    <row r="76" ht="60" customHeight="1"/>
    <row r="77" ht="60" customHeight="1"/>
    <row r="78" ht="60" customHeight="1"/>
    <row r="79" ht="60" customHeight="1"/>
    <row r="80" ht="60" customHeight="1"/>
    <row r="81" ht="60" customHeight="1"/>
    <row r="82" ht="60" customHeight="1"/>
    <row r="83" ht="60" customHeight="1"/>
    <row r="84" ht="60" customHeight="1"/>
    <row r="85" ht="60" customHeight="1"/>
    <row r="86" ht="60" customHeight="1"/>
    <row r="87" ht="60" customHeight="1"/>
    <row r="88" ht="60" customHeight="1"/>
    <row r="89" ht="60" customHeight="1"/>
    <row r="90" ht="60" customHeight="1"/>
    <row r="91" ht="60" customHeight="1"/>
    <row r="92" ht="60" customHeight="1"/>
    <row r="93" ht="60" customHeight="1"/>
    <row r="94" ht="60" customHeight="1"/>
    <row r="95" ht="60" customHeight="1"/>
    <row r="96" ht="60" customHeight="1"/>
    <row r="97" ht="60" customHeight="1"/>
    <row r="98" ht="60" customHeight="1"/>
    <row r="99" ht="60" customHeight="1"/>
    <row r="100" ht="60" customHeight="1"/>
    <row r="101" ht="60" customHeight="1"/>
    <row r="102" ht="60" customHeight="1"/>
    <row r="103" ht="60" customHeight="1"/>
    <row r="104" ht="60" customHeight="1"/>
    <row r="105" ht="60" customHeight="1"/>
    <row r="106" ht="60" customHeight="1"/>
    <row r="107" ht="60" customHeight="1"/>
    <row r="108" ht="60" customHeight="1"/>
    <row r="109" ht="60" customHeight="1"/>
    <row r="110" ht="60" customHeight="1"/>
    <row r="111" ht="60" customHeight="1"/>
    <row r="112" ht="60" customHeight="1"/>
    <row r="113" ht="60" customHeight="1"/>
    <row r="114" ht="60" customHeight="1"/>
    <row r="115" ht="60" customHeight="1"/>
    <row r="116" ht="60" customHeight="1"/>
    <row r="117" ht="60" customHeight="1"/>
    <row r="118" ht="60" customHeight="1"/>
    <row r="119" ht="60" customHeight="1"/>
    <row r="120" ht="60" customHeight="1"/>
    <row r="121" ht="60" customHeight="1"/>
    <row r="122" ht="60" customHeight="1"/>
    <row r="123" ht="60" customHeight="1"/>
    <row r="124" ht="60" customHeight="1"/>
    <row r="125" ht="60" customHeight="1"/>
    <row r="126" ht="60" customHeight="1"/>
    <row r="127" ht="60" customHeight="1"/>
    <row r="128" ht="60" customHeight="1"/>
    <row r="129" ht="60" customHeight="1"/>
    <row r="130" ht="60" customHeight="1"/>
    <row r="131" ht="60" customHeight="1"/>
    <row r="132" ht="60" customHeight="1"/>
    <row r="133" ht="60" customHeight="1"/>
    <row r="134" ht="60" customHeight="1"/>
    <row r="135" ht="60" customHeight="1"/>
    <row r="136" ht="60" customHeight="1"/>
    <row r="137" ht="60" customHeight="1"/>
    <row r="138" ht="60" customHeight="1"/>
    <row r="139" ht="60" customHeight="1"/>
    <row r="140" ht="60" customHeight="1"/>
    <row r="141" ht="60" customHeight="1"/>
    <row r="142" ht="60" customHeight="1"/>
    <row r="143" ht="60" customHeight="1"/>
    <row r="144" ht="60" customHeight="1"/>
    <row r="145" ht="60" customHeight="1"/>
    <row r="146" ht="60" customHeight="1"/>
    <row r="147" ht="60" customHeight="1"/>
    <row r="148" ht="60" customHeight="1"/>
    <row r="149" ht="60" customHeight="1"/>
    <row r="150" ht="60" customHeight="1"/>
    <row r="151" ht="60" customHeight="1"/>
    <row r="152" ht="60" customHeight="1"/>
    <row r="153" ht="60" customHeight="1"/>
    <row r="154" ht="60" customHeight="1"/>
    <row r="155" ht="60" customHeight="1"/>
    <row r="156" ht="60" customHeight="1"/>
    <row r="157" ht="60" customHeight="1"/>
    <row r="158" ht="60" customHeight="1"/>
    <row r="159" ht="60" customHeight="1"/>
    <row r="160" ht="60" customHeight="1"/>
    <row r="161" ht="60" customHeight="1"/>
    <row r="162" ht="60" customHeight="1"/>
    <row r="163" ht="60" customHeight="1"/>
    <row r="164" ht="60" customHeight="1"/>
    <row r="165" ht="60" customHeight="1"/>
    <row r="166" ht="60" customHeight="1"/>
    <row r="167" ht="60" customHeight="1"/>
    <row r="168" ht="60" customHeight="1"/>
    <row r="169" ht="60" customHeight="1"/>
    <row r="170" ht="60" customHeight="1"/>
    <row r="171" ht="60" customHeight="1"/>
    <row r="172" ht="80.1" customHeight="1"/>
    <row r="173" ht="80.1" customHeight="1"/>
    <row r="174" ht="80.1" customHeight="1"/>
    <row r="175" ht="80.1" customHeight="1"/>
    <row r="176" ht="80.1" customHeight="1"/>
    <row r="177" ht="80.1" customHeight="1"/>
    <row r="178" ht="80.1" customHeight="1"/>
    <row r="179" ht="80.1" customHeight="1"/>
  </sheetData>
  <sheetProtection formatCells="0" formatRows="0" insertColumns="0" insertRows="0"/>
  <mergeCells count="62">
    <mergeCell ref="AO8:AO10"/>
    <mergeCell ref="W8:W10"/>
    <mergeCell ref="AK8:AK10"/>
    <mergeCell ref="Z8:Z10"/>
    <mergeCell ref="AB8:AB10"/>
    <mergeCell ref="AN8:AN10"/>
    <mergeCell ref="AJ8:AJ10"/>
    <mergeCell ref="AH8:AH10"/>
    <mergeCell ref="AI8:AI10"/>
    <mergeCell ref="AG8:AG10"/>
    <mergeCell ref="AE8:AE10"/>
    <mergeCell ref="AD8:AD10"/>
    <mergeCell ref="AL8:AL10"/>
    <mergeCell ref="AM8:AM10"/>
    <mergeCell ref="U8:U10"/>
    <mergeCell ref="V8:V10"/>
    <mergeCell ref="Y8:Y10"/>
    <mergeCell ref="AC8:AC10"/>
    <mergeCell ref="AA8:AA10"/>
    <mergeCell ref="X8:X10"/>
    <mergeCell ref="A8:A10"/>
    <mergeCell ref="D3:G3"/>
    <mergeCell ref="D2:G2"/>
    <mergeCell ref="D4:G4"/>
    <mergeCell ref="D5:G5"/>
    <mergeCell ref="A2:C2"/>
    <mergeCell ref="A3:C3"/>
    <mergeCell ref="A4:C4"/>
    <mergeCell ref="A5:C5"/>
    <mergeCell ref="A6:G7"/>
    <mergeCell ref="G8:G10"/>
    <mergeCell ref="B8:B10"/>
    <mergeCell ref="D8:D10"/>
    <mergeCell ref="C8:C10"/>
    <mergeCell ref="E8:E10"/>
    <mergeCell ref="F8:F10"/>
    <mergeCell ref="Q8:Q10"/>
    <mergeCell ref="R8:R10"/>
    <mergeCell ref="T8:T10"/>
    <mergeCell ref="H8:H10"/>
    <mergeCell ref="I8:I10"/>
    <mergeCell ref="L8:L10"/>
    <mergeCell ref="O8:O10"/>
    <mergeCell ref="J8:J10"/>
    <mergeCell ref="M8:M10"/>
    <mergeCell ref="N8:N10"/>
    <mergeCell ref="K8:K10"/>
    <mergeCell ref="S8:S10"/>
    <mergeCell ref="P8:P10"/>
    <mergeCell ref="A1:AE1"/>
    <mergeCell ref="T2:AE2"/>
    <mergeCell ref="T3:AE7"/>
    <mergeCell ref="H2:L2"/>
    <mergeCell ref="H3:L3"/>
    <mergeCell ref="H4:L4"/>
    <mergeCell ref="H5:L7"/>
    <mergeCell ref="M6:S6"/>
    <mergeCell ref="M7:S7"/>
    <mergeCell ref="M2:S2"/>
    <mergeCell ref="M3:S3"/>
    <mergeCell ref="M4:S4"/>
    <mergeCell ref="M5:S5"/>
  </mergeCells>
  <conditionalFormatting sqref="O11:O20">
    <cfRule type="containsText" priority="3" dxfId="4" operator="containsText" text="Back">
      <formula>NOT(ISERROR(SEARCH("Back",O11)))</formula>
    </cfRule>
  </conditionalFormatting>
  <conditionalFormatting sqref="AC11:AC20">
    <cfRule type="notContainsBlanks" priority="1" dxfId="3">
      <formula>LEN(TRIM(AC11))&gt;0</formula>
    </cfRule>
  </conditionalFormatting>
  <printOptions horizontalCentered="1"/>
  <pageMargins left="0.3" right="0.3" top="0.3" bottom="0.3" header="0.3" footer="0.3"/>
  <pageSetup fitToHeight="0" orientation="landscape" paperSize="9" scale="10" r:id="rId1"/>
  <headerFooter alignWithMargins="0">
    <oddFooter>&amp;L&amp;P of  &amp;N&amp;C&amp;Z&amp;F&amp;R&amp;D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>
    <pageSetUpPr fitToPage="1"/>
  </sheetPr>
  <dimension ref="A1:T20"/>
  <sheetViews>
    <sheetView showZeros="0" view="pageBreakPreview" zoomScale="50" zoomScaleNormal="55" zoomScaleSheetLayoutView="50" workbookViewId="0" topLeftCell="A1">
      <selection pane="topLeft" activeCell="P17" sqref="P17"/>
    </sheetView>
  </sheetViews>
  <sheetFormatPr defaultColWidth="9.109375" defaultRowHeight="13.5"/>
  <cols>
    <col min="1" max="1" width="8.85714285714286" style="47" customWidth="1"/>
    <col min="2" max="2" width="33.2857142857143" style="47" customWidth="1"/>
    <col min="3" max="3" width="46.5714285714286" style="47" customWidth="1"/>
    <col min="4" max="4" width="50.7142857142857" style="47" customWidth="1"/>
    <col min="5" max="5" width="13.7142857142857" style="53" customWidth="1"/>
    <col min="6" max="6" width="13.2857142857143" style="53" customWidth="1"/>
    <col min="7" max="7" width="16.2857142857143" style="47" customWidth="1"/>
    <col min="8" max="8" width="13.7142857142857" style="47" customWidth="1"/>
    <col min="9" max="9" width="15.1428571428571" style="47" customWidth="1"/>
    <col min="10" max="10" width="17.1428571428571" style="47" customWidth="1"/>
    <col min="11" max="11" width="15.1428571428571" style="47" customWidth="1"/>
    <col min="12" max="12" width="15.5714285714286" style="47" customWidth="1"/>
    <col min="13" max="13" width="14" customWidth="1"/>
    <col min="14" max="14" width="20.4285714285714" customWidth="1"/>
    <col min="15" max="15" width="13.7142857142857" customWidth="1"/>
    <col min="16" max="16" width="13.5714285714286" customWidth="1"/>
    <col min="17" max="17" width="15.4285714285714" customWidth="1"/>
    <col min="18" max="18" width="14.5714285714286" customWidth="1"/>
    <col min="19" max="19" width="54.1428571428571" customWidth="1"/>
    <col min="20" max="20" width="13.7142857142857" customWidth="1"/>
  </cols>
  <sheetData>
    <row r="1" spans="1:20" ht="139.8" customHeight="1">
      <c r="A1" s="196" t="s">
        <v>423</v>
      </c>
      <c r="B1" s="196"/>
      <c r="C1" s="196"/>
      <c r="D1" s="196"/>
      <c r="E1" s="196"/>
      <c r="F1" s="196"/>
      <c r="G1" s="196"/>
      <c r="H1" s="196"/>
      <c r="I1" s="196"/>
      <c r="J1" s="196"/>
      <c r="K1" s="196"/>
      <c r="L1" s="196"/>
      <c r="M1" s="196"/>
      <c r="N1" s="196"/>
      <c r="O1" s="196"/>
      <c r="P1" s="196"/>
      <c r="Q1" s="196"/>
      <c r="R1" s="196"/>
      <c r="S1" s="196"/>
      <c r="T1" s="196"/>
    </row>
    <row r="2" spans="1:20" s="48" customFormat="1" ht="49.95" customHeight="1">
      <c r="A2" s="188"/>
      <c r="B2" s="188"/>
      <c r="C2" s="100"/>
      <c r="D2" s="185" t="s">
        <v>118</v>
      </c>
      <c r="E2" s="185"/>
      <c r="F2" s="180" t="str">
        <f>Data!BF5</f>
        <v>Campbell, Neil</v>
      </c>
      <c r="G2" s="180"/>
      <c r="H2" s="180"/>
      <c r="I2" s="180"/>
      <c r="J2" s="180"/>
      <c r="K2" s="180"/>
      <c r="L2" s="180"/>
      <c r="M2" s="178" t="s">
        <v>4</v>
      </c>
      <c r="N2" s="178"/>
      <c r="O2" s="178"/>
      <c r="P2" s="178"/>
      <c r="Q2" s="178"/>
      <c r="R2" s="178"/>
      <c r="S2" s="178"/>
      <c r="T2" s="178"/>
    </row>
    <row r="3" spans="1:20" s="48" customFormat="1" ht="49.95" customHeight="1">
      <c r="A3" s="189" t="s">
        <v>142</v>
      </c>
      <c r="B3" s="189"/>
      <c r="C3" s="166" t="str">
        <f>Data!BC5</f>
        <v>12085</v>
      </c>
      <c r="D3" s="186" t="s">
        <v>8</v>
      </c>
      <c r="E3" s="186"/>
      <c r="F3" s="182" t="str">
        <f>Data!AX5</f>
        <v>Verticali Patio Blinds &amp; Fixed Guide Awnings</v>
      </c>
      <c r="G3" s="182"/>
      <c r="H3" s="182"/>
      <c r="I3" s="182"/>
      <c r="J3" s="182"/>
      <c r="K3" s="182"/>
      <c r="L3" s="182"/>
      <c r="M3" s="177" t="str">
        <f>TRIM(Data!BG5)</f>
        <v/>
      </c>
      <c r="N3" s="177"/>
      <c r="O3" s="177"/>
      <c r="P3" s="177"/>
      <c r="Q3" s="177"/>
      <c r="R3" s="177"/>
      <c r="S3" s="177"/>
      <c r="T3" s="177"/>
    </row>
    <row r="4" spans="1:20" s="48" customFormat="1" ht="49.95" customHeight="1">
      <c r="A4" s="190" t="s">
        <v>15</v>
      </c>
      <c r="B4" s="190"/>
      <c r="C4" s="166" t="str">
        <f>Data!BD5</f>
        <v>A</v>
      </c>
      <c r="D4" s="186" t="s">
        <v>136</v>
      </c>
      <c r="E4" s="186"/>
      <c r="F4" s="181" t="str">
        <f>Data!BA5</f>
        <v>18/09/2026 12:00:00 AM</v>
      </c>
      <c r="G4" s="181"/>
      <c r="H4" s="181"/>
      <c r="I4" s="181"/>
      <c r="J4" s="181"/>
      <c r="K4" s="181"/>
      <c r="L4" s="181"/>
      <c r="M4" s="177"/>
      <c r="N4" s="177"/>
      <c r="O4" s="177"/>
      <c r="P4" s="177"/>
      <c r="Q4" s="177"/>
      <c r="R4" s="177"/>
      <c r="S4" s="177"/>
      <c r="T4" s="177"/>
    </row>
    <row r="5" spans="1:20" s="48" customFormat="1" ht="49.95" customHeight="1">
      <c r="A5" s="191" t="s">
        <v>10</v>
      </c>
      <c r="B5" s="191"/>
      <c r="C5" s="101" t="str">
        <f>Data!AY5</f>
        <v>6/08/2026 12:00:00 AM</v>
      </c>
      <c r="D5" s="187" t="s">
        <v>12</v>
      </c>
      <c r="E5" s="187"/>
      <c r="F5" s="180" t="str">
        <f>TRIM(Data!BF5)</f>
        <v>Campbell, Neil</v>
      </c>
      <c r="G5" s="180"/>
      <c r="H5" s="180"/>
      <c r="I5" s="180"/>
      <c r="J5" s="180"/>
      <c r="K5" s="180"/>
      <c r="L5" s="180"/>
      <c r="M5" s="177"/>
      <c r="N5" s="177"/>
      <c r="O5" s="177"/>
      <c r="P5" s="177"/>
      <c r="Q5" s="177"/>
      <c r="R5" s="177"/>
      <c r="S5" s="177"/>
      <c r="T5" s="177"/>
    </row>
    <row r="6" spans="1:20" s="48" customFormat="1" ht="49.95" customHeight="1">
      <c r="A6" s="184" t="str">
        <f>Data!CZ5</f>
        <v>Retail Customer</v>
      </c>
      <c r="B6" s="184"/>
      <c r="C6" s="184"/>
      <c r="D6" s="187"/>
      <c r="E6" s="187"/>
      <c r="F6" s="180" t="str">
        <f>CONCATENATE(Data!BH5," ",Data!BI5," ",Data!BJ5," ",Data!BK5," ",Data!BL5)</f>
        <v xml:space="preserve"> 7161  Midland Highway </v>
      </c>
      <c r="G6" s="180"/>
      <c r="H6" s="180"/>
      <c r="I6" s="180"/>
      <c r="J6" s="180"/>
      <c r="K6" s="180"/>
      <c r="L6" s="180"/>
      <c r="M6" s="177"/>
      <c r="N6" s="177"/>
      <c r="O6" s="177"/>
      <c r="P6" s="177"/>
      <c r="Q6" s="177"/>
      <c r="R6" s="177"/>
      <c r="S6" s="177"/>
      <c r="T6" s="177"/>
    </row>
    <row r="7" spans="1:20" s="48" customFormat="1" ht="49.95" customHeight="1">
      <c r="A7" s="184"/>
      <c r="B7" s="184"/>
      <c r="C7" s="184"/>
      <c r="D7" s="187"/>
      <c r="E7" s="187"/>
      <c r="F7" s="179" t="str">
        <f>CONCATENATE(Data!BM5," ",Data!BN5," ",Data!BO5," ",Data!BP5)</f>
        <v>Buninyong VIC 3357 Australia</v>
      </c>
      <c r="G7" s="179"/>
      <c r="H7" s="179"/>
      <c r="I7" s="179"/>
      <c r="J7" s="179"/>
      <c r="K7" s="179"/>
      <c r="L7" s="179"/>
      <c r="M7" s="177"/>
      <c r="N7" s="177"/>
      <c r="O7" s="177"/>
      <c r="P7" s="177"/>
      <c r="Q7" s="177"/>
      <c r="R7" s="177"/>
      <c r="S7" s="177"/>
      <c r="T7" s="177"/>
    </row>
    <row r="8" spans="1:20" ht="23.25" customHeight="1">
      <c r="A8" s="198" t="s">
        <v>141</v>
      </c>
      <c r="B8" s="199" t="s">
        <v>120</v>
      </c>
      <c r="C8" s="194" t="s">
        <v>119</v>
      </c>
      <c r="D8" s="194" t="s">
        <v>9</v>
      </c>
      <c r="E8" s="192" t="s">
        <v>145</v>
      </c>
      <c r="F8" s="192" t="s">
        <v>146</v>
      </c>
      <c r="G8" s="200" t="s">
        <v>366</v>
      </c>
      <c r="H8" s="195" t="s">
        <v>138</v>
      </c>
      <c r="I8" s="195" t="s">
        <v>154</v>
      </c>
      <c r="J8" s="195" t="s">
        <v>155</v>
      </c>
      <c r="K8" s="193" t="s">
        <v>160</v>
      </c>
      <c r="L8" s="183" t="s">
        <v>386</v>
      </c>
      <c r="M8" s="183" t="s">
        <v>387</v>
      </c>
      <c r="N8" s="193" t="s">
        <v>381</v>
      </c>
      <c r="O8" s="197" t="s">
        <v>384</v>
      </c>
      <c r="P8" s="197" t="s">
        <v>385</v>
      </c>
      <c r="Q8" s="197" t="s">
        <v>382</v>
      </c>
      <c r="R8" s="197" t="s">
        <v>383</v>
      </c>
      <c r="S8" s="197" t="s">
        <v>5</v>
      </c>
      <c r="T8" s="197" t="s">
        <v>684</v>
      </c>
    </row>
    <row r="9" spans="1:20" ht="19.5" customHeight="1">
      <c r="A9" s="198"/>
      <c r="B9" s="199"/>
      <c r="C9" s="194"/>
      <c r="D9" s="194"/>
      <c r="E9" s="192"/>
      <c r="F9" s="192"/>
      <c r="G9" s="200"/>
      <c r="H9" s="195"/>
      <c r="I9" s="195"/>
      <c r="J9" s="195"/>
      <c r="K9" s="193"/>
      <c r="L9" s="183"/>
      <c r="M9" s="183"/>
      <c r="N9" s="193"/>
      <c r="O9" s="197"/>
      <c r="P9" s="197"/>
      <c r="Q9" s="197"/>
      <c r="R9" s="197"/>
      <c r="S9" s="197"/>
      <c r="T9" s="197"/>
    </row>
    <row r="10" spans="1:20" ht="53.4" customHeight="1">
      <c r="A10" s="198"/>
      <c r="B10" s="199"/>
      <c r="C10" s="194"/>
      <c r="D10" s="194"/>
      <c r="E10" s="192"/>
      <c r="F10" s="192"/>
      <c r="G10" s="200"/>
      <c r="H10" s="195"/>
      <c r="I10" s="195"/>
      <c r="J10" s="195"/>
      <c r="K10" s="193"/>
      <c r="L10" s="183"/>
      <c r="M10" s="183"/>
      <c r="N10" s="193"/>
      <c r="O10" s="197"/>
      <c r="P10" s="197"/>
      <c r="Q10" s="197"/>
      <c r="R10" s="197"/>
      <c r="S10" s="197"/>
      <c r="T10" s="197"/>
    </row>
    <row r="11" spans="1:20" ht="60" customHeight="1">
      <c r="A11" s="88">
        <f>'Job Sheet'!A11</f>
        <v>1</v>
      </c>
      <c r="B11" s="32" t="str">
        <f>'Job Sheet'!B11</f>
        <v>Patio 1</v>
      </c>
      <c r="C11" s="172" t="str">
        <f>MID('Job Sheet'!K11,3,80)</f>
        <v>Verticali</v>
      </c>
      <c r="D11" s="32" t="str">
        <f>'Job Sheet'!L11</f>
        <v xml:space="preserve"> HVG Visiontex Glisse Sunscreen Naxos</v>
      </c>
      <c r="E11" s="134">
        <f>IF(N11="",'Job Sheet'!AJ11,'Job Sheet'!AL11)</f>
        <v>3862</v>
      </c>
      <c r="F11" s="134">
        <f>IF(N11="",'Job Sheet'!AK11,'Job Sheet'!AM11)</f>
        <v>3050</v>
      </c>
      <c r="G11" s="170" t="str">
        <f>IF(Data!AV11="","",VLOOKUP(Data!BN11&amp;" "&amp;Data!BO11&amp;" "&amp;Data!BP11,ColourMatch,4,FALSE))</f>
        <v>Yes</v>
      </c>
      <c r="H11" s="171">
        <f>IF(Data!AV11="","",VLOOKUP(Data!BN11&amp;" "&amp;Data!BO11&amp;" "&amp;Data!BP11,ColourMatch,5,FALSE))</f>
        <v>3200</v>
      </c>
      <c r="I11" s="63"/>
      <c r="J11" s="63"/>
      <c r="K11" s="35" t="str">
        <f>'Job Sheet'!AN11</f>
        <v>Black</v>
      </c>
      <c r="L11" s="35" t="str">
        <f>IF(Data!AV11="","",IF(N11="","6mm Black","Welded Spline"))</f>
        <v>6mm Black</v>
      </c>
      <c r="M11" s="35" t="str">
        <f>IF(Data!AV11="","",IF(C11="Verticali","6mm Hard","6mm Black"))</f>
        <v>6mm Hard</v>
      </c>
      <c r="N11" s="89" t="str">
        <f>'Job Sheet'!Y11</f>
        <v/>
      </c>
      <c r="O11" s="149" t="str">
        <f t="shared" si="0" ref="O11">IF(N11="","","2 x 50")</f>
        <v/>
      </c>
      <c r="P11" s="149" t="str">
        <f>IF(N11="","",CONCATENATE("2 x ",'Job Sheet'!AK11+100))</f>
        <v/>
      </c>
      <c r="Q11" s="149" t="str">
        <f>IF(N11="","",CONCATENATE("1 x ",'Job Sheet'!AJ11+100))</f>
        <v/>
      </c>
      <c r="R11" s="149" t="str">
        <f t="shared" si="1" ref="R11">IF(N11="","","1x 120")</f>
        <v/>
      </c>
      <c r="S11" s="90" t="str">
        <f>'Job Sheet'!AE11</f>
        <v/>
      </c>
      <c r="T11" s="150">
        <f>A11</f>
        <v>1</v>
      </c>
    </row>
    <row r="12" spans="1:20" ht="60" customHeight="1">
      <c r="A12" s="88">
        <f>'Job Sheet'!A12</f>
        <v>0</v>
      </c>
      <c r="B12" s="32">
        <f>'Job Sheet'!B12</f>
        <v>0</v>
      </c>
      <c r="C12" s="172" t="str">
        <f>MID('Job Sheet'!K12,3,80)</f>
        <v/>
      </c>
      <c r="D12" s="32" t="str">
        <f>'Job Sheet'!L12</f>
        <v/>
      </c>
      <c r="E12" s="134" t="str">
        <f>IF(N12="",'Job Sheet'!AJ12,'Job Sheet'!AL12)</f>
        <v/>
      </c>
      <c r="F12" s="134" t="str">
        <f>IF(N12="",'Job Sheet'!AK12,'Job Sheet'!AM12)</f>
        <v/>
      </c>
      <c r="G12" s="170" t="str">
        <f>IF(Data!AV12="","",VLOOKUP(Data!BN12&amp;" "&amp;Data!BO12&amp;" "&amp;Data!BP12,ColourMatch,4,FALSE))</f>
        <v/>
      </c>
      <c r="H12" s="171" t="str">
        <f>IF(Data!AV12="","",VLOOKUP(Data!BN12&amp;" "&amp;Data!BO12&amp;" "&amp;Data!BP12,ColourMatch,5,FALSE))</f>
        <v/>
      </c>
      <c r="I12" s="63"/>
      <c r="J12" s="63"/>
      <c r="K12" s="35" t="str">
        <f>'Job Sheet'!AN12</f>
        <v/>
      </c>
      <c r="L12" s="35" t="str">
        <f>IF(Data!AV12="","",IF(N12="","6mm Black","Welded Spline"))</f>
        <v/>
      </c>
      <c r="M12" s="35" t="str">
        <f>IF(Data!AV12="","",IF(C12="Verticali","6mm Hard","6mm Black"))</f>
        <v/>
      </c>
      <c r="N12" s="89" t="str">
        <f>'Job Sheet'!Y12</f>
        <v/>
      </c>
      <c r="O12" s="149" t="str">
        <f t="shared" si="2" ref="O12:O13">IF(N12="","","2 x 50")</f>
        <v/>
      </c>
      <c r="P12" s="149" t="str">
        <f>IF(N12="","",CONCATENATE("2 x ",'Job Sheet'!AK12+100))</f>
        <v/>
      </c>
      <c r="Q12" s="149" t="str">
        <f>IF(N12="","",CONCATENATE("1 x ",'Job Sheet'!AJ12+100))</f>
        <v/>
      </c>
      <c r="R12" s="149" t="str">
        <f t="shared" si="3" ref="R12:R13">IF(N12="","","1x 120")</f>
        <v/>
      </c>
      <c r="S12" s="90" t="str">
        <f>'Job Sheet'!AE12</f>
        <v/>
      </c>
      <c r="T12" s="150">
        <f t="shared" si="4" ref="T12:T20">A12</f>
        <v>0</v>
      </c>
    </row>
    <row r="13" spans="1:20" ht="60" customHeight="1">
      <c r="A13" s="88">
        <f>'Job Sheet'!A13</f>
        <v>0</v>
      </c>
      <c r="B13" s="32">
        <f>'Job Sheet'!B13</f>
        <v>0</v>
      </c>
      <c r="C13" s="172" t="str">
        <f>MID('Job Sheet'!K13,3,80)</f>
        <v/>
      </c>
      <c r="D13" s="32" t="str">
        <f>'Job Sheet'!L13</f>
        <v/>
      </c>
      <c r="E13" s="134" t="str">
        <f>IF(N13="",'Job Sheet'!AJ13,'Job Sheet'!AL13)</f>
        <v/>
      </c>
      <c r="F13" s="134" t="str">
        <f>IF(N13="",'Job Sheet'!AK13,'Job Sheet'!AM13)</f>
        <v/>
      </c>
      <c r="G13" s="170" t="str">
        <f>IF(Data!AV13="","",VLOOKUP(Data!BN13&amp;" "&amp;Data!BO13&amp;" "&amp;Data!BP13,ColourMatch,4,FALSE))</f>
        <v/>
      </c>
      <c r="H13" s="171" t="str">
        <f>IF(Data!AV13="","",VLOOKUP(Data!BN13&amp;" "&amp;Data!BO13&amp;" "&amp;Data!BP13,ColourMatch,5,FALSE))</f>
        <v/>
      </c>
      <c r="I13" s="63"/>
      <c r="J13" s="63"/>
      <c r="K13" s="35" t="str">
        <f>'Job Sheet'!AN13</f>
        <v/>
      </c>
      <c r="L13" s="35" t="str">
        <f>IF(Data!AV13="","",IF(N13="","6mm Black","Welded Spline"))</f>
        <v/>
      </c>
      <c r="M13" s="35" t="str">
        <f>IF(Data!AV13="","",IF(C13="Verticali","6mm Hard","6mm Black"))</f>
        <v/>
      </c>
      <c r="N13" s="89" t="str">
        <f>'Job Sheet'!Y13</f>
        <v/>
      </c>
      <c r="O13" s="149" t="str">
        <f t="shared" si="2"/>
        <v/>
      </c>
      <c r="P13" s="149" t="str">
        <f>IF(N13="","",CONCATENATE("2 x ",'Job Sheet'!AK13+100))</f>
        <v/>
      </c>
      <c r="Q13" s="149" t="str">
        <f>IF(N13="","",CONCATENATE("1 x ",'Job Sheet'!AJ13+100))</f>
        <v/>
      </c>
      <c r="R13" s="149" t="str">
        <f t="shared" si="3"/>
        <v/>
      </c>
      <c r="S13" s="90" t="str">
        <f>'Job Sheet'!AE13</f>
        <v/>
      </c>
      <c r="T13" s="150">
        <f t="shared" si="4"/>
        <v>0</v>
      </c>
    </row>
    <row r="14" spans="1:20" ht="60" customHeight="1">
      <c r="A14" s="88">
        <f>'Job Sheet'!A14</f>
        <v>0</v>
      </c>
      <c r="B14" s="32">
        <f>'Job Sheet'!B14</f>
        <v>0</v>
      </c>
      <c r="C14" s="172" t="str">
        <f>MID('Job Sheet'!K14,3,80)</f>
        <v/>
      </c>
      <c r="D14" s="32" t="str">
        <f>'Job Sheet'!L14</f>
        <v/>
      </c>
      <c r="E14" s="134" t="str">
        <f>IF(N14="",'Job Sheet'!AJ14,'Job Sheet'!AL14)</f>
        <v/>
      </c>
      <c r="F14" s="134" t="str">
        <f>IF(N14="",'Job Sheet'!AK14,'Job Sheet'!AM14)</f>
        <v/>
      </c>
      <c r="G14" s="170" t="str">
        <f>IF(Data!AV14="","",VLOOKUP(Data!BN14&amp;" "&amp;Data!BO14&amp;" "&amp;Data!BP14,ColourMatch,4,FALSE))</f>
        <v/>
      </c>
      <c r="H14" s="171" t="str">
        <f>IF(Data!AV14="","",VLOOKUP(Data!BN14&amp;" "&amp;Data!BO14&amp;" "&amp;Data!BP14,ColourMatch,5,FALSE))</f>
        <v/>
      </c>
      <c r="I14" s="63"/>
      <c r="J14" s="63"/>
      <c r="K14" s="35" t="str">
        <f>'Job Sheet'!AN14</f>
        <v/>
      </c>
      <c r="L14" s="35" t="str">
        <f>IF(Data!AV14="","",IF(N14="","6mm Black","Welded Spline"))</f>
        <v/>
      </c>
      <c r="M14" s="35" t="str">
        <f>IF(Data!AV14="","",IF(C14="Verticali","6mm Hard","6mm Black"))</f>
        <v/>
      </c>
      <c r="N14" s="89" t="str">
        <f>'Job Sheet'!Y14</f>
        <v/>
      </c>
      <c r="O14" s="149" t="str">
        <f t="shared" si="5" ref="O14:O20">IF(N14="","","2 x 50")</f>
        <v/>
      </c>
      <c r="P14" s="149" t="str">
        <f>IF(N14="","",CONCATENATE("2 x ",'Job Sheet'!AK14+100))</f>
        <v/>
      </c>
      <c r="Q14" s="149" t="str">
        <f>IF(N14="","",CONCATENATE("1 x ",'Job Sheet'!AJ14+100))</f>
        <v/>
      </c>
      <c r="R14" s="149" t="str">
        <f t="shared" si="6" ref="R14:R20">IF(N14="","","1x 120")</f>
        <v/>
      </c>
      <c r="S14" s="90" t="str">
        <f>'Job Sheet'!AE14</f>
        <v/>
      </c>
      <c r="T14" s="150">
        <f t="shared" si="4"/>
        <v>0</v>
      </c>
    </row>
    <row r="15" spans="1:20" ht="60" customHeight="1">
      <c r="A15" s="88">
        <f>'Job Sheet'!A15</f>
        <v>0</v>
      </c>
      <c r="B15" s="32">
        <f>'Job Sheet'!B15</f>
        <v>0</v>
      </c>
      <c r="C15" s="172" t="str">
        <f>MID('Job Sheet'!K15,3,80)</f>
        <v/>
      </c>
      <c r="D15" s="32" t="str">
        <f>'Job Sheet'!L15</f>
        <v/>
      </c>
      <c r="E15" s="134" t="str">
        <f>IF(N15="",'Job Sheet'!AJ15,'Job Sheet'!AL15)</f>
        <v/>
      </c>
      <c r="F15" s="134" t="str">
        <f>IF(N15="",'Job Sheet'!AK15,'Job Sheet'!AM15)</f>
        <v/>
      </c>
      <c r="G15" s="170" t="str">
        <f>IF(Data!AV15="","",VLOOKUP(Data!BN15&amp;" "&amp;Data!BO15&amp;" "&amp;Data!BP15,ColourMatch,4,FALSE))</f>
        <v/>
      </c>
      <c r="H15" s="171" t="str">
        <f>IF(Data!AV15="","",VLOOKUP(Data!BN15&amp;" "&amp;Data!BO15&amp;" "&amp;Data!BP15,ColourMatch,5,FALSE))</f>
        <v/>
      </c>
      <c r="I15" s="63"/>
      <c r="J15" s="63"/>
      <c r="K15" s="35" t="str">
        <f>'Job Sheet'!AN15</f>
        <v/>
      </c>
      <c r="L15" s="35" t="str">
        <f>IF(Data!AV15="","",IF(N15="","6mm Black","Welded Spline"))</f>
        <v/>
      </c>
      <c r="M15" s="35" t="str">
        <f>IF(Data!AV15="","",IF(C15="Verticali","6mm Hard","6mm Black"))</f>
        <v/>
      </c>
      <c r="N15" s="89" t="str">
        <f>'Job Sheet'!Y15</f>
        <v/>
      </c>
      <c r="O15" s="149" t="str">
        <f t="shared" si="5"/>
        <v/>
      </c>
      <c r="P15" s="149" t="str">
        <f>IF(N15="","",CONCATENATE("2 x ",'Job Sheet'!AK15+100))</f>
        <v/>
      </c>
      <c r="Q15" s="149" t="str">
        <f>IF(N15="","",CONCATENATE("1 x ",'Job Sheet'!AJ15+100))</f>
        <v/>
      </c>
      <c r="R15" s="149" t="str">
        <f t="shared" si="6"/>
        <v/>
      </c>
      <c r="S15" s="90" t="str">
        <f>'Job Sheet'!AE15</f>
        <v/>
      </c>
      <c r="T15" s="150">
        <f t="shared" si="4"/>
        <v>0</v>
      </c>
    </row>
    <row r="16" spans="1:20" ht="60" customHeight="1">
      <c r="A16" s="88">
        <f>'Job Sheet'!A16</f>
        <v>0</v>
      </c>
      <c r="B16" s="32">
        <f>'Job Sheet'!B16</f>
        <v>0</v>
      </c>
      <c r="C16" s="172" t="str">
        <f>MID('Job Sheet'!K16,3,80)</f>
        <v/>
      </c>
      <c r="D16" s="32" t="str">
        <f>'Job Sheet'!L16</f>
        <v/>
      </c>
      <c r="E16" s="134" t="str">
        <f>IF(N16="",'Job Sheet'!AJ16,'Job Sheet'!AL16)</f>
        <v/>
      </c>
      <c r="F16" s="134" t="str">
        <f>IF(N16="",'Job Sheet'!AK16,'Job Sheet'!AM16)</f>
        <v/>
      </c>
      <c r="G16" s="170" t="str">
        <f>IF(Data!AV16="","",VLOOKUP(Data!BN16&amp;" "&amp;Data!BO16&amp;" "&amp;Data!BP16,ColourMatch,4,FALSE))</f>
        <v/>
      </c>
      <c r="H16" s="171" t="str">
        <f>IF(Data!AV16="","",VLOOKUP(Data!BN16&amp;" "&amp;Data!BO16&amp;" "&amp;Data!BP16,ColourMatch,5,FALSE))</f>
        <v/>
      </c>
      <c r="I16" s="63"/>
      <c r="J16" s="63"/>
      <c r="K16" s="35" t="str">
        <f>'Job Sheet'!AN16</f>
        <v/>
      </c>
      <c r="L16" s="35" t="str">
        <f>IF(Data!AV16="","",IF(N16="","6mm Black","Welded Spline"))</f>
        <v/>
      </c>
      <c r="M16" s="35" t="str">
        <f>IF(Data!AV16="","",IF(C16="Verticali","6mm Hard","6mm Black"))</f>
        <v/>
      </c>
      <c r="N16" s="89" t="str">
        <f>'Job Sheet'!Y16</f>
        <v/>
      </c>
      <c r="O16" s="149" t="str">
        <f t="shared" si="5"/>
        <v/>
      </c>
      <c r="P16" s="149" t="str">
        <f>IF(N16="","",CONCATENATE("2 x ",'Job Sheet'!AK16+100))</f>
        <v/>
      </c>
      <c r="Q16" s="149" t="str">
        <f>IF(N16="","",CONCATENATE("1 x ",'Job Sheet'!AJ16+100))</f>
        <v/>
      </c>
      <c r="R16" s="149" t="str">
        <f t="shared" si="6"/>
        <v/>
      </c>
      <c r="S16" s="90" t="str">
        <f>'Job Sheet'!AE16</f>
        <v/>
      </c>
      <c r="T16" s="150">
        <f t="shared" si="4"/>
        <v>0</v>
      </c>
    </row>
    <row r="17" spans="1:20" ht="60" customHeight="1">
      <c r="A17" s="88">
        <f>'Job Sheet'!A17</f>
        <v>0</v>
      </c>
      <c r="B17" s="32">
        <f>'Job Sheet'!B17</f>
        <v>0</v>
      </c>
      <c r="C17" s="172" t="str">
        <f>MID('Job Sheet'!K17,3,80)</f>
        <v/>
      </c>
      <c r="D17" s="32" t="str">
        <f>'Job Sheet'!L17</f>
        <v/>
      </c>
      <c r="E17" s="134" t="str">
        <f>IF(N17="",'Job Sheet'!AJ17,'Job Sheet'!AL17)</f>
        <v/>
      </c>
      <c r="F17" s="134" t="str">
        <f>IF(N17="",'Job Sheet'!AK17,'Job Sheet'!AM17)</f>
        <v/>
      </c>
      <c r="G17" s="170" t="str">
        <f>IF(Data!AV17="","",VLOOKUP(Data!BN17&amp;" "&amp;Data!BO17&amp;" "&amp;Data!BP17,ColourMatch,4,FALSE))</f>
        <v/>
      </c>
      <c r="H17" s="171" t="str">
        <f>IF(Data!AV17="","",VLOOKUP(Data!BN17&amp;" "&amp;Data!BO17&amp;" "&amp;Data!BP17,ColourMatch,5,FALSE))</f>
        <v/>
      </c>
      <c r="I17" s="63"/>
      <c r="J17" s="63"/>
      <c r="K17" s="35" t="str">
        <f>'Job Sheet'!AN17</f>
        <v/>
      </c>
      <c r="L17" s="35" t="str">
        <f>IF(Data!AV17="","",IF(N17="","6mm Black","Welded Spline"))</f>
        <v/>
      </c>
      <c r="M17" s="35" t="str">
        <f>IF(Data!AV17="","",IF(C17="Verticali","6mm Hard","6mm Black"))</f>
        <v/>
      </c>
      <c r="N17" s="89" t="str">
        <f>'Job Sheet'!Y17</f>
        <v/>
      </c>
      <c r="O17" s="149" t="str">
        <f t="shared" si="5"/>
        <v/>
      </c>
      <c r="P17" s="149" t="str">
        <f>IF(N17="","",CONCATENATE("2 x ",'Job Sheet'!AK17+100))</f>
        <v/>
      </c>
      <c r="Q17" s="149" t="str">
        <f>IF(N17="","",CONCATENATE("1 x ",'Job Sheet'!AJ17+100))</f>
        <v/>
      </c>
      <c r="R17" s="149" t="str">
        <f t="shared" si="6"/>
        <v/>
      </c>
      <c r="S17" s="90" t="str">
        <f>'Job Sheet'!AE17</f>
        <v/>
      </c>
      <c r="T17" s="150">
        <f t="shared" si="4"/>
        <v>0</v>
      </c>
    </row>
    <row r="18" spans="1:20" ht="60" customHeight="1">
      <c r="A18" s="88">
        <f>'Job Sheet'!A18</f>
        <v>0</v>
      </c>
      <c r="B18" s="32">
        <f>'Job Sheet'!B18</f>
        <v>0</v>
      </c>
      <c r="C18" s="172" t="str">
        <f>MID('Job Sheet'!K18,3,80)</f>
        <v/>
      </c>
      <c r="D18" s="32" t="str">
        <f>'Job Sheet'!L18</f>
        <v/>
      </c>
      <c r="E18" s="134" t="str">
        <f>IF(N18="",'Job Sheet'!AJ18,'Job Sheet'!AL18)</f>
        <v/>
      </c>
      <c r="F18" s="134" t="str">
        <f>IF(N18="",'Job Sheet'!AK18,'Job Sheet'!AM18)</f>
        <v/>
      </c>
      <c r="G18" s="170" t="str">
        <f>IF(Data!AV18="","",VLOOKUP(Data!BN18&amp;" "&amp;Data!BO18&amp;" "&amp;Data!BP18,ColourMatch,4,FALSE))</f>
        <v/>
      </c>
      <c r="H18" s="171" t="str">
        <f>IF(Data!AV18="","",VLOOKUP(Data!BN18&amp;" "&amp;Data!BO18&amp;" "&amp;Data!BP18,ColourMatch,5,FALSE))</f>
        <v/>
      </c>
      <c r="I18" s="63"/>
      <c r="J18" s="63"/>
      <c r="K18" s="35" t="str">
        <f>'Job Sheet'!AN18</f>
        <v/>
      </c>
      <c r="L18" s="35" t="str">
        <f>IF(Data!AV18="","",IF(N18="","6mm Black","Welded Spline"))</f>
        <v/>
      </c>
      <c r="M18" s="35" t="str">
        <f>IF(Data!AV18="","",IF(C18="Verticali","6mm Hard","6mm Black"))</f>
        <v/>
      </c>
      <c r="N18" s="89" t="str">
        <f>'Job Sheet'!Y18</f>
        <v/>
      </c>
      <c r="O18" s="149" t="str">
        <f t="shared" si="5"/>
        <v/>
      </c>
      <c r="P18" s="149" t="str">
        <f>IF(N18="","",CONCATENATE("2 x ",'Job Sheet'!AK18+100))</f>
        <v/>
      </c>
      <c r="Q18" s="149" t="str">
        <f>IF(N18="","",CONCATENATE("1 x ",'Job Sheet'!AJ18+100))</f>
        <v/>
      </c>
      <c r="R18" s="149" t="str">
        <f t="shared" si="6"/>
        <v/>
      </c>
      <c r="S18" s="90" t="str">
        <f>'Job Sheet'!AE18</f>
        <v/>
      </c>
      <c r="T18" s="150">
        <f t="shared" si="4"/>
        <v>0</v>
      </c>
    </row>
    <row r="19" spans="1:20" ht="60" customHeight="1">
      <c r="A19" s="88">
        <f>'Job Sheet'!A19</f>
        <v>0</v>
      </c>
      <c r="B19" s="32">
        <f>'Job Sheet'!B19</f>
        <v>0</v>
      </c>
      <c r="C19" s="172" t="str">
        <f>MID('Job Sheet'!K19,3,80)</f>
        <v/>
      </c>
      <c r="D19" s="32" t="str">
        <f>'Job Sheet'!L19</f>
        <v/>
      </c>
      <c r="E19" s="134" t="str">
        <f>IF(N19="",'Job Sheet'!AJ19,'Job Sheet'!AL19)</f>
        <v/>
      </c>
      <c r="F19" s="134" t="str">
        <f>IF(N19="",'Job Sheet'!AK19,'Job Sheet'!AM19)</f>
        <v/>
      </c>
      <c r="G19" s="170" t="str">
        <f>IF(Data!AV19="","",VLOOKUP(Data!BN19&amp;" "&amp;Data!BO19&amp;" "&amp;Data!BP19,ColourMatch,4,FALSE))</f>
        <v/>
      </c>
      <c r="H19" s="171" t="str">
        <f>IF(Data!AV19="","",VLOOKUP(Data!BN19&amp;" "&amp;Data!BO19&amp;" "&amp;Data!BP19,ColourMatch,5,FALSE))</f>
        <v/>
      </c>
      <c r="I19" s="63"/>
      <c r="J19" s="63"/>
      <c r="K19" s="35" t="str">
        <f>'Job Sheet'!AN19</f>
        <v/>
      </c>
      <c r="L19" s="35" t="str">
        <f>IF(Data!AV19="","",IF(N19="","6mm Black","Welded Spline"))</f>
        <v/>
      </c>
      <c r="M19" s="35" t="str">
        <f>IF(Data!AV19="","",IF(C19="Verticali","6mm Hard","6mm Black"))</f>
        <v/>
      </c>
      <c r="N19" s="89" t="str">
        <f>'Job Sheet'!Y19</f>
        <v/>
      </c>
      <c r="O19" s="149" t="str">
        <f t="shared" si="5"/>
        <v/>
      </c>
      <c r="P19" s="149" t="str">
        <f>IF(N19="","",CONCATENATE("2 x ",'Job Sheet'!AK19+100))</f>
        <v/>
      </c>
      <c r="Q19" s="149" t="str">
        <f>IF(N19="","",CONCATENATE("1 x ",'Job Sheet'!AJ19+100))</f>
        <v/>
      </c>
      <c r="R19" s="149" t="str">
        <f t="shared" si="6"/>
        <v/>
      </c>
      <c r="S19" s="90" t="str">
        <f>'Job Sheet'!AE19</f>
        <v/>
      </c>
      <c r="T19" s="150">
        <f t="shared" si="4"/>
        <v>0</v>
      </c>
    </row>
    <row r="20" spans="1:20" ht="60" customHeight="1">
      <c r="A20" s="88">
        <f>'Job Sheet'!A20</f>
        <v>0</v>
      </c>
      <c r="B20" s="32">
        <f>'Job Sheet'!B20</f>
        <v>0</v>
      </c>
      <c r="C20" s="172" t="str">
        <f>MID('Job Sheet'!K20,3,80)</f>
        <v/>
      </c>
      <c r="D20" s="32" t="str">
        <f>'Job Sheet'!L20</f>
        <v/>
      </c>
      <c r="E20" s="134" t="str">
        <f>IF(N20="",'Job Sheet'!AJ20,'Job Sheet'!AL20)</f>
        <v/>
      </c>
      <c r="F20" s="134" t="str">
        <f>IF(N20="",'Job Sheet'!AK20,'Job Sheet'!AM20)</f>
        <v/>
      </c>
      <c r="G20" s="170" t="str">
        <f>IF(Data!AV20="","",VLOOKUP(Data!BN20&amp;" "&amp;Data!BO20&amp;" "&amp;Data!BP20,ColourMatch,4,FALSE))</f>
        <v/>
      </c>
      <c r="H20" s="171" t="str">
        <f>IF(Data!AV20="","",VLOOKUP(Data!BN20&amp;" "&amp;Data!BO20&amp;" "&amp;Data!BP20,ColourMatch,5,FALSE))</f>
        <v/>
      </c>
      <c r="I20" s="63"/>
      <c r="J20" s="63"/>
      <c r="K20" s="35" t="str">
        <f>'Job Sheet'!AN20</f>
        <v/>
      </c>
      <c r="L20" s="35" t="str">
        <f>IF(Data!AV20="","",IF(N20="","6mm Black","Welded Spline"))</f>
        <v/>
      </c>
      <c r="M20" s="35" t="str">
        <f>IF(Data!AV20="","",IF(C20="Verticali","6mm Hard","6mm Black"))</f>
        <v/>
      </c>
      <c r="N20" s="89" t="str">
        <f>'Job Sheet'!Y20</f>
        <v/>
      </c>
      <c r="O20" s="149" t="str">
        <f t="shared" si="5"/>
        <v/>
      </c>
      <c r="P20" s="149" t="str">
        <f>IF(N20="","",CONCATENATE("2 x ",'Job Sheet'!AK20+100))</f>
        <v/>
      </c>
      <c r="Q20" s="149" t="str">
        <f>IF(N20="","",CONCATENATE("1 x ",'Job Sheet'!AJ20+100))</f>
        <v/>
      </c>
      <c r="R20" s="149" t="str">
        <f t="shared" si="6"/>
        <v/>
      </c>
      <c r="S20" s="90" t="str">
        <f>'Job Sheet'!AE20</f>
        <v/>
      </c>
      <c r="T20" s="150">
        <f t="shared" si="4"/>
        <v>0</v>
      </c>
    </row>
    <row r="21" ht="60" customHeight="1"/>
    <row r="22" ht="60" customHeight="1"/>
    <row r="23" ht="60" customHeight="1"/>
    <row r="24" ht="60" customHeight="1"/>
    <row r="25" ht="60" customHeight="1"/>
    <row r="26" ht="60" customHeight="1"/>
    <row r="27" ht="60" customHeight="1"/>
    <row r="28" ht="60" customHeight="1"/>
    <row r="29" ht="60" customHeight="1"/>
    <row r="30" ht="60" customHeight="1"/>
    <row r="31" ht="60" customHeight="1"/>
    <row r="32" ht="60" customHeight="1"/>
    <row r="33" ht="60" customHeight="1"/>
    <row r="34" ht="60" customHeight="1"/>
    <row r="35" ht="60" customHeight="1"/>
    <row r="36" ht="60" customHeight="1"/>
    <row r="37" ht="60" customHeight="1"/>
    <row r="38" ht="60" customHeight="1"/>
    <row r="39" ht="60" customHeight="1"/>
    <row r="40" ht="60" customHeight="1"/>
    <row r="41" ht="60" customHeight="1"/>
    <row r="42" ht="60" customHeight="1"/>
    <row r="43" ht="60" customHeight="1"/>
    <row r="44" ht="60" customHeight="1"/>
    <row r="45" ht="60" customHeight="1"/>
    <row r="46" ht="60" customHeight="1"/>
    <row r="47" ht="60" customHeight="1"/>
    <row r="48" ht="60" customHeight="1"/>
    <row r="49" ht="60" customHeight="1"/>
    <row r="50" ht="60" customHeight="1"/>
    <row r="51" ht="60" customHeight="1"/>
    <row r="52" ht="60" customHeight="1"/>
    <row r="53" ht="60" customHeight="1"/>
    <row r="54" ht="60" customHeight="1"/>
    <row r="55" ht="60" customHeight="1"/>
    <row r="56" ht="60" customHeight="1"/>
    <row r="57" ht="60" customHeight="1"/>
    <row r="58" ht="60" customHeight="1"/>
    <row r="59" ht="60" customHeight="1"/>
    <row r="60" ht="60" customHeight="1"/>
    <row r="61" ht="60" customHeight="1"/>
    <row r="62" ht="60" customHeight="1"/>
    <row r="63" ht="60" customHeight="1"/>
    <row r="64" ht="60" customHeight="1"/>
    <row r="65" ht="60" customHeight="1"/>
    <row r="66" ht="60" customHeight="1"/>
    <row r="67" ht="60" customHeight="1"/>
    <row r="68" ht="60" customHeight="1"/>
    <row r="69" ht="60" customHeight="1"/>
    <row r="70" ht="60" customHeight="1"/>
    <row r="71" ht="60" customHeight="1"/>
    <row r="72" ht="60" customHeight="1"/>
    <row r="73" ht="60" customHeight="1"/>
    <row r="74" ht="60" customHeight="1"/>
    <row r="75" ht="60" customHeight="1"/>
    <row r="76" ht="60" customHeight="1"/>
    <row r="77" ht="60" customHeight="1"/>
    <row r="78" ht="60" customHeight="1"/>
    <row r="79" ht="60" customHeight="1"/>
    <row r="80" ht="60" customHeight="1"/>
    <row r="81" ht="60" customHeight="1"/>
    <row r="82" ht="60" customHeight="1"/>
    <row r="83" ht="60" customHeight="1"/>
    <row r="84" ht="60" customHeight="1"/>
    <row r="85" ht="60" customHeight="1"/>
    <row r="86" ht="60" customHeight="1"/>
    <row r="87" ht="60" customHeight="1"/>
    <row r="88" ht="60" customHeight="1"/>
    <row r="89" ht="60" customHeight="1"/>
    <row r="90" ht="60" customHeight="1"/>
    <row r="91" ht="60" customHeight="1"/>
    <row r="92" ht="60" customHeight="1"/>
    <row r="93" ht="60" customHeight="1"/>
    <row r="94" ht="60" customHeight="1"/>
    <row r="95" ht="60" customHeight="1"/>
    <row r="96" ht="60" customHeight="1"/>
    <row r="97" ht="60" customHeight="1"/>
    <row r="98" ht="60" customHeight="1"/>
    <row r="99" ht="60" customHeight="1"/>
    <row r="100" ht="60" customHeight="1"/>
    <row r="101" ht="60" customHeight="1"/>
    <row r="102" ht="60" customHeight="1"/>
    <row r="103" ht="60" customHeight="1"/>
    <row r="104" ht="60" customHeight="1"/>
    <row r="105" ht="60" customHeight="1"/>
    <row r="106" ht="60" customHeight="1"/>
    <row r="107" ht="60" customHeight="1"/>
    <row r="108" ht="60" customHeight="1"/>
    <row r="109" ht="60" customHeight="1"/>
    <row r="110" ht="60" customHeight="1"/>
    <row r="111" ht="60" customHeight="1"/>
    <row r="112" ht="60" customHeight="1"/>
    <row r="113" ht="60" customHeight="1"/>
    <row r="114" ht="60" customHeight="1"/>
    <row r="115" ht="60" customHeight="1"/>
    <row r="116" ht="60" customHeight="1"/>
    <row r="117" ht="60" customHeight="1"/>
    <row r="118" ht="60" customHeight="1"/>
    <row r="119" ht="60" customHeight="1"/>
    <row r="120" ht="60" customHeight="1"/>
    <row r="121" ht="60" customHeight="1"/>
    <row r="122" ht="60" customHeight="1"/>
    <row r="123" ht="60" customHeight="1"/>
    <row r="124" ht="60" customHeight="1"/>
    <row r="125" ht="60" customHeight="1"/>
    <row r="126" ht="60" customHeight="1"/>
    <row r="127" ht="60" customHeight="1"/>
    <row r="128" ht="60" customHeight="1"/>
    <row r="129" ht="60" customHeight="1"/>
    <row r="130" ht="60" customHeight="1"/>
    <row r="131" ht="60" customHeight="1"/>
    <row r="132" ht="60" customHeight="1"/>
    <row r="133" ht="60" customHeight="1"/>
    <row r="134" ht="60" customHeight="1"/>
    <row r="135" ht="60" customHeight="1"/>
    <row r="136" ht="60" customHeight="1"/>
    <row r="137" ht="60" customHeight="1"/>
    <row r="138" ht="60" customHeight="1"/>
    <row r="139" ht="60" customHeight="1"/>
    <row r="140" ht="60" customHeight="1"/>
    <row r="141" ht="60" customHeight="1"/>
    <row r="142" ht="60" customHeight="1"/>
    <row r="143" ht="60" customHeight="1"/>
    <row r="144" ht="60" customHeight="1"/>
    <row r="145" ht="60" customHeight="1"/>
    <row r="146" ht="60" customHeight="1"/>
    <row r="147" ht="60" customHeight="1"/>
    <row r="148" ht="60" customHeight="1"/>
    <row r="149" ht="60" customHeight="1"/>
    <row r="150" ht="60" customHeight="1"/>
    <row r="151" ht="60" customHeight="1"/>
    <row r="152" ht="60" customHeight="1"/>
    <row r="153" ht="60" customHeight="1"/>
    <row r="154" ht="60" customHeight="1"/>
    <row r="155" ht="60" customHeight="1"/>
    <row r="156" ht="60" customHeight="1"/>
    <row r="157" ht="60" customHeight="1"/>
    <row r="158" ht="60" customHeight="1"/>
    <row r="159" ht="60" customHeight="1"/>
    <row r="160" ht="60" customHeight="1"/>
    <row r="161" ht="60" customHeight="1"/>
    <row r="162" ht="60" customHeight="1"/>
    <row r="163" ht="60" customHeight="1"/>
    <row r="164" ht="60" customHeight="1"/>
    <row r="165" ht="60" customHeight="1"/>
    <row r="166" ht="60" customHeight="1"/>
    <row r="167" ht="60" customHeight="1"/>
    <row r="168" ht="60" customHeight="1"/>
    <row r="169" ht="60" customHeight="1"/>
    <row r="170" ht="60" customHeight="1"/>
    <row r="171" ht="60" customHeight="1"/>
    <row r="172" ht="60" customHeight="1"/>
    <row r="173" ht="60" customHeight="1"/>
    <row r="174" ht="60" customHeight="1"/>
    <row r="175" ht="60" customHeight="1"/>
    <row r="176" ht="60" customHeight="1"/>
    <row r="177" ht="60" customHeight="1"/>
    <row r="178" ht="60" customHeight="1"/>
    <row r="179" ht="60" customHeight="1"/>
    <row r="180" ht="60" customHeight="1"/>
    <row r="181" ht="60" customHeight="1"/>
    <row r="182" ht="60" customHeight="1"/>
    <row r="183" ht="60" customHeight="1"/>
    <row r="184" ht="60" customHeight="1"/>
    <row r="185" ht="60" customHeight="1"/>
    <row r="186" ht="60" customHeight="1"/>
    <row r="187" ht="60" customHeight="1"/>
    <row r="188" ht="60" customHeight="1"/>
    <row r="189" ht="60" customHeight="1"/>
    <row r="190" ht="60" customHeight="1"/>
    <row r="191" ht="60" customHeight="1"/>
    <row r="192" ht="60" customHeight="1"/>
    <row r="193" ht="60" customHeight="1"/>
    <row r="194" ht="60" customHeight="1"/>
    <row r="195" ht="60" customHeight="1"/>
    <row r="196" ht="60" customHeight="1"/>
    <row r="197" ht="60" customHeight="1"/>
    <row r="198" ht="60" customHeight="1"/>
    <row r="199" ht="60" customHeight="1"/>
    <row r="200" ht="60" customHeight="1"/>
    <row r="201" ht="60" customHeight="1"/>
    <row r="202" ht="60" customHeight="1"/>
    <row r="203" ht="60" customHeight="1"/>
    <row r="204" ht="60" customHeight="1"/>
    <row r="205" ht="60" customHeight="1"/>
    <row r="206" ht="60" customHeight="1"/>
    <row r="207" ht="60" customHeight="1"/>
    <row r="208" ht="60" customHeight="1"/>
    <row r="209" ht="60" customHeight="1"/>
    <row r="210" ht="60" customHeight="1"/>
    <row r="211" ht="60" customHeight="1"/>
    <row r="212" ht="60" customHeight="1"/>
    <row r="213" ht="60" customHeight="1"/>
    <row r="214" ht="60" customHeight="1"/>
    <row r="215" ht="60" customHeight="1"/>
    <row r="216" ht="60" customHeight="1"/>
    <row r="217" ht="60" customHeight="1"/>
    <row r="218" ht="60" customHeight="1"/>
    <row r="219" ht="60" customHeight="1"/>
    <row r="220" ht="60" customHeight="1"/>
    <row r="221" ht="60" customHeight="1"/>
    <row r="222" ht="60" customHeight="1"/>
    <row r="223" ht="60" customHeight="1"/>
    <row r="224" ht="60" customHeight="1"/>
    <row r="225" ht="60" customHeight="1"/>
    <row r="226" ht="60" customHeight="1"/>
    <row r="227" ht="60" customHeight="1"/>
    <row r="228" ht="60" customHeight="1"/>
    <row r="229" ht="60" customHeight="1"/>
    <row r="230" ht="60" customHeight="1"/>
    <row r="231" ht="60" customHeight="1"/>
    <row r="232" ht="60" customHeight="1"/>
    <row r="233" ht="60" customHeight="1"/>
    <row r="234" ht="60" customHeight="1"/>
    <row r="235" ht="60" customHeight="1"/>
    <row r="236" ht="60" customHeight="1"/>
    <row r="237" ht="60" customHeight="1"/>
    <row r="238" ht="60" customHeight="1"/>
    <row r="239" ht="60" customHeight="1"/>
    <row r="240" ht="60" customHeight="1"/>
    <row r="241" ht="60" customHeight="1"/>
    <row r="242" ht="60" customHeight="1"/>
    <row r="243" ht="60" customHeight="1"/>
    <row r="244" ht="60" customHeight="1"/>
    <row r="245" ht="60" customHeight="1"/>
    <row r="246" ht="60" customHeight="1"/>
    <row r="247" ht="60" customHeight="1"/>
    <row r="248" ht="60" customHeight="1"/>
    <row r="249" ht="60" customHeight="1"/>
    <row r="250" ht="60" customHeight="1"/>
    <row r="251" ht="60" customHeight="1"/>
    <row r="252" ht="60" customHeight="1"/>
    <row r="253" ht="60" customHeight="1"/>
    <row r="254" ht="60" customHeight="1"/>
    <row r="255" ht="60" customHeight="1"/>
    <row r="256" ht="60" customHeight="1"/>
    <row r="257" ht="60" customHeight="1"/>
    <row r="258" ht="60" customHeight="1"/>
    <row r="259" ht="60" customHeight="1"/>
    <row r="260" ht="60" customHeight="1"/>
    <row r="261" ht="60" customHeight="1"/>
    <row r="262" ht="60" customHeight="1"/>
    <row r="263" ht="60" customHeight="1"/>
    <row r="264" ht="60" customHeight="1"/>
    <row r="265" ht="60" customHeight="1"/>
    <row r="266" ht="60" customHeight="1"/>
    <row r="267" ht="60" customHeight="1"/>
    <row r="268" ht="60" customHeight="1"/>
    <row r="269" ht="60" customHeight="1"/>
    <row r="270" ht="60" customHeight="1"/>
    <row r="271" ht="60" customHeight="1"/>
    <row r="272" ht="60" customHeight="1"/>
    <row r="273" ht="60" customHeight="1"/>
    <row r="274" ht="60" customHeight="1"/>
    <row r="275" ht="60" customHeight="1"/>
    <row r="276" ht="60" customHeight="1"/>
    <row r="277" ht="60" customHeight="1"/>
    <row r="278" ht="60" customHeight="1"/>
    <row r="279" ht="60" customHeight="1"/>
    <row r="280" ht="60" customHeight="1"/>
    <row r="281" ht="60" customHeight="1"/>
    <row r="282" ht="60" customHeight="1"/>
    <row r="283" ht="60" customHeight="1"/>
    <row r="284" ht="60" customHeight="1"/>
    <row r="285" ht="60" customHeight="1"/>
    <row r="286" ht="60" customHeight="1"/>
    <row r="287" ht="60" customHeight="1"/>
    <row r="288" ht="60" customHeight="1"/>
    <row r="289" ht="60" customHeight="1"/>
    <row r="290" ht="60" customHeight="1"/>
    <row r="291" ht="60" customHeight="1"/>
    <row r="292" ht="60" customHeight="1"/>
    <row r="293" ht="60" customHeight="1"/>
    <row r="294" ht="60" customHeight="1"/>
    <row r="295" ht="60" customHeight="1"/>
    <row r="296" ht="60" customHeight="1"/>
    <row r="297" ht="60" customHeight="1"/>
    <row r="298" ht="60" customHeight="1"/>
  </sheetData>
  <mergeCells count="38">
    <mergeCell ref="A1:T1"/>
    <mergeCell ref="T8:T10"/>
    <mergeCell ref="O8:O10"/>
    <mergeCell ref="S8:S10"/>
    <mergeCell ref="A8:A10"/>
    <mergeCell ref="B8:B10"/>
    <mergeCell ref="D8:D10"/>
    <mergeCell ref="E8:E10"/>
    <mergeCell ref="P8:P10"/>
    <mergeCell ref="N8:N10"/>
    <mergeCell ref="J8:J10"/>
    <mergeCell ref="G8:G10"/>
    <mergeCell ref="M8:M10"/>
    <mergeCell ref="I8:I10"/>
    <mergeCell ref="Q8:Q10"/>
    <mergeCell ref="R8:R10"/>
    <mergeCell ref="L8:L10"/>
    <mergeCell ref="A6:C7"/>
    <mergeCell ref="D2:E2"/>
    <mergeCell ref="D3:E3"/>
    <mergeCell ref="D4:E4"/>
    <mergeCell ref="D5:E7"/>
    <mergeCell ref="A2:B2"/>
    <mergeCell ref="A3:B3"/>
    <mergeCell ref="A4:B4"/>
    <mergeCell ref="A5:B5"/>
    <mergeCell ref="F8:F10"/>
    <mergeCell ref="K8:K10"/>
    <mergeCell ref="C8:C10"/>
    <mergeCell ref="H8:H10"/>
    <mergeCell ref="F2:L2"/>
    <mergeCell ref="M3:T7"/>
    <mergeCell ref="M2:T2"/>
    <mergeCell ref="F7:L7"/>
    <mergeCell ref="F6:L6"/>
    <mergeCell ref="F5:L5"/>
    <mergeCell ref="F4:L4"/>
    <mergeCell ref="F3:L3"/>
  </mergeCells>
  <conditionalFormatting sqref="C11:C20">
    <cfRule type="notContainsText" priority="2" dxfId="0" operator="notContains" text="Verticali">
      <formula>ISERROR(SEARCH("Verticali",C11))</formula>
    </cfRule>
    <cfRule type="containsBlanks" priority="2" dxfId="1">
      <formula>LEN(TRIM(C11))=0</formula>
    </cfRule>
  </conditionalFormatting>
  <printOptions horizontalCentered="1"/>
  <pageMargins left="0.626771653543328" right="0.626771653543328" top="0.3" bottom="0.3" header="0.3" footer="0.3"/>
  <pageSetup fitToHeight="0" horizontalDpi="300" verticalDpi="300" orientation="landscape" paperSize="9" scale="10" r:id="rId1"/>
  <rowBreaks count="1" manualBreakCount="1">
    <brk id="20" max="255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pageSetUpPr fitToPage="1"/>
  </sheetPr>
  <dimension ref="A1:T33"/>
  <sheetViews>
    <sheetView showZeros="0" view="pageBreakPreview" zoomScale="40" zoomScaleNormal="40" zoomScaleSheetLayoutView="40" workbookViewId="0" topLeftCell="A1">
      <selection pane="topLeft" activeCell="A11" sqref="A11:XFD20"/>
    </sheetView>
  </sheetViews>
  <sheetFormatPr defaultColWidth="9.109375" defaultRowHeight="13.5"/>
  <cols>
    <col min="1" max="1" width="12.2857142857143" style="47" customWidth="1"/>
    <col min="2" max="2" width="46.5714285714286" style="47" customWidth="1"/>
    <col min="3" max="3" width="27.2857142857143" style="47" customWidth="1"/>
    <col min="4" max="4" width="32.8571428571429" style="47" customWidth="1"/>
    <col min="5" max="5" width="35.8571428571429" style="47" customWidth="1"/>
    <col min="6" max="6" width="37.4285714285714" style="47" customWidth="1"/>
    <col min="7" max="7" width="33.2857142857143" style="47" customWidth="1"/>
    <col min="8" max="8" width="30" style="47" customWidth="1"/>
    <col min="9" max="9" width="23.5714285714286" style="47" customWidth="1"/>
    <col min="10" max="10" width="23.2857142857143" style="47" customWidth="1"/>
    <col min="11" max="11" width="27.2857142857143" style="47" customWidth="1"/>
    <col min="12" max="12" width="28.2857142857143" style="47" customWidth="1"/>
    <col min="13" max="13" width="22.4285714285714" style="47" customWidth="1"/>
    <col min="14" max="14" width="20.7142857142857" style="47" customWidth="1"/>
    <col min="15" max="15" width="27.4285714285714" style="47" customWidth="1"/>
    <col min="16" max="16" width="18.5714285714286" style="47" bestFit="1" customWidth="1"/>
    <col min="17" max="17" width="21.7142857142857" customWidth="1"/>
    <col min="18" max="18" width="23.1428571428571" customWidth="1"/>
    <col min="19" max="19" width="55.2857142857143" customWidth="1"/>
    <col min="20" max="20" width="16.1428571428571" customWidth="1"/>
  </cols>
  <sheetData>
    <row r="1" spans="1:20" ht="300.6" customHeight="1">
      <c r="A1" s="204" t="s">
        <v>424</v>
      </c>
      <c r="B1" s="204"/>
      <c r="C1" s="204"/>
      <c r="D1" s="204"/>
      <c r="E1" s="204"/>
      <c r="F1" s="204"/>
      <c r="G1" s="204"/>
      <c r="H1" s="204"/>
      <c r="I1" s="204"/>
      <c r="J1" s="204"/>
      <c r="K1" s="204"/>
      <c r="L1" s="204"/>
      <c r="M1" s="204"/>
      <c r="N1" s="204"/>
      <c r="O1" s="204"/>
      <c r="P1" s="204"/>
      <c r="Q1" s="204"/>
      <c r="R1" s="204"/>
      <c r="S1" s="204"/>
      <c r="T1" s="204"/>
    </row>
    <row r="2" spans="1:20" s="67" customFormat="1" ht="60" customHeight="1">
      <c r="A2" s="4" t="s">
        <v>7</v>
      </c>
      <c r="B2" s="4"/>
      <c r="C2" s="10"/>
      <c r="D2" s="10"/>
      <c r="E2" s="10"/>
      <c r="F2" s="10" t="s">
        <v>118</v>
      </c>
      <c r="G2" s="10"/>
      <c r="H2" s="11" t="str">
        <f>Data!BF5</f>
        <v>Campbell, Neil</v>
      </c>
      <c r="I2" s="11"/>
      <c r="J2" s="11"/>
      <c r="K2" s="11"/>
      <c r="L2" s="11"/>
      <c r="M2" s="12" t="s">
        <v>4</v>
      </c>
      <c r="N2" s="12"/>
      <c r="O2" s="12"/>
      <c r="P2" s="12"/>
      <c r="Q2" s="12"/>
      <c r="R2" s="12"/>
      <c r="S2" s="12"/>
      <c r="T2" s="12"/>
    </row>
    <row r="3" spans="1:20" s="67" customFormat="1" ht="60" customHeight="1">
      <c r="A3" s="3" t="s">
        <v>142</v>
      </c>
      <c r="B3" s="3"/>
      <c r="C3" s="8" t="str">
        <f>Data!BC5</f>
        <v>12085</v>
      </c>
      <c r="D3" s="8"/>
      <c r="E3" s="8"/>
      <c r="F3" s="9" t="s">
        <v>8</v>
      </c>
      <c r="G3" s="9"/>
      <c r="H3" s="207" t="str">
        <f>Data!AX5</f>
        <v>Verticali Patio Blinds &amp; Fixed Guide Awnings</v>
      </c>
      <c r="I3" s="207"/>
      <c r="J3" s="207"/>
      <c r="K3" s="207"/>
      <c r="L3" s="207"/>
      <c r="M3" s="205" t="str">
        <f>TRIM(Data!BG5)</f>
        <v/>
      </c>
      <c r="N3" s="205"/>
      <c r="O3" s="205"/>
      <c r="P3" s="205"/>
      <c r="Q3" s="205"/>
      <c r="R3" s="205"/>
      <c r="S3" s="205"/>
      <c r="T3" s="205"/>
    </row>
    <row r="4" spans="1:20" s="67" customFormat="1" ht="60" customHeight="1">
      <c r="A4" s="2" t="s">
        <v>15</v>
      </c>
      <c r="B4" s="2"/>
      <c r="C4" s="8" t="str">
        <f>Data!BD5</f>
        <v>A</v>
      </c>
      <c r="D4" s="8"/>
      <c r="E4" s="8"/>
      <c r="F4" s="9" t="s">
        <v>136</v>
      </c>
      <c r="G4" s="9"/>
      <c r="H4" s="207" t="str">
        <f>Data!BA5</f>
        <v>18/09/2026 12:00:00 AM</v>
      </c>
      <c r="I4" s="207"/>
      <c r="J4" s="207"/>
      <c r="K4" s="207"/>
      <c r="L4" s="207"/>
      <c r="M4" s="205"/>
      <c r="N4" s="205"/>
      <c r="O4" s="205"/>
      <c r="P4" s="205"/>
      <c r="Q4" s="205"/>
      <c r="R4" s="205"/>
      <c r="S4" s="205"/>
      <c r="T4" s="205"/>
    </row>
    <row r="5" spans="1:20" s="67" customFormat="1" ht="60" customHeight="1">
      <c r="A5" s="206" t="s">
        <v>10</v>
      </c>
      <c r="B5" s="206"/>
      <c r="C5" s="202" t="str">
        <f>Data!AY5</f>
        <v>6/08/2026 12:00:00 AM</v>
      </c>
      <c r="D5" s="202"/>
      <c r="E5" s="202"/>
      <c r="F5" s="8" t="s">
        <v>12</v>
      </c>
      <c r="G5" s="8"/>
      <c r="H5" s="11" t="str">
        <f>TRIM(Data!BF5)</f>
        <v>Campbell, Neil</v>
      </c>
      <c r="I5" s="11"/>
      <c r="J5" s="11"/>
      <c r="K5" s="11"/>
      <c r="L5" s="11"/>
      <c r="M5" s="205"/>
      <c r="N5" s="205"/>
      <c r="O5" s="205"/>
      <c r="P5" s="205"/>
      <c r="Q5" s="205"/>
      <c r="R5" s="205"/>
      <c r="S5" s="205"/>
      <c r="T5" s="205"/>
    </row>
    <row r="6" spans="1:20" s="67" customFormat="1" ht="60" customHeight="1">
      <c r="A6" s="173" t="str">
        <f>Data!CZ5</f>
        <v>Retail Customer</v>
      </c>
      <c r="B6" s="173"/>
      <c r="C6" s="173"/>
      <c r="D6" s="173"/>
      <c r="E6" s="173"/>
      <c r="F6" s="8"/>
      <c r="G6" s="8"/>
      <c r="H6" s="11" t="str">
        <f>CONCATENATE(Data!BH5," ",Data!BI5," ",Data!BJ5," ",Data!BK5," ",Data!BL5)</f>
        <v xml:space="preserve"> 7161  Midland Highway </v>
      </c>
      <c r="I6" s="11"/>
      <c r="J6" s="11"/>
      <c r="K6" s="11"/>
      <c r="L6" s="11"/>
      <c r="M6" s="205"/>
      <c r="N6" s="205"/>
      <c r="O6" s="205"/>
      <c r="P6" s="205"/>
      <c r="Q6" s="205"/>
      <c r="R6" s="205"/>
      <c r="S6" s="205"/>
      <c r="T6" s="205"/>
    </row>
    <row r="7" spans="1:20" s="67" customFormat="1" ht="60" customHeight="1">
      <c r="A7" s="173"/>
      <c r="B7" s="173"/>
      <c r="C7" s="173"/>
      <c r="D7" s="173"/>
      <c r="E7" s="173"/>
      <c r="F7" s="8"/>
      <c r="G7" s="8"/>
      <c r="H7" s="11" t="str">
        <f>CONCATENATE(Data!BM5," ",Data!BN5," ",Data!BO5," ",Data!BP5)</f>
        <v>Buninyong VIC 3357 Australia</v>
      </c>
      <c r="I7" s="11"/>
      <c r="J7" s="11"/>
      <c r="K7" s="11"/>
      <c r="L7" s="11"/>
      <c r="M7" s="205"/>
      <c r="N7" s="205"/>
      <c r="O7" s="205"/>
      <c r="P7" s="205"/>
      <c r="Q7" s="205"/>
      <c r="R7" s="205"/>
      <c r="S7" s="205"/>
      <c r="T7" s="205"/>
    </row>
    <row r="8" spans="1:20" s="68" customFormat="1" ht="44.4" customHeight="1">
      <c r="A8" s="5" t="s">
        <v>141</v>
      </c>
      <c r="B8" s="174" t="s">
        <v>120</v>
      </c>
      <c r="C8" s="203" t="s">
        <v>119</v>
      </c>
      <c r="D8" s="7" t="s">
        <v>208</v>
      </c>
      <c r="E8" s="7" t="s">
        <v>689</v>
      </c>
      <c r="F8" s="7" t="s">
        <v>688</v>
      </c>
      <c r="G8" s="6" t="s">
        <v>778</v>
      </c>
      <c r="H8" s="6" t="s">
        <v>159</v>
      </c>
      <c r="I8" s="201" t="s">
        <v>373</v>
      </c>
      <c r="J8" s="201" t="s">
        <v>374</v>
      </c>
      <c r="K8" s="203" t="s">
        <v>602</v>
      </c>
      <c r="L8" s="203" t="s">
        <v>174</v>
      </c>
      <c r="M8" s="6" t="s">
        <v>375</v>
      </c>
      <c r="N8" s="203" t="s">
        <v>157</v>
      </c>
      <c r="O8" s="203" t="s">
        <v>687</v>
      </c>
      <c r="P8" s="174" t="s">
        <v>149</v>
      </c>
      <c r="Q8" s="174" t="s">
        <v>156</v>
      </c>
      <c r="R8" s="201" t="s">
        <v>685</v>
      </c>
      <c r="S8" s="7" t="s">
        <v>5</v>
      </c>
      <c r="T8" s="7" t="s">
        <v>684</v>
      </c>
    </row>
    <row r="9" spans="1:20" s="68" customFormat="1" ht="37.5" customHeight="1">
      <c r="A9" s="5"/>
      <c r="B9" s="174"/>
      <c r="C9" s="203"/>
      <c r="D9" s="7"/>
      <c r="E9" s="7"/>
      <c r="F9" s="7"/>
      <c r="G9" s="6"/>
      <c r="H9" s="6"/>
      <c r="I9" s="201"/>
      <c r="J9" s="201"/>
      <c r="K9" s="203"/>
      <c r="L9" s="203"/>
      <c r="M9" s="6"/>
      <c r="N9" s="203"/>
      <c r="O9" s="203"/>
      <c r="P9" s="174"/>
      <c r="Q9" s="174"/>
      <c r="R9" s="201"/>
      <c r="S9" s="7"/>
      <c r="T9" s="7"/>
    </row>
    <row r="10" spans="1:20" s="68" customFormat="1" ht="69" customHeight="1">
      <c r="A10" s="5"/>
      <c r="B10" s="174"/>
      <c r="C10" s="203"/>
      <c r="D10" s="7"/>
      <c r="E10" s="7"/>
      <c r="F10" s="7"/>
      <c r="G10" s="6"/>
      <c r="H10" s="6"/>
      <c r="I10" s="201"/>
      <c r="J10" s="201"/>
      <c r="K10" s="203"/>
      <c r="L10" s="203"/>
      <c r="M10" s="6"/>
      <c r="N10" s="203"/>
      <c r="O10" s="203"/>
      <c r="P10" s="174"/>
      <c r="Q10" s="174"/>
      <c r="R10" s="201"/>
      <c r="S10" s="7"/>
      <c r="T10" s="7"/>
    </row>
    <row r="11" spans="1:20" s="68" customFormat="1" ht="103.5">
      <c r="A11" s="91">
        <f>Data!AW11</f>
        <v>1</v>
      </c>
      <c r="B11" s="69" t="str">
        <f>'Job Sheet'!B11</f>
        <v>Patio 1</v>
      </c>
      <c r="C11" s="141" t="str">
        <f>MID('Job Sheet'!K11,3,80)</f>
        <v>Verticali</v>
      </c>
      <c r="D11" s="69" t="str">
        <f>IF(Data!AV11="","",IF(OR('Job Sheet'!U11="Colourbond Under-Roll Hooding",'Job Sheet'!U11="Colourbond Over-Roll Hooding"),'Job Sheet'!F11-4,IF('Job Sheet'!U11="Verticali Colourbond Hooding",'Job Sheet'!F11-6,"")))</f>
        <v/>
      </c>
      <c r="E11" s="69">
        <f>IF(Data!AV11="","",IF(OR('Job Sheet'!U11="Verticali Hooding (Old)",'Job Sheet'!U11="Verticali Square Hooding"),'Job Sheet'!F11-7,IF('Job Sheet'!U11="Zipscreen Hooding",'Job Sheet'!F11-66,"")))</f>
        <v>3965</v>
      </c>
      <c r="F11" s="70">
        <f>IF(Data!AV11="","",IF(OR('Job Sheet'!U11="Verticali Hooding (Old)",'Job Sheet'!U11="Verticali Square Hooding"),'Job Sheet'!F11-7,IF('Job Sheet'!U11="Zipscreen Hooding",'Job Sheet'!F11-66,"")))</f>
        <v>3965</v>
      </c>
      <c r="G11" s="70" t="str">
        <f t="array" ref="G11">IF(Data!AV11="","",IF('Job Sheet'!U11="Powder Coated Brackets","",bpLOOKUP(Data!$AV11,"HOODTYPE",CustOrdOpt,6,FALSE)))</f>
        <v>Verticali Square Hooding</v>
      </c>
      <c r="H11" s="70" t="str">
        <f>IF(OR(Data!AV11="",'Job Sheet'!U11="Powder Coated Brackets"),"",IF(AND('Job Sheet'!V11="Custom Powdercoat",(OR('Job Sheet'!U11="Colourbond Under-Roll Hooding",'Job Sheet'!U11="Colourbond Over-Roll Hooding"))),"Zinc for Powder Coating",'Job Sheet'!V11))</f>
        <v>Paperbark (Merino)</v>
      </c>
      <c r="I11" s="142" t="str">
        <f>IF(Data!AV11="","",CONCATENATE('Job Sheet'!G11-100,(" x 2")))</f>
        <v>2550 x 2</v>
      </c>
      <c r="J11" s="142" t="str">
        <f>IF(Data!AV11="","",IF(C11="Zipscreen",CONCATENATE('Job Sheet'!G11-82,(" x 2")),CONCATENATE('Job Sheet'!G11-100,(" x 2"))))</f>
        <v>2550 x 2</v>
      </c>
      <c r="K11" s="142" t="str">
        <f>IF(A11="","",IF(AND(C11="Zipscreen",'Job Sheet'!I11="Face"),CONCATENATE('Job Sheet'!G11-100,(" x 2")),""))</f>
        <v/>
      </c>
      <c r="L11" s="142" t="str">
        <f>'Job Sheet'!W11</f>
        <v>Paperbark (Merino)</v>
      </c>
      <c r="M11" s="70" t="str">
        <f>IF(OR(C11="Zipscreen",Data!AV11=""),"",CONCATENATE('Job Sheet'!G11-100,(" x 2")))</f>
        <v>2550 x 2</v>
      </c>
      <c r="N11" s="143">
        <f>'Job Sheet'!AI11</f>
        <v>3812</v>
      </c>
      <c r="O11" s="142" t="str">
        <f>'Job Sheet'!X11</f>
        <v>Paperbark (Merino)</v>
      </c>
      <c r="P11" s="72" t="str">
        <f>IF(Data!AV11="","",IF('Job Sheet'!F11&gt;5000,"85mm Tube","78mm"))</f>
        <v>78mm</v>
      </c>
      <c r="Q11" s="71">
        <f>'Job Sheet'!AH11</f>
        <v>3835</v>
      </c>
      <c r="R11" s="142" t="str">
        <f>IF(Data!AV11="","",IF(C11="Zipscreen",CONCATENATE("Flat Ballast - 2 x ",N11-100),IF(N11&lt;2010,'Tube Cutting'!N11-10,"1000 x 2")))</f>
        <v>1000 x 2</v>
      </c>
      <c r="S11" s="70" t="str">
        <f>'Job Sheet'!AE11</f>
        <v/>
      </c>
      <c r="T11" s="151">
        <f>A11</f>
        <v>1</v>
      </c>
    </row>
    <row r="12" spans="1:20" s="68" customFormat="1" ht="60" customHeight="1">
      <c r="A12" s="91">
        <f>Data!AW12</f>
        <v>0</v>
      </c>
      <c r="B12" s="69">
        <f>'Job Sheet'!B12</f>
        <v>0</v>
      </c>
      <c r="C12" s="141" t="str">
        <f>MID('Job Sheet'!K12,3,80)</f>
        <v/>
      </c>
      <c r="D12" s="69" t="str">
        <f>IF(Data!AV12="","",IF(OR('Job Sheet'!U12="Colourbond Under-Roll Hooding",'Job Sheet'!U12="Colourbond Over-Roll Hooding"),'Job Sheet'!F12-4,IF('Job Sheet'!U12="Verticali Colourbond Hooding",'Job Sheet'!F12-6,"")))</f>
        <v/>
      </c>
      <c r="E12" s="69" t="str">
        <f>IF(Data!AV12="","",IF(OR('Job Sheet'!U12="Verticali Hooding (Old)",'Job Sheet'!U12="Verticali Square Hooding"),'Job Sheet'!F12-7,IF('Job Sheet'!U12="Zipscreen Hooding",'Job Sheet'!F12-66,"")))</f>
        <v/>
      </c>
      <c r="F12" s="70" t="str">
        <f>IF(Data!AV12="","",IF(OR('Job Sheet'!U12="Verticali Hooding (Old)",'Job Sheet'!U12="Verticali Square Hooding"),'Job Sheet'!F12-7,IF('Job Sheet'!U12="Zipscreen Hooding",'Job Sheet'!F12-66,"")))</f>
        <v/>
      </c>
      <c r="G12" s="70" t="str">
        <f t="array" ref="G12">IF(Data!AV12="","",IF('Job Sheet'!U12="Powder Coated Brackets","",bpLOOKUP(Data!$AV12,"HOODTYPE",CustOrdOpt,6,FALSE)))</f>
        <v/>
      </c>
      <c r="H12" s="70" t="str">
        <f>IF(OR(Data!AV12="",'Job Sheet'!U12="Powder Coated Brackets"),"",IF(AND('Job Sheet'!V12="Custom Powdercoat",(OR('Job Sheet'!U12="Colourbond Under-Roll Hooding",'Job Sheet'!U12="Colourbond Over-Roll Hooding"))),"Zinc for Powder Coating",'Job Sheet'!V12))</f>
        <v/>
      </c>
      <c r="I12" s="142" t="str">
        <f>IF(Data!AV12="","",CONCATENATE('Job Sheet'!G12-100,(" x 2")))</f>
        <v/>
      </c>
      <c r="J12" s="142" t="str">
        <f>IF(Data!AV12="","",IF(C12="Zipscreen",CONCATENATE('Job Sheet'!G12-82,(" x 2")),CONCATENATE('Job Sheet'!G12-100,(" x 2"))))</f>
        <v/>
      </c>
      <c r="K12" s="142" t="str">
        <f>IF(A12="","",IF(AND(C12="Zipscreen",'Job Sheet'!I12="Face"),CONCATENATE('Job Sheet'!G12-100,(" x 2")),""))</f>
        <v/>
      </c>
      <c r="L12" s="142" t="str">
        <f>'Job Sheet'!W12</f>
        <v/>
      </c>
      <c r="M12" s="70" t="str">
        <f>IF(OR(C12="Zipscreen",Data!AV12=""),"",CONCATENATE('Job Sheet'!G12-100,(" x 2")))</f>
        <v/>
      </c>
      <c r="N12" s="143" t="str">
        <f>'Job Sheet'!AI12</f>
        <v/>
      </c>
      <c r="O12" s="142" t="str">
        <f>'Job Sheet'!X12</f>
        <v/>
      </c>
      <c r="P12" s="72" t="str">
        <f>IF(Data!AV12="","",IF('Job Sheet'!F12&gt;5000,"85mm Tube","78mm"))</f>
        <v/>
      </c>
      <c r="Q12" s="71" t="str">
        <f>'Job Sheet'!AH12</f>
        <v/>
      </c>
      <c r="R12" s="142" t="str">
        <f>IF(Data!AV12="","",IF(C12="Zipscreen",CONCATENATE("Flat Ballast - 2 x ",N12-100),IF(N12&lt;2010,'Tube Cutting'!N12-10,"1000 x 2")))</f>
        <v/>
      </c>
      <c r="S12" s="70" t="str">
        <f>'Job Sheet'!AE12</f>
        <v/>
      </c>
      <c r="T12" s="151">
        <f t="shared" si="0" ref="T12:T20">A12</f>
        <v>0</v>
      </c>
    </row>
    <row r="13" spans="1:20" s="68" customFormat="1" ht="60" customHeight="1">
      <c r="A13" s="91">
        <f>Data!AW13</f>
        <v>0</v>
      </c>
      <c r="B13" s="69">
        <f>'Job Sheet'!B13</f>
        <v>0</v>
      </c>
      <c r="C13" s="141" t="str">
        <f>MID('Job Sheet'!K13,3,80)</f>
        <v/>
      </c>
      <c r="D13" s="69" t="str">
        <f>IF(Data!AV13="","",IF(OR('Job Sheet'!U13="Colourbond Under-Roll Hooding",'Job Sheet'!U13="Colourbond Over-Roll Hooding"),'Job Sheet'!F13-4,IF('Job Sheet'!U13="Verticali Colourbond Hooding",'Job Sheet'!F13-6,"")))</f>
        <v/>
      </c>
      <c r="E13" s="69" t="str">
        <f>IF(Data!AV13="","",IF(OR('Job Sheet'!U13="Verticali Hooding (Old)",'Job Sheet'!U13="Verticali Square Hooding"),'Job Sheet'!F13-7,IF('Job Sheet'!U13="Zipscreen Hooding",'Job Sheet'!F13-66,"")))</f>
        <v/>
      </c>
      <c r="F13" s="70" t="str">
        <f>IF(Data!AV13="","",IF(OR('Job Sheet'!U13="Verticali Hooding (Old)",'Job Sheet'!U13="Verticali Square Hooding"),'Job Sheet'!F13-7,IF('Job Sheet'!U13="Zipscreen Hooding",'Job Sheet'!F13-66,"")))</f>
        <v/>
      </c>
      <c r="G13" s="70" t="str">
        <f t="array" ref="G13">IF(Data!AV13="","",IF('Job Sheet'!U13="Powder Coated Brackets","",bpLOOKUP(Data!$AV13,"HOODTYPE",CustOrdOpt,6,FALSE)))</f>
        <v/>
      </c>
      <c r="H13" s="70" t="str">
        <f>IF(OR(Data!AV13="",'Job Sheet'!U13="Powder Coated Brackets"),"",IF(AND('Job Sheet'!V13="Custom Powdercoat",(OR('Job Sheet'!U13="Colourbond Under-Roll Hooding",'Job Sheet'!U13="Colourbond Over-Roll Hooding"))),"Zinc for Powder Coating",'Job Sheet'!V13))</f>
        <v/>
      </c>
      <c r="I13" s="142" t="str">
        <f>IF(Data!AV13="","",CONCATENATE('Job Sheet'!G13-100,(" x 2")))</f>
        <v/>
      </c>
      <c r="J13" s="142" t="str">
        <f>IF(Data!AV13="","",IF(C13="Zipscreen",CONCATENATE('Job Sheet'!G13-82,(" x 2")),CONCATENATE('Job Sheet'!G13-100,(" x 2"))))</f>
        <v/>
      </c>
      <c r="K13" s="142" t="str">
        <f>IF(A13="","",IF(AND(C13="Zipscreen",'Job Sheet'!I13="Face"),CONCATENATE('Job Sheet'!G13-100,(" x 2")),""))</f>
        <v/>
      </c>
      <c r="L13" s="142" t="str">
        <f>'Job Sheet'!W13</f>
        <v/>
      </c>
      <c r="M13" s="70" t="str">
        <f>IF(OR(C13="Zipscreen",Data!AV13=""),"",CONCATENATE('Job Sheet'!G13-100,(" x 2")))</f>
        <v/>
      </c>
      <c r="N13" s="143" t="str">
        <f>'Job Sheet'!AI13</f>
        <v/>
      </c>
      <c r="O13" s="142" t="str">
        <f>'Job Sheet'!X13</f>
        <v/>
      </c>
      <c r="P13" s="72" t="str">
        <f>IF(Data!AV13="","",IF('Job Sheet'!F13&gt;5000,"85mm Tube","78mm"))</f>
        <v/>
      </c>
      <c r="Q13" s="71" t="str">
        <f>'Job Sheet'!AH13</f>
        <v/>
      </c>
      <c r="R13" s="142" t="str">
        <f>IF(Data!AV13="","",IF(C13="Zipscreen",CONCATENATE("Flat Ballast - 2 x ",N13-100),IF(N13&lt;2010,'Tube Cutting'!N13-10,"1000 x 2")))</f>
        <v/>
      </c>
      <c r="S13" s="70" t="str">
        <f>'Job Sheet'!AE13</f>
        <v/>
      </c>
      <c r="T13" s="151">
        <f t="shared" si="0"/>
        <v>0</v>
      </c>
    </row>
    <row r="14" spans="1:20" s="68" customFormat="1" ht="60" customHeight="1">
      <c r="A14" s="91">
        <f>Data!AW14</f>
        <v>0</v>
      </c>
      <c r="B14" s="69">
        <f>'Job Sheet'!B14</f>
        <v>0</v>
      </c>
      <c r="C14" s="141" t="str">
        <f>MID('Job Sheet'!K14,3,80)</f>
        <v/>
      </c>
      <c r="D14" s="69" t="str">
        <f>IF(Data!AV14="","",IF(OR('Job Sheet'!U14="Colourbond Under-Roll Hooding",'Job Sheet'!U14="Colourbond Over-Roll Hooding"),'Job Sheet'!F14-4,IF('Job Sheet'!U14="Verticali Colourbond Hooding",'Job Sheet'!F14-6,"")))</f>
        <v/>
      </c>
      <c r="E14" s="69" t="str">
        <f>IF(Data!AV14="","",IF(OR('Job Sheet'!U14="Verticali Hooding (Old)",'Job Sheet'!U14="Verticali Square Hooding"),'Job Sheet'!F14-7,IF('Job Sheet'!U14="Zipscreen Hooding",'Job Sheet'!F14-66,"")))</f>
        <v/>
      </c>
      <c r="F14" s="70" t="str">
        <f>IF(Data!AV14="","",IF(OR('Job Sheet'!U14="Verticali Hooding (Old)",'Job Sheet'!U14="Verticali Square Hooding"),'Job Sheet'!F14-7,IF('Job Sheet'!U14="Zipscreen Hooding",'Job Sheet'!F14-66,"")))</f>
        <v/>
      </c>
      <c r="G14" s="70" t="str">
        <f t="array" ref="G14">IF(Data!AV14="","",IF('Job Sheet'!U14="Powder Coated Brackets","",bpLOOKUP(Data!$AV14,"HOODTYPE",CustOrdOpt,6,FALSE)))</f>
        <v/>
      </c>
      <c r="H14" s="70" t="str">
        <f>IF(OR(Data!AV14="",'Job Sheet'!U14="Powder Coated Brackets"),"",IF(AND('Job Sheet'!V14="Custom Powdercoat",(OR('Job Sheet'!U14="Colourbond Under-Roll Hooding",'Job Sheet'!U14="Colourbond Over-Roll Hooding"))),"Zinc for Powder Coating",'Job Sheet'!V14))</f>
        <v/>
      </c>
      <c r="I14" s="142" t="str">
        <f>IF(Data!AV14="","",CONCATENATE('Job Sheet'!G14-100,(" x 2")))</f>
        <v/>
      </c>
      <c r="J14" s="142" t="str">
        <f>IF(Data!AV14="","",IF(C14="Zipscreen",CONCATENATE('Job Sheet'!G14-82,(" x 2")),CONCATENATE('Job Sheet'!G14-100,(" x 2"))))</f>
        <v/>
      </c>
      <c r="K14" s="142" t="str">
        <f>IF(A14="","",IF(AND(C14="Zipscreen",'Job Sheet'!I14="Face"),CONCATENATE('Job Sheet'!G14-100,(" x 2")),""))</f>
        <v/>
      </c>
      <c r="L14" s="142" t="str">
        <f>'Job Sheet'!W14</f>
        <v/>
      </c>
      <c r="M14" s="70" t="str">
        <f>IF(OR(C14="Zipscreen",Data!AV14=""),"",CONCATENATE('Job Sheet'!G14-100,(" x 2")))</f>
        <v/>
      </c>
      <c r="N14" s="143" t="str">
        <f>'Job Sheet'!AI14</f>
        <v/>
      </c>
      <c r="O14" s="142" t="str">
        <f>'Job Sheet'!X14</f>
        <v/>
      </c>
      <c r="P14" s="72" t="str">
        <f>IF(Data!AV14="","",IF('Job Sheet'!F14&gt;5000,"85mm Tube","78mm"))</f>
        <v/>
      </c>
      <c r="Q14" s="71" t="str">
        <f>'Job Sheet'!AH14</f>
        <v/>
      </c>
      <c r="R14" s="142" t="str">
        <f>IF(Data!AV14="","",IF(C14="Zipscreen",CONCATENATE("Flat Ballast - 2 x ",N14-100),IF(N14&lt;2010,'Tube Cutting'!N14-10,"1000 x 2")))</f>
        <v/>
      </c>
      <c r="S14" s="70" t="str">
        <f>'Job Sheet'!AE14</f>
        <v/>
      </c>
      <c r="T14" s="151">
        <f t="shared" si="0"/>
        <v>0</v>
      </c>
    </row>
    <row r="15" spans="1:20" s="68" customFormat="1" ht="60" customHeight="1">
      <c r="A15" s="91">
        <f>Data!AW15</f>
        <v>0</v>
      </c>
      <c r="B15" s="69">
        <f>'Job Sheet'!B15</f>
        <v>0</v>
      </c>
      <c r="C15" s="141" t="str">
        <f>MID('Job Sheet'!K15,3,80)</f>
        <v/>
      </c>
      <c r="D15" s="69" t="str">
        <f>IF(Data!AV15="","",IF(OR('Job Sheet'!U15="Colourbond Under-Roll Hooding",'Job Sheet'!U15="Colourbond Over-Roll Hooding"),'Job Sheet'!F15-4,IF('Job Sheet'!U15="Verticali Colourbond Hooding",'Job Sheet'!F15-6,"")))</f>
        <v/>
      </c>
      <c r="E15" s="69" t="str">
        <f>IF(Data!AV15="","",IF(OR('Job Sheet'!U15="Verticali Hooding (Old)",'Job Sheet'!U15="Verticali Square Hooding"),'Job Sheet'!F15-7,IF('Job Sheet'!U15="Zipscreen Hooding",'Job Sheet'!F15-66,"")))</f>
        <v/>
      </c>
      <c r="F15" s="70" t="str">
        <f>IF(Data!AV15="","",IF(OR('Job Sheet'!U15="Verticali Hooding (Old)",'Job Sheet'!U15="Verticali Square Hooding"),'Job Sheet'!F15-7,IF('Job Sheet'!U15="Zipscreen Hooding",'Job Sheet'!F15-66,"")))</f>
        <v/>
      </c>
      <c r="G15" s="70" t="str">
        <f t="array" ref="G15">IF(Data!AV15="","",IF('Job Sheet'!U15="Powder Coated Brackets","",bpLOOKUP(Data!$AV15,"HOODTYPE",CustOrdOpt,6,FALSE)))</f>
        <v/>
      </c>
      <c r="H15" s="70" t="str">
        <f>IF(OR(Data!AV15="",'Job Sheet'!U15="Powder Coated Brackets"),"",IF(AND('Job Sheet'!V15="Custom Powdercoat",(OR('Job Sheet'!U15="Colourbond Under-Roll Hooding",'Job Sheet'!U15="Colourbond Over-Roll Hooding"))),"Zinc for Powder Coating",'Job Sheet'!V15))</f>
        <v/>
      </c>
      <c r="I15" s="142" t="str">
        <f>IF(Data!AV15="","",CONCATENATE('Job Sheet'!G15-100,(" x 2")))</f>
        <v/>
      </c>
      <c r="J15" s="142" t="str">
        <f>IF(Data!AV15="","",IF(C15="Zipscreen",CONCATENATE('Job Sheet'!G15-82,(" x 2")),CONCATENATE('Job Sheet'!G15-100,(" x 2"))))</f>
        <v/>
      </c>
      <c r="K15" s="142" t="str">
        <f>IF(A15="","",IF(AND(C15="Zipscreen",'Job Sheet'!I15="Face"),CONCATENATE('Job Sheet'!G15-100,(" x 2")),""))</f>
        <v/>
      </c>
      <c r="L15" s="142" t="str">
        <f>'Job Sheet'!W15</f>
        <v/>
      </c>
      <c r="M15" s="70" t="str">
        <f>IF(OR(C15="Zipscreen",Data!AV15=""),"",CONCATENATE('Job Sheet'!G15-100,(" x 2")))</f>
        <v/>
      </c>
      <c r="N15" s="143" t="str">
        <f>'Job Sheet'!AI15</f>
        <v/>
      </c>
      <c r="O15" s="142" t="str">
        <f>'Job Sheet'!X15</f>
        <v/>
      </c>
      <c r="P15" s="72" t="str">
        <f>IF(Data!AV15="","",IF('Job Sheet'!F15&gt;5000,"85mm Tube","78mm"))</f>
        <v/>
      </c>
      <c r="Q15" s="71" t="str">
        <f>'Job Sheet'!AH15</f>
        <v/>
      </c>
      <c r="R15" s="142" t="str">
        <f>IF(Data!AV15="","",IF(C15="Zipscreen",CONCATENATE("Flat Ballast - 2 x ",N15-100),IF(N15&lt;2010,'Tube Cutting'!N15-10,"1000 x 2")))</f>
        <v/>
      </c>
      <c r="S15" s="70" t="str">
        <f>'Job Sheet'!AE15</f>
        <v/>
      </c>
      <c r="T15" s="151">
        <f t="shared" si="0"/>
        <v>0</v>
      </c>
    </row>
    <row r="16" spans="1:20" s="68" customFormat="1" ht="60" customHeight="1">
      <c r="A16" s="91">
        <f>Data!AW16</f>
        <v>0</v>
      </c>
      <c r="B16" s="69">
        <f>'Job Sheet'!B16</f>
        <v>0</v>
      </c>
      <c r="C16" s="141" t="str">
        <f>MID('Job Sheet'!K16,3,80)</f>
        <v/>
      </c>
      <c r="D16" s="69" t="str">
        <f>IF(Data!AV16="","",IF(OR('Job Sheet'!U16="Colourbond Under-Roll Hooding",'Job Sheet'!U16="Colourbond Over-Roll Hooding"),'Job Sheet'!F16-4,IF('Job Sheet'!U16="Verticali Colourbond Hooding",'Job Sheet'!F16-6,"")))</f>
        <v/>
      </c>
      <c r="E16" s="69" t="str">
        <f>IF(Data!AV16="","",IF(OR('Job Sheet'!U16="Verticali Hooding (Old)",'Job Sheet'!U16="Verticali Square Hooding"),'Job Sheet'!F16-7,IF('Job Sheet'!U16="Zipscreen Hooding",'Job Sheet'!F16-66,"")))</f>
        <v/>
      </c>
      <c r="F16" s="70" t="str">
        <f>IF(Data!AV16="","",IF(OR('Job Sheet'!U16="Verticali Hooding (Old)",'Job Sheet'!U16="Verticali Square Hooding"),'Job Sheet'!F16-7,IF('Job Sheet'!U16="Zipscreen Hooding",'Job Sheet'!F16-66,"")))</f>
        <v/>
      </c>
      <c r="G16" s="70" t="str">
        <f t="array" ref="G16">IF(Data!AV16="","",IF('Job Sheet'!U16="Powder Coated Brackets","",bpLOOKUP(Data!$AV16,"HOODTYPE",CustOrdOpt,6,FALSE)))</f>
        <v/>
      </c>
      <c r="H16" s="70" t="str">
        <f>IF(OR(Data!AV16="",'Job Sheet'!U16="Powder Coated Brackets"),"",IF(AND('Job Sheet'!V16="Custom Powdercoat",(OR('Job Sheet'!U16="Colourbond Under-Roll Hooding",'Job Sheet'!U16="Colourbond Over-Roll Hooding"))),"Zinc for Powder Coating",'Job Sheet'!V16))</f>
        <v/>
      </c>
      <c r="I16" s="142" t="str">
        <f>IF(Data!AV16="","",CONCATENATE('Job Sheet'!G16-100,(" x 2")))</f>
        <v/>
      </c>
      <c r="J16" s="142" t="str">
        <f>IF(Data!AV16="","",IF(C16="Zipscreen",CONCATENATE('Job Sheet'!G16-82,(" x 2")),CONCATENATE('Job Sheet'!G16-100,(" x 2"))))</f>
        <v/>
      </c>
      <c r="K16" s="142" t="str">
        <f>IF(A16="","",IF(AND(C16="Zipscreen",'Job Sheet'!I16="Face"),CONCATENATE('Job Sheet'!G16-100,(" x 2")),""))</f>
        <v/>
      </c>
      <c r="L16" s="142" t="str">
        <f>'Job Sheet'!W16</f>
        <v/>
      </c>
      <c r="M16" s="70" t="str">
        <f>IF(OR(C16="Zipscreen",Data!AV16=""),"",CONCATENATE('Job Sheet'!G16-100,(" x 2")))</f>
        <v/>
      </c>
      <c r="N16" s="143" t="str">
        <f>'Job Sheet'!AI16</f>
        <v/>
      </c>
      <c r="O16" s="142" t="str">
        <f>'Job Sheet'!X16</f>
        <v/>
      </c>
      <c r="P16" s="72" t="str">
        <f>IF(Data!AV16="","",IF('Job Sheet'!F16&gt;5000,"85mm Tube","78mm"))</f>
        <v/>
      </c>
      <c r="Q16" s="71" t="str">
        <f>'Job Sheet'!AH16</f>
        <v/>
      </c>
      <c r="R16" s="142" t="str">
        <f>IF(Data!AV16="","",IF(C16="Zipscreen",CONCATENATE("Flat Ballast - 2 x ",N16-100),IF(N16&lt;2010,'Tube Cutting'!N16-10,"1000 x 2")))</f>
        <v/>
      </c>
      <c r="S16" s="70" t="str">
        <f>'Job Sheet'!AE16</f>
        <v/>
      </c>
      <c r="T16" s="151">
        <f t="shared" si="0"/>
        <v>0</v>
      </c>
    </row>
    <row r="17" spans="1:20" s="68" customFormat="1" ht="60" customHeight="1">
      <c r="A17" s="91">
        <f>Data!AW17</f>
        <v>0</v>
      </c>
      <c r="B17" s="69">
        <f>'Job Sheet'!B17</f>
        <v>0</v>
      </c>
      <c r="C17" s="141" t="str">
        <f>MID('Job Sheet'!K17,3,80)</f>
        <v/>
      </c>
      <c r="D17" s="69" t="str">
        <f>IF(Data!AV17="","",IF(OR('Job Sheet'!U17="Colourbond Under-Roll Hooding",'Job Sheet'!U17="Colourbond Over-Roll Hooding"),'Job Sheet'!F17-4,IF('Job Sheet'!U17="Verticali Colourbond Hooding",'Job Sheet'!F17-6,"")))</f>
        <v/>
      </c>
      <c r="E17" s="69" t="str">
        <f>IF(Data!AV17="","",IF(OR('Job Sheet'!U17="Verticali Hooding (Old)",'Job Sheet'!U17="Verticali Square Hooding"),'Job Sheet'!F17-7,IF('Job Sheet'!U17="Zipscreen Hooding",'Job Sheet'!F17-66,"")))</f>
        <v/>
      </c>
      <c r="F17" s="70" t="str">
        <f>IF(Data!AV17="","",IF(OR('Job Sheet'!U17="Verticali Hooding (Old)",'Job Sheet'!U17="Verticali Square Hooding"),'Job Sheet'!F17-7,IF('Job Sheet'!U17="Zipscreen Hooding",'Job Sheet'!F17-66,"")))</f>
        <v/>
      </c>
      <c r="G17" s="70" t="str">
        <f t="array" ref="G17">IF(Data!AV17="","",IF('Job Sheet'!U17="Powder Coated Brackets","",bpLOOKUP(Data!$AV17,"HOODTYPE",CustOrdOpt,6,FALSE)))</f>
        <v/>
      </c>
      <c r="H17" s="70" t="str">
        <f>IF(OR(Data!AV17="",'Job Sheet'!U17="Powder Coated Brackets"),"",IF(AND('Job Sheet'!V17="Custom Powdercoat",(OR('Job Sheet'!U17="Colourbond Under-Roll Hooding",'Job Sheet'!U17="Colourbond Over-Roll Hooding"))),"Zinc for Powder Coating",'Job Sheet'!V17))</f>
        <v/>
      </c>
      <c r="I17" s="142" t="str">
        <f>IF(Data!AV17="","",CONCATENATE('Job Sheet'!G17-100,(" x 2")))</f>
        <v/>
      </c>
      <c r="J17" s="142" t="str">
        <f>IF(Data!AV17="","",IF(C17="Zipscreen",CONCATENATE('Job Sheet'!G17-82,(" x 2")),CONCATENATE('Job Sheet'!G17-100,(" x 2"))))</f>
        <v/>
      </c>
      <c r="K17" s="142" t="str">
        <f>IF(A17="","",IF(AND(C17="Zipscreen",'Job Sheet'!I17="Face"),CONCATENATE('Job Sheet'!G17-100,(" x 2")),""))</f>
        <v/>
      </c>
      <c r="L17" s="142" t="str">
        <f>'Job Sheet'!W17</f>
        <v/>
      </c>
      <c r="M17" s="70" t="str">
        <f>IF(OR(C17="Zipscreen",Data!AV17=""),"",CONCATENATE('Job Sheet'!G17-100,(" x 2")))</f>
        <v/>
      </c>
      <c r="N17" s="143" t="str">
        <f>'Job Sheet'!AI17</f>
        <v/>
      </c>
      <c r="O17" s="142" t="str">
        <f>'Job Sheet'!X17</f>
        <v/>
      </c>
      <c r="P17" s="72" t="str">
        <f>IF(Data!AV17="","",IF('Job Sheet'!F17&gt;5000,"85mm Tube","78mm"))</f>
        <v/>
      </c>
      <c r="Q17" s="71" t="str">
        <f>'Job Sheet'!AH17</f>
        <v/>
      </c>
      <c r="R17" s="142" t="str">
        <f>IF(Data!AV17="","",IF(C17="Zipscreen",CONCATENATE("Flat Ballast - 2 x ",N17-100),IF(N17&lt;2010,'Tube Cutting'!N17-10,"1000 x 2")))</f>
        <v/>
      </c>
      <c r="S17" s="70" t="str">
        <f>'Job Sheet'!AE17</f>
        <v/>
      </c>
      <c r="T17" s="151">
        <f t="shared" si="0"/>
        <v>0</v>
      </c>
    </row>
    <row r="18" spans="1:20" s="68" customFormat="1" ht="60" customHeight="1">
      <c r="A18" s="91">
        <f>Data!AW18</f>
        <v>0</v>
      </c>
      <c r="B18" s="69">
        <f>'Job Sheet'!B18</f>
        <v>0</v>
      </c>
      <c r="C18" s="141" t="str">
        <f>MID('Job Sheet'!K18,3,80)</f>
        <v/>
      </c>
      <c r="D18" s="69" t="str">
        <f>IF(Data!AV18="","",IF(OR('Job Sheet'!U18="Colourbond Under-Roll Hooding",'Job Sheet'!U18="Colourbond Over-Roll Hooding"),'Job Sheet'!F18-4,IF('Job Sheet'!U18="Verticali Colourbond Hooding",'Job Sheet'!F18-6,"")))</f>
        <v/>
      </c>
      <c r="E18" s="69" t="str">
        <f>IF(Data!AV18="","",IF(OR('Job Sheet'!U18="Verticali Hooding (Old)",'Job Sheet'!U18="Verticali Square Hooding"),'Job Sheet'!F18-7,IF('Job Sheet'!U18="Zipscreen Hooding",'Job Sheet'!F18-66,"")))</f>
        <v/>
      </c>
      <c r="F18" s="70" t="str">
        <f>IF(Data!AV18="","",IF(OR('Job Sheet'!U18="Verticali Hooding (Old)",'Job Sheet'!U18="Verticali Square Hooding"),'Job Sheet'!F18-7,IF('Job Sheet'!U18="Zipscreen Hooding",'Job Sheet'!F18-66,"")))</f>
        <v/>
      </c>
      <c r="G18" s="70" t="str">
        <f t="array" ref="G18">IF(Data!AV18="","",IF('Job Sheet'!U18="Powder Coated Brackets","",bpLOOKUP(Data!$AV18,"HOODTYPE",CustOrdOpt,6,FALSE)))</f>
        <v/>
      </c>
      <c r="H18" s="70" t="str">
        <f>IF(OR(Data!AV18="",'Job Sheet'!U18="Powder Coated Brackets"),"",IF(AND('Job Sheet'!V18="Custom Powdercoat",(OR('Job Sheet'!U18="Colourbond Under-Roll Hooding",'Job Sheet'!U18="Colourbond Over-Roll Hooding"))),"Zinc for Powder Coating",'Job Sheet'!V18))</f>
        <v/>
      </c>
      <c r="I18" s="142" t="str">
        <f>IF(Data!AV18="","",CONCATENATE('Job Sheet'!G18-100,(" x 2")))</f>
        <v/>
      </c>
      <c r="J18" s="142" t="str">
        <f>IF(Data!AV18="","",IF(C18="Zipscreen",CONCATENATE('Job Sheet'!G18-82,(" x 2")),CONCATENATE('Job Sheet'!G18-100,(" x 2"))))</f>
        <v/>
      </c>
      <c r="K18" s="142" t="str">
        <f>IF(A18="","",IF(AND(C18="Zipscreen",'Job Sheet'!I18="Face"),CONCATENATE('Job Sheet'!G18-100,(" x 2")),""))</f>
        <v/>
      </c>
      <c r="L18" s="142" t="str">
        <f>'Job Sheet'!W18</f>
        <v/>
      </c>
      <c r="M18" s="70" t="str">
        <f>IF(OR(C18="Zipscreen",Data!AV18=""),"",CONCATENATE('Job Sheet'!G18-100,(" x 2")))</f>
        <v/>
      </c>
      <c r="N18" s="143" t="str">
        <f>'Job Sheet'!AI18</f>
        <v/>
      </c>
      <c r="O18" s="142" t="str">
        <f>'Job Sheet'!X18</f>
        <v/>
      </c>
      <c r="P18" s="72" t="str">
        <f>IF(Data!AV18="","",IF('Job Sheet'!F18&gt;5000,"85mm Tube","78mm"))</f>
        <v/>
      </c>
      <c r="Q18" s="71" t="str">
        <f>'Job Sheet'!AH18</f>
        <v/>
      </c>
      <c r="R18" s="142" t="str">
        <f>IF(Data!AV18="","",IF(C18="Zipscreen",CONCATENATE("Flat Ballast - 2 x ",N18-100),IF(N18&lt;2010,'Tube Cutting'!N18-10,"1000 x 2")))</f>
        <v/>
      </c>
      <c r="S18" s="70" t="str">
        <f>'Job Sheet'!AE18</f>
        <v/>
      </c>
      <c r="T18" s="151">
        <f t="shared" si="0"/>
        <v>0</v>
      </c>
    </row>
    <row r="19" spans="1:20" s="68" customFormat="1" ht="60" customHeight="1">
      <c r="A19" s="91">
        <f>Data!AW19</f>
        <v>0</v>
      </c>
      <c r="B19" s="69">
        <f>'Job Sheet'!B19</f>
        <v>0</v>
      </c>
      <c r="C19" s="141" t="str">
        <f>MID('Job Sheet'!K19,3,80)</f>
        <v/>
      </c>
      <c r="D19" s="69" t="str">
        <f>IF(Data!AV19="","",IF(OR('Job Sheet'!U19="Colourbond Under-Roll Hooding",'Job Sheet'!U19="Colourbond Over-Roll Hooding"),'Job Sheet'!F19-4,IF('Job Sheet'!U19="Verticali Colourbond Hooding",'Job Sheet'!F19-6,"")))</f>
        <v/>
      </c>
      <c r="E19" s="69" t="str">
        <f>IF(Data!AV19="","",IF(OR('Job Sheet'!U19="Verticali Hooding (Old)",'Job Sheet'!U19="Verticali Square Hooding"),'Job Sheet'!F19-7,IF('Job Sheet'!U19="Zipscreen Hooding",'Job Sheet'!F19-66,"")))</f>
        <v/>
      </c>
      <c r="F19" s="70" t="str">
        <f>IF(Data!AV19="","",IF(OR('Job Sheet'!U19="Verticali Hooding (Old)",'Job Sheet'!U19="Verticali Square Hooding"),'Job Sheet'!F19-7,IF('Job Sheet'!U19="Zipscreen Hooding",'Job Sheet'!F19-66,"")))</f>
        <v/>
      </c>
      <c r="G19" s="70" t="str">
        <f t="array" ref="G19">IF(Data!AV19="","",IF('Job Sheet'!U19="Powder Coated Brackets","",bpLOOKUP(Data!$AV19,"HOODTYPE",CustOrdOpt,6,FALSE)))</f>
        <v/>
      </c>
      <c r="H19" s="70" t="str">
        <f>IF(OR(Data!AV19="",'Job Sheet'!U19="Powder Coated Brackets"),"",IF(AND('Job Sheet'!V19="Custom Powdercoat",(OR('Job Sheet'!U19="Colourbond Under-Roll Hooding",'Job Sheet'!U19="Colourbond Over-Roll Hooding"))),"Zinc for Powder Coating",'Job Sheet'!V19))</f>
        <v/>
      </c>
      <c r="I19" s="142" t="str">
        <f>IF(Data!AV19="","",CONCATENATE('Job Sheet'!G19-100,(" x 2")))</f>
        <v/>
      </c>
      <c r="J19" s="142" t="str">
        <f>IF(Data!AV19="","",IF(C19="Zipscreen",CONCATENATE('Job Sheet'!G19-82,(" x 2")),CONCATENATE('Job Sheet'!G19-100,(" x 2"))))</f>
        <v/>
      </c>
      <c r="K19" s="142" t="str">
        <f>IF(A19="","",IF(AND(C19="Zipscreen",'Job Sheet'!I19="Face"),CONCATENATE('Job Sheet'!G19-100,(" x 2")),""))</f>
        <v/>
      </c>
      <c r="L19" s="142" t="str">
        <f>'Job Sheet'!W19</f>
        <v/>
      </c>
      <c r="M19" s="70" t="str">
        <f>IF(OR(C19="Zipscreen",Data!AV19=""),"",CONCATENATE('Job Sheet'!G19-100,(" x 2")))</f>
        <v/>
      </c>
      <c r="N19" s="143" t="str">
        <f>'Job Sheet'!AI19</f>
        <v/>
      </c>
      <c r="O19" s="142" t="str">
        <f>'Job Sheet'!X19</f>
        <v/>
      </c>
      <c r="P19" s="72" t="str">
        <f>IF(Data!AV19="","",IF('Job Sheet'!F19&gt;5000,"85mm Tube","78mm"))</f>
        <v/>
      </c>
      <c r="Q19" s="71" t="str">
        <f>'Job Sheet'!AH19</f>
        <v/>
      </c>
      <c r="R19" s="142" t="str">
        <f>IF(Data!AV19="","",IF(C19="Zipscreen",CONCATENATE("Flat Ballast - 2 x ",N19-100),IF(N19&lt;2010,'Tube Cutting'!N19-10,"1000 x 2")))</f>
        <v/>
      </c>
      <c r="S19" s="70" t="str">
        <f>'Job Sheet'!AE19</f>
        <v/>
      </c>
      <c r="T19" s="151">
        <f t="shared" si="0"/>
        <v>0</v>
      </c>
    </row>
    <row r="20" spans="1:20" s="68" customFormat="1" ht="60" customHeight="1">
      <c r="A20" s="91">
        <f>Data!AW20</f>
        <v>0</v>
      </c>
      <c r="B20" s="69">
        <f>'Job Sheet'!B20</f>
        <v>0</v>
      </c>
      <c r="C20" s="141" t="str">
        <f>MID('Job Sheet'!K20,3,80)</f>
        <v/>
      </c>
      <c r="D20" s="69" t="str">
        <f>IF(Data!AV20="","",IF(OR('Job Sheet'!U20="Colourbond Under-Roll Hooding",'Job Sheet'!U20="Colourbond Over-Roll Hooding"),'Job Sheet'!F20-4,IF('Job Sheet'!U20="Verticali Colourbond Hooding",'Job Sheet'!F20-6,"")))</f>
        <v/>
      </c>
      <c r="E20" s="69" t="str">
        <f>IF(Data!AV20="","",IF(OR('Job Sheet'!U20="Verticali Hooding (Old)",'Job Sheet'!U20="Verticali Square Hooding"),'Job Sheet'!F20-7,IF('Job Sheet'!U20="Zipscreen Hooding",'Job Sheet'!F20-66,"")))</f>
        <v/>
      </c>
      <c r="F20" s="70" t="str">
        <f>IF(Data!AV20="","",IF(OR('Job Sheet'!U20="Verticali Hooding (Old)",'Job Sheet'!U20="Verticali Square Hooding"),'Job Sheet'!F20-7,IF('Job Sheet'!U20="Zipscreen Hooding",'Job Sheet'!F20-66,"")))</f>
        <v/>
      </c>
      <c r="G20" s="70" t="str">
        <f t="array" ref="G20">IF(Data!AV20="","",IF('Job Sheet'!U20="Powder Coated Brackets","",bpLOOKUP(Data!$AV20,"HOODTYPE",CustOrdOpt,6,FALSE)))</f>
        <v/>
      </c>
      <c r="H20" s="70" t="str">
        <f>IF(OR(Data!AV20="",'Job Sheet'!U20="Powder Coated Brackets"),"",IF(AND('Job Sheet'!V20="Custom Powdercoat",(OR('Job Sheet'!U20="Colourbond Under-Roll Hooding",'Job Sheet'!U20="Colourbond Over-Roll Hooding"))),"Zinc for Powder Coating",'Job Sheet'!V20))</f>
        <v/>
      </c>
      <c r="I20" s="142" t="str">
        <f>IF(Data!AV20="","",CONCATENATE('Job Sheet'!G20-100,(" x 2")))</f>
        <v/>
      </c>
      <c r="J20" s="142" t="str">
        <f>IF(Data!AV20="","",IF(C20="Zipscreen",CONCATENATE('Job Sheet'!G20-82,(" x 2")),CONCATENATE('Job Sheet'!G20-100,(" x 2"))))</f>
        <v/>
      </c>
      <c r="K20" s="142" t="str">
        <f>IF(A20="","",IF(AND(C20="Zipscreen",'Job Sheet'!I20="Face"),CONCATENATE('Job Sheet'!G20-100,(" x 2")),""))</f>
        <v/>
      </c>
      <c r="L20" s="142" t="str">
        <f>'Job Sheet'!W20</f>
        <v/>
      </c>
      <c r="M20" s="70" t="str">
        <f>IF(OR(C20="Zipscreen",Data!AV20=""),"",CONCATENATE('Job Sheet'!G20-100,(" x 2")))</f>
        <v/>
      </c>
      <c r="N20" s="143" t="str">
        <f>'Job Sheet'!AI20</f>
        <v/>
      </c>
      <c r="O20" s="142" t="str">
        <f>'Job Sheet'!X20</f>
        <v/>
      </c>
      <c r="P20" s="72" t="str">
        <f>IF(Data!AV20="","",IF('Job Sheet'!F20&gt;5000,"85mm Tube","78mm"))</f>
        <v/>
      </c>
      <c r="Q20" s="71" t="str">
        <f>'Job Sheet'!AH20</f>
        <v/>
      </c>
      <c r="R20" s="142" t="str">
        <f>IF(Data!AV20="","",IF(C20="Zipscreen",CONCATENATE("Flat Ballast - 2 x ",N20-100),IF(N20&lt;2010,'Tube Cutting'!N20-10,"1000 x 2")))</f>
        <v/>
      </c>
      <c r="S20" s="70" t="str">
        <f>'Job Sheet'!AE20</f>
        <v/>
      </c>
      <c r="T20" s="151">
        <f t="shared" si="0"/>
        <v>0</v>
      </c>
    </row>
    <row r="21" spans="1:9" ht="60" customHeight="1">
      <c r="A21" s="50"/>
      <c r="B21" s="37"/>
      <c r="C21" s="51"/>
      <c r="D21" s="51"/>
      <c r="E21" s="51"/>
      <c r="F21" s="36"/>
      <c r="G21" s="36"/>
      <c r="H21" s="36"/>
      <c r="I21" s="36"/>
    </row>
    <row r="22" spans="1:9" ht="60" customHeight="1">
      <c r="A22" s="50"/>
      <c r="B22" s="37"/>
      <c r="C22" s="51"/>
      <c r="D22" s="51"/>
      <c r="E22" s="51"/>
      <c r="F22" s="36"/>
      <c r="G22" s="36"/>
      <c r="H22" s="36"/>
      <c r="I22" s="36"/>
    </row>
    <row r="23" spans="1:9" ht="60" customHeight="1">
      <c r="A23" s="50"/>
      <c r="B23" s="37"/>
      <c r="C23" s="51"/>
      <c r="D23" s="51"/>
      <c r="E23" s="51"/>
      <c r="F23" s="36"/>
      <c r="G23" s="36"/>
      <c r="H23" s="36"/>
      <c r="I23" s="36"/>
    </row>
    <row r="24" spans="1:9" ht="60" customHeight="1">
      <c r="A24" s="50"/>
      <c r="B24" s="37"/>
      <c r="C24" s="51"/>
      <c r="D24" s="51"/>
      <c r="E24" s="51"/>
      <c r="F24" s="36"/>
      <c r="G24" s="36"/>
      <c r="H24" s="36"/>
      <c r="I24" s="36"/>
    </row>
    <row r="25" spans="1:9" ht="60" customHeight="1">
      <c r="A25" s="50"/>
      <c r="B25" s="37"/>
      <c r="C25" s="51"/>
      <c r="D25" s="51"/>
      <c r="E25" s="51"/>
      <c r="F25" s="36"/>
      <c r="G25" s="36"/>
      <c r="H25" s="36"/>
      <c r="I25" s="36"/>
    </row>
    <row r="26" spans="1:9" ht="60" customHeight="1">
      <c r="A26" s="50"/>
      <c r="B26" s="37"/>
      <c r="C26" s="51"/>
      <c r="D26" s="51"/>
      <c r="E26" s="51"/>
      <c r="F26" s="36"/>
      <c r="G26" s="36"/>
      <c r="H26" s="36"/>
      <c r="I26" s="36"/>
    </row>
    <row r="27" spans="1:9" ht="60" customHeight="1">
      <c r="A27" s="50"/>
      <c r="B27" s="37"/>
      <c r="C27" s="51"/>
      <c r="D27" s="51"/>
      <c r="E27" s="51"/>
      <c r="F27" s="36"/>
      <c r="G27" s="36"/>
      <c r="H27" s="36"/>
      <c r="I27" s="36"/>
    </row>
    <row r="28" spans="1:9" ht="60" customHeight="1">
      <c r="A28" s="50"/>
      <c r="B28" s="37"/>
      <c r="C28" s="51"/>
      <c r="D28" s="51"/>
      <c r="E28" s="51"/>
      <c r="F28" s="36"/>
      <c r="G28" s="36"/>
      <c r="H28" s="36"/>
      <c r="I28" s="36"/>
    </row>
    <row r="29" spans="1:9" ht="60" customHeight="1">
      <c r="A29" s="50"/>
      <c r="B29" s="37"/>
      <c r="C29" s="51"/>
      <c r="D29" s="51"/>
      <c r="E29" s="51"/>
      <c r="F29" s="36"/>
      <c r="G29" s="36"/>
      <c r="H29" s="36"/>
      <c r="I29" s="36"/>
    </row>
    <row r="30" spans="1:9" ht="60" customHeight="1">
      <c r="A30" s="50"/>
      <c r="B30" s="37"/>
      <c r="C30" s="51"/>
      <c r="D30" s="51"/>
      <c r="E30" s="51"/>
      <c r="F30" s="36"/>
      <c r="G30" s="36"/>
      <c r="H30" s="36"/>
      <c r="I30" s="36"/>
    </row>
    <row r="31" spans="1:9" ht="60" customHeight="1">
      <c r="A31" s="50"/>
      <c r="B31" s="37"/>
      <c r="C31" s="51"/>
      <c r="D31" s="51"/>
      <c r="E31" s="51"/>
      <c r="F31" s="36"/>
      <c r="G31" s="36"/>
      <c r="H31" s="36"/>
      <c r="I31" s="36"/>
    </row>
    <row r="32" spans="1:9" ht="60" customHeight="1">
      <c r="A32" s="50"/>
      <c r="B32" s="37"/>
      <c r="C32" s="51"/>
      <c r="D32" s="51"/>
      <c r="E32" s="51"/>
      <c r="F32" s="36"/>
      <c r="G32" s="36"/>
      <c r="H32" s="36"/>
      <c r="I32" s="36"/>
    </row>
    <row r="33" spans="1:9" ht="60" customHeight="1">
      <c r="A33" s="50"/>
      <c r="B33" s="37"/>
      <c r="C33" s="51"/>
      <c r="D33" s="51"/>
      <c r="E33" s="51"/>
      <c r="F33" s="36"/>
      <c r="G33" s="36"/>
      <c r="H33" s="36"/>
      <c r="I33" s="36"/>
    </row>
    <row r="34" ht="60" customHeight="1"/>
    <row r="35" ht="60" customHeight="1"/>
    <row r="36" ht="60" customHeight="1"/>
    <row r="37" ht="60" customHeight="1"/>
    <row r="38" ht="60" customHeight="1"/>
    <row r="39" ht="60" customHeight="1"/>
    <row r="40" ht="60" customHeight="1"/>
    <row r="41" ht="60" customHeight="1"/>
    <row r="42" ht="60" customHeight="1"/>
    <row r="43" ht="60" customHeight="1"/>
    <row r="44" ht="60" customHeight="1"/>
    <row r="45" ht="60" customHeight="1"/>
    <row r="46" ht="60" customHeight="1"/>
    <row r="47" ht="60" customHeight="1"/>
    <row r="48" ht="60" customHeight="1"/>
    <row r="49" ht="60" customHeight="1"/>
    <row r="50" ht="60" customHeight="1"/>
    <row r="51" ht="60" customHeight="1"/>
    <row r="52" ht="60" customHeight="1"/>
    <row r="53" ht="60" customHeight="1"/>
    <row r="54" ht="60" customHeight="1"/>
    <row r="55" ht="60" customHeight="1"/>
    <row r="56" ht="60" customHeight="1"/>
    <row r="57" ht="60" customHeight="1"/>
    <row r="58" ht="60" customHeight="1"/>
    <row r="59" ht="60" customHeight="1"/>
    <row r="60" ht="60" customHeight="1"/>
    <row r="61" ht="60" customHeight="1"/>
    <row r="62" ht="60" customHeight="1"/>
    <row r="63" ht="60" customHeight="1"/>
    <row r="64" ht="60" customHeight="1"/>
    <row r="65" ht="60" customHeight="1"/>
    <row r="66" ht="60" customHeight="1"/>
    <row r="67" ht="60" customHeight="1"/>
    <row r="68" ht="60" customHeight="1"/>
    <row r="69" ht="60" customHeight="1"/>
    <row r="70" ht="60" customHeight="1"/>
    <row r="71" ht="60" customHeight="1"/>
    <row r="72" ht="60" customHeight="1"/>
    <row r="73" ht="60" customHeight="1"/>
    <row r="74" ht="60" customHeight="1"/>
    <row r="75" ht="60" customHeight="1"/>
    <row r="76" ht="60" customHeight="1"/>
    <row r="77" ht="60" customHeight="1"/>
    <row r="78" ht="60" customHeight="1"/>
    <row r="79" ht="60" customHeight="1"/>
    <row r="80" ht="60" customHeight="1"/>
    <row r="81" ht="60" customHeight="1"/>
    <row r="82" ht="60" customHeight="1"/>
    <row r="83" ht="60" customHeight="1"/>
    <row r="84" ht="60" customHeight="1"/>
    <row r="85" ht="60" customHeight="1"/>
    <row r="86" ht="60" customHeight="1"/>
    <row r="87" ht="60" customHeight="1"/>
    <row r="88" ht="60" customHeight="1"/>
    <row r="89" ht="60" customHeight="1"/>
    <row r="90" ht="60" customHeight="1"/>
    <row r="91" ht="60" customHeight="1"/>
    <row r="92" ht="60" customHeight="1"/>
    <row r="93" ht="60" customHeight="1"/>
    <row r="94" ht="60" customHeight="1"/>
    <row r="95" ht="60" customHeight="1"/>
    <row r="96" ht="60" customHeight="1"/>
    <row r="97" ht="60" customHeight="1"/>
    <row r="98" ht="60" customHeight="1"/>
    <row r="99" ht="60" customHeight="1"/>
    <row r="100" ht="60" customHeight="1"/>
    <row r="101" ht="60" customHeight="1"/>
    <row r="102" ht="60" customHeight="1"/>
    <row r="103" ht="60" customHeight="1"/>
    <row r="104" ht="69.9" customHeight="1"/>
    <row r="105" ht="69.9" customHeight="1"/>
    <row r="106" ht="69.9" customHeight="1"/>
    <row r="107" ht="69.9" customHeight="1"/>
    <row r="108" ht="69.9" customHeight="1"/>
    <row r="109" ht="69.9" customHeight="1"/>
    <row r="110" ht="69.9" customHeight="1"/>
    <row r="111" ht="69.9" customHeight="1"/>
    <row r="112" ht="69.9" customHeight="1"/>
    <row r="113" ht="69.9" customHeight="1"/>
    <row r="114" ht="69.9" customHeight="1"/>
    <row r="115" ht="69.9" customHeight="1"/>
    <row r="116" ht="69.9" customHeight="1"/>
    <row r="117" ht="69.9" customHeight="1"/>
    <row r="118" ht="69.9" customHeight="1"/>
    <row r="119" ht="69.9" customHeight="1"/>
    <row r="120" ht="69.9" customHeight="1"/>
    <row r="121" ht="69.9" customHeight="1"/>
    <row r="122" ht="69.9" customHeight="1"/>
    <row r="123" ht="69.9" customHeight="1"/>
    <row r="124" ht="69.9" customHeight="1"/>
    <row r="125" ht="69.9" customHeight="1"/>
    <row r="126" ht="69.9" customHeight="1"/>
    <row r="127" ht="69.9" customHeight="1"/>
    <row r="128" ht="69.9" customHeight="1"/>
    <row r="129" ht="69.9" customHeight="1"/>
    <row r="130" ht="69.9" customHeight="1"/>
    <row r="131" ht="69.9" customHeight="1"/>
    <row r="132" ht="69.9" customHeight="1"/>
    <row r="133" ht="69.9" customHeight="1"/>
    <row r="134" ht="50.1" customHeight="1"/>
    <row r="135" ht="50.1" customHeight="1"/>
    <row r="136" ht="50.1" customHeight="1"/>
    <row r="137" ht="50.1" customHeight="1"/>
    <row r="138" ht="50.1" customHeight="1"/>
    <row r="139" ht="50.1" customHeight="1"/>
    <row r="140" ht="50.1" customHeight="1"/>
    <row r="141" ht="50.1" customHeight="1"/>
    <row r="142" ht="50.1" customHeight="1"/>
    <row r="143" ht="50.1" customHeight="1"/>
    <row r="144" ht="50.1" customHeight="1"/>
    <row r="145" ht="50.1" customHeight="1"/>
    <row r="146" ht="50.1" customHeight="1"/>
    <row r="147" ht="50.1" customHeight="1"/>
    <row r="148" ht="50.1" customHeight="1"/>
    <row r="149" ht="50.1" customHeight="1"/>
    <row r="150" ht="50.1" customHeight="1"/>
    <row r="151" ht="50.1" customHeight="1"/>
    <row r="152" ht="50.1" customHeight="1"/>
    <row r="153" ht="50.1" customHeight="1"/>
    <row r="154" ht="50.1" customHeight="1"/>
    <row r="155" ht="50.1" customHeight="1"/>
    <row r="156" ht="50.1" customHeight="1"/>
    <row r="157" ht="50.1" customHeight="1"/>
    <row r="158" ht="50.1" customHeight="1"/>
    <row r="159" ht="50.1" customHeight="1"/>
    <row r="160" ht="50.1" customHeight="1"/>
    <row r="161" ht="50.1" customHeight="1"/>
    <row r="162" ht="50.1" customHeight="1"/>
    <row r="163" ht="50.1" customHeight="1"/>
    <row r="164" ht="50.1" customHeight="1"/>
    <row r="165" ht="50.1" customHeight="1"/>
    <row r="166" ht="50.1" customHeight="1"/>
    <row r="167" ht="50.1" customHeight="1"/>
    <row r="168" ht="50.1" customHeight="1"/>
    <row r="169" ht="50.1" customHeight="1"/>
    <row r="170" ht="50.1" customHeight="1"/>
    <row r="171" ht="50.1" customHeight="1"/>
    <row r="172" ht="50.1" customHeight="1"/>
    <row r="173" ht="50.1" customHeight="1"/>
    <row r="174" ht="50.1" customHeight="1"/>
    <row r="175" ht="50.1" customHeight="1"/>
    <row r="176" ht="50.1" customHeight="1"/>
    <row r="177" ht="50.1" customHeight="1"/>
    <row r="178" ht="50.1" customHeight="1"/>
    <row r="179" ht="50.1" customHeight="1"/>
    <row r="180" ht="50.1" customHeight="1"/>
    <row r="181" ht="50.1" customHeight="1"/>
    <row r="182" ht="50.1" customHeight="1"/>
    <row r="183" ht="50.1" customHeight="1"/>
    <row r="184" ht="50.1" customHeight="1"/>
    <row r="185" ht="50.1" customHeight="1"/>
    <row r="186" ht="50.1" customHeight="1"/>
    <row r="187" ht="50.1" customHeight="1"/>
    <row r="188" ht="50.1" customHeight="1"/>
    <row r="189" ht="50.1" customHeight="1"/>
    <row r="190" ht="50.1" customHeight="1"/>
    <row r="191" ht="50.1" customHeight="1"/>
    <row r="192" ht="50.1" customHeight="1"/>
    <row r="193" ht="50.1" customHeight="1"/>
    <row r="194" ht="50.1" customHeight="1"/>
    <row r="195" ht="50.1" customHeight="1"/>
    <row r="196" ht="50.1" customHeight="1"/>
    <row r="197" ht="50.1" customHeight="1"/>
    <row r="198" ht="50.1" customHeight="1"/>
    <row r="199" ht="50.1" customHeight="1"/>
    <row r="200" ht="50.1" customHeight="1"/>
    <row r="201" ht="50.1" customHeight="1"/>
    <row r="202" ht="50.1" customHeight="1"/>
    <row r="203" ht="50.1" customHeight="1"/>
    <row r="204" ht="50.1" customHeight="1"/>
    <row r="205" ht="50.1" customHeight="1"/>
    <row r="206" ht="50.1" customHeight="1"/>
    <row r="207" ht="50.1" customHeight="1"/>
    <row r="208" ht="50.1" customHeight="1"/>
    <row r="209" ht="50.1" customHeight="1"/>
    <row r="210" ht="50.1" customHeight="1"/>
    <row r="211" ht="50.1" customHeight="1"/>
    <row r="212" ht="50.1" customHeight="1"/>
    <row r="213" ht="50.1" customHeight="1"/>
    <row r="214" ht="50.1" customHeight="1"/>
    <row r="215" ht="50.1" customHeight="1"/>
    <row r="216" ht="50.1" customHeight="1"/>
    <row r="217" ht="50.1" customHeight="1"/>
    <row r="218" ht="50.1" customHeight="1"/>
    <row r="219" ht="50.1" customHeight="1"/>
    <row r="220" ht="50.1" customHeight="1"/>
    <row r="221" ht="50.1" customHeight="1"/>
    <row r="222" ht="50.1" customHeight="1"/>
    <row r="223" ht="50.1" customHeight="1"/>
    <row r="224" ht="50.1" customHeight="1"/>
    <row r="225" ht="50.1" customHeight="1"/>
    <row r="226" ht="50.1" customHeight="1"/>
    <row r="227" ht="50.1" customHeight="1"/>
    <row r="228" ht="50.1" customHeight="1"/>
    <row r="229" ht="50.1" customHeight="1"/>
    <row r="230" ht="50.1" customHeight="1"/>
    <row r="231" ht="50.1" customHeight="1"/>
    <row r="232" ht="50.1" customHeight="1"/>
    <row r="233" ht="50.1" customHeight="1"/>
    <row r="234" ht="50.1" customHeight="1"/>
    <row r="235" ht="50.1" customHeight="1"/>
    <row r="236" ht="50.1" customHeight="1"/>
    <row r="237" ht="50.1" customHeight="1"/>
    <row r="238" ht="50.1" customHeight="1"/>
    <row r="239" ht="50.1" customHeight="1"/>
    <row r="240" ht="50.1" customHeight="1"/>
    <row r="241" ht="50.1" customHeight="1"/>
    <row r="242" ht="50.1" customHeight="1"/>
    <row r="243" ht="50.1" customHeight="1"/>
    <row r="244" ht="50.1" customHeight="1"/>
    <row r="245" ht="50.1" customHeight="1"/>
    <row r="246" ht="50.1" customHeight="1"/>
    <row r="247" ht="50.1" customHeight="1"/>
    <row r="248" ht="50.1" customHeight="1"/>
    <row r="249" ht="50.1" customHeight="1"/>
    <row r="250" ht="50.1" customHeight="1"/>
    <row r="251" ht="50.1" customHeight="1"/>
    <row r="252" ht="50.1" customHeight="1"/>
    <row r="253" ht="50.1" customHeight="1"/>
    <row r="254" ht="50.1" customHeight="1"/>
    <row r="255" ht="50.1" customHeight="1"/>
    <row r="256" ht="50.1" customHeight="1"/>
    <row r="257" ht="50.1" customHeight="1"/>
    <row r="258" ht="50.1" customHeight="1"/>
    <row r="259" ht="50.1" customHeight="1"/>
    <row r="260" ht="50.1" customHeight="1"/>
    <row r="261" ht="50.1" customHeight="1"/>
    <row r="262" ht="50.1" customHeight="1"/>
    <row r="263" ht="50.1" customHeight="1"/>
    <row r="264" ht="50.1" customHeight="1"/>
    <row r="265" ht="50.1" customHeight="1"/>
    <row r="266" ht="50.1" customHeight="1"/>
    <row r="267" ht="50.1" customHeight="1"/>
    <row r="268" ht="50.1" customHeight="1"/>
    <row r="269" ht="50.1" customHeight="1"/>
    <row r="270" ht="50.1" customHeight="1"/>
    <row r="271" ht="50.1" customHeight="1"/>
    <row r="272" ht="50.1" customHeight="1"/>
    <row r="273" ht="50.1" customHeight="1"/>
    <row r="274" ht="50.1" customHeight="1"/>
    <row r="275" ht="50.1" customHeight="1"/>
    <row r="276" ht="50.1" customHeight="1"/>
    <row r="277" ht="50.1" customHeight="1"/>
    <row r="278" ht="50.1" customHeight="1"/>
    <row r="279" ht="50.1" customHeight="1"/>
    <row r="280" ht="50.1" customHeight="1"/>
    <row r="281" ht="50.1" customHeight="1"/>
    <row r="282" ht="50.1" customHeight="1"/>
    <row r="283" ht="50.1" customHeight="1"/>
    <row r="284" ht="50.1" customHeight="1"/>
    <row r="285" ht="50.1" customHeight="1"/>
    <row r="286" ht="50.1" customHeight="1"/>
    <row r="287" ht="50.1" customHeight="1"/>
    <row r="288" ht="50.1" customHeight="1"/>
    <row r="289" ht="50.1" customHeight="1"/>
    <row r="290" ht="50.1" customHeight="1"/>
    <row r="291" ht="50.1" customHeight="1"/>
    <row r="292" ht="50.1" customHeight="1"/>
    <row r="293" ht="50.1" customHeight="1"/>
    <row r="294" ht="50.1" customHeight="1"/>
    <row r="295" ht="50.1" customHeight="1"/>
    <row r="296" ht="50.1" customHeight="1"/>
    <row r="297" ht="50.1" customHeight="1"/>
    <row r="298" ht="50.1" customHeight="1"/>
    <row r="299" ht="50.1" customHeight="1"/>
    <row r="300" ht="50.1" customHeight="1"/>
    <row r="301" ht="50.1" customHeight="1"/>
    <row r="302" ht="50.1" customHeight="1"/>
    <row r="303" ht="50.1" customHeight="1"/>
    <row r="304" ht="50.1" customHeight="1"/>
    <row r="305" ht="50.1" customHeight="1"/>
    <row r="306" ht="50.1" customHeight="1"/>
    <row r="307" ht="50.1" customHeight="1"/>
    <row r="308" ht="50.1" customHeight="1"/>
    <row r="309" ht="50.1" customHeight="1"/>
    <row r="310" ht="50.1" customHeight="1"/>
    <row r="311" ht="50.1" customHeight="1"/>
    <row r="312" ht="50.1" customHeight="1"/>
    <row r="313" ht="50.1" customHeight="1"/>
    <row r="314" ht="50.1" customHeight="1"/>
    <row r="315" ht="50.1" customHeight="1"/>
    <row r="316" ht="50.1" customHeight="1"/>
    <row r="317" ht="50.1" customHeight="1"/>
    <row r="318" ht="50.1" customHeight="1"/>
    <row r="319" ht="50.1" customHeight="1"/>
    <row r="320" ht="50.1" customHeight="1"/>
    <row r="321" ht="50.1" customHeight="1"/>
    <row r="322" ht="50.1" customHeight="1"/>
    <row r="323" ht="50.1" customHeight="1"/>
    <row r="324" ht="50.1" customHeight="1"/>
    <row r="325" ht="50.1" customHeight="1"/>
    <row r="326" ht="50.1" customHeight="1"/>
    <row r="327" ht="50.1" customHeight="1"/>
    <row r="328" ht="50.1" customHeight="1"/>
    <row r="329" ht="50.1" customHeight="1"/>
    <row r="330" ht="50.1" customHeight="1"/>
    <row r="331" ht="50.1" customHeight="1"/>
    <row r="332" ht="50.1" customHeight="1"/>
    <row r="333" ht="50.1" customHeight="1"/>
    <row r="334" ht="50.1" customHeight="1"/>
    <row r="335" ht="50.1" customHeight="1"/>
    <row r="336" ht="50.1" customHeight="1"/>
    <row r="337" ht="50.1" customHeight="1"/>
    <row r="338" ht="50.1" customHeight="1"/>
    <row r="339" ht="50.1" customHeight="1"/>
    <row r="340" ht="50.1" customHeight="1"/>
    <row r="341" ht="50.1" customHeight="1"/>
    <row r="342" ht="50.1" customHeight="1"/>
    <row r="343" ht="50.1" customHeight="1"/>
    <row r="344" ht="50.1" customHeight="1"/>
    <row r="345" ht="50.1" customHeight="1"/>
    <row r="346" ht="50.1" customHeight="1"/>
    <row r="347" ht="50.1" customHeight="1"/>
    <row r="348" ht="50.1" customHeight="1"/>
    <row r="349" ht="50.1" customHeight="1"/>
    <row r="350" ht="50.1" customHeight="1"/>
    <row r="351" ht="50.1" customHeight="1"/>
    <row r="352" ht="50.1" customHeight="1"/>
    <row r="353" ht="50.1" customHeight="1"/>
    <row r="354" ht="50.1" customHeight="1"/>
    <row r="355" ht="50.1" customHeight="1"/>
    <row r="356" ht="50.1" customHeight="1"/>
    <row r="357" ht="50.1" customHeight="1"/>
    <row r="358" ht="50.1" customHeight="1"/>
    <row r="359" ht="50.1" customHeight="1"/>
    <row r="360" ht="50.1" customHeight="1"/>
    <row r="361" ht="50.1" customHeight="1"/>
    <row r="362" ht="50.1" customHeight="1"/>
    <row r="363" ht="50.1" customHeight="1"/>
    <row r="364" ht="50.1" customHeight="1"/>
    <row r="365" ht="50.1" customHeight="1"/>
    <row r="366" ht="50.1" customHeight="1"/>
    <row r="367" ht="50.1" customHeight="1"/>
    <row r="368" ht="50.1" customHeight="1"/>
    <row r="369" ht="50.1" customHeight="1"/>
    <row r="370" ht="50.1" customHeight="1"/>
    <row r="371" ht="50.1" customHeight="1"/>
    <row r="372" ht="50.1" customHeight="1"/>
    <row r="373" ht="50.1" customHeight="1"/>
    <row r="374" ht="50.1" customHeight="1"/>
    <row r="375" ht="50.1" customHeight="1"/>
    <row r="376" ht="50.1" customHeight="1"/>
    <row r="377" ht="50.1" customHeight="1"/>
    <row r="378" ht="50.1" customHeight="1"/>
    <row r="379" ht="50.1" customHeight="1"/>
    <row r="380" ht="50.1" customHeight="1"/>
    <row r="381" ht="50.1" customHeight="1"/>
    <row r="382" ht="50.1" customHeight="1"/>
    <row r="383" ht="50.1" customHeight="1"/>
    <row r="384" ht="50.1" customHeight="1"/>
    <row r="385" ht="50.1" customHeight="1"/>
    <row r="386" ht="50.1" customHeight="1"/>
    <row r="387" ht="50.1" customHeight="1"/>
    <row r="388" ht="50.1" customHeight="1"/>
    <row r="389" ht="50.1" customHeight="1"/>
    <row r="390" ht="50.1" customHeight="1"/>
    <row r="391" ht="50.1" customHeight="1"/>
    <row r="392" ht="50.1" customHeight="1"/>
    <row r="393" ht="50.1" customHeight="1"/>
    <row r="394" ht="50.1" customHeight="1"/>
    <row r="395" ht="50.1" customHeight="1"/>
    <row r="396" ht="50.1" customHeight="1"/>
    <row r="397" ht="50.1" customHeight="1"/>
    <row r="398" ht="50.1" customHeight="1"/>
    <row r="399" ht="50.1" customHeight="1"/>
    <row r="400" ht="50.1" customHeight="1"/>
    <row r="401" ht="50.1" customHeight="1"/>
    <row r="402" ht="50.1" customHeight="1"/>
    <row r="403" ht="50.1" customHeight="1"/>
    <row r="404" ht="50.1" customHeight="1"/>
    <row r="405" ht="50.1" customHeight="1"/>
    <row r="406" ht="50.1" customHeight="1"/>
    <row r="407" ht="50.1" customHeight="1"/>
    <row r="408" ht="50.1" customHeight="1"/>
    <row r="409" ht="50.1" customHeight="1"/>
    <row r="410" ht="50.1" customHeight="1"/>
    <row r="411" ht="50.1" customHeight="1"/>
    <row r="412" ht="50.1" customHeight="1"/>
    <row r="413" ht="50.1" customHeight="1"/>
    <row r="414" ht="50.1" customHeight="1"/>
    <row r="415" ht="50.1" customHeight="1"/>
    <row r="416" ht="50.1" customHeight="1"/>
    <row r="417" ht="50.1" customHeight="1"/>
    <row r="418" ht="50.1" customHeight="1"/>
    <row r="419" ht="50.1" customHeight="1"/>
    <row r="420" ht="50.1" customHeight="1"/>
    <row r="421" ht="50.1" customHeight="1"/>
  </sheetData>
  <mergeCells count="42">
    <mergeCell ref="T8:T10"/>
    <mergeCell ref="E8:E10"/>
    <mergeCell ref="A1:T1"/>
    <mergeCell ref="M2:T2"/>
    <mergeCell ref="M3:T7"/>
    <mergeCell ref="H2:L2"/>
    <mergeCell ref="A2:B2"/>
    <mergeCell ref="A3:B3"/>
    <mergeCell ref="A4:B4"/>
    <mergeCell ref="A6:E7"/>
    <mergeCell ref="A5:B5"/>
    <mergeCell ref="C2:E2"/>
    <mergeCell ref="C3:E3"/>
    <mergeCell ref="C4:E4"/>
    <mergeCell ref="H3:L3"/>
    <mergeCell ref="H4:L4"/>
    <mergeCell ref="F2:G2"/>
    <mergeCell ref="F3:G3"/>
    <mergeCell ref="F4:G4"/>
    <mergeCell ref="A8:A10"/>
    <mergeCell ref="N8:N10"/>
    <mergeCell ref="B8:B10"/>
    <mergeCell ref="F8:F10"/>
    <mergeCell ref="D8:D10"/>
    <mergeCell ref="G8:G10"/>
    <mergeCell ref="H8:H10"/>
    <mergeCell ref="C8:C10"/>
    <mergeCell ref="R8:R10"/>
    <mergeCell ref="S8:S10"/>
    <mergeCell ref="F5:G7"/>
    <mergeCell ref="C5:E5"/>
    <mergeCell ref="H5:L5"/>
    <mergeCell ref="H6:L6"/>
    <mergeCell ref="H7:L7"/>
    <mergeCell ref="J8:J10"/>
    <mergeCell ref="P8:P10"/>
    <mergeCell ref="Q8:Q10"/>
    <mergeCell ref="I8:I10"/>
    <mergeCell ref="O8:O10"/>
    <mergeCell ref="M8:M10"/>
    <mergeCell ref="L8:L10"/>
    <mergeCell ref="K8:K10"/>
  </mergeCells>
  <printOptions horizontalCentered="1"/>
  <pageMargins left="0.626771653543328" right="0.626771653543328" top="0.3" bottom="0.3" header="0.3" footer="0.3"/>
  <pageSetup fitToHeight="0" orientation="landscape" paperSize="9" scale="1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pageSetUpPr fitToPage="1"/>
  </sheetPr>
  <dimension ref="A1:R33"/>
  <sheetViews>
    <sheetView showZeros="0" view="pageBreakPreview" zoomScale="40" zoomScaleNormal="55" zoomScaleSheetLayoutView="40" workbookViewId="0" topLeftCell="A1">
      <selection pane="topLeft" activeCell="A11" sqref="A11:XFD20"/>
    </sheetView>
  </sheetViews>
  <sheetFormatPr defaultColWidth="9.109375" defaultRowHeight="13.5"/>
  <cols>
    <col min="1" max="1" width="12.2857142857143" style="47" customWidth="1"/>
    <col min="2" max="2" width="42.1428571428571" style="47" customWidth="1"/>
    <col min="3" max="3" width="43.1428571428571" style="47" customWidth="1"/>
    <col min="4" max="4" width="36.7142857142857" style="47" customWidth="1"/>
    <col min="5" max="5" width="38.4285714285714" style="47" customWidth="1"/>
    <col min="6" max="6" width="30.2857142857143" style="47" customWidth="1"/>
    <col min="7" max="7" width="37.5714285714286" style="47" customWidth="1"/>
    <col min="8" max="8" width="26.7142857142857" style="47" customWidth="1"/>
    <col min="9" max="9" width="33.8571428571429" style="47" customWidth="1"/>
    <col min="10" max="10" width="34.1428571428571" style="47" customWidth="1"/>
    <col min="11" max="12" width="23.2857142857143" style="47" customWidth="1"/>
    <col min="13" max="13" width="34.4285714285714" style="47" customWidth="1"/>
    <col min="14" max="14" width="26.8571428571429" style="47" customWidth="1"/>
    <col min="15" max="15" width="21.1428571428571" customWidth="1"/>
    <col min="16" max="16" width="34.5714285714286" customWidth="1"/>
    <col min="17" max="17" width="56.4285714285714" customWidth="1"/>
    <col min="18" max="18" width="22.2857142857143" customWidth="1"/>
  </cols>
  <sheetData>
    <row r="1" spans="1:18" ht="158.25" customHeight="1">
      <c r="A1" s="208" t="s">
        <v>425</v>
      </c>
      <c r="B1" s="208"/>
      <c r="C1" s="208"/>
      <c r="D1" s="208"/>
      <c r="E1" s="208"/>
      <c r="F1" s="208"/>
      <c r="G1" s="208"/>
      <c r="H1" s="208"/>
      <c r="I1" s="208"/>
      <c r="J1" s="208"/>
      <c r="K1" s="208"/>
      <c r="L1" s="208"/>
      <c r="M1" s="208"/>
      <c r="N1" s="208"/>
      <c r="O1" s="208"/>
      <c r="P1" s="208"/>
      <c r="Q1" s="208"/>
      <c r="R1" s="208"/>
    </row>
    <row r="2" spans="1:18" s="67" customFormat="1" ht="60" customHeight="1">
      <c r="A2" s="4" t="s">
        <v>7</v>
      </c>
      <c r="B2" s="4"/>
      <c r="C2" s="10"/>
      <c r="D2" s="10"/>
      <c r="E2" s="10" t="s">
        <v>118</v>
      </c>
      <c r="F2" s="10"/>
      <c r="G2" s="11" t="str">
        <f>Data!BF5</f>
        <v>Campbell, Neil</v>
      </c>
      <c r="H2" s="11"/>
      <c r="I2" s="11"/>
      <c r="J2" s="11"/>
      <c r="K2" s="11"/>
      <c r="L2" s="12" t="s">
        <v>4</v>
      </c>
      <c r="M2" s="12"/>
      <c r="N2" s="12"/>
      <c r="O2" s="12"/>
      <c r="P2" s="12"/>
      <c r="Q2" s="12"/>
      <c r="R2" s="12"/>
    </row>
    <row r="3" spans="1:18" s="67" customFormat="1" ht="60" customHeight="1">
      <c r="A3" s="3" t="s">
        <v>142</v>
      </c>
      <c r="B3" s="3"/>
      <c r="C3" s="8" t="str">
        <f>Data!BC5</f>
        <v>12085</v>
      </c>
      <c r="D3" s="8"/>
      <c r="E3" s="9" t="s">
        <v>8</v>
      </c>
      <c r="F3" s="9"/>
      <c r="G3" s="207" t="str">
        <f>Data!AX5</f>
        <v>Verticali Patio Blinds &amp; Fixed Guide Awnings</v>
      </c>
      <c r="H3" s="207"/>
      <c r="I3" s="207"/>
      <c r="J3" s="207"/>
      <c r="K3" s="207"/>
      <c r="L3" s="205" t="str">
        <f>TRIM(Data!BG5)</f>
        <v/>
      </c>
      <c r="M3" s="205"/>
      <c r="N3" s="205"/>
      <c r="O3" s="205"/>
      <c r="P3" s="205"/>
      <c r="Q3" s="205"/>
      <c r="R3" s="205"/>
    </row>
    <row r="4" spans="1:18" s="67" customFormat="1" ht="60" customHeight="1">
      <c r="A4" s="2" t="s">
        <v>15</v>
      </c>
      <c r="B4" s="2"/>
      <c r="C4" s="8" t="str">
        <f>Data!BD5</f>
        <v>A</v>
      </c>
      <c r="D4" s="8"/>
      <c r="E4" s="9" t="s">
        <v>136</v>
      </c>
      <c r="F4" s="9"/>
      <c r="G4" s="207" t="str">
        <f>Data!BA5</f>
        <v>18/09/2026 12:00:00 AM</v>
      </c>
      <c r="H4" s="207"/>
      <c r="I4" s="207"/>
      <c r="J4" s="207"/>
      <c r="K4" s="207"/>
      <c r="L4" s="205"/>
      <c r="M4" s="205"/>
      <c r="N4" s="205"/>
      <c r="O4" s="205"/>
      <c r="P4" s="205"/>
      <c r="Q4" s="205"/>
      <c r="R4" s="205"/>
    </row>
    <row r="5" spans="1:18" s="67" customFormat="1" ht="60" customHeight="1">
      <c r="A5" s="206" t="s">
        <v>10</v>
      </c>
      <c r="B5" s="206"/>
      <c r="C5" s="202" t="str">
        <f>Data!AY5</f>
        <v>6/08/2026 12:00:00 AM</v>
      </c>
      <c r="D5" s="202"/>
      <c r="E5" s="8" t="s">
        <v>12</v>
      </c>
      <c r="F5" s="8"/>
      <c r="G5" s="11" t="str">
        <f>TRIM(Data!BF5)</f>
        <v>Campbell, Neil</v>
      </c>
      <c r="H5" s="11"/>
      <c r="I5" s="11"/>
      <c r="J5" s="11"/>
      <c r="K5" s="11"/>
      <c r="L5" s="205"/>
      <c r="M5" s="205"/>
      <c r="N5" s="205"/>
      <c r="O5" s="205"/>
      <c r="P5" s="205"/>
      <c r="Q5" s="205"/>
      <c r="R5" s="205"/>
    </row>
    <row r="6" spans="1:18" s="67" customFormat="1" ht="60" customHeight="1">
      <c r="A6" s="173" t="str">
        <f>Data!CZ5</f>
        <v>Retail Customer</v>
      </c>
      <c r="B6" s="173"/>
      <c r="C6" s="173"/>
      <c r="D6" s="173"/>
      <c r="E6" s="8"/>
      <c r="F6" s="8"/>
      <c r="G6" s="11" t="str">
        <f>CONCATENATE(Data!BH5," ",Data!BI5," ",Data!BJ5," ",Data!BK5," ",Data!BL5)</f>
        <v xml:space="preserve"> 7161  Midland Highway </v>
      </c>
      <c r="H6" s="11"/>
      <c r="I6" s="11"/>
      <c r="J6" s="11"/>
      <c r="K6" s="11"/>
      <c r="L6" s="205"/>
      <c r="M6" s="205"/>
      <c r="N6" s="205"/>
      <c r="O6" s="205"/>
      <c r="P6" s="205"/>
      <c r="Q6" s="205"/>
      <c r="R6" s="205"/>
    </row>
    <row r="7" spans="1:18" s="67" customFormat="1" ht="60" customHeight="1">
      <c r="A7" s="173"/>
      <c r="B7" s="173"/>
      <c r="C7" s="173"/>
      <c r="D7" s="173"/>
      <c r="E7" s="8"/>
      <c r="F7" s="8"/>
      <c r="G7" s="11" t="str">
        <f>CONCATENATE(Data!BM5," ",Data!BN5," ",Data!BO5," ",Data!BP5)</f>
        <v>Buninyong VIC 3357 Australia</v>
      </c>
      <c r="H7" s="11"/>
      <c r="I7" s="11"/>
      <c r="J7" s="11"/>
      <c r="K7" s="11"/>
      <c r="L7" s="205"/>
      <c r="M7" s="205"/>
      <c r="N7" s="205"/>
      <c r="O7" s="205"/>
      <c r="P7" s="205"/>
      <c r="Q7" s="205"/>
      <c r="R7" s="205"/>
    </row>
    <row r="8" spans="1:18" s="68" customFormat="1" ht="23.25" customHeight="1">
      <c r="A8" s="5" t="s">
        <v>141</v>
      </c>
      <c r="B8" s="174" t="s">
        <v>120</v>
      </c>
      <c r="C8" s="212" t="s">
        <v>119</v>
      </c>
      <c r="D8" s="178" t="s">
        <v>428</v>
      </c>
      <c r="E8" s="178" t="s">
        <v>429</v>
      </c>
      <c r="F8" s="6" t="s">
        <v>430</v>
      </c>
      <c r="G8" s="209" t="s">
        <v>779</v>
      </c>
      <c r="H8" s="201" t="s">
        <v>780</v>
      </c>
      <c r="I8" s="6" t="s">
        <v>432</v>
      </c>
      <c r="J8" s="6" t="s">
        <v>431</v>
      </c>
      <c r="K8" s="210" t="s">
        <v>695</v>
      </c>
      <c r="L8" s="210" t="s">
        <v>181</v>
      </c>
      <c r="M8" s="211" t="s">
        <v>175</v>
      </c>
      <c r="N8" s="211" t="s">
        <v>170</v>
      </c>
      <c r="O8" s="7" t="s">
        <v>157</v>
      </c>
      <c r="P8" s="6" t="s">
        <v>180</v>
      </c>
      <c r="Q8" s="7" t="s">
        <v>5</v>
      </c>
      <c r="R8" s="7" t="s">
        <v>684</v>
      </c>
    </row>
    <row r="9" spans="1:18" s="68" customFormat="1" ht="35.4" customHeight="1">
      <c r="A9" s="5"/>
      <c r="B9" s="174"/>
      <c r="C9" s="212"/>
      <c r="D9" s="178"/>
      <c r="E9" s="178"/>
      <c r="F9" s="6"/>
      <c r="G9" s="209"/>
      <c r="H9" s="201"/>
      <c r="I9" s="6"/>
      <c r="J9" s="6"/>
      <c r="K9" s="210"/>
      <c r="L9" s="210"/>
      <c r="M9" s="211"/>
      <c r="N9" s="211"/>
      <c r="O9" s="7"/>
      <c r="P9" s="6"/>
      <c r="Q9" s="7"/>
      <c r="R9" s="7"/>
    </row>
    <row r="10" spans="1:18" s="68" customFormat="1" ht="94.5" customHeight="1">
      <c r="A10" s="5"/>
      <c r="B10" s="174"/>
      <c r="C10" s="212"/>
      <c r="D10" s="178"/>
      <c r="E10" s="178"/>
      <c r="F10" s="6"/>
      <c r="G10" s="209"/>
      <c r="H10" s="201"/>
      <c r="I10" s="6"/>
      <c r="J10" s="6"/>
      <c r="K10" s="210"/>
      <c r="L10" s="210"/>
      <c r="M10" s="211"/>
      <c r="N10" s="211"/>
      <c r="O10" s="7"/>
      <c r="P10" s="6"/>
      <c r="Q10" s="7"/>
      <c r="R10" s="7"/>
    </row>
    <row r="11" spans="1:18" s="68" customFormat="1" ht="69">
      <c r="A11" s="91">
        <f>Data!AW11</f>
        <v>1</v>
      </c>
      <c r="B11" s="69" t="str">
        <f>'Job Sheet'!B11</f>
        <v>Patio 1</v>
      </c>
      <c r="C11" s="135" t="str">
        <f>MID('Job Sheet'!K11,3,80)</f>
        <v>Verticali</v>
      </c>
      <c r="D11" s="70">
        <f>IF(O11="","",IF(OR('Job Sheet'!U11="Verticali Hooding (Old)",'Job Sheet'!U11="Verticali Square Hooding",'Job Sheet'!U11="Zipscreen Hooding"),'Tube Cutting'!F11,""))</f>
        <v>3965</v>
      </c>
      <c r="E11" s="70">
        <f>IF(O11="","",IF(OR('Job Sheet'!U11="Verticali Hooding (Old)",'Job Sheet'!U11="Verticali Square Hooding",'Job Sheet'!U11="Zipscreen Hooding"),'Tube Cutting'!F11,""))</f>
        <v>3965</v>
      </c>
      <c r="F11" s="70" t="str">
        <f>IF('Job Sheet'!L11="","",IF(OR('Job Sheet'!U11="Verticali Hooding (Old)",'Job Sheet'!U11="Verticali Square Hooding",'Job Sheet'!U11="Zipscreen Hooding"),"Yes x 1 Pair",IF('Job Sheet'!U11="Verticali Colourbond Hooding","Verticali Colourbond x 1 Pair","")))</f>
        <v>Yes x 1 Pair</v>
      </c>
      <c r="G11" s="70" t="str">
        <f>IF('Job Sheet'!F11="","",IF(OR('Job Sheet'!U11="Verticali Hooding (Old)",'Job Sheet'!U11="Verticali Square Hooding",'Job Sheet'!U11="Zipscreen Hooding"),'Job Sheet'!V11,""))</f>
        <v>Paperbark (Merino)</v>
      </c>
      <c r="H11" s="142" t="str">
        <f>IF(Data!AV11="","",IF(AND(OR('Job Sheet'!U11="Verticali Hooding (Old)",'Job Sheet'!U11="Verticali Square Hooding"),'Job Sheet'!M11="Gearbox"),CONCATENATE('Job Sheet'!O11," Gear ",'Job Sheet'!P11),""))</f>
        <v/>
      </c>
      <c r="I11" s="70" t="str">
        <f>IF('Tube Cutting'!H11="Zinc for Powder Coating",'Tube Cutting'!D11,IF('Job Sheet'!U11="Powder Coated Brackets","1 Pair",""))</f>
        <v/>
      </c>
      <c r="J11" s="70" t="str">
        <f>IF(I11="","",'Job Sheet'!V11)</f>
        <v/>
      </c>
      <c r="K11" s="107" t="str">
        <f>'Tube Cutting'!I11</f>
        <v>2550 x 2</v>
      </c>
      <c r="L11" s="107" t="str">
        <f>'Tube Cutting'!J11</f>
        <v>2550 x 2</v>
      </c>
      <c r="M11" s="107" t="str">
        <f>'Job Sheet'!W11</f>
        <v>Paperbark (Merino)</v>
      </c>
      <c r="N11" s="107" t="str">
        <f>'Job Sheet'!I11</f>
        <v>Reveal</v>
      </c>
      <c r="O11" s="71">
        <f>'Job Sheet'!AI11</f>
        <v>3812</v>
      </c>
      <c r="P11" s="70" t="str">
        <f>'Job Sheet'!X11</f>
        <v>Paperbark (Merino)</v>
      </c>
      <c r="Q11" s="70" t="str">
        <f>'Job Sheet'!AE11</f>
        <v/>
      </c>
      <c r="R11" s="151">
        <f>A11</f>
        <v>1</v>
      </c>
    </row>
    <row r="12" spans="1:18" s="68" customFormat="1" ht="60" customHeight="1">
      <c r="A12" s="91">
        <f>Data!AW12</f>
        <v>0</v>
      </c>
      <c r="B12" s="69">
        <f>'Job Sheet'!B12</f>
        <v>0</v>
      </c>
      <c r="C12" s="135" t="str">
        <f>MID('Job Sheet'!K12,3,80)</f>
        <v/>
      </c>
      <c r="D12" s="70" t="str">
        <f>IF(O12="","",IF(OR('Job Sheet'!U12="Verticali Hooding (Old)",'Job Sheet'!U12="Verticali Square Hooding",'Job Sheet'!U12="Zipscreen Hooding"),'Tube Cutting'!F12,""))</f>
        <v/>
      </c>
      <c r="E12" s="70" t="str">
        <f>IF(O12="","",IF(OR('Job Sheet'!U12="Verticali Hooding (Old)",'Job Sheet'!U12="Verticali Square Hooding",'Job Sheet'!U12="Zipscreen Hooding"),'Tube Cutting'!F12,""))</f>
        <v/>
      </c>
      <c r="F12" s="70" t="str">
        <f>IF('Job Sheet'!L12="","",IF(OR('Job Sheet'!U12="Verticali Hooding (Old)",'Job Sheet'!U12="Verticali Square Hooding",'Job Sheet'!U12="Zipscreen Hooding"),"Yes x 1 Pair",IF('Job Sheet'!U12="Verticali Colourbond Hooding","Verticali Colourbond x 1 Pair","")))</f>
        <v/>
      </c>
      <c r="G12" s="70" t="str">
        <f>IF('Job Sheet'!F12="","",IF(OR('Job Sheet'!U12="Verticali Hooding",'Job Sheet'!U12="Verticali Square Hooding",'Job Sheet'!U12="Zipscreen Hooding"),'Job Sheet'!V12,""))</f>
        <v/>
      </c>
      <c r="H12" s="142" t="str">
        <f>IF(Data!AV12="","",IF(AND(OR('Job Sheet'!U12="Verticali Hooding (Old)",'Job Sheet'!U12="Verticali Square Hooding"),'Job Sheet'!M12="Gearbox"),CONCATENATE('Job Sheet'!O12," Gear ",'Job Sheet'!P12),""))</f>
        <v/>
      </c>
      <c r="I12" s="70" t="str">
        <f>IF('Tube Cutting'!H12="Zinc for Powder Coating",'Tube Cutting'!D12,IF('Job Sheet'!U12="Powder Coated Brackets","1 Pair",""))</f>
        <v/>
      </c>
      <c r="J12" s="70" t="str">
        <f>IF(I12="","",'Job Sheet'!V12)</f>
        <v/>
      </c>
      <c r="K12" s="107" t="str">
        <f>'Tube Cutting'!I12</f>
        <v/>
      </c>
      <c r="L12" s="107" t="str">
        <f>'Tube Cutting'!J12</f>
        <v/>
      </c>
      <c r="M12" s="107" t="str">
        <f>'Job Sheet'!W12</f>
        <v/>
      </c>
      <c r="N12" s="107" t="str">
        <f>'Job Sheet'!I12</f>
        <v/>
      </c>
      <c r="O12" s="71" t="str">
        <f>'Job Sheet'!AI12</f>
        <v/>
      </c>
      <c r="P12" s="70" t="str">
        <f>'Job Sheet'!X12</f>
        <v/>
      </c>
      <c r="Q12" s="70" t="str">
        <f>'Job Sheet'!AE12</f>
        <v/>
      </c>
      <c r="R12" s="151">
        <f t="shared" si="0" ref="R12:R20">A12</f>
        <v>0</v>
      </c>
    </row>
    <row r="13" spans="1:18" s="68" customFormat="1" ht="60" customHeight="1">
      <c r="A13" s="91">
        <f>Data!AW13</f>
        <v>0</v>
      </c>
      <c r="B13" s="69">
        <f>'Job Sheet'!B13</f>
        <v>0</v>
      </c>
      <c r="C13" s="135" t="str">
        <f>MID('Job Sheet'!K13,3,80)</f>
        <v/>
      </c>
      <c r="D13" s="70" t="str">
        <f>IF(O13="","",IF(OR('Job Sheet'!U13="Verticali Hooding (Old)",'Job Sheet'!U13="Verticali Square Hooding",'Job Sheet'!U13="Zipscreen Hooding"),'Tube Cutting'!F13,""))</f>
        <v/>
      </c>
      <c r="E13" s="70" t="str">
        <f>IF(O13="","",IF(OR('Job Sheet'!U13="Verticali Hooding (Old)",'Job Sheet'!U13="Verticali Square Hooding",'Job Sheet'!U13="Zipscreen Hooding"),'Tube Cutting'!F13,""))</f>
        <v/>
      </c>
      <c r="F13" s="70" t="str">
        <f>IF('Job Sheet'!L13="","",IF(OR('Job Sheet'!U13="Verticali Hooding (Old)",'Job Sheet'!U13="Verticali Square Hooding",'Job Sheet'!U13="Zipscreen Hooding"),"Yes x 1 Pair",IF('Job Sheet'!U13="Verticali Colourbond Hooding","Verticali Colourbond x 1 Pair","")))</f>
        <v/>
      </c>
      <c r="G13" s="70" t="str">
        <f>IF('Job Sheet'!F13="","",IF(OR('Job Sheet'!U13="Verticali Hooding",'Job Sheet'!U13="Verticali Square Hooding",'Job Sheet'!U13="Zipscreen Hooding"),'Job Sheet'!V13,""))</f>
        <v/>
      </c>
      <c r="H13" s="142" t="str">
        <f>IF(Data!AV13="","",IF(AND(OR('Job Sheet'!U13="Verticali Hooding (Old)",'Job Sheet'!U13="Verticali Square Hooding"),'Job Sheet'!M13="Gearbox"),CONCATENATE('Job Sheet'!O13," Gear ",'Job Sheet'!P13),""))</f>
        <v/>
      </c>
      <c r="I13" s="70" t="str">
        <f>IF('Tube Cutting'!H13="Zinc for Powder Coating",'Tube Cutting'!D13,IF('Job Sheet'!U13="Powder Coated Brackets","1 Pair",""))</f>
        <v/>
      </c>
      <c r="J13" s="70" t="str">
        <f>IF(I13="","",'Job Sheet'!V13)</f>
        <v/>
      </c>
      <c r="K13" s="107" t="str">
        <f>'Tube Cutting'!I13</f>
        <v/>
      </c>
      <c r="L13" s="107" t="str">
        <f>'Tube Cutting'!J13</f>
        <v/>
      </c>
      <c r="M13" s="107" t="str">
        <f>'Job Sheet'!W13</f>
        <v/>
      </c>
      <c r="N13" s="107" t="str">
        <f>'Job Sheet'!I13</f>
        <v/>
      </c>
      <c r="O13" s="71" t="str">
        <f>'Job Sheet'!AI13</f>
        <v/>
      </c>
      <c r="P13" s="70" t="str">
        <f>'Job Sheet'!X13</f>
        <v/>
      </c>
      <c r="Q13" s="70" t="str">
        <f>'Job Sheet'!AE13</f>
        <v/>
      </c>
      <c r="R13" s="151">
        <f t="shared" si="0"/>
        <v>0</v>
      </c>
    </row>
    <row r="14" spans="1:18" s="68" customFormat="1" ht="60" customHeight="1">
      <c r="A14" s="91">
        <f>Data!AW14</f>
        <v>0</v>
      </c>
      <c r="B14" s="69">
        <f>'Job Sheet'!B14</f>
        <v>0</v>
      </c>
      <c r="C14" s="135" t="str">
        <f>MID('Job Sheet'!K14,3,80)</f>
        <v/>
      </c>
      <c r="D14" s="70" t="str">
        <f>IF(O14="","",IF(OR('Job Sheet'!U14="Verticali Hooding (Old)",'Job Sheet'!U14="Verticali Square Hooding",'Job Sheet'!U14="Zipscreen Hooding"),'Tube Cutting'!F14,""))</f>
        <v/>
      </c>
      <c r="E14" s="70" t="str">
        <f>IF(O14="","",IF(OR('Job Sheet'!U14="Verticali Hooding (Old)",'Job Sheet'!U14="Verticali Square Hooding",'Job Sheet'!U14="Zipscreen Hooding"),'Tube Cutting'!F14,""))</f>
        <v/>
      </c>
      <c r="F14" s="70" t="str">
        <f>IF('Job Sheet'!L14="","",IF(OR('Job Sheet'!U14="Verticali Hooding (Old)",'Job Sheet'!U14="Verticali Square Hooding",'Job Sheet'!U14="Zipscreen Hooding"),"Yes x 1 Pair",IF('Job Sheet'!U14="Verticali Colourbond Hooding","Verticali Colourbond x 1 Pair","")))</f>
        <v/>
      </c>
      <c r="G14" s="70" t="str">
        <f>IF('Job Sheet'!F14="","",IF(OR('Job Sheet'!U14="Verticali Hooding",'Job Sheet'!U14="Verticali Square Hooding",'Job Sheet'!U14="Zipscreen Hooding"),'Job Sheet'!V14,""))</f>
        <v/>
      </c>
      <c r="H14" s="142" t="str">
        <f>IF(Data!AV14="","",IF(AND(OR('Job Sheet'!U14="Verticali Hooding (Old)",'Job Sheet'!U14="Verticali Square Hooding"),'Job Sheet'!M14="Gearbox"),CONCATENATE('Job Sheet'!O14," Gear ",'Job Sheet'!P14),""))</f>
        <v/>
      </c>
      <c r="I14" s="70" t="str">
        <f>IF('Tube Cutting'!H14="Zinc for Powder Coating",'Tube Cutting'!D14,IF('Job Sheet'!U14="Powder Coated Brackets","1 Pair",""))</f>
        <v/>
      </c>
      <c r="J14" s="70" t="str">
        <f>IF(I14="","",'Job Sheet'!V14)</f>
        <v/>
      </c>
      <c r="K14" s="107" t="str">
        <f>'Tube Cutting'!I14</f>
        <v/>
      </c>
      <c r="L14" s="107" t="str">
        <f>'Tube Cutting'!J14</f>
        <v/>
      </c>
      <c r="M14" s="107" t="str">
        <f>'Job Sheet'!W14</f>
        <v/>
      </c>
      <c r="N14" s="107" t="str">
        <f>'Job Sheet'!I14</f>
        <v/>
      </c>
      <c r="O14" s="71" t="str">
        <f>'Job Sheet'!AI14</f>
        <v/>
      </c>
      <c r="P14" s="70" t="str">
        <f>'Job Sheet'!X14</f>
        <v/>
      </c>
      <c r="Q14" s="70" t="str">
        <f>'Job Sheet'!AE14</f>
        <v/>
      </c>
      <c r="R14" s="151">
        <f t="shared" si="0"/>
        <v>0</v>
      </c>
    </row>
    <row r="15" spans="1:18" s="68" customFormat="1" ht="60" customHeight="1">
      <c r="A15" s="91">
        <f>Data!AW15</f>
        <v>0</v>
      </c>
      <c r="B15" s="69">
        <f>'Job Sheet'!B15</f>
        <v>0</v>
      </c>
      <c r="C15" s="135" t="str">
        <f>MID('Job Sheet'!K15,3,80)</f>
        <v/>
      </c>
      <c r="D15" s="70" t="str">
        <f>IF(O15="","",IF(OR('Job Sheet'!U15="Verticali Hooding (Old)",'Job Sheet'!U15="Verticali Square Hooding",'Job Sheet'!U15="Zipscreen Hooding"),'Tube Cutting'!F15,""))</f>
        <v/>
      </c>
      <c r="E15" s="70" t="str">
        <f>IF(O15="","",IF(OR('Job Sheet'!U15="Verticali Hooding (Old)",'Job Sheet'!U15="Verticali Square Hooding",'Job Sheet'!U15="Zipscreen Hooding"),'Tube Cutting'!F15,""))</f>
        <v/>
      </c>
      <c r="F15" s="70" t="str">
        <f>IF('Job Sheet'!L15="","",IF(OR('Job Sheet'!U15="Verticali Hooding (Old)",'Job Sheet'!U15="Verticali Square Hooding",'Job Sheet'!U15="Zipscreen Hooding"),"Yes x 1 Pair",IF('Job Sheet'!U15="Verticali Colourbond Hooding","Verticali Colourbond x 1 Pair","")))</f>
        <v/>
      </c>
      <c r="G15" s="70" t="str">
        <f>IF('Job Sheet'!F15="","",IF(OR('Job Sheet'!U15="Verticali Hooding",'Job Sheet'!U15="Verticali Square Hooding",'Job Sheet'!U15="Zipscreen Hooding"),'Job Sheet'!V15,""))</f>
        <v/>
      </c>
      <c r="H15" s="142" t="str">
        <f>IF(Data!AV15="","",IF(AND(OR('Job Sheet'!U15="Verticali Hooding (Old)",'Job Sheet'!U15="Verticali Square Hooding"),'Job Sheet'!M15="Gearbox"),CONCATENATE('Job Sheet'!O15," Gear ",'Job Sheet'!P15),""))</f>
        <v/>
      </c>
      <c r="I15" s="70" t="str">
        <f>IF('Tube Cutting'!H15="Zinc for Powder Coating",'Tube Cutting'!D15,IF('Job Sheet'!U15="Powder Coated Brackets","1 Pair",""))</f>
        <v/>
      </c>
      <c r="J15" s="70" t="str">
        <f>IF(I15="","",'Job Sheet'!V15)</f>
        <v/>
      </c>
      <c r="K15" s="107" t="str">
        <f>'Tube Cutting'!I15</f>
        <v/>
      </c>
      <c r="L15" s="107" t="str">
        <f>'Tube Cutting'!J15</f>
        <v/>
      </c>
      <c r="M15" s="107" t="str">
        <f>'Job Sheet'!W15</f>
        <v/>
      </c>
      <c r="N15" s="107" t="str">
        <f>'Job Sheet'!I15</f>
        <v/>
      </c>
      <c r="O15" s="71" t="str">
        <f>'Job Sheet'!AI15</f>
        <v/>
      </c>
      <c r="P15" s="70" t="str">
        <f>'Job Sheet'!X15</f>
        <v/>
      </c>
      <c r="Q15" s="70" t="str">
        <f>'Job Sheet'!AE15</f>
        <v/>
      </c>
      <c r="R15" s="151">
        <f t="shared" si="0"/>
        <v>0</v>
      </c>
    </row>
    <row r="16" spans="1:18" s="68" customFormat="1" ht="60" customHeight="1">
      <c r="A16" s="91">
        <f>Data!AW16</f>
        <v>0</v>
      </c>
      <c r="B16" s="69">
        <f>'Job Sheet'!B16</f>
        <v>0</v>
      </c>
      <c r="C16" s="135" t="str">
        <f>MID('Job Sheet'!K16,3,80)</f>
        <v/>
      </c>
      <c r="D16" s="70" t="str">
        <f>IF(O16="","",IF(OR('Job Sheet'!U16="Verticali Hooding (Old)",'Job Sheet'!U16="Verticali Square Hooding",'Job Sheet'!U16="Zipscreen Hooding"),'Tube Cutting'!F16,""))</f>
        <v/>
      </c>
      <c r="E16" s="70" t="str">
        <f>IF(O16="","",IF(OR('Job Sheet'!U16="Verticali Hooding (Old)",'Job Sheet'!U16="Verticali Square Hooding",'Job Sheet'!U16="Zipscreen Hooding"),'Tube Cutting'!F16,""))</f>
        <v/>
      </c>
      <c r="F16" s="70" t="str">
        <f>IF('Job Sheet'!L16="","",IF(OR('Job Sheet'!U16="Verticali Hooding (Old)",'Job Sheet'!U16="Verticali Square Hooding",'Job Sheet'!U16="Zipscreen Hooding"),"Yes x 1 Pair",IF('Job Sheet'!U16="Verticali Colourbond Hooding","Verticali Colourbond x 1 Pair","")))</f>
        <v/>
      </c>
      <c r="G16" s="70" t="str">
        <f>IF('Job Sheet'!F16="","",IF(OR('Job Sheet'!U16="Verticali Hooding",'Job Sheet'!U16="Verticali Square Hooding",'Job Sheet'!U16="Zipscreen Hooding"),'Job Sheet'!V16,""))</f>
        <v/>
      </c>
      <c r="H16" s="142" t="str">
        <f>IF(Data!AV16="","",IF(AND(OR('Job Sheet'!U16="Verticali Hooding (Old)",'Job Sheet'!U16="Verticali Square Hooding"),'Job Sheet'!M16="Gearbox"),CONCATENATE('Job Sheet'!O16," Gear ",'Job Sheet'!P16),""))</f>
        <v/>
      </c>
      <c r="I16" s="70" t="str">
        <f>IF('Tube Cutting'!H16="Zinc for Powder Coating",'Tube Cutting'!D16,IF('Job Sheet'!U16="Powder Coated Brackets","1 Pair",""))</f>
        <v/>
      </c>
      <c r="J16" s="70" t="str">
        <f>IF(I16="","",'Job Sheet'!V16)</f>
        <v/>
      </c>
      <c r="K16" s="107" t="str">
        <f>'Tube Cutting'!I16</f>
        <v/>
      </c>
      <c r="L16" s="107" t="str">
        <f>'Tube Cutting'!J16</f>
        <v/>
      </c>
      <c r="M16" s="107" t="str">
        <f>'Job Sheet'!W16</f>
        <v/>
      </c>
      <c r="N16" s="107" t="str">
        <f>'Job Sheet'!I16</f>
        <v/>
      </c>
      <c r="O16" s="71" t="str">
        <f>'Job Sheet'!AI16</f>
        <v/>
      </c>
      <c r="P16" s="70" t="str">
        <f>'Job Sheet'!X16</f>
        <v/>
      </c>
      <c r="Q16" s="70" t="str">
        <f>'Job Sheet'!AE16</f>
        <v/>
      </c>
      <c r="R16" s="151">
        <f t="shared" si="0"/>
        <v>0</v>
      </c>
    </row>
    <row r="17" spans="1:18" s="68" customFormat="1" ht="60" customHeight="1">
      <c r="A17" s="91">
        <f>Data!AW17</f>
        <v>0</v>
      </c>
      <c r="B17" s="69">
        <f>'Job Sheet'!B17</f>
        <v>0</v>
      </c>
      <c r="C17" s="135" t="str">
        <f>MID('Job Sheet'!K17,3,80)</f>
        <v/>
      </c>
      <c r="D17" s="70" t="str">
        <f>IF(O17="","",IF(OR('Job Sheet'!U17="Verticali Hooding (Old)",'Job Sheet'!U17="Verticali Square Hooding",'Job Sheet'!U17="Zipscreen Hooding"),'Tube Cutting'!F17,""))</f>
        <v/>
      </c>
      <c r="E17" s="70" t="str">
        <f>IF(O17="","",IF(OR('Job Sheet'!U17="Verticali Hooding (Old)",'Job Sheet'!U17="Verticali Square Hooding",'Job Sheet'!U17="Zipscreen Hooding"),'Tube Cutting'!F17,""))</f>
        <v/>
      </c>
      <c r="F17" s="70" t="str">
        <f>IF('Job Sheet'!L17="","",IF(OR('Job Sheet'!U17="Verticali Hooding (Old)",'Job Sheet'!U17="Verticali Square Hooding",'Job Sheet'!U17="Zipscreen Hooding"),"Yes x 1 Pair",IF('Job Sheet'!U17="Verticali Colourbond Hooding","Verticali Colourbond x 1 Pair","")))</f>
        <v/>
      </c>
      <c r="G17" s="70" t="str">
        <f>IF('Job Sheet'!F17="","",IF(OR('Job Sheet'!U17="Verticali Hooding",'Job Sheet'!U17="Verticali Square Hooding",'Job Sheet'!U17="Zipscreen Hooding"),'Job Sheet'!V17,""))</f>
        <v/>
      </c>
      <c r="H17" s="142" t="str">
        <f>IF(Data!AV17="","",IF(AND(OR('Job Sheet'!U17="Verticali Hooding (Old)",'Job Sheet'!U17="Verticali Square Hooding"),'Job Sheet'!M17="Gearbox"),CONCATENATE('Job Sheet'!O17," Gear ",'Job Sheet'!P17),""))</f>
        <v/>
      </c>
      <c r="I17" s="70" t="str">
        <f>IF('Tube Cutting'!H17="Zinc for Powder Coating",'Tube Cutting'!D17,IF('Job Sheet'!U17="Powder Coated Brackets","1 Pair",""))</f>
        <v/>
      </c>
      <c r="J17" s="70" t="str">
        <f>IF(I17="","",'Job Sheet'!V17)</f>
        <v/>
      </c>
      <c r="K17" s="107" t="str">
        <f>'Tube Cutting'!I17</f>
        <v/>
      </c>
      <c r="L17" s="107" t="str">
        <f>'Tube Cutting'!J17</f>
        <v/>
      </c>
      <c r="M17" s="107" t="str">
        <f>'Job Sheet'!W17</f>
        <v/>
      </c>
      <c r="N17" s="107" t="str">
        <f>'Job Sheet'!I17</f>
        <v/>
      </c>
      <c r="O17" s="71" t="str">
        <f>'Job Sheet'!AI17</f>
        <v/>
      </c>
      <c r="P17" s="70" t="str">
        <f>'Job Sheet'!X17</f>
        <v/>
      </c>
      <c r="Q17" s="70" t="str">
        <f>'Job Sheet'!AE17</f>
        <v/>
      </c>
      <c r="R17" s="151">
        <f t="shared" si="0"/>
        <v>0</v>
      </c>
    </row>
    <row r="18" spans="1:18" s="68" customFormat="1" ht="60" customHeight="1">
      <c r="A18" s="91">
        <f>Data!AW18</f>
        <v>0</v>
      </c>
      <c r="B18" s="69">
        <f>'Job Sheet'!B18</f>
        <v>0</v>
      </c>
      <c r="C18" s="135" t="str">
        <f>MID('Job Sheet'!K18,3,80)</f>
        <v/>
      </c>
      <c r="D18" s="70" t="str">
        <f>IF(O18="","",IF(OR('Job Sheet'!U18="Verticali Hooding (Old)",'Job Sheet'!U18="Verticali Square Hooding",'Job Sheet'!U18="Zipscreen Hooding"),'Tube Cutting'!F18,""))</f>
        <v/>
      </c>
      <c r="E18" s="70" t="str">
        <f>IF(O18="","",IF(OR('Job Sheet'!U18="Verticali Hooding (Old)",'Job Sheet'!U18="Verticali Square Hooding",'Job Sheet'!U18="Zipscreen Hooding"),'Tube Cutting'!F18,""))</f>
        <v/>
      </c>
      <c r="F18" s="70" t="str">
        <f>IF('Job Sheet'!L18="","",IF(OR('Job Sheet'!U18="Verticali Hooding (Old)",'Job Sheet'!U18="Verticali Square Hooding",'Job Sheet'!U18="Zipscreen Hooding"),"Yes x 1 Pair",IF('Job Sheet'!U18="Verticali Colourbond Hooding","Verticali Colourbond x 1 Pair","")))</f>
        <v/>
      </c>
      <c r="G18" s="70" t="str">
        <f>IF('Job Sheet'!F18="","",IF(OR('Job Sheet'!U18="Verticali Hooding",'Job Sheet'!U18="Verticali Square Hooding",'Job Sheet'!U18="Zipscreen Hooding"),'Job Sheet'!V18,""))</f>
        <v/>
      </c>
      <c r="H18" s="142" t="str">
        <f>IF(Data!AV18="","",IF(AND(OR('Job Sheet'!U18="Verticali Hooding (Old)",'Job Sheet'!U18="Verticali Square Hooding"),'Job Sheet'!M18="Gearbox"),CONCATENATE('Job Sheet'!O18," Gear ",'Job Sheet'!P18),""))</f>
        <v/>
      </c>
      <c r="I18" s="70" t="str">
        <f>IF('Tube Cutting'!H18="Zinc for Powder Coating",'Tube Cutting'!D18,IF('Job Sheet'!U18="Powder Coated Brackets","1 Pair",""))</f>
        <v/>
      </c>
      <c r="J18" s="70" t="str">
        <f>IF(I18="","",'Job Sheet'!V18)</f>
        <v/>
      </c>
      <c r="K18" s="107" t="str">
        <f>'Tube Cutting'!I18</f>
        <v/>
      </c>
      <c r="L18" s="107" t="str">
        <f>'Tube Cutting'!J18</f>
        <v/>
      </c>
      <c r="M18" s="107" t="str">
        <f>'Job Sheet'!W18</f>
        <v/>
      </c>
      <c r="N18" s="107" t="str">
        <f>'Job Sheet'!I18</f>
        <v/>
      </c>
      <c r="O18" s="71" t="str">
        <f>'Job Sheet'!AI18</f>
        <v/>
      </c>
      <c r="P18" s="70" t="str">
        <f>'Job Sheet'!X18</f>
        <v/>
      </c>
      <c r="Q18" s="70" t="str">
        <f>'Job Sheet'!AE18</f>
        <v/>
      </c>
      <c r="R18" s="151">
        <f t="shared" si="0"/>
        <v>0</v>
      </c>
    </row>
    <row r="19" spans="1:18" s="68" customFormat="1" ht="60" customHeight="1">
      <c r="A19" s="91">
        <f>Data!AW19</f>
        <v>0</v>
      </c>
      <c r="B19" s="69">
        <f>'Job Sheet'!B19</f>
        <v>0</v>
      </c>
      <c r="C19" s="135" t="str">
        <f>MID('Job Sheet'!K19,3,80)</f>
        <v/>
      </c>
      <c r="D19" s="70" t="str">
        <f>IF(O19="","",IF(OR('Job Sheet'!U19="Verticali Hooding (Old)",'Job Sheet'!U19="Verticali Square Hooding",'Job Sheet'!U19="Zipscreen Hooding"),'Tube Cutting'!F19,""))</f>
        <v/>
      </c>
      <c r="E19" s="70" t="str">
        <f>IF(O19="","",IF(OR('Job Sheet'!U19="Verticali Hooding (Old)",'Job Sheet'!U19="Verticali Square Hooding",'Job Sheet'!U19="Zipscreen Hooding"),'Tube Cutting'!F19,""))</f>
        <v/>
      </c>
      <c r="F19" s="70" t="str">
        <f>IF('Job Sheet'!L19="","",IF(OR('Job Sheet'!U19="Verticali Hooding (Old)",'Job Sheet'!U19="Verticali Square Hooding",'Job Sheet'!U19="Zipscreen Hooding"),"Yes x 1 Pair",IF('Job Sheet'!U19="Verticali Colourbond Hooding","Verticali Colourbond x 1 Pair","")))</f>
        <v/>
      </c>
      <c r="G19" s="70" t="str">
        <f>IF('Job Sheet'!F19="","",IF(OR('Job Sheet'!U19="Verticali Hooding",'Job Sheet'!U19="Verticali Square Hooding",'Job Sheet'!U19="Zipscreen Hooding"),'Job Sheet'!V19,""))</f>
        <v/>
      </c>
      <c r="H19" s="142" t="str">
        <f>IF(Data!AV19="","",IF(AND(OR('Job Sheet'!U19="Verticali Hooding (Old)",'Job Sheet'!U19="Verticali Square Hooding"),'Job Sheet'!M19="Gearbox"),CONCATENATE('Job Sheet'!O19," Gear ",'Job Sheet'!P19),""))</f>
        <v/>
      </c>
      <c r="I19" s="70" t="str">
        <f>IF('Tube Cutting'!H19="Zinc for Powder Coating",'Tube Cutting'!D19,IF('Job Sheet'!U19="Powder Coated Brackets","1 Pair",""))</f>
        <v/>
      </c>
      <c r="J19" s="70" t="str">
        <f>IF(I19="","",'Job Sheet'!V19)</f>
        <v/>
      </c>
      <c r="K19" s="107" t="str">
        <f>'Tube Cutting'!I19</f>
        <v/>
      </c>
      <c r="L19" s="107" t="str">
        <f>'Tube Cutting'!J19</f>
        <v/>
      </c>
      <c r="M19" s="107" t="str">
        <f>'Job Sheet'!W19</f>
        <v/>
      </c>
      <c r="N19" s="107" t="str">
        <f>'Job Sheet'!I19</f>
        <v/>
      </c>
      <c r="O19" s="71" t="str">
        <f>'Job Sheet'!AI19</f>
        <v/>
      </c>
      <c r="P19" s="70" t="str">
        <f>'Job Sheet'!X19</f>
        <v/>
      </c>
      <c r="Q19" s="70" t="str">
        <f>'Job Sheet'!AE19</f>
        <v/>
      </c>
      <c r="R19" s="151">
        <f t="shared" si="0"/>
        <v>0</v>
      </c>
    </row>
    <row r="20" spans="1:18" s="68" customFormat="1" ht="60" customHeight="1">
      <c r="A20" s="91">
        <f>Data!AW20</f>
        <v>0</v>
      </c>
      <c r="B20" s="69">
        <f>'Job Sheet'!B20</f>
        <v>0</v>
      </c>
      <c r="C20" s="135" t="str">
        <f>MID('Job Sheet'!K20,3,80)</f>
        <v/>
      </c>
      <c r="D20" s="70" t="str">
        <f>IF(O20="","",IF(OR('Job Sheet'!U20="Verticali Hooding (Old)",'Job Sheet'!U20="Verticali Square Hooding",'Job Sheet'!U20="Zipscreen Hooding"),'Tube Cutting'!F20,""))</f>
        <v/>
      </c>
      <c r="E20" s="70" t="str">
        <f>IF(O20="","",IF(OR('Job Sheet'!U20="Verticali Hooding (Old)",'Job Sheet'!U20="Verticali Square Hooding",'Job Sheet'!U20="Zipscreen Hooding"),'Tube Cutting'!F20,""))</f>
        <v/>
      </c>
      <c r="F20" s="70" t="str">
        <f>IF('Job Sheet'!L20="","",IF(OR('Job Sheet'!U20="Verticali Hooding (Old)",'Job Sheet'!U20="Verticali Square Hooding",'Job Sheet'!U20="Zipscreen Hooding"),"Yes x 1 Pair",IF('Job Sheet'!U20="Verticali Colourbond Hooding","Verticali Colourbond x 1 Pair","")))</f>
        <v/>
      </c>
      <c r="G20" s="70" t="str">
        <f>IF('Job Sheet'!F20="","",IF(OR('Job Sheet'!U20="Verticali Hooding",'Job Sheet'!U20="Verticali Square Hooding",'Job Sheet'!U20="Zipscreen Hooding"),'Job Sheet'!V20,""))</f>
        <v/>
      </c>
      <c r="H20" s="142" t="str">
        <f>IF(Data!AV20="","",IF(AND(OR('Job Sheet'!U20="Verticali Hooding (Old)",'Job Sheet'!U20="Verticali Square Hooding"),'Job Sheet'!M20="Gearbox"),CONCATENATE('Job Sheet'!O20," Gear ",'Job Sheet'!P20),""))</f>
        <v/>
      </c>
      <c r="I20" s="70" t="str">
        <f>IF('Tube Cutting'!H20="Zinc for Powder Coating",'Tube Cutting'!D20,IF('Job Sheet'!U20="Powder Coated Brackets","1 Pair",""))</f>
        <v/>
      </c>
      <c r="J20" s="70" t="str">
        <f>IF(I20="","",'Job Sheet'!V20)</f>
        <v/>
      </c>
      <c r="K20" s="107" t="str">
        <f>'Tube Cutting'!I20</f>
        <v/>
      </c>
      <c r="L20" s="107" t="str">
        <f>'Tube Cutting'!J20</f>
        <v/>
      </c>
      <c r="M20" s="107" t="str">
        <f>'Job Sheet'!W20</f>
        <v/>
      </c>
      <c r="N20" s="107" t="str">
        <f>'Job Sheet'!I20</f>
        <v/>
      </c>
      <c r="O20" s="71" t="str">
        <f>'Job Sheet'!AI20</f>
        <v/>
      </c>
      <c r="P20" s="70" t="str">
        <f>'Job Sheet'!X20</f>
        <v/>
      </c>
      <c r="Q20" s="70" t="str">
        <f>'Job Sheet'!AE20</f>
        <v/>
      </c>
      <c r="R20" s="151">
        <f t="shared" si="0"/>
        <v>0</v>
      </c>
    </row>
    <row r="21" spans="1:9" ht="60" customHeight="1">
      <c r="A21" s="50"/>
      <c r="B21" s="37"/>
      <c r="C21" s="51"/>
      <c r="D21" s="51"/>
      <c r="E21" s="51"/>
      <c r="F21" s="36"/>
      <c r="G21" s="36"/>
      <c r="H21" s="36"/>
      <c r="I21" s="36"/>
    </row>
    <row r="22" spans="1:9" ht="60" customHeight="1">
      <c r="A22" s="50"/>
      <c r="B22" s="37"/>
      <c r="C22" s="51"/>
      <c r="D22" s="51"/>
      <c r="E22" s="51"/>
      <c r="F22" s="36"/>
      <c r="G22" s="36"/>
      <c r="H22" s="36"/>
      <c r="I22" s="36"/>
    </row>
    <row r="23" spans="1:9" ht="60" customHeight="1">
      <c r="A23" s="50"/>
      <c r="B23" s="37"/>
      <c r="C23" s="51"/>
      <c r="D23" s="51"/>
      <c r="E23" s="51"/>
      <c r="F23" s="36"/>
      <c r="G23" s="36"/>
      <c r="H23" s="36"/>
      <c r="I23" s="36"/>
    </row>
    <row r="24" spans="1:9" ht="60" customHeight="1">
      <c r="A24" s="50"/>
      <c r="B24" s="37"/>
      <c r="C24" s="51"/>
      <c r="D24" s="51"/>
      <c r="E24" s="51"/>
      <c r="F24" s="36"/>
      <c r="G24" s="36"/>
      <c r="H24" s="36"/>
      <c r="I24" s="36"/>
    </row>
    <row r="25" spans="1:9" ht="60" customHeight="1">
      <c r="A25" s="50"/>
      <c r="B25" s="37"/>
      <c r="C25" s="51"/>
      <c r="D25" s="51"/>
      <c r="E25" s="51"/>
      <c r="F25" s="36"/>
      <c r="G25" s="36"/>
      <c r="H25" s="36"/>
      <c r="I25" s="36"/>
    </row>
    <row r="26" spans="1:9" ht="60" customHeight="1">
      <c r="A26" s="50"/>
      <c r="B26" s="37"/>
      <c r="C26" s="51"/>
      <c r="D26" s="51"/>
      <c r="E26" s="51"/>
      <c r="F26" s="36"/>
      <c r="G26" s="36"/>
      <c r="H26" s="36"/>
      <c r="I26" s="36"/>
    </row>
    <row r="27" spans="1:9" ht="60" customHeight="1">
      <c r="A27" s="50"/>
      <c r="B27" s="37"/>
      <c r="C27" s="51"/>
      <c r="D27" s="51"/>
      <c r="E27" s="51"/>
      <c r="F27" s="36"/>
      <c r="G27" s="36"/>
      <c r="H27" s="36"/>
      <c r="I27" s="36"/>
    </row>
    <row r="28" spans="1:9" ht="60" customHeight="1">
      <c r="A28" s="50"/>
      <c r="B28" s="37"/>
      <c r="C28" s="51"/>
      <c r="D28" s="51"/>
      <c r="E28" s="51"/>
      <c r="F28" s="36"/>
      <c r="G28" s="36"/>
      <c r="H28" s="36"/>
      <c r="I28" s="36"/>
    </row>
    <row r="29" spans="1:9" ht="60" customHeight="1">
      <c r="A29" s="50"/>
      <c r="B29" s="37"/>
      <c r="C29" s="51"/>
      <c r="D29" s="51"/>
      <c r="E29" s="51"/>
      <c r="F29" s="36"/>
      <c r="G29" s="36"/>
      <c r="H29" s="36"/>
      <c r="I29" s="36"/>
    </row>
    <row r="30" spans="1:9" ht="60" customHeight="1">
      <c r="A30" s="50"/>
      <c r="B30" s="37"/>
      <c r="C30" s="51"/>
      <c r="D30" s="51"/>
      <c r="E30" s="51"/>
      <c r="F30" s="36"/>
      <c r="G30" s="36"/>
      <c r="H30" s="36"/>
      <c r="I30" s="36"/>
    </row>
    <row r="31" spans="1:9" ht="60" customHeight="1">
      <c r="A31" s="50"/>
      <c r="B31" s="37"/>
      <c r="C31" s="51"/>
      <c r="D31" s="51"/>
      <c r="E31" s="51"/>
      <c r="F31" s="36"/>
      <c r="G31" s="36"/>
      <c r="H31" s="36"/>
      <c r="I31" s="36"/>
    </row>
    <row r="32" spans="1:9" ht="60" customHeight="1">
      <c r="A32" s="50"/>
      <c r="B32" s="37"/>
      <c r="C32" s="51"/>
      <c r="D32" s="51"/>
      <c r="E32" s="51"/>
      <c r="F32" s="36"/>
      <c r="G32" s="36"/>
      <c r="H32" s="36"/>
      <c r="I32" s="36"/>
    </row>
    <row r="33" spans="1:9" ht="60" customHeight="1">
      <c r="A33" s="50"/>
      <c r="B33" s="37"/>
      <c r="C33" s="51"/>
      <c r="D33" s="51"/>
      <c r="E33" s="51"/>
      <c r="F33" s="36"/>
      <c r="G33" s="36"/>
      <c r="H33" s="36"/>
      <c r="I33" s="36"/>
    </row>
    <row r="34" ht="60" customHeight="1"/>
    <row r="35" ht="60" customHeight="1"/>
    <row r="36" ht="60" customHeight="1"/>
    <row r="37" ht="60" customHeight="1"/>
    <row r="38" ht="60" customHeight="1"/>
    <row r="39" ht="60" customHeight="1"/>
    <row r="40" ht="60" customHeight="1"/>
    <row r="41" ht="60" customHeight="1"/>
    <row r="42" ht="60" customHeight="1"/>
    <row r="43" ht="60" customHeight="1"/>
    <row r="44" ht="60" customHeight="1"/>
    <row r="45" ht="60" customHeight="1"/>
    <row r="46" ht="60" customHeight="1"/>
    <row r="47" ht="60" customHeight="1"/>
    <row r="48" ht="60" customHeight="1"/>
    <row r="49" ht="60" customHeight="1"/>
    <row r="50" ht="60" customHeight="1"/>
    <row r="51" ht="60" customHeight="1"/>
    <row r="52" ht="60" customHeight="1"/>
    <row r="53" ht="60" customHeight="1"/>
    <row r="54" ht="60" customHeight="1"/>
    <row r="55" ht="60" customHeight="1"/>
    <row r="56" ht="60" customHeight="1"/>
    <row r="57" ht="60" customHeight="1"/>
    <row r="58" ht="60" customHeight="1"/>
    <row r="59" ht="60" customHeight="1"/>
    <row r="60" ht="60" customHeight="1"/>
    <row r="61" ht="60" customHeight="1"/>
    <row r="62" ht="60" customHeight="1"/>
    <row r="63" ht="60" customHeight="1"/>
    <row r="64" ht="60" customHeight="1"/>
    <row r="65" ht="60" customHeight="1"/>
    <row r="66" ht="60" customHeight="1"/>
    <row r="67" ht="60" customHeight="1"/>
    <row r="68" ht="60" customHeight="1"/>
    <row r="69" ht="60" customHeight="1"/>
    <row r="70" ht="60" customHeight="1"/>
    <row r="71" ht="60" customHeight="1"/>
    <row r="72" ht="60" customHeight="1"/>
    <row r="73" ht="60" customHeight="1"/>
    <row r="74" ht="100.2" customHeight="1"/>
    <row r="75" ht="100.2" customHeight="1"/>
    <row r="76" ht="100.2" customHeight="1"/>
    <row r="77" ht="100.2" customHeight="1"/>
    <row r="78" ht="100.2" customHeight="1"/>
    <row r="79" ht="100.2" customHeight="1"/>
    <row r="80" ht="100.2" customHeight="1"/>
    <row r="81" ht="100.2" customHeight="1"/>
    <row r="82" ht="100.2" customHeight="1"/>
    <row r="83" ht="100.2" customHeight="1"/>
    <row r="84" ht="100.2" customHeight="1"/>
    <row r="85" ht="100.2" customHeight="1"/>
    <row r="86" ht="100.2" customHeight="1"/>
    <row r="87" ht="100.2" customHeight="1"/>
    <row r="88" ht="100.2" customHeight="1"/>
    <row r="89" ht="100.2" customHeight="1"/>
    <row r="90" ht="100.2" customHeight="1"/>
    <row r="91" ht="100.2" customHeight="1"/>
    <row r="92" ht="100.2" customHeight="1"/>
    <row r="93" ht="100.2" customHeight="1"/>
    <row r="94" ht="100.2" customHeight="1"/>
    <row r="95" ht="100.2" customHeight="1"/>
    <row r="96" ht="100.2" customHeight="1"/>
    <row r="97" ht="100.2" customHeight="1"/>
    <row r="98" ht="100.2" customHeight="1"/>
    <row r="99" ht="100.2" customHeight="1"/>
    <row r="100" ht="100.2" customHeight="1"/>
    <row r="101" ht="100.2" customHeight="1"/>
    <row r="102" ht="100.2" customHeight="1"/>
    <row r="103" ht="45" customHeight="1"/>
    <row r="104" ht="45" customHeight="1"/>
    <row r="105" ht="45" customHeight="1"/>
    <row r="106" ht="45" customHeight="1"/>
    <row r="107" ht="45" customHeight="1"/>
    <row r="108" ht="45" customHeight="1"/>
    <row r="109" ht="45" customHeight="1"/>
    <row r="110" ht="45" customHeight="1"/>
    <row r="111" ht="45" customHeight="1"/>
    <row r="112" ht="45" customHeight="1"/>
    <row r="113" ht="45" customHeight="1"/>
    <row r="114" ht="45" customHeight="1"/>
    <row r="115" ht="45" customHeight="1"/>
    <row r="116" ht="45" customHeight="1"/>
    <row r="117" ht="45" customHeight="1"/>
    <row r="118" ht="45" customHeight="1"/>
    <row r="119" ht="45" customHeight="1"/>
    <row r="120" ht="45" customHeight="1"/>
    <row r="121" ht="45" customHeight="1"/>
    <row r="122" ht="45" customHeight="1"/>
    <row r="123" ht="45" customHeight="1"/>
    <row r="124" ht="45" customHeight="1"/>
    <row r="125" ht="45" customHeight="1"/>
    <row r="126" ht="45" customHeight="1"/>
    <row r="127" ht="45" customHeight="1"/>
    <row r="128" ht="45" customHeight="1"/>
    <row r="129" ht="45" customHeight="1"/>
    <row r="130" ht="45" customHeight="1"/>
    <row r="131" ht="45" customHeight="1"/>
    <row r="132" ht="45" customHeight="1"/>
    <row r="133" ht="45" customHeight="1"/>
    <row r="134" ht="45" customHeight="1"/>
    <row r="135" ht="45" customHeight="1"/>
    <row r="136" ht="45" customHeight="1"/>
    <row r="137" ht="45" customHeight="1"/>
    <row r="138" ht="45" customHeight="1"/>
    <row r="139" ht="45" customHeight="1"/>
    <row r="140" ht="45" customHeight="1"/>
    <row r="141" ht="45" customHeight="1"/>
    <row r="142" ht="45" customHeight="1"/>
    <row r="143" ht="45" customHeight="1"/>
    <row r="144" ht="45" customHeight="1"/>
    <row r="145" ht="45" customHeight="1"/>
    <row r="146" ht="45" customHeight="1"/>
    <row r="147" ht="45" customHeight="1"/>
    <row r="148" ht="45" customHeight="1"/>
    <row r="149" ht="45" customHeight="1"/>
    <row r="150" ht="45" customHeight="1"/>
    <row r="151" ht="45" customHeight="1"/>
    <row r="152" ht="45" customHeight="1"/>
    <row r="153" ht="45" customHeight="1"/>
    <row r="154" ht="45" customHeight="1"/>
    <row r="155" ht="45" customHeight="1"/>
    <row r="156" ht="45" customHeight="1"/>
    <row r="157" ht="45" customHeight="1"/>
    <row r="158" ht="45" customHeight="1"/>
    <row r="159" ht="45" customHeight="1"/>
    <row r="160" ht="45" customHeight="1"/>
    <row r="161" ht="45" customHeight="1"/>
    <row r="162" ht="45" customHeight="1"/>
    <row r="163" ht="45" customHeight="1"/>
    <row r="164" ht="45" customHeight="1"/>
    <row r="165" ht="45" customHeight="1"/>
    <row r="166" ht="45" customHeight="1"/>
    <row r="167" ht="45" customHeight="1"/>
    <row r="168" ht="45" customHeight="1"/>
    <row r="169" ht="45" customHeight="1"/>
    <row r="170" ht="45" customHeight="1"/>
    <row r="171" ht="45" customHeight="1"/>
    <row r="172" ht="45" customHeight="1"/>
    <row r="173" ht="45" customHeight="1"/>
    <row r="174" ht="45" customHeight="1"/>
    <row r="175" ht="45" customHeight="1"/>
    <row r="176" ht="45" customHeight="1"/>
    <row r="177" ht="45" customHeight="1"/>
    <row r="178" ht="45" customHeight="1"/>
    <row r="179" ht="45" customHeight="1"/>
    <row r="180" ht="45" customHeight="1"/>
    <row r="181" ht="45" customHeight="1"/>
    <row r="182" ht="45" customHeight="1"/>
    <row r="183" ht="45" customHeight="1"/>
    <row r="184" ht="45" customHeight="1"/>
    <row r="185" ht="45" customHeight="1"/>
    <row r="186" ht="45" customHeight="1"/>
    <row r="187" ht="45" customHeight="1"/>
    <row r="188" ht="45" customHeight="1"/>
    <row r="189" ht="45" customHeight="1"/>
    <row r="190" ht="45" customHeight="1"/>
    <row r="191" ht="45" customHeight="1"/>
    <row r="192" ht="45" customHeight="1"/>
    <row r="193" ht="45" customHeight="1"/>
    <row r="194" ht="45" customHeight="1"/>
    <row r="195" ht="45" customHeight="1"/>
    <row r="196" ht="45" customHeight="1"/>
    <row r="197" ht="45" customHeight="1"/>
    <row r="198" ht="45" customHeight="1"/>
    <row r="199" ht="45" customHeight="1"/>
    <row r="200" ht="45" customHeight="1"/>
    <row r="201" ht="45" customHeight="1"/>
    <row r="202" ht="45" customHeight="1"/>
    <row r="203" ht="45" customHeight="1"/>
    <row r="204" ht="45" customHeight="1"/>
    <row r="205" ht="45" customHeight="1"/>
    <row r="206" ht="45" customHeight="1"/>
    <row r="207" ht="45" customHeight="1"/>
    <row r="208" ht="39.9" customHeight="1"/>
    <row r="209" ht="39.9" customHeight="1"/>
    <row r="210" ht="39.9" customHeight="1"/>
    <row r="211" ht="39.9" customHeight="1"/>
    <row r="212" ht="39.9" customHeight="1"/>
    <row r="213" ht="39.9" customHeight="1"/>
    <row r="214" ht="39.9" customHeight="1"/>
    <row r="215" ht="39.9" customHeight="1"/>
    <row r="216" ht="39.9" customHeight="1"/>
    <row r="217" ht="39.9" customHeight="1"/>
    <row r="218" ht="39.9" customHeight="1"/>
    <row r="219" ht="39.9" customHeight="1"/>
    <row r="220" ht="39.9" customHeight="1"/>
    <row r="221" ht="39.9" customHeight="1"/>
    <row r="222" ht="39.9" customHeight="1"/>
    <row r="223" ht="39.9" customHeight="1"/>
    <row r="224" ht="39.9" customHeight="1"/>
    <row r="225" ht="39.9" customHeight="1"/>
    <row r="226" ht="39.9" customHeight="1"/>
    <row r="227" ht="39.9" customHeight="1"/>
    <row r="228" ht="39.9" customHeight="1"/>
    <row r="229" ht="39.9" customHeight="1"/>
    <row r="230" ht="39.9" customHeight="1"/>
    <row r="231" ht="39.9" customHeight="1"/>
    <row r="232" ht="39.9" customHeight="1"/>
    <row r="233" ht="39.9" customHeight="1"/>
    <row r="234" ht="39.9" customHeight="1"/>
    <row r="235" ht="39.9" customHeight="1"/>
    <row r="236" ht="39.9" customHeight="1"/>
    <row r="237" ht="39.9" customHeight="1"/>
    <row r="238" ht="39.9" customHeight="1"/>
    <row r="239" ht="39.9" customHeight="1"/>
    <row r="240" ht="39.9" customHeight="1"/>
    <row r="241" ht="39.9" customHeight="1"/>
    <row r="242" ht="39.9" customHeight="1"/>
    <row r="243" ht="39.9" customHeight="1"/>
    <row r="244" ht="39.9" customHeight="1"/>
    <row r="245" ht="39.9" customHeight="1"/>
    <row r="246" ht="39.9" customHeight="1"/>
    <row r="247" ht="39.9" customHeight="1"/>
    <row r="248" ht="39.9" customHeight="1"/>
    <row r="249" ht="39.9" customHeight="1"/>
    <row r="250" ht="39.9" customHeight="1"/>
    <row r="251" ht="39.9" customHeight="1"/>
    <row r="252" ht="39.9" customHeight="1"/>
    <row r="253" ht="39.9" customHeight="1"/>
    <row r="254" ht="39.9" customHeight="1"/>
    <row r="255" ht="39.9" customHeight="1"/>
    <row r="256" ht="39.9" customHeight="1"/>
    <row r="257" ht="39.9" customHeight="1"/>
    <row r="258" ht="39.9" customHeight="1"/>
    <row r="259" ht="39.9" customHeight="1"/>
    <row r="260" ht="39.9" customHeight="1"/>
    <row r="261" ht="39.9" customHeight="1"/>
    <row r="262" ht="39.9" customHeight="1"/>
    <row r="263" ht="39.9" customHeight="1"/>
    <row r="264" ht="39.9" customHeight="1"/>
    <row r="265" ht="39.9" customHeight="1"/>
    <row r="266" ht="39.9" customHeight="1"/>
    <row r="267" ht="39.9" customHeight="1"/>
    <row r="268" ht="39.9" customHeight="1"/>
    <row r="269" ht="39.9" customHeight="1"/>
    <row r="270" ht="39.9" customHeight="1"/>
    <row r="271" ht="39.9" customHeight="1"/>
    <row r="272" ht="39.9" customHeight="1"/>
    <row r="273" ht="39.9" customHeight="1"/>
    <row r="274" ht="39.9" customHeight="1"/>
    <row r="275" ht="39.9" customHeight="1"/>
    <row r="276" ht="39.9" customHeight="1"/>
    <row r="277" ht="39.9" customHeight="1"/>
    <row r="278" ht="39.9" customHeight="1"/>
    <row r="279" ht="39.9" customHeight="1"/>
    <row r="280" ht="39.9" customHeight="1"/>
    <row r="281" ht="39.9" customHeight="1"/>
    <row r="282" ht="39.9" customHeight="1"/>
    <row r="283" ht="39.9" customHeight="1"/>
    <row r="284" ht="39.9" customHeight="1"/>
    <row r="285" ht="39.9" customHeight="1"/>
    <row r="286" ht="39.9" customHeight="1"/>
    <row r="287" ht="39.9" customHeight="1"/>
    <row r="288" ht="39.9" customHeight="1"/>
    <row r="289" ht="39.9" customHeight="1"/>
    <row r="290" ht="39.9" customHeight="1"/>
    <row r="291" ht="39.9" customHeight="1"/>
    <row r="292" ht="39.9" customHeight="1"/>
    <row r="293" ht="39.9" customHeight="1"/>
    <row r="294" ht="39.9" customHeight="1"/>
    <row r="295" ht="39.9" customHeight="1"/>
    <row r="296" ht="39.9" customHeight="1"/>
    <row r="297" ht="39.9" customHeight="1"/>
    <row r="298" ht="39.9" customHeight="1"/>
    <row r="299" ht="39.9" customHeight="1"/>
    <row r="300" ht="39.9" customHeight="1"/>
    <row r="301" ht="39.9" customHeight="1"/>
    <row r="302" ht="39.9" customHeight="1"/>
    <row r="303" ht="39.9" customHeight="1"/>
    <row r="304" ht="39.9" customHeight="1"/>
    <row r="305" ht="39.9" customHeight="1"/>
    <row r="306" ht="39.9" customHeight="1"/>
    <row r="307" ht="39.9" customHeight="1"/>
    <row r="308" ht="39.9" customHeight="1"/>
    <row r="309" ht="39.9" customHeight="1"/>
    <row r="310" ht="39.9" customHeight="1"/>
    <row r="311" ht="39.9" customHeight="1"/>
    <row r="312" ht="39.9" customHeight="1"/>
    <row r="313" ht="39.9" customHeight="1"/>
    <row r="314" ht="39.9" customHeight="1"/>
    <row r="315" ht="39.9" customHeight="1"/>
    <row r="316" ht="39.9" customHeight="1"/>
    <row r="317" ht="39.9" customHeight="1"/>
    <row r="318" ht="39.9" customHeight="1"/>
    <row r="319" ht="39.9" customHeight="1"/>
    <row r="320" ht="39.9" customHeight="1"/>
    <row r="321" ht="39.9" customHeight="1"/>
    <row r="322" ht="39.9" customHeight="1"/>
    <row r="323" ht="39.9" customHeight="1"/>
    <row r="324" ht="39.9" customHeight="1"/>
    <row r="325" ht="39.9" customHeight="1"/>
    <row r="326" ht="39.9" customHeight="1"/>
    <row r="327" ht="39.9" customHeight="1"/>
    <row r="328" ht="39.9" customHeight="1"/>
    <row r="329" ht="39.9" customHeight="1"/>
    <row r="330" ht="39.9" customHeight="1"/>
    <row r="331" ht="39.9" customHeight="1"/>
    <row r="332" ht="39.9" customHeight="1"/>
    <row r="333" ht="39.9" customHeight="1"/>
    <row r="334" ht="39.9" customHeight="1"/>
    <row r="335" ht="39.9" customHeight="1"/>
    <row r="336" ht="39.9" customHeight="1"/>
    <row r="337" ht="39.9" customHeight="1"/>
    <row r="338" ht="39.9" customHeight="1"/>
    <row r="339" ht="39.9" customHeight="1"/>
    <row r="340" ht="39.9" customHeight="1"/>
    <row r="341" ht="39.9" customHeight="1"/>
    <row r="342" ht="39.9" customHeight="1"/>
    <row r="343" ht="39.9" customHeight="1"/>
    <row r="344" ht="39.9" customHeight="1"/>
    <row r="345" ht="39.9" customHeight="1"/>
    <row r="346" ht="39.9" customHeight="1"/>
    <row r="347" ht="39.9" customHeight="1"/>
    <row r="348" ht="39.9" customHeight="1"/>
    <row r="349" ht="39.9" customHeight="1"/>
    <row r="350" ht="39.9" customHeight="1"/>
    <row r="351" ht="39.9" customHeight="1"/>
    <row r="352" ht="39.9" customHeight="1"/>
    <row r="353" ht="39.9" customHeight="1"/>
    <row r="354" ht="39.9" customHeight="1"/>
    <row r="355" ht="39.9" customHeight="1"/>
    <row r="356" ht="39.9" customHeight="1"/>
    <row r="357" ht="39.9" customHeight="1"/>
    <row r="358" ht="39.9" customHeight="1"/>
    <row r="359" ht="39.9" customHeight="1"/>
    <row r="360" ht="39.9" customHeight="1"/>
    <row r="361" ht="39.9" customHeight="1"/>
    <row r="362" ht="39.9" customHeight="1"/>
    <row r="363" ht="39.9" customHeight="1"/>
    <row r="364" ht="39.9" customHeight="1"/>
    <row r="365" ht="39.9" customHeight="1"/>
    <row r="366" ht="39.9" customHeight="1"/>
    <row r="367" ht="39.9" customHeight="1"/>
  </sheetData>
  <mergeCells count="40">
    <mergeCell ref="A8:A10"/>
    <mergeCell ref="B8:B10"/>
    <mergeCell ref="D8:D10"/>
    <mergeCell ref="E8:E10"/>
    <mergeCell ref="C8:C10"/>
    <mergeCell ref="Q8:Q10"/>
    <mergeCell ref="P8:P10"/>
    <mergeCell ref="J8:J10"/>
    <mergeCell ref="K8:K10"/>
    <mergeCell ref="L8:L10"/>
    <mergeCell ref="M8:M10"/>
    <mergeCell ref="O8:O10"/>
    <mergeCell ref="N8:N10"/>
    <mergeCell ref="E3:F3"/>
    <mergeCell ref="G8:G10"/>
    <mergeCell ref="F8:F10"/>
    <mergeCell ref="G6:K6"/>
    <mergeCell ref="I8:I10"/>
    <mergeCell ref="E4:F4"/>
    <mergeCell ref="E5:F7"/>
    <mergeCell ref="G7:K7"/>
    <mergeCell ref="H8:H10"/>
    <mergeCell ref="G4:K4"/>
    <mergeCell ref="G5:K5"/>
    <mergeCell ref="R8:R10"/>
    <mergeCell ref="A1:R1"/>
    <mergeCell ref="L2:R2"/>
    <mergeCell ref="L3:R7"/>
    <mergeCell ref="A3:B3"/>
    <mergeCell ref="A4:B4"/>
    <mergeCell ref="A5:B5"/>
    <mergeCell ref="A6:D7"/>
    <mergeCell ref="G2:K2"/>
    <mergeCell ref="G3:K3"/>
    <mergeCell ref="A2:B2"/>
    <mergeCell ref="C5:D5"/>
    <mergeCell ref="C4:D4"/>
    <mergeCell ref="C3:D3"/>
    <mergeCell ref="C2:D2"/>
    <mergeCell ref="E2:F2"/>
  </mergeCells>
  <printOptions horizontalCentered="1"/>
  <pageMargins left="0.626771653543328" right="0.626771653543328" top="0.3" bottom="0.3" header="0.3" footer="0.3"/>
  <pageSetup fitToHeight="0" horizontalDpi="300" verticalDpi="300" orientation="landscape" paperSize="9" scale="1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pageSetUpPr fitToPage="1"/>
  </sheetPr>
  <dimension ref="A1:N20"/>
  <sheetViews>
    <sheetView showZeros="0" view="pageBreakPreview" zoomScale="40" zoomScaleNormal="25" zoomScaleSheetLayoutView="40" zoomScalePageLayoutView="25" workbookViewId="0" topLeftCell="A1">
      <selection pane="topLeft" activeCell="A1" sqref="A1:N1"/>
    </sheetView>
  </sheetViews>
  <sheetFormatPr defaultColWidth="9.44140625" defaultRowHeight="39.9" customHeight="1"/>
  <cols>
    <col min="1" max="1" width="11.2857142857143" style="47" customWidth="1"/>
    <col min="2" max="2" width="47.2857142857143" style="47" customWidth="1"/>
    <col min="3" max="3" width="58.2857142857143" style="47" bestFit="1" customWidth="1"/>
    <col min="4" max="4" width="19" style="47" customWidth="1"/>
    <col min="5" max="5" width="42.2857142857143" style="47" customWidth="1"/>
    <col min="6" max="6" width="28.7142857142857" style="47" customWidth="1"/>
    <col min="7" max="7" width="22.8571428571429" style="47" customWidth="1"/>
    <col min="8" max="8" width="30.7142857142857" style="47" customWidth="1"/>
    <col min="9" max="9" width="23" style="47" customWidth="1"/>
    <col min="10" max="10" width="29.4285714285714" style="47" customWidth="1"/>
    <col min="11" max="11" width="27.5714285714286" style="47" customWidth="1"/>
    <col min="12" max="12" width="49.7142857142857" customWidth="1"/>
    <col min="13" max="13" width="92.8571428571429" customWidth="1"/>
    <col min="14" max="14" width="21.2857142857143" customWidth="1"/>
  </cols>
  <sheetData>
    <row r="1" spans="1:14" s="24" customFormat="1" ht="219.15" customHeight="1">
      <c r="A1" s="217" t="s">
        <v>972</v>
      </c>
      <c r="B1" s="217"/>
      <c r="C1" s="217"/>
      <c r="D1" s="217"/>
      <c r="E1" s="217"/>
      <c r="F1" s="217"/>
      <c r="G1" s="217"/>
      <c r="H1" s="217"/>
      <c r="I1" s="217"/>
      <c r="J1" s="217"/>
      <c r="K1" s="217"/>
      <c r="L1" s="217"/>
      <c r="M1" s="217"/>
      <c r="N1" s="217"/>
    </row>
    <row r="2" spans="1:14" s="73" customFormat="1" ht="49.95" customHeight="1">
      <c r="A2" s="221" t="s">
        <v>7</v>
      </c>
      <c r="B2" s="221"/>
      <c r="C2" s="167"/>
      <c r="D2" s="223" t="s">
        <v>118</v>
      </c>
      <c r="E2" s="223"/>
      <c r="F2" s="223"/>
      <c r="G2" s="219" t="str">
        <f>Data!BF5</f>
        <v>Campbell, Neil</v>
      </c>
      <c r="H2" s="219"/>
      <c r="I2" s="219"/>
      <c r="J2" s="219"/>
      <c r="K2" s="219"/>
      <c r="L2" s="7" t="s">
        <v>4</v>
      </c>
      <c r="M2" s="7"/>
      <c r="N2" s="7"/>
    </row>
    <row r="3" spans="1:14" s="73" customFormat="1" ht="49.95" customHeight="1">
      <c r="A3" s="221" t="s">
        <v>142</v>
      </c>
      <c r="B3" s="221"/>
      <c r="C3" s="168" t="str">
        <f>Data!BC5</f>
        <v>12085</v>
      </c>
      <c r="D3" s="224" t="s">
        <v>8</v>
      </c>
      <c r="E3" s="224"/>
      <c r="F3" s="224"/>
      <c r="G3" s="220" t="str">
        <f>Data!AX5</f>
        <v>Verticali Patio Blinds &amp; Fixed Guide Awnings</v>
      </c>
      <c r="H3" s="220"/>
      <c r="I3" s="220"/>
      <c r="J3" s="220"/>
      <c r="K3" s="220"/>
      <c r="L3" s="218" t="str">
        <f>TRIM(Data!BG5)</f>
        <v/>
      </c>
      <c r="M3" s="218"/>
      <c r="N3" s="218"/>
    </row>
    <row r="4" spans="1:14" s="67" customFormat="1" ht="49.95" customHeight="1">
      <c r="A4" s="222" t="s">
        <v>15</v>
      </c>
      <c r="B4" s="222"/>
      <c r="C4" s="168" t="str">
        <f>Data!BD5</f>
        <v>A</v>
      </c>
      <c r="D4" s="224" t="s">
        <v>136</v>
      </c>
      <c r="E4" s="224"/>
      <c r="F4" s="224"/>
      <c r="G4" s="220" t="str">
        <f>Data!BA5</f>
        <v>18/09/2026 12:00:00 AM</v>
      </c>
      <c r="H4" s="220"/>
      <c r="I4" s="220"/>
      <c r="J4" s="220"/>
      <c r="K4" s="220"/>
      <c r="L4" s="218"/>
      <c r="M4" s="218"/>
      <c r="N4" s="218"/>
    </row>
    <row r="5" spans="1:14" s="67" customFormat="1" ht="49.95" customHeight="1">
      <c r="A5" s="213" t="s">
        <v>10</v>
      </c>
      <c r="B5" s="213"/>
      <c r="C5" s="169" t="str">
        <f>Data!AY5</f>
        <v>6/08/2026 12:00:00 AM</v>
      </c>
      <c r="D5" s="216" t="s">
        <v>12</v>
      </c>
      <c r="E5" s="216"/>
      <c r="F5" s="216"/>
      <c r="G5" s="219" t="str">
        <f>TRIM(Data!BF5)</f>
        <v>Campbell, Neil</v>
      </c>
      <c r="H5" s="219"/>
      <c r="I5" s="219"/>
      <c r="J5" s="219"/>
      <c r="K5" s="219"/>
      <c r="L5" s="218"/>
      <c r="M5" s="218"/>
      <c r="N5" s="218"/>
    </row>
    <row r="6" spans="1:14" s="67" customFormat="1" ht="49.95" customHeight="1">
      <c r="A6" s="214" t="str">
        <f>Data!CZ5</f>
        <v>Retail Customer</v>
      </c>
      <c r="B6" s="214"/>
      <c r="C6" s="214"/>
      <c r="D6" s="216"/>
      <c r="E6" s="216"/>
      <c r="F6" s="216"/>
      <c r="G6" s="219" t="str">
        <f>CONCATENATE(Data!BH5," ",Data!BI5," ",Data!BJ5," ",Data!BK5," ",Data!BL5)</f>
        <v xml:space="preserve"> 7161  Midland Highway </v>
      </c>
      <c r="H6" s="219"/>
      <c r="I6" s="219"/>
      <c r="J6" s="219"/>
      <c r="K6" s="219"/>
      <c r="L6" s="218"/>
      <c r="M6" s="218"/>
      <c r="N6" s="218"/>
    </row>
    <row r="7" spans="1:14" s="67" customFormat="1" ht="49.95" customHeight="1">
      <c r="A7" s="214"/>
      <c r="B7" s="214"/>
      <c r="C7" s="214"/>
      <c r="D7" s="216"/>
      <c r="E7" s="216"/>
      <c r="F7" s="216"/>
      <c r="G7" s="219" t="str">
        <f>CONCATENATE(Data!BM5," ",Data!BN5," ",Data!BO5," ",Data!BP5)</f>
        <v>Buninyong VIC 3357 Australia</v>
      </c>
      <c r="H7" s="219"/>
      <c r="I7" s="219"/>
      <c r="J7" s="219"/>
      <c r="K7" s="219"/>
      <c r="L7" s="218"/>
      <c r="M7" s="218"/>
      <c r="N7" s="218"/>
    </row>
    <row r="8" spans="1:14" s="74" customFormat="1" ht="50.1" customHeight="1">
      <c r="A8" s="5" t="s">
        <v>141</v>
      </c>
      <c r="B8" s="174" t="s">
        <v>120</v>
      </c>
      <c r="C8" s="215" t="s">
        <v>119</v>
      </c>
      <c r="D8" s="6" t="s">
        <v>149</v>
      </c>
      <c r="E8" s="215" t="s">
        <v>169</v>
      </c>
      <c r="F8" s="7" t="s">
        <v>682</v>
      </c>
      <c r="G8" s="6" t="s">
        <v>352</v>
      </c>
      <c r="H8" s="174" t="s">
        <v>172</v>
      </c>
      <c r="I8" s="174" t="s">
        <v>685</v>
      </c>
      <c r="J8" s="174" t="s">
        <v>376</v>
      </c>
      <c r="K8" s="174" t="s">
        <v>377</v>
      </c>
      <c r="L8" s="174" t="s">
        <v>371</v>
      </c>
      <c r="M8" s="7" t="s">
        <v>5</v>
      </c>
      <c r="N8" s="7" t="s">
        <v>684</v>
      </c>
    </row>
    <row r="9" spans="1:14" s="74" customFormat="1" ht="14.25" customHeight="1" hidden="1">
      <c r="A9" s="5"/>
      <c r="B9" s="174"/>
      <c r="C9" s="215"/>
      <c r="D9" s="6"/>
      <c r="E9" s="215"/>
      <c r="F9" s="7"/>
      <c r="G9" s="6"/>
      <c r="H9" s="174"/>
      <c r="I9" s="174"/>
      <c r="J9" s="174"/>
      <c r="K9" s="174"/>
      <c r="L9" s="174"/>
      <c r="M9" s="7"/>
      <c r="N9" s="7"/>
    </row>
    <row r="10" spans="1:14" s="75" customFormat="1" ht="97.5" customHeight="1">
      <c r="A10" s="5"/>
      <c r="B10" s="174"/>
      <c r="C10" s="215"/>
      <c r="D10" s="6"/>
      <c r="E10" s="215"/>
      <c r="F10" s="7"/>
      <c r="G10" s="6"/>
      <c r="H10" s="174"/>
      <c r="I10" s="174"/>
      <c r="J10" s="174"/>
      <c r="K10" s="174"/>
      <c r="L10" s="174"/>
      <c r="M10" s="7"/>
      <c r="N10" s="7"/>
    </row>
    <row r="11" spans="1:14" s="77" customFormat="1" ht="69.6" customHeight="1">
      <c r="A11" s="91">
        <f>Data!AW11</f>
        <v>1</v>
      </c>
      <c r="B11" s="69" t="str">
        <f>Data!AY11</f>
        <v>Patio 1</v>
      </c>
      <c r="C11" s="136" t="str">
        <f>MID('Job Sheet'!K11,3,80)</f>
        <v>Verticali</v>
      </c>
      <c r="D11" s="86" t="str">
        <f>'Tube Cutting'!P11</f>
        <v>78mm</v>
      </c>
      <c r="E11" s="137" t="str">
        <f>'Job Sheet'!M11</f>
        <v>Becker Remote Operated</v>
      </c>
      <c r="F11" s="87" t="str">
        <f>'Job Sheet'!P11</f>
        <v>Right</v>
      </c>
      <c r="G11" s="87">
        <f>'Tube Cutting'!N11</f>
        <v>3812</v>
      </c>
      <c r="H11" s="70" t="str">
        <f>'Job Sheet'!X11</f>
        <v>Paperbark (Merino)</v>
      </c>
      <c r="I11" s="70" t="str">
        <f>'Tube Cutting'!R11</f>
        <v>1000 x 2</v>
      </c>
      <c r="J11" s="70" t="str">
        <f>IF(OR(C11="Zipscreen",D11=""),"","2 x 10mm")</f>
        <v>2 x 10mm</v>
      </c>
      <c r="K11" s="70" t="str">
        <f>IF(OR(C11="Zipscreen",Data!AV11="",G11&lt;2000),"",CONCATENATE(G11-2000,"mm"))</f>
        <v>1812mm</v>
      </c>
      <c r="L11" s="70" t="str">
        <f>IF(C11="Zipscreen","Zipscreen Bubble Seal",'Job Sheet'!Z11)</f>
        <v>30mm Bubble Seal</v>
      </c>
      <c r="M11" s="70" t="str">
        <f>'Job Sheet'!AE11</f>
        <v/>
      </c>
      <c r="N11" s="151">
        <f>A11</f>
        <v>1</v>
      </c>
    </row>
    <row r="12" spans="1:14" s="77" customFormat="1" ht="60" customHeight="1">
      <c r="A12" s="91">
        <f>Data!AW12</f>
        <v>0</v>
      </c>
      <c r="B12" s="69">
        <f>Data!AY12</f>
        <v>0</v>
      </c>
      <c r="C12" s="136" t="str">
        <f>MID('Job Sheet'!K12,3,80)</f>
        <v/>
      </c>
      <c r="D12" s="86" t="str">
        <f>'Tube Cutting'!P12</f>
        <v/>
      </c>
      <c r="E12" s="137" t="str">
        <f>'Job Sheet'!M12</f>
        <v/>
      </c>
      <c r="F12" s="87" t="str">
        <f>'Job Sheet'!P12</f>
        <v/>
      </c>
      <c r="G12" s="87" t="str">
        <f>'Tube Cutting'!N12</f>
        <v/>
      </c>
      <c r="H12" s="70" t="str">
        <f>'Job Sheet'!X12</f>
        <v/>
      </c>
      <c r="I12" s="70" t="str">
        <f>'Tube Cutting'!R12</f>
        <v/>
      </c>
      <c r="J12" s="70" t="str">
        <f t="shared" si="0" ref="J12:J20">IF(OR(C12="Zipscreen",D12=""),"","2 x 10mm")</f>
        <v/>
      </c>
      <c r="K12" s="70" t="str">
        <f>IF(OR(C12="Zipscreen",Data!AV12="",G12&lt;2000),"",CONCATENATE(G12-2000,"mm"))</f>
        <v/>
      </c>
      <c r="L12" s="70" t="str">
        <f>IF(C12="Zipscreen","Zipscreen Bubble Seal",'Job Sheet'!Z12)</f>
        <v/>
      </c>
      <c r="M12" s="70" t="str">
        <f>'Job Sheet'!AE12</f>
        <v/>
      </c>
      <c r="N12" s="151">
        <f t="shared" si="1" ref="N12:N20">A12</f>
        <v>0</v>
      </c>
    </row>
    <row r="13" spans="1:14" s="77" customFormat="1" ht="60" customHeight="1">
      <c r="A13" s="91">
        <f>Data!AW13</f>
        <v>0</v>
      </c>
      <c r="B13" s="69">
        <f>Data!AY13</f>
        <v>0</v>
      </c>
      <c r="C13" s="136" t="str">
        <f>MID('Job Sheet'!K13,3,80)</f>
        <v/>
      </c>
      <c r="D13" s="86" t="str">
        <f>'Tube Cutting'!P13</f>
        <v/>
      </c>
      <c r="E13" s="137" t="str">
        <f>'Job Sheet'!M13</f>
        <v/>
      </c>
      <c r="F13" s="87" t="str">
        <f>'Job Sheet'!P13</f>
        <v/>
      </c>
      <c r="G13" s="87" t="str">
        <f>'Tube Cutting'!N13</f>
        <v/>
      </c>
      <c r="H13" s="70" t="str">
        <f>'Job Sheet'!X13</f>
        <v/>
      </c>
      <c r="I13" s="70" t="str">
        <f>'Tube Cutting'!R13</f>
        <v/>
      </c>
      <c r="J13" s="70" t="str">
        <f t="shared" si="0"/>
        <v/>
      </c>
      <c r="K13" s="70" t="str">
        <f>IF(OR(C13="Zipscreen",Data!AV13="",G13&lt;2000),"",CONCATENATE(G13-2000,"mm"))</f>
        <v/>
      </c>
      <c r="L13" s="70" t="str">
        <f>IF(C13="Zipscreen","Zipscreen Bubble Seal",'Job Sheet'!Z13)</f>
        <v/>
      </c>
      <c r="M13" s="70" t="str">
        <f>'Job Sheet'!AE13</f>
        <v/>
      </c>
      <c r="N13" s="151">
        <f t="shared" si="1"/>
        <v>0</v>
      </c>
    </row>
    <row r="14" spans="1:14" s="77" customFormat="1" ht="60" customHeight="1">
      <c r="A14" s="91">
        <f>Data!AW14</f>
        <v>0</v>
      </c>
      <c r="B14" s="69">
        <f>Data!AY14</f>
        <v>0</v>
      </c>
      <c r="C14" s="136" t="str">
        <f>MID('Job Sheet'!K14,3,80)</f>
        <v/>
      </c>
      <c r="D14" s="86" t="str">
        <f>'Tube Cutting'!P14</f>
        <v/>
      </c>
      <c r="E14" s="137" t="str">
        <f>'Job Sheet'!M14</f>
        <v/>
      </c>
      <c r="F14" s="87" t="str">
        <f>'Job Sheet'!P14</f>
        <v/>
      </c>
      <c r="G14" s="87" t="str">
        <f>'Tube Cutting'!N14</f>
        <v/>
      </c>
      <c r="H14" s="70" t="str">
        <f>'Job Sheet'!X14</f>
        <v/>
      </c>
      <c r="I14" s="70" t="str">
        <f>'Tube Cutting'!R14</f>
        <v/>
      </c>
      <c r="J14" s="70" t="str">
        <f t="shared" si="0"/>
        <v/>
      </c>
      <c r="K14" s="70" t="str">
        <f>IF(OR(C14="Zipscreen",Data!AV14="",G14&lt;2000),"",CONCATENATE(G14-2000,"mm"))</f>
        <v/>
      </c>
      <c r="L14" s="70" t="str">
        <f>IF(C14="Zipscreen","Zipscreen Bubble Seal",'Job Sheet'!Z14)</f>
        <v/>
      </c>
      <c r="M14" s="70" t="str">
        <f>'Job Sheet'!AE14</f>
        <v/>
      </c>
      <c r="N14" s="151">
        <f t="shared" si="1"/>
        <v>0</v>
      </c>
    </row>
    <row r="15" spans="1:14" s="77" customFormat="1" ht="60" customHeight="1">
      <c r="A15" s="91">
        <f>Data!AW15</f>
        <v>0</v>
      </c>
      <c r="B15" s="69">
        <f>Data!AY15</f>
        <v>0</v>
      </c>
      <c r="C15" s="136" t="str">
        <f>MID('Job Sheet'!K15,3,80)</f>
        <v/>
      </c>
      <c r="D15" s="86" t="str">
        <f>'Tube Cutting'!P15</f>
        <v/>
      </c>
      <c r="E15" s="137" t="str">
        <f>'Job Sheet'!M15</f>
        <v/>
      </c>
      <c r="F15" s="87" t="str">
        <f>'Job Sheet'!P15</f>
        <v/>
      </c>
      <c r="G15" s="87" t="str">
        <f>'Tube Cutting'!N15</f>
        <v/>
      </c>
      <c r="H15" s="70" t="str">
        <f>'Job Sheet'!X15</f>
        <v/>
      </c>
      <c r="I15" s="70" t="str">
        <f>'Tube Cutting'!R15</f>
        <v/>
      </c>
      <c r="J15" s="70" t="str">
        <f t="shared" si="0"/>
        <v/>
      </c>
      <c r="K15" s="70" t="str">
        <f>IF(OR(C15="Zipscreen",Data!AV15="",G15&lt;2000),"",CONCATENATE(G15-2000,"mm"))</f>
        <v/>
      </c>
      <c r="L15" s="70" t="str">
        <f>IF(C15="Zipscreen","Zipscreen Bubble Seal",'Job Sheet'!Z15)</f>
        <v/>
      </c>
      <c r="M15" s="70" t="str">
        <f>'Job Sheet'!AE15</f>
        <v/>
      </c>
      <c r="N15" s="151">
        <f t="shared" si="1"/>
        <v>0</v>
      </c>
    </row>
    <row r="16" spans="1:14" s="77" customFormat="1" ht="60" customHeight="1">
      <c r="A16" s="91">
        <f>Data!AW16</f>
        <v>0</v>
      </c>
      <c r="B16" s="69">
        <f>Data!AY16</f>
        <v>0</v>
      </c>
      <c r="C16" s="136" t="str">
        <f>MID('Job Sheet'!K16,3,80)</f>
        <v/>
      </c>
      <c r="D16" s="86" t="str">
        <f>'Tube Cutting'!P16</f>
        <v/>
      </c>
      <c r="E16" s="137" t="str">
        <f>'Job Sheet'!M16</f>
        <v/>
      </c>
      <c r="F16" s="87" t="str">
        <f>'Job Sheet'!P16</f>
        <v/>
      </c>
      <c r="G16" s="87" t="str">
        <f>'Tube Cutting'!N16</f>
        <v/>
      </c>
      <c r="H16" s="70" t="str">
        <f>'Job Sheet'!X16</f>
        <v/>
      </c>
      <c r="I16" s="70" t="str">
        <f>'Tube Cutting'!R16</f>
        <v/>
      </c>
      <c r="J16" s="70" t="str">
        <f t="shared" si="0"/>
        <v/>
      </c>
      <c r="K16" s="70" t="str">
        <f>IF(OR(C16="Zipscreen",Data!AV16="",G16&lt;2000),"",CONCATENATE(G16-2000,"mm"))</f>
        <v/>
      </c>
      <c r="L16" s="70" t="str">
        <f>IF(C16="Zipscreen","Zipscreen Bubble Seal",'Job Sheet'!Z16)</f>
        <v/>
      </c>
      <c r="M16" s="70" t="str">
        <f>'Job Sheet'!AE16</f>
        <v/>
      </c>
      <c r="N16" s="151">
        <f t="shared" si="1"/>
        <v>0</v>
      </c>
    </row>
    <row r="17" spans="1:14" s="77" customFormat="1" ht="60" customHeight="1">
      <c r="A17" s="91">
        <f>Data!AW17</f>
        <v>0</v>
      </c>
      <c r="B17" s="69">
        <f>Data!AY17</f>
        <v>0</v>
      </c>
      <c r="C17" s="136" t="str">
        <f>MID('Job Sheet'!K17,3,80)</f>
        <v/>
      </c>
      <c r="D17" s="86" t="str">
        <f>'Tube Cutting'!P17</f>
        <v/>
      </c>
      <c r="E17" s="137" t="str">
        <f>'Job Sheet'!M17</f>
        <v/>
      </c>
      <c r="F17" s="87" t="str">
        <f>'Job Sheet'!P17</f>
        <v/>
      </c>
      <c r="G17" s="87" t="str">
        <f>'Tube Cutting'!N17</f>
        <v/>
      </c>
      <c r="H17" s="70" t="str">
        <f>'Job Sheet'!X17</f>
        <v/>
      </c>
      <c r="I17" s="70" t="str">
        <f>'Tube Cutting'!R17</f>
        <v/>
      </c>
      <c r="J17" s="70" t="str">
        <f t="shared" si="0"/>
        <v/>
      </c>
      <c r="K17" s="70" t="str">
        <f>IF(OR(C17="Zipscreen",Data!AV17="",G17&lt;2000),"",CONCATENATE(G17-2000,"mm"))</f>
        <v/>
      </c>
      <c r="L17" s="70" t="str">
        <f>IF(C17="Zipscreen","Zipscreen Bubble Seal",'Job Sheet'!Z17)</f>
        <v/>
      </c>
      <c r="M17" s="70" t="str">
        <f>'Job Sheet'!AE17</f>
        <v/>
      </c>
      <c r="N17" s="151">
        <f t="shared" si="1"/>
        <v>0</v>
      </c>
    </row>
    <row r="18" spans="1:14" s="77" customFormat="1" ht="60" customHeight="1">
      <c r="A18" s="91">
        <f>Data!AW18</f>
        <v>0</v>
      </c>
      <c r="B18" s="69">
        <f>Data!AY18</f>
        <v>0</v>
      </c>
      <c r="C18" s="136" t="str">
        <f>MID('Job Sheet'!K18,3,80)</f>
        <v/>
      </c>
      <c r="D18" s="86" t="str">
        <f>'Tube Cutting'!P18</f>
        <v/>
      </c>
      <c r="E18" s="137" t="str">
        <f>'Job Sheet'!M18</f>
        <v/>
      </c>
      <c r="F18" s="87" t="str">
        <f>'Job Sheet'!P18</f>
        <v/>
      </c>
      <c r="G18" s="87" t="str">
        <f>'Tube Cutting'!N18</f>
        <v/>
      </c>
      <c r="H18" s="70" t="str">
        <f>'Job Sheet'!X18</f>
        <v/>
      </c>
      <c r="I18" s="70" t="str">
        <f>'Tube Cutting'!R18</f>
        <v/>
      </c>
      <c r="J18" s="70" t="str">
        <f t="shared" si="0"/>
        <v/>
      </c>
      <c r="K18" s="70" t="str">
        <f>IF(OR(C18="Zipscreen",Data!AV18="",G18&lt;2000),"",CONCATENATE(G18-2000,"mm"))</f>
        <v/>
      </c>
      <c r="L18" s="70" t="str">
        <f>IF(C18="Zipscreen","Zipscreen Bubble Seal",'Job Sheet'!Z18)</f>
        <v/>
      </c>
      <c r="M18" s="70" t="str">
        <f>'Job Sheet'!AE18</f>
        <v/>
      </c>
      <c r="N18" s="151">
        <f t="shared" si="1"/>
        <v>0</v>
      </c>
    </row>
    <row r="19" spans="1:14" s="68" customFormat="1" ht="60" customHeight="1">
      <c r="A19" s="91">
        <f>Data!AW19</f>
        <v>0</v>
      </c>
      <c r="B19" s="69">
        <f>Data!AY19</f>
        <v>0</v>
      </c>
      <c r="C19" s="136" t="str">
        <f>MID('Job Sheet'!K19,3,80)</f>
        <v/>
      </c>
      <c r="D19" s="86" t="str">
        <f>'Tube Cutting'!P19</f>
        <v/>
      </c>
      <c r="E19" s="137" t="str">
        <f>'Job Sheet'!M19</f>
        <v/>
      </c>
      <c r="F19" s="87" t="str">
        <f>'Job Sheet'!P19</f>
        <v/>
      </c>
      <c r="G19" s="87" t="str">
        <f>'Tube Cutting'!N19</f>
        <v/>
      </c>
      <c r="H19" s="70" t="str">
        <f>'Job Sheet'!X19</f>
        <v/>
      </c>
      <c r="I19" s="70" t="str">
        <f>'Tube Cutting'!R19</f>
        <v/>
      </c>
      <c r="J19" s="70" t="str">
        <f t="shared" si="0"/>
        <v/>
      </c>
      <c r="K19" s="70" t="str">
        <f>IF(OR(C19="Zipscreen",Data!AV19="",G19&lt;2000),"",CONCATENATE(G19-2000,"mm"))</f>
        <v/>
      </c>
      <c r="L19" s="70" t="str">
        <f>IF(C19="Zipscreen","Zipscreen Bubble Seal",'Job Sheet'!Z19)</f>
        <v/>
      </c>
      <c r="M19" s="70" t="str">
        <f>'Job Sheet'!AE19</f>
        <v/>
      </c>
      <c r="N19" s="151">
        <f t="shared" si="1"/>
        <v>0</v>
      </c>
    </row>
    <row r="20" spans="1:14" s="68" customFormat="1" ht="60" customHeight="1">
      <c r="A20" s="91">
        <f>Data!AW20</f>
        <v>0</v>
      </c>
      <c r="B20" s="69">
        <f>Data!AY20</f>
        <v>0</v>
      </c>
      <c r="C20" s="136" t="str">
        <f>MID('Job Sheet'!K20,3,80)</f>
        <v/>
      </c>
      <c r="D20" s="86" t="str">
        <f>'Tube Cutting'!P20</f>
        <v/>
      </c>
      <c r="E20" s="137" t="str">
        <f>'Job Sheet'!M20</f>
        <v/>
      </c>
      <c r="F20" s="87" t="str">
        <f>'Job Sheet'!P20</f>
        <v/>
      </c>
      <c r="G20" s="87" t="str">
        <f>'Tube Cutting'!N20</f>
        <v/>
      </c>
      <c r="H20" s="70" t="str">
        <f>'Job Sheet'!X20</f>
        <v/>
      </c>
      <c r="I20" s="70" t="str">
        <f>'Tube Cutting'!R20</f>
        <v/>
      </c>
      <c r="J20" s="70" t="str">
        <f t="shared" si="0"/>
        <v/>
      </c>
      <c r="K20" s="70" t="str">
        <f>IF(OR(C20="Zipscreen",Data!AV20="",G20&lt;2000),"",CONCATENATE(G20-2000,"mm"))</f>
        <v/>
      </c>
      <c r="L20" s="70" t="str">
        <f>IF(C20="Zipscreen","Zipscreen Bubble Seal",'Job Sheet'!Z20)</f>
        <v/>
      </c>
      <c r="M20" s="70" t="str">
        <f>'Job Sheet'!AE20</f>
        <v/>
      </c>
      <c r="N20" s="151">
        <f t="shared" si="1"/>
        <v>0</v>
      </c>
    </row>
    <row r="21" ht="60" customHeight="1"/>
    <row r="22" ht="60" customHeight="1"/>
    <row r="23" ht="60" customHeight="1"/>
    <row r="24" ht="60" customHeight="1"/>
    <row r="25" ht="60" customHeight="1"/>
    <row r="26" ht="60" customHeight="1"/>
    <row r="27" ht="60" customHeight="1"/>
    <row r="28" ht="60" customHeight="1"/>
    <row r="29" ht="60" customHeight="1"/>
    <row r="30" ht="60" customHeight="1"/>
    <row r="31" ht="60" customHeight="1"/>
    <row r="32" ht="60" customHeight="1"/>
    <row r="33" ht="60" customHeight="1"/>
    <row r="34" ht="60" customHeight="1"/>
    <row r="35" ht="60" customHeight="1"/>
    <row r="36" ht="60" customHeight="1"/>
    <row r="37" ht="60" customHeight="1"/>
    <row r="38" ht="60" customHeight="1"/>
    <row r="39" ht="60" customHeight="1"/>
    <row r="40" ht="60" customHeight="1"/>
    <row r="41" ht="60" customHeight="1"/>
    <row r="42" ht="60" customHeight="1"/>
    <row r="43" ht="60" customHeight="1"/>
    <row r="44" ht="60" customHeight="1"/>
    <row r="45" ht="60" customHeight="1"/>
    <row r="46" ht="60" customHeight="1"/>
    <row r="47" ht="60" customHeight="1"/>
    <row r="48" ht="60" customHeight="1"/>
    <row r="49" ht="60" customHeight="1"/>
    <row r="50" ht="60" customHeight="1"/>
    <row r="51" ht="60" customHeight="1"/>
    <row r="52" ht="60" customHeight="1"/>
    <row r="53" ht="60" customHeight="1"/>
    <row r="54" ht="60" customHeight="1"/>
    <row r="55" ht="60" customHeight="1"/>
    <row r="56" ht="60" customHeight="1"/>
    <row r="57" ht="60" customHeight="1"/>
    <row r="58" ht="60" customHeight="1"/>
    <row r="59" ht="60" customHeight="1"/>
    <row r="60" ht="60" customHeight="1"/>
    <row r="61" ht="60" customHeight="1"/>
    <row r="62" ht="60" customHeight="1"/>
    <row r="63" ht="60" customHeight="1"/>
    <row r="64" ht="60" customHeight="1"/>
    <row r="65" ht="60" customHeight="1"/>
    <row r="66" ht="60" customHeight="1"/>
    <row r="67" ht="50.1" customHeight="1"/>
    <row r="68" ht="50.1" customHeight="1"/>
    <row r="69" ht="50.1" customHeight="1"/>
    <row r="70" ht="50.1" customHeight="1"/>
    <row r="71" ht="50.1" customHeight="1"/>
    <row r="72" ht="50.1" customHeight="1"/>
    <row r="73" ht="50.1" customHeight="1"/>
    <row r="74" ht="50.1" customHeight="1"/>
    <row r="75" ht="50.1" customHeight="1"/>
    <row r="76" ht="50.1" customHeight="1"/>
    <row r="77" ht="50.1" customHeight="1"/>
    <row r="78" ht="50.1" customHeight="1"/>
    <row r="79" ht="50.1" customHeight="1"/>
    <row r="80" ht="50.1" customHeight="1"/>
    <row r="81" ht="50.1" customHeight="1"/>
    <row r="82" ht="50.1" customHeight="1"/>
    <row r="83" ht="50.1" customHeight="1"/>
    <row r="84" ht="50.1" customHeight="1"/>
    <row r="85" ht="50.1" customHeight="1"/>
    <row r="86" ht="50.1" customHeight="1"/>
    <row r="87" ht="50.1" customHeight="1"/>
    <row r="88" ht="50.1" customHeight="1"/>
    <row r="89" ht="50.1" customHeight="1"/>
    <row r="90" ht="50.1" customHeight="1"/>
    <row r="91" ht="50.1" customHeight="1"/>
    <row r="92" ht="50.1" customHeight="1"/>
    <row r="93" ht="50.1" customHeight="1"/>
    <row r="94" ht="50.1" customHeight="1"/>
    <row r="95" ht="50.1" customHeight="1"/>
    <row r="96" ht="50.1" customHeight="1"/>
    <row r="97" ht="50.1" customHeight="1"/>
    <row r="98" ht="50.1" customHeight="1"/>
    <row r="99" ht="50.1" customHeight="1"/>
    <row r="100" ht="50.1" customHeight="1"/>
    <row r="101" ht="50.1" customHeight="1"/>
    <row r="102" ht="50.1" customHeight="1"/>
    <row r="103" ht="50.1" customHeight="1"/>
    <row r="104" ht="50.1" customHeight="1"/>
    <row r="105" ht="50.1" customHeight="1"/>
    <row r="106" ht="50.1" customHeight="1"/>
    <row r="107" ht="50.1" customHeight="1"/>
    <row r="108" ht="50.1" customHeight="1"/>
    <row r="109" ht="50.1" customHeight="1"/>
    <row r="110" ht="50.1" customHeight="1"/>
    <row r="111" ht="50.1" customHeight="1"/>
    <row r="112" ht="50.1" customHeight="1"/>
    <row r="113" ht="50.1" customHeight="1"/>
    <row r="114" ht="50.1" customHeight="1"/>
    <row r="115" ht="50.1" customHeight="1"/>
    <row r="116" ht="50.1" customHeight="1"/>
    <row r="117" ht="50.1" customHeight="1"/>
    <row r="118" ht="50.1" customHeight="1"/>
    <row r="119" ht="50.1" customHeight="1"/>
    <row r="120" ht="50.1" customHeight="1"/>
    <row r="121" ht="50.1" customHeight="1"/>
    <row r="122" ht="50.1" customHeight="1"/>
    <row r="123" ht="50.1" customHeight="1"/>
    <row r="124" ht="50.1" customHeight="1"/>
    <row r="125" ht="50.1" customHeight="1"/>
    <row r="126" ht="50.1" customHeight="1"/>
    <row r="127" ht="50.1" customHeight="1"/>
    <row r="128" ht="50.1" customHeight="1"/>
    <row r="129" ht="50.1" customHeight="1"/>
    <row r="130" ht="50.1" customHeight="1"/>
    <row r="131" ht="50.1" customHeight="1"/>
    <row r="132" ht="50.1" customHeight="1"/>
    <row r="133" ht="50.1" customHeight="1"/>
    <row r="134" ht="50.1" customHeight="1"/>
    <row r="135" ht="50.1" customHeight="1"/>
    <row r="136" ht="50.1" customHeight="1"/>
    <row r="137" ht="50.1" customHeight="1"/>
    <row r="138" ht="50.1" customHeight="1"/>
    <row r="139" ht="50.1" customHeight="1"/>
    <row r="140" ht="50.1" customHeight="1"/>
    <row r="141" ht="50.1" customHeight="1"/>
    <row r="142" ht="50.1" customHeight="1"/>
    <row r="143" ht="50.1" customHeight="1"/>
    <row r="144" ht="50.1" customHeight="1"/>
    <row r="145" ht="50.1" customHeight="1"/>
    <row r="146" ht="50.1" customHeight="1"/>
    <row r="147" ht="50.1" customHeight="1"/>
    <row r="148" ht="50.1" customHeight="1"/>
    <row r="149" ht="50.1" customHeight="1"/>
    <row r="150" ht="50.1" customHeight="1"/>
  </sheetData>
  <sheetProtection formatCells="0" formatRows="0" insertColumns="0" insertRows="0"/>
  <mergeCells count="32">
    <mergeCell ref="N8:N10"/>
    <mergeCell ref="A1:N1"/>
    <mergeCell ref="L2:N2"/>
    <mergeCell ref="L3:N7"/>
    <mergeCell ref="G2:K2"/>
    <mergeCell ref="G3:K3"/>
    <mergeCell ref="G4:K4"/>
    <mergeCell ref="G5:K5"/>
    <mergeCell ref="G6:K6"/>
    <mergeCell ref="G7:K7"/>
    <mergeCell ref="A2:B2"/>
    <mergeCell ref="A3:B3"/>
    <mergeCell ref="A4:B4"/>
    <mergeCell ref="D2:F2"/>
    <mergeCell ref="D3:F3"/>
    <mergeCell ref="D4:F4"/>
    <mergeCell ref="A5:B5"/>
    <mergeCell ref="A6:C7"/>
    <mergeCell ref="A8:A10"/>
    <mergeCell ref="B8:B10"/>
    <mergeCell ref="D8:D10"/>
    <mergeCell ref="C8:C10"/>
    <mergeCell ref="D5:F7"/>
    <mergeCell ref="E8:E10"/>
    <mergeCell ref="F8:F10"/>
    <mergeCell ref="M8:M10"/>
    <mergeCell ref="G8:G10"/>
    <mergeCell ref="I8:I10"/>
    <mergeCell ref="H8:H10"/>
    <mergeCell ref="K8:K10"/>
    <mergeCell ref="J8:J10"/>
    <mergeCell ref="L8:L10"/>
  </mergeCells>
  <printOptions horizontalCentered="1"/>
  <pageMargins left="0.626771653543328" right="0.626771653543328" top="0.3" bottom="0.3" header="0.3" footer="0.3"/>
  <pageSetup fitToHeight="0" orientation="landscape" paperSize="9" scale="10" r:id="rId1"/>
  <headerFooter alignWithMargins="0">
    <oddFooter>&amp;L&amp;P of  &amp;N&amp;C&amp;Z&amp;F&amp;R&amp;D &amp;T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fitToPage="1"/>
  </sheetPr>
  <dimension ref="A1:L24"/>
  <sheetViews>
    <sheetView showZeros="0" view="pageBreakPreview" zoomScale="40" zoomScaleNormal="25" zoomScaleSheetLayoutView="40" zoomScalePageLayoutView="25" workbookViewId="0" topLeftCell="A1">
      <selection pane="topLeft" activeCell="A11" sqref="A11:XFD20"/>
    </sheetView>
  </sheetViews>
  <sheetFormatPr defaultColWidth="9.44140625" defaultRowHeight="39.9" customHeight="1"/>
  <cols>
    <col min="1" max="1" width="12.1428571428571" style="47" customWidth="1"/>
    <col min="2" max="2" width="39.7142857142857" style="47" customWidth="1"/>
    <col min="3" max="3" width="29.7142857142857" style="47" customWidth="1"/>
    <col min="4" max="4" width="38.2857142857143" style="47" customWidth="1"/>
    <col min="5" max="5" width="40" style="47" customWidth="1"/>
    <col min="6" max="6" width="43.2857142857143" style="47" customWidth="1"/>
    <col min="7" max="7" width="28.8571428571429" style="47" customWidth="1"/>
    <col min="8" max="8" width="24.5714285714286" customWidth="1"/>
    <col min="9" max="9" width="26.5714285714286" customWidth="1"/>
    <col min="10" max="10" width="27.2857142857143" customWidth="1"/>
    <col min="11" max="11" width="100.285714285714" customWidth="1"/>
    <col min="12" max="12" width="20.7142857142857" customWidth="1"/>
  </cols>
  <sheetData>
    <row r="1" spans="1:12" s="24" customFormat="1" ht="189" customHeight="1">
      <c r="A1" s="231" t="s">
        <v>973</v>
      </c>
      <c r="B1" s="231"/>
      <c r="C1" s="231"/>
      <c r="D1" s="231"/>
      <c r="E1" s="231"/>
      <c r="F1" s="231"/>
      <c r="G1" s="231"/>
      <c r="H1" s="231"/>
      <c r="I1" s="231"/>
      <c r="J1" s="231"/>
      <c r="K1" s="231"/>
      <c r="L1" s="231"/>
    </row>
    <row r="2" spans="1:12" s="26" customFormat="1" ht="50.1" customHeight="1">
      <c r="A2" s="209" t="s">
        <v>7</v>
      </c>
      <c r="B2" s="209"/>
      <c r="C2" s="209"/>
      <c r="D2" s="209"/>
      <c r="E2" s="185" t="s">
        <v>118</v>
      </c>
      <c r="F2" s="185"/>
      <c r="G2" s="225" t="str">
        <f>Data!BF5</f>
        <v>Campbell, Neil</v>
      </c>
      <c r="H2" s="225"/>
      <c r="I2" s="225"/>
      <c r="J2" s="225"/>
      <c r="K2" s="178" t="s">
        <v>4</v>
      </c>
      <c r="L2" s="178"/>
    </row>
    <row r="3" spans="1:12" s="26" customFormat="1" ht="50.1" customHeight="1">
      <c r="A3" s="226" t="s">
        <v>142</v>
      </c>
      <c r="B3" s="226"/>
      <c r="C3" s="228" t="str">
        <f>Data!BC5</f>
        <v>12085</v>
      </c>
      <c r="D3" s="228"/>
      <c r="E3" s="186" t="s">
        <v>8</v>
      </c>
      <c r="F3" s="186"/>
      <c r="G3" s="225" t="str">
        <f>TRIM(Data!AX5)</f>
        <v>Verticali Patio Blinds &amp; Fixed Guide Awnings</v>
      </c>
      <c r="H3" s="225"/>
      <c r="I3" s="225"/>
      <c r="J3" s="225"/>
      <c r="K3" s="232" t="str">
        <f>TRIM(Data!BG5)</f>
        <v/>
      </c>
      <c r="L3" s="232"/>
    </row>
    <row r="4" spans="1:12" s="15" customFormat="1" ht="50.1" customHeight="1">
      <c r="A4" s="227" t="s">
        <v>10</v>
      </c>
      <c r="B4" s="227"/>
      <c r="C4" s="187" t="str">
        <f>Data!BD5</f>
        <v>A</v>
      </c>
      <c r="D4" s="187"/>
      <c r="E4" s="186" t="s">
        <v>136</v>
      </c>
      <c r="F4" s="186"/>
      <c r="G4" s="225" t="str">
        <f>LEFT(Data!BA5,10)</f>
        <v>18/09/2026</v>
      </c>
      <c r="H4" s="225"/>
      <c r="I4" s="225"/>
      <c r="J4" s="225"/>
      <c r="K4" s="232"/>
      <c r="L4" s="232"/>
    </row>
    <row r="5" spans="1:12" s="15" customFormat="1" ht="50.1" customHeight="1">
      <c r="A5" s="227" t="s">
        <v>10</v>
      </c>
      <c r="B5" s="227"/>
      <c r="C5" s="229" t="str">
        <f>Data!AY5</f>
        <v>6/08/2026 12:00:00 AM</v>
      </c>
      <c r="D5" s="229"/>
      <c r="E5" s="187" t="s">
        <v>12</v>
      </c>
      <c r="F5" s="187"/>
      <c r="G5" s="225" t="str">
        <f>TRIM(Data!BF5)</f>
        <v>Campbell, Neil</v>
      </c>
      <c r="H5" s="225"/>
      <c r="I5" s="225"/>
      <c r="J5" s="225"/>
      <c r="K5" s="232"/>
      <c r="L5" s="232"/>
    </row>
    <row r="6" spans="1:12" s="15" customFormat="1" ht="50.1" customHeight="1">
      <c r="A6" s="237" t="str">
        <f>Data!CZ5</f>
        <v>Retail Customer</v>
      </c>
      <c r="B6" s="237"/>
      <c r="C6" s="237"/>
      <c r="D6" s="237"/>
      <c r="E6" s="187"/>
      <c r="F6" s="187"/>
      <c r="G6" s="225" t="str">
        <f>CONCATENATE(Data!BH5," ",Data!BI5," ",Data!BJ5," ",Data!BK5," ",Data!BL5)</f>
        <v xml:space="preserve"> 7161  Midland Highway </v>
      </c>
      <c r="H6" s="225"/>
      <c r="I6" s="225"/>
      <c r="J6" s="225"/>
      <c r="K6" s="232"/>
      <c r="L6" s="232"/>
    </row>
    <row r="7" spans="1:12" s="15" customFormat="1" ht="50.1" customHeight="1">
      <c r="A7" s="237"/>
      <c r="B7" s="237"/>
      <c r="C7" s="237"/>
      <c r="D7" s="237"/>
      <c r="E7" s="187"/>
      <c r="F7" s="187"/>
      <c r="G7" s="225" t="str">
        <f>CONCATENATE(Data!BM5," ",Data!BN5," ",Data!BO5," ",Data!BP5)</f>
        <v>Buninyong VIC 3357 Australia</v>
      </c>
      <c r="H7" s="225"/>
      <c r="I7" s="225"/>
      <c r="J7" s="225"/>
      <c r="K7" s="232"/>
      <c r="L7" s="232"/>
    </row>
    <row r="8" spans="1:12" s="15" customFormat="1" ht="50.1" customHeight="1">
      <c r="A8" s="234" t="s">
        <v>141</v>
      </c>
      <c r="B8" s="235" t="s">
        <v>120</v>
      </c>
      <c r="C8" s="233" t="s">
        <v>119</v>
      </c>
      <c r="D8" s="236" t="s">
        <v>167</v>
      </c>
      <c r="E8" s="209" t="s">
        <v>159</v>
      </c>
      <c r="F8" s="233" t="s">
        <v>169</v>
      </c>
      <c r="G8" s="209" t="s">
        <v>682</v>
      </c>
      <c r="H8" s="209" t="s">
        <v>207</v>
      </c>
      <c r="I8" s="178" t="s">
        <v>200</v>
      </c>
      <c r="J8" s="230" t="s">
        <v>364</v>
      </c>
      <c r="K8" s="178" t="s">
        <v>5</v>
      </c>
      <c r="L8" s="178" t="s">
        <v>684</v>
      </c>
    </row>
    <row r="9" spans="1:12" s="15" customFormat="1" ht="14.25" customHeight="1" hidden="1">
      <c r="A9" s="234"/>
      <c r="B9" s="235"/>
      <c r="C9" s="233"/>
      <c r="D9" s="236"/>
      <c r="E9" s="209"/>
      <c r="F9" s="233"/>
      <c r="G9" s="209"/>
      <c r="H9" s="209"/>
      <c r="I9" s="178"/>
      <c r="J9" s="230"/>
      <c r="K9" s="178"/>
      <c r="L9" s="178"/>
    </row>
    <row r="10" spans="1:12" s="16" customFormat="1" ht="93.75" customHeight="1">
      <c r="A10" s="234"/>
      <c r="B10" s="235"/>
      <c r="C10" s="233"/>
      <c r="D10" s="236"/>
      <c r="E10" s="209"/>
      <c r="F10" s="233"/>
      <c r="G10" s="209"/>
      <c r="H10" s="209"/>
      <c r="I10" s="178"/>
      <c r="J10" s="230"/>
      <c r="K10" s="178"/>
      <c r="L10" s="178"/>
    </row>
    <row r="11" spans="1:12" s="33" customFormat="1" ht="66">
      <c r="A11" s="108">
        <f>Data!AW11</f>
        <v>1</v>
      </c>
      <c r="B11" s="109" t="str">
        <f>'Job Sheet'!B11</f>
        <v>Patio 1</v>
      </c>
      <c r="C11" s="138" t="str">
        <f>MID('Job Sheet'!K11,3,80)</f>
        <v>Verticali</v>
      </c>
      <c r="D11" s="139" t="str">
        <f>'Job Sheet'!U11</f>
        <v>Verticali Square Hooding</v>
      </c>
      <c r="E11" s="99" t="str">
        <f>'Job Sheet'!V11</f>
        <v>Paperbark (Merino)</v>
      </c>
      <c r="F11" s="138" t="str">
        <f>'Job Sheet'!M11</f>
        <v>Becker Remote Operated</v>
      </c>
      <c r="G11" s="38" t="str">
        <f>'Job Sheet'!P11</f>
        <v>Right</v>
      </c>
      <c r="H11" s="99" t="str">
        <f>'Job Sheet'!T11</f>
        <v/>
      </c>
      <c r="I11" s="110" t="str">
        <f>'Job Sheet'!N11</f>
        <v/>
      </c>
      <c r="J11" s="140" t="str">
        <f>'Job Sheet'!O11</f>
        <v/>
      </c>
      <c r="K11" s="38" t="str">
        <f>'Job Sheet'!AE11</f>
        <v/>
      </c>
      <c r="L11" s="151">
        <f>A11</f>
        <v>1</v>
      </c>
    </row>
    <row r="12" spans="1:12" s="33" customFormat="1" ht="60" customHeight="1">
      <c r="A12" s="108">
        <f>Data!AW12</f>
        <v>0</v>
      </c>
      <c r="B12" s="109">
        <f>'Job Sheet'!B12</f>
        <v>0</v>
      </c>
      <c r="C12" s="138" t="str">
        <f>MID('Job Sheet'!K12,3,80)</f>
        <v/>
      </c>
      <c r="D12" s="139" t="str">
        <f>'Job Sheet'!U12</f>
        <v/>
      </c>
      <c r="E12" s="99" t="str">
        <f>'Job Sheet'!V12</f>
        <v/>
      </c>
      <c r="F12" s="138" t="str">
        <f>'Job Sheet'!M12</f>
        <v/>
      </c>
      <c r="G12" s="38" t="str">
        <f>'Job Sheet'!P12</f>
        <v/>
      </c>
      <c r="H12" s="99" t="str">
        <f>'Job Sheet'!T12</f>
        <v/>
      </c>
      <c r="I12" s="110" t="str">
        <f>'Job Sheet'!N12</f>
        <v/>
      </c>
      <c r="J12" s="140" t="str">
        <f>'Job Sheet'!O12</f>
        <v/>
      </c>
      <c r="K12" s="38" t="str">
        <f>'Job Sheet'!AE12</f>
        <v/>
      </c>
      <c r="L12" s="151">
        <f t="shared" si="0" ref="L12:L20">A12</f>
        <v>0</v>
      </c>
    </row>
    <row r="13" spans="1:12" s="33" customFormat="1" ht="60" customHeight="1">
      <c r="A13" s="108">
        <f>Data!AW13</f>
        <v>0</v>
      </c>
      <c r="B13" s="109">
        <f>'Job Sheet'!B13</f>
        <v>0</v>
      </c>
      <c r="C13" s="138" t="str">
        <f>MID('Job Sheet'!K13,3,80)</f>
        <v/>
      </c>
      <c r="D13" s="139" t="str">
        <f>'Job Sheet'!U13</f>
        <v/>
      </c>
      <c r="E13" s="99" t="str">
        <f>'Job Sheet'!V13</f>
        <v/>
      </c>
      <c r="F13" s="138" t="str">
        <f>'Job Sheet'!M13</f>
        <v/>
      </c>
      <c r="G13" s="38" t="str">
        <f>'Job Sheet'!P13</f>
        <v/>
      </c>
      <c r="H13" s="99" t="str">
        <f>'Job Sheet'!T13</f>
        <v/>
      </c>
      <c r="I13" s="110" t="str">
        <f>'Job Sheet'!N13</f>
        <v/>
      </c>
      <c r="J13" s="140" t="str">
        <f>'Job Sheet'!O13</f>
        <v/>
      </c>
      <c r="K13" s="38" t="str">
        <f>'Job Sheet'!AE13</f>
        <v/>
      </c>
      <c r="L13" s="151">
        <f t="shared" si="0"/>
        <v>0</v>
      </c>
    </row>
    <row r="14" spans="1:12" s="33" customFormat="1" ht="60" customHeight="1">
      <c r="A14" s="108">
        <f>Data!AW14</f>
        <v>0</v>
      </c>
      <c r="B14" s="109">
        <f>'Job Sheet'!B14</f>
        <v>0</v>
      </c>
      <c r="C14" s="138" t="str">
        <f>MID('Job Sheet'!K14,3,80)</f>
        <v/>
      </c>
      <c r="D14" s="139" t="str">
        <f>'Job Sheet'!U14</f>
        <v/>
      </c>
      <c r="E14" s="99" t="str">
        <f>'Job Sheet'!V14</f>
        <v/>
      </c>
      <c r="F14" s="138" t="str">
        <f>'Job Sheet'!M14</f>
        <v/>
      </c>
      <c r="G14" s="38" t="str">
        <f>'Job Sheet'!P14</f>
        <v/>
      </c>
      <c r="H14" s="99" t="str">
        <f>'Job Sheet'!T14</f>
        <v/>
      </c>
      <c r="I14" s="110" t="str">
        <f>'Job Sheet'!N14</f>
        <v/>
      </c>
      <c r="J14" s="140" t="str">
        <f>'Job Sheet'!O14</f>
        <v/>
      </c>
      <c r="K14" s="38" t="str">
        <f>'Job Sheet'!AE14</f>
        <v/>
      </c>
      <c r="L14" s="151">
        <f t="shared" si="0"/>
        <v>0</v>
      </c>
    </row>
    <row r="15" spans="1:12" s="33" customFormat="1" ht="60" customHeight="1">
      <c r="A15" s="108">
        <f>Data!AW15</f>
        <v>0</v>
      </c>
      <c r="B15" s="109">
        <f>'Job Sheet'!B15</f>
        <v>0</v>
      </c>
      <c r="C15" s="138" t="str">
        <f>MID('Job Sheet'!K15,3,80)</f>
        <v/>
      </c>
      <c r="D15" s="139" t="str">
        <f>'Job Sheet'!U15</f>
        <v/>
      </c>
      <c r="E15" s="99" t="str">
        <f>'Job Sheet'!V15</f>
        <v/>
      </c>
      <c r="F15" s="138" t="str">
        <f>'Job Sheet'!M15</f>
        <v/>
      </c>
      <c r="G15" s="38" t="str">
        <f>'Job Sheet'!P15</f>
        <v/>
      </c>
      <c r="H15" s="99" t="str">
        <f>'Job Sheet'!T15</f>
        <v/>
      </c>
      <c r="I15" s="110" t="str">
        <f>'Job Sheet'!N15</f>
        <v/>
      </c>
      <c r="J15" s="140" t="str">
        <f>'Job Sheet'!O15</f>
        <v/>
      </c>
      <c r="K15" s="38" t="str">
        <f>'Job Sheet'!AE15</f>
        <v/>
      </c>
      <c r="L15" s="151">
        <f t="shared" si="0"/>
        <v>0</v>
      </c>
    </row>
    <row r="16" spans="1:12" s="33" customFormat="1" ht="60" customHeight="1">
      <c r="A16" s="108">
        <f>Data!AW16</f>
        <v>0</v>
      </c>
      <c r="B16" s="109">
        <f>'Job Sheet'!B16</f>
        <v>0</v>
      </c>
      <c r="C16" s="138" t="str">
        <f>MID('Job Sheet'!K16,3,80)</f>
        <v/>
      </c>
      <c r="D16" s="139" t="str">
        <f>'Job Sheet'!U16</f>
        <v/>
      </c>
      <c r="E16" s="99" t="str">
        <f>'Job Sheet'!V16</f>
        <v/>
      </c>
      <c r="F16" s="138" t="str">
        <f>'Job Sheet'!M16</f>
        <v/>
      </c>
      <c r="G16" s="38" t="str">
        <f>'Job Sheet'!P16</f>
        <v/>
      </c>
      <c r="H16" s="99" t="str">
        <f>'Job Sheet'!T16</f>
        <v/>
      </c>
      <c r="I16" s="110" t="str">
        <f>'Job Sheet'!N16</f>
        <v/>
      </c>
      <c r="J16" s="140" t="str">
        <f>'Job Sheet'!O16</f>
        <v/>
      </c>
      <c r="K16" s="38" t="str">
        <f>'Job Sheet'!AE16</f>
        <v/>
      </c>
      <c r="L16" s="151">
        <f t="shared" si="0"/>
        <v>0</v>
      </c>
    </row>
    <row r="17" spans="1:12" s="33" customFormat="1" ht="60" customHeight="1">
      <c r="A17" s="108">
        <f>Data!AW17</f>
        <v>0</v>
      </c>
      <c r="B17" s="109">
        <f>'Job Sheet'!B17</f>
        <v>0</v>
      </c>
      <c r="C17" s="138" t="str">
        <f>MID('Job Sheet'!K17,3,80)</f>
        <v/>
      </c>
      <c r="D17" s="139" t="str">
        <f>'Job Sheet'!U17</f>
        <v/>
      </c>
      <c r="E17" s="99" t="str">
        <f>'Job Sheet'!V17</f>
        <v/>
      </c>
      <c r="F17" s="138" t="str">
        <f>'Job Sheet'!M17</f>
        <v/>
      </c>
      <c r="G17" s="38" t="str">
        <f>'Job Sheet'!P17</f>
        <v/>
      </c>
      <c r="H17" s="99" t="str">
        <f>'Job Sheet'!T17</f>
        <v/>
      </c>
      <c r="I17" s="110" t="str">
        <f>'Job Sheet'!N17</f>
        <v/>
      </c>
      <c r="J17" s="140" t="str">
        <f>'Job Sheet'!O17</f>
        <v/>
      </c>
      <c r="K17" s="38" t="str">
        <f>'Job Sheet'!AE17</f>
        <v/>
      </c>
      <c r="L17" s="151">
        <f t="shared" si="0"/>
        <v>0</v>
      </c>
    </row>
    <row r="18" spans="1:12" s="33" customFormat="1" ht="60" customHeight="1">
      <c r="A18" s="108">
        <f>Data!AW18</f>
        <v>0</v>
      </c>
      <c r="B18" s="109">
        <f>'Job Sheet'!B18</f>
        <v>0</v>
      </c>
      <c r="C18" s="138" t="str">
        <f>MID('Job Sheet'!K18,3,80)</f>
        <v/>
      </c>
      <c r="D18" s="139" t="str">
        <f>'Job Sheet'!U18</f>
        <v/>
      </c>
      <c r="E18" s="99" t="str">
        <f>'Job Sheet'!V18</f>
        <v/>
      </c>
      <c r="F18" s="138" t="str">
        <f>'Job Sheet'!M18</f>
        <v/>
      </c>
      <c r="G18" s="38" t="str">
        <f>'Job Sheet'!P18</f>
        <v/>
      </c>
      <c r="H18" s="99" t="str">
        <f>'Job Sheet'!T18</f>
        <v/>
      </c>
      <c r="I18" s="110" t="str">
        <f>'Job Sheet'!N18</f>
        <v/>
      </c>
      <c r="J18" s="140" t="str">
        <f>'Job Sheet'!O18</f>
        <v/>
      </c>
      <c r="K18" s="38" t="str">
        <f>'Job Sheet'!AE18</f>
        <v/>
      </c>
      <c r="L18" s="151">
        <f t="shared" si="0"/>
        <v>0</v>
      </c>
    </row>
    <row r="19" spans="1:12" ht="60" customHeight="1">
      <c r="A19" s="108">
        <f>Data!AW19</f>
        <v>0</v>
      </c>
      <c r="B19" s="109">
        <f>'Job Sheet'!B19</f>
        <v>0</v>
      </c>
      <c r="C19" s="138" t="str">
        <f>MID('Job Sheet'!K19,3,80)</f>
        <v/>
      </c>
      <c r="D19" s="139" t="str">
        <f>'Job Sheet'!U19</f>
        <v/>
      </c>
      <c r="E19" s="99" t="str">
        <f>'Job Sheet'!V19</f>
        <v/>
      </c>
      <c r="F19" s="138" t="str">
        <f>'Job Sheet'!M19</f>
        <v/>
      </c>
      <c r="G19" s="38" t="str">
        <f>'Job Sheet'!P19</f>
        <v/>
      </c>
      <c r="H19" s="99" t="str">
        <f>'Job Sheet'!T19</f>
        <v/>
      </c>
      <c r="I19" s="110" t="str">
        <f>'Job Sheet'!N19</f>
        <v/>
      </c>
      <c r="J19" s="140" t="str">
        <f>'Job Sheet'!O19</f>
        <v/>
      </c>
      <c r="K19" s="38" t="str">
        <f>'Job Sheet'!AE19</f>
        <v/>
      </c>
      <c r="L19" s="151">
        <f t="shared" si="0"/>
        <v>0</v>
      </c>
    </row>
    <row r="20" spans="1:12" ht="60" customHeight="1">
      <c r="A20" s="108">
        <f>Data!AW20</f>
        <v>0</v>
      </c>
      <c r="B20" s="109">
        <f>'Job Sheet'!B20</f>
        <v>0</v>
      </c>
      <c r="C20" s="138" t="str">
        <f>MID('Job Sheet'!K20,3,80)</f>
        <v/>
      </c>
      <c r="D20" s="139" t="str">
        <f>'Job Sheet'!U20</f>
        <v/>
      </c>
      <c r="E20" s="99" t="str">
        <f>'Job Sheet'!V20</f>
        <v/>
      </c>
      <c r="F20" s="138" t="str">
        <f>'Job Sheet'!M20</f>
        <v/>
      </c>
      <c r="G20" s="38" t="str">
        <f>'Job Sheet'!P20</f>
        <v/>
      </c>
      <c r="H20" s="99" t="str">
        <f>'Job Sheet'!T20</f>
        <v/>
      </c>
      <c r="I20" s="110" t="str">
        <f>'Job Sheet'!N20</f>
        <v/>
      </c>
      <c r="J20" s="140" t="str">
        <f>'Job Sheet'!O20</f>
        <v/>
      </c>
      <c r="K20" s="38" t="str">
        <f>'Job Sheet'!AE20</f>
        <v/>
      </c>
      <c r="L20" s="151">
        <f t="shared" si="0"/>
        <v>0</v>
      </c>
    </row>
    <row r="21" ht="60" customHeight="1">
      <c r="E21" s="53"/>
    </row>
    <row r="22" ht="60" customHeight="1">
      <c r="E22" s="53"/>
    </row>
    <row r="23" ht="60" customHeight="1">
      <c r="E23" s="53"/>
    </row>
    <row r="24" ht="60" customHeight="1">
      <c r="E24" s="53"/>
    </row>
    <row r="25" ht="60" customHeight="1"/>
    <row r="26" ht="60" customHeight="1"/>
    <row r="27" ht="60" customHeight="1"/>
    <row r="28" ht="60" customHeight="1"/>
    <row r="29" ht="60" customHeight="1"/>
    <row r="30" ht="60" customHeight="1"/>
    <row r="31" ht="60" customHeight="1"/>
    <row r="32" ht="60" customHeight="1"/>
    <row r="33" ht="60" customHeight="1"/>
    <row r="34" ht="60" customHeight="1"/>
    <row r="35" ht="60" customHeight="1"/>
    <row r="36" ht="60" customHeight="1"/>
    <row r="37" ht="60" customHeight="1"/>
    <row r="38" ht="60" customHeight="1"/>
    <row r="39" ht="60" customHeight="1"/>
    <row r="40" ht="60" customHeight="1"/>
    <row r="41" ht="60" customHeight="1"/>
    <row r="42" ht="60" customHeight="1"/>
    <row r="43" ht="60" customHeight="1"/>
    <row r="44" ht="60" customHeight="1"/>
    <row r="45" ht="60" customHeight="1"/>
    <row r="46" ht="60" customHeight="1"/>
    <row r="47" ht="60" customHeight="1"/>
    <row r="48" ht="60" customHeight="1"/>
    <row r="49" ht="60" customHeight="1"/>
    <row r="50" ht="60" customHeight="1"/>
    <row r="51" ht="60" customHeight="1"/>
    <row r="52" ht="60" customHeight="1"/>
    <row r="53" ht="60" customHeight="1"/>
    <row r="54" ht="60" customHeight="1"/>
    <row r="55" ht="60" customHeight="1"/>
    <row r="56" ht="60" customHeight="1"/>
    <row r="57" ht="60" customHeight="1"/>
    <row r="58" ht="60" customHeight="1"/>
    <row r="59" ht="60" customHeight="1"/>
    <row r="60" ht="60" customHeight="1"/>
    <row r="61" ht="60" customHeight="1"/>
    <row r="62" ht="60" customHeight="1"/>
    <row r="63" ht="60" customHeight="1"/>
    <row r="64" ht="60" customHeight="1"/>
    <row r="65" ht="60" customHeight="1"/>
    <row r="66" ht="60" customHeight="1"/>
    <row r="67" ht="50.1" customHeight="1"/>
    <row r="68" ht="50.1" customHeight="1"/>
    <row r="69" ht="50.1" customHeight="1"/>
    <row r="70" ht="50.1" customHeight="1"/>
    <row r="71" ht="50.1" customHeight="1"/>
    <row r="72" ht="50.1" customHeight="1"/>
    <row r="73" ht="50.1" customHeight="1"/>
    <row r="74" ht="50.1" customHeight="1"/>
    <row r="75" ht="50.1" customHeight="1"/>
    <row r="76" ht="50.1" customHeight="1"/>
    <row r="77" ht="50.1" customHeight="1"/>
    <row r="78" ht="50.1" customHeight="1"/>
    <row r="79" ht="50.1" customHeight="1"/>
    <row r="80" ht="50.1" customHeight="1"/>
    <row r="81" ht="50.1" customHeight="1"/>
    <row r="82" ht="50.1" customHeight="1"/>
    <row r="83" ht="50.1" customHeight="1"/>
    <row r="84" ht="50.1" customHeight="1"/>
    <row r="85" ht="50.1" customHeight="1"/>
    <row r="86" ht="50.1" customHeight="1"/>
    <row r="87" ht="50.1" customHeight="1"/>
    <row r="88" ht="50.1" customHeight="1"/>
    <row r="89" ht="50.1" customHeight="1"/>
    <row r="90" ht="50.1" customHeight="1"/>
    <row r="91" ht="50.1" customHeight="1"/>
    <row r="92" ht="50.1" customHeight="1"/>
    <row r="93" ht="50.1" customHeight="1"/>
    <row r="94" ht="50.1" customHeight="1"/>
    <row r="95" ht="50.1" customHeight="1"/>
    <row r="96" ht="50.1" customHeight="1"/>
    <row r="97" ht="50.1" customHeight="1"/>
    <row r="98" ht="50.1" customHeight="1"/>
    <row r="99" ht="50.1" customHeight="1"/>
    <row r="100" ht="50.1" customHeight="1"/>
    <row r="101" ht="50.1" customHeight="1"/>
    <row r="102" ht="50.1" customHeight="1"/>
    <row r="103" ht="50.1" customHeight="1"/>
    <row r="104" ht="50.1" customHeight="1"/>
    <row r="105" ht="50.1" customHeight="1"/>
    <row r="106" ht="50.1" customHeight="1"/>
    <row r="107" ht="50.1" customHeight="1"/>
    <row r="108" ht="50.1" customHeight="1"/>
    <row r="109" ht="50.1" customHeight="1"/>
    <row r="110" ht="50.1" customHeight="1"/>
    <row r="111" ht="50.1" customHeight="1"/>
    <row r="112" ht="50.1" customHeight="1"/>
    <row r="113" ht="50.1" customHeight="1"/>
    <row r="114" ht="50.1" customHeight="1"/>
    <row r="115" ht="50.1" customHeight="1"/>
    <row r="116" ht="50.1" customHeight="1"/>
    <row r="117" ht="50.1" customHeight="1"/>
    <row r="118" ht="50.1" customHeight="1"/>
    <row r="119" ht="50.1" customHeight="1"/>
    <row r="120" ht="50.1" customHeight="1"/>
    <row r="121" ht="50.1" customHeight="1"/>
    <row r="122" ht="50.1" customHeight="1"/>
    <row r="123" ht="50.1" customHeight="1"/>
    <row r="124" ht="50.1" customHeight="1"/>
    <row r="125" ht="50.1" customHeight="1"/>
    <row r="126" ht="50.1" customHeight="1"/>
    <row r="127" ht="50.1" customHeight="1"/>
    <row r="128" ht="50.1" customHeight="1"/>
    <row r="129" ht="50.1" customHeight="1"/>
    <row r="130" ht="50.1" customHeight="1"/>
    <row r="131" ht="50.1" customHeight="1"/>
    <row r="132" ht="50.1" customHeight="1"/>
    <row r="133" ht="50.1" customHeight="1"/>
    <row r="134" ht="50.1" customHeight="1"/>
    <row r="135" ht="50.1" customHeight="1"/>
    <row r="136" ht="50.1" customHeight="1"/>
    <row r="137" ht="50.1" customHeight="1"/>
    <row r="138" ht="50.1" customHeight="1"/>
    <row r="139" ht="50.1" customHeight="1"/>
    <row r="140" ht="50.1" customHeight="1"/>
    <row r="141" ht="50.1" customHeight="1"/>
    <row r="142" ht="50.1" customHeight="1"/>
    <row r="143" ht="50.1" customHeight="1"/>
    <row r="144" ht="50.1" customHeight="1"/>
    <row r="145" ht="50.1" customHeight="1"/>
    <row r="146" ht="50.1" customHeight="1"/>
    <row r="147" ht="50.1" customHeight="1"/>
    <row r="148" ht="50.1" customHeight="1"/>
    <row r="149" ht="50.1" customHeight="1"/>
    <row r="150" ht="50.1" customHeight="1"/>
    <row r="151" ht="50.1" customHeight="1"/>
    <row r="152" ht="50.1" customHeight="1"/>
    <row r="153" ht="50.1" customHeight="1"/>
    <row r="154" ht="50.1" customHeight="1"/>
    <row r="155" ht="50.1" customHeight="1"/>
    <row r="156" ht="50.1" customHeight="1"/>
    <row r="157" ht="50.1" customHeight="1"/>
    <row r="158" ht="50.1" customHeight="1"/>
    <row r="159" ht="50.1" customHeight="1"/>
    <row r="181" ht="60" customHeight="1"/>
    <row r="182" ht="60" customHeight="1"/>
    <row r="183" ht="60" customHeight="1"/>
    <row r="184" ht="60" customHeight="1"/>
    <row r="185" ht="60" customHeight="1"/>
    <row r="186" ht="60" customHeight="1"/>
    <row r="187" ht="60" customHeight="1"/>
    <row r="188" ht="60" customHeight="1"/>
    <row r="189" ht="60" customHeight="1"/>
    <row r="190" ht="60" customHeight="1"/>
    <row r="191" ht="60" customHeight="1"/>
    <row r="192" ht="60" customHeight="1"/>
    <row r="193" ht="60" customHeight="1"/>
    <row r="194" ht="60" customHeight="1"/>
    <row r="195" ht="60" customHeight="1"/>
    <row r="196" ht="60" customHeight="1"/>
    <row r="197" ht="60" customHeight="1"/>
    <row r="198" ht="60" customHeight="1"/>
    <row r="199" ht="60" customHeight="1"/>
    <row r="200" ht="60" customHeight="1"/>
    <row r="201" ht="60" customHeight="1"/>
    <row r="202" ht="60" customHeight="1"/>
    <row r="203" ht="60" customHeight="1"/>
    <row r="204" ht="60" customHeight="1"/>
    <row r="205" ht="60" customHeight="1"/>
    <row r="206" ht="60" customHeight="1"/>
    <row r="207" ht="60" customHeight="1"/>
    <row r="208" ht="60" customHeight="1"/>
    <row r="209" ht="60" customHeight="1"/>
    <row r="210" ht="60" customHeight="1"/>
    <row r="211" ht="60" customHeight="1"/>
    <row r="212" ht="60" customHeight="1"/>
    <row r="213" ht="60" customHeight="1"/>
    <row r="214" ht="60" customHeight="1"/>
    <row r="215" ht="60" customHeight="1"/>
    <row r="216" ht="60" customHeight="1"/>
    <row r="217" ht="60" customHeight="1"/>
    <row r="218" ht="60" customHeight="1"/>
    <row r="219" ht="60" customHeight="1"/>
    <row r="220" ht="60" customHeight="1"/>
    <row r="221" ht="60" customHeight="1"/>
    <row r="222" ht="60" customHeight="1"/>
    <row r="223" ht="60" customHeight="1"/>
    <row r="224" ht="60" customHeight="1"/>
    <row r="225" ht="60" customHeight="1"/>
    <row r="226" ht="60" customHeight="1"/>
    <row r="227" ht="60" customHeight="1"/>
    <row r="228" ht="60" customHeight="1"/>
    <row r="229" ht="60" customHeight="1"/>
    <row r="230" ht="60" customHeight="1"/>
    <row r="231" ht="60" customHeight="1"/>
    <row r="232" ht="60" customHeight="1"/>
    <row r="233" ht="60" customHeight="1"/>
    <row r="234" ht="60" customHeight="1"/>
    <row r="235" ht="60" customHeight="1"/>
    <row r="236" ht="60" customHeight="1"/>
    <row r="237" ht="60" customHeight="1"/>
    <row r="238" ht="60" customHeight="1"/>
    <row r="239" ht="60" customHeight="1"/>
    <row r="240" ht="60" customHeight="1"/>
    <row r="241" ht="60" customHeight="1"/>
    <row r="242" ht="60" customHeight="1"/>
    <row r="243" ht="60" customHeight="1"/>
    <row r="244" ht="60" customHeight="1"/>
    <row r="245" ht="60" customHeight="1"/>
    <row r="246" ht="60" customHeight="1"/>
    <row r="247" ht="60" customHeight="1"/>
    <row r="248" ht="60" customHeight="1"/>
    <row r="249" ht="60" customHeight="1"/>
    <row r="250" ht="60" customHeight="1"/>
    <row r="251" ht="60" customHeight="1"/>
    <row r="252" ht="60" customHeight="1"/>
    <row r="253" ht="60" customHeight="1"/>
    <row r="254" ht="60" customHeight="1"/>
    <row r="255" ht="60" customHeight="1"/>
    <row r="256" ht="60" customHeight="1"/>
    <row r="257" ht="60" customHeight="1"/>
    <row r="258" ht="60" customHeight="1"/>
    <row r="259" ht="60" customHeight="1"/>
    <row r="260" ht="60" customHeight="1"/>
    <row r="261" ht="60" customHeight="1"/>
    <row r="262" ht="60" customHeight="1"/>
    <row r="263" ht="60" customHeight="1"/>
    <row r="264" ht="60" customHeight="1"/>
    <row r="265" ht="60" customHeight="1"/>
    <row r="266" ht="60" customHeight="1"/>
    <row r="267" ht="60" customHeight="1"/>
    <row r="268" ht="60" customHeight="1"/>
    <row r="269" ht="60" customHeight="1"/>
    <row r="270" ht="60" customHeight="1"/>
    <row r="271" ht="60" customHeight="1"/>
    <row r="272" ht="60" customHeight="1"/>
    <row r="273" ht="60" customHeight="1"/>
    <row r="274" ht="60" customHeight="1"/>
    <row r="275" ht="60" customHeight="1"/>
    <row r="276" ht="60" customHeight="1"/>
    <row r="277" ht="60" customHeight="1"/>
    <row r="278" ht="60" customHeight="1"/>
    <row r="279" ht="60" customHeight="1"/>
    <row r="280" ht="60" customHeight="1"/>
    <row r="281" ht="60" customHeight="1"/>
    <row r="282" ht="60" customHeight="1"/>
    <row r="283" ht="60" customHeight="1"/>
    <row r="284" ht="60" customHeight="1"/>
    <row r="285" ht="60" customHeight="1"/>
    <row r="286" ht="60" customHeight="1"/>
    <row r="287" ht="60" customHeight="1"/>
    <row r="288" ht="60" customHeight="1"/>
    <row r="289" ht="60" customHeight="1"/>
    <row r="290" ht="60" customHeight="1"/>
    <row r="291" ht="60" customHeight="1"/>
    <row r="292" ht="60" customHeight="1"/>
    <row r="293" ht="60" customHeight="1"/>
    <row r="294" ht="60" customHeight="1"/>
    <row r="295" ht="60" customHeight="1"/>
    <row r="296" ht="60" customHeight="1"/>
    <row r="297" ht="60" customHeight="1"/>
    <row r="298" ht="60" customHeight="1"/>
    <row r="299" ht="60" customHeight="1"/>
    <row r="300" ht="60" customHeight="1"/>
    <row r="301" ht="60" customHeight="1"/>
    <row r="302" ht="60" customHeight="1"/>
    <row r="303" ht="60" customHeight="1"/>
    <row r="304" ht="60" customHeight="1"/>
    <row r="305" ht="60" customHeight="1"/>
    <row r="306" ht="60" customHeight="1"/>
    <row r="307" ht="60" customHeight="1"/>
    <row r="308" ht="60" customHeight="1"/>
    <row r="309" ht="60" customHeight="1"/>
    <row r="310" ht="60" customHeight="1"/>
    <row r="311" ht="60" customHeight="1"/>
    <row r="312" ht="60" customHeight="1"/>
    <row r="313" ht="60" customHeight="1"/>
    <row r="314" ht="60" customHeight="1"/>
    <row r="315" ht="60" customHeight="1"/>
    <row r="316" ht="60" customHeight="1"/>
    <row r="317" ht="60" customHeight="1"/>
    <row r="318" ht="60" customHeight="1"/>
    <row r="319" ht="60" customHeight="1"/>
    <row r="320" ht="60" customHeight="1"/>
    <row r="321" ht="60" customHeight="1"/>
    <row r="322" ht="60" customHeight="1"/>
    <row r="323" ht="60" customHeight="1"/>
    <row r="324" ht="60" customHeight="1"/>
    <row r="325" ht="60" customHeight="1"/>
    <row r="326" ht="60" customHeight="1"/>
    <row r="327" ht="60" customHeight="1"/>
    <row r="328" ht="60" customHeight="1"/>
    <row r="329" ht="60" customHeight="1"/>
    <row r="330" ht="60" customHeight="1"/>
    <row r="331" ht="60" customHeight="1"/>
    <row r="332" ht="60" customHeight="1"/>
    <row r="333" ht="60" customHeight="1"/>
    <row r="334" ht="60" customHeight="1"/>
    <row r="335" ht="60" customHeight="1"/>
    <row r="336" ht="60" customHeight="1"/>
    <row r="337" ht="60" customHeight="1"/>
  </sheetData>
  <sheetProtection formatCells="0" formatRows="0" insertColumns="0" insertRows="0"/>
  <mergeCells count="34">
    <mergeCell ref="A1:L1"/>
    <mergeCell ref="K2:L2"/>
    <mergeCell ref="K3:L7"/>
    <mergeCell ref="L8:L10"/>
    <mergeCell ref="K8:K10"/>
    <mergeCell ref="I8:I10"/>
    <mergeCell ref="H8:H10"/>
    <mergeCell ref="G6:J6"/>
    <mergeCell ref="A5:B5"/>
    <mergeCell ref="F8:F10"/>
    <mergeCell ref="E8:E10"/>
    <mergeCell ref="A8:A10"/>
    <mergeCell ref="B8:B10"/>
    <mergeCell ref="D8:D10"/>
    <mergeCell ref="C8:C10"/>
    <mergeCell ref="A6:D7"/>
    <mergeCell ref="C5:D5"/>
    <mergeCell ref="E5:F7"/>
    <mergeCell ref="J8:J10"/>
    <mergeCell ref="G8:G10"/>
    <mergeCell ref="G7:J7"/>
    <mergeCell ref="G5:J5"/>
    <mergeCell ref="A2:B2"/>
    <mergeCell ref="A3:B3"/>
    <mergeCell ref="A4:B4"/>
    <mergeCell ref="C2:D2"/>
    <mergeCell ref="C3:D3"/>
    <mergeCell ref="C4:D4"/>
    <mergeCell ref="E2:F2"/>
    <mergeCell ref="E3:F3"/>
    <mergeCell ref="E4:F4"/>
    <mergeCell ref="G2:J2"/>
    <mergeCell ref="G3:J3"/>
    <mergeCell ref="G4:J4"/>
  </mergeCells>
  <printOptions horizontalCentered="1"/>
  <pageMargins left="0.626771653543328" right="0.626771653543328" top="0.3" bottom="0.3" header="0.3" footer="0.3"/>
  <pageSetup fitToHeight="0" orientation="landscape" paperSize="9" scale="10" r:id="rId1"/>
  <headerFooter alignWithMargins="0">
    <oddFooter>&amp;L&amp;P of  &amp;N&amp;C&amp;Z&amp;F&amp;R&amp;D &amp;T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pageSetUpPr fitToPage="1"/>
  </sheetPr>
  <dimension ref="A1:O20"/>
  <sheetViews>
    <sheetView showZeros="0" view="pageBreakPreview" zoomScale="50" zoomScaleNormal="25" zoomScaleSheetLayoutView="50" zoomScalePageLayoutView="25" workbookViewId="0" topLeftCell="A1">
      <selection pane="topLeft" activeCell="A11" sqref="A11:XFD20"/>
    </sheetView>
  </sheetViews>
  <sheetFormatPr defaultColWidth="9.44140625" defaultRowHeight="39.9" customHeight="1"/>
  <cols>
    <col min="1" max="1" width="9.71428571428571" style="47" customWidth="1"/>
    <col min="2" max="2" width="30.5714285714286" style="47" customWidth="1"/>
    <col min="3" max="3" width="26.2857142857143" style="47" customWidth="1"/>
    <col min="4" max="4" width="37.8571428571429" style="47" customWidth="1"/>
    <col min="5" max="5" width="21.2857142857143" style="47" customWidth="1"/>
    <col min="6" max="6" width="28" style="47" customWidth="1"/>
    <col min="7" max="7" width="22.4285714285714" style="47" customWidth="1"/>
    <col min="8" max="8" width="22.2857142857143" customWidth="1"/>
    <col min="9" max="9" width="21.7142857142857" customWidth="1"/>
    <col min="10" max="10" width="28.2857142857143" customWidth="1"/>
    <col min="11" max="11" width="26.2857142857143" customWidth="1"/>
    <col min="12" max="12" width="15.8571428571429" customWidth="1"/>
    <col min="13" max="13" width="23.2857142857143" customWidth="1"/>
    <col min="14" max="14" width="84.4285714285714" customWidth="1"/>
    <col min="15" max="15" width="18.1428571428571" customWidth="1"/>
  </cols>
  <sheetData>
    <row r="1" spans="1:15" s="24" customFormat="1" ht="196.2" customHeight="1">
      <c r="A1" s="238" t="s">
        <v>426</v>
      </c>
      <c r="B1" s="238"/>
      <c r="C1" s="238"/>
      <c r="D1" s="238"/>
      <c r="E1" s="238"/>
      <c r="F1" s="238"/>
      <c r="G1" s="238"/>
      <c r="H1" s="238"/>
      <c r="I1" s="238"/>
      <c r="J1" s="238"/>
      <c r="K1" s="238"/>
      <c r="L1" s="238"/>
      <c r="M1" s="238"/>
      <c r="N1" s="238"/>
      <c r="O1" s="238"/>
    </row>
    <row r="2" spans="1:15" s="26" customFormat="1" ht="50.1" customHeight="1">
      <c r="A2" s="209" t="s">
        <v>7</v>
      </c>
      <c r="B2" s="209"/>
      <c r="C2" s="185"/>
      <c r="D2" s="185"/>
      <c r="E2" s="185" t="s">
        <v>118</v>
      </c>
      <c r="F2" s="185"/>
      <c r="G2" s="225" t="str">
        <f>Data!BF5</f>
        <v>Campbell, Neil</v>
      </c>
      <c r="H2" s="225"/>
      <c r="I2" s="225"/>
      <c r="J2" s="225"/>
      <c r="K2" s="178" t="s">
        <v>4</v>
      </c>
      <c r="L2" s="178"/>
      <c r="M2" s="178"/>
      <c r="N2" s="178"/>
      <c r="O2" s="178"/>
    </row>
    <row r="3" spans="1:15" s="26" customFormat="1" ht="50.1" customHeight="1">
      <c r="A3" s="226" t="s">
        <v>142</v>
      </c>
      <c r="B3" s="226"/>
      <c r="C3" s="187" t="str">
        <f>Data!BC5</f>
        <v>12085</v>
      </c>
      <c r="D3" s="187"/>
      <c r="E3" s="186" t="s">
        <v>8</v>
      </c>
      <c r="F3" s="186"/>
      <c r="G3" s="225" t="str">
        <f>TRIM(Data!AX5)</f>
        <v>Verticali Patio Blinds &amp; Fixed Guide Awnings</v>
      </c>
      <c r="H3" s="225"/>
      <c r="I3" s="225"/>
      <c r="J3" s="225"/>
      <c r="K3" s="225" t="str">
        <f>TRIM(Data!BG5)</f>
        <v/>
      </c>
      <c r="L3" s="225"/>
      <c r="M3" s="225"/>
      <c r="N3" s="225"/>
      <c r="O3" s="225"/>
    </row>
    <row r="4" spans="1:15" s="15" customFormat="1" ht="50.1" customHeight="1">
      <c r="A4" s="177" t="s">
        <v>15</v>
      </c>
      <c r="B4" s="177"/>
      <c r="C4" s="187" t="str">
        <f>Data!BD5</f>
        <v>A</v>
      </c>
      <c r="D4" s="187"/>
      <c r="E4" s="186" t="s">
        <v>136</v>
      </c>
      <c r="F4" s="186"/>
      <c r="G4" s="225" t="str">
        <f>LEFT(Data!BA5,10)</f>
        <v>18/09/2026</v>
      </c>
      <c r="H4" s="225"/>
      <c r="I4" s="225"/>
      <c r="J4" s="225"/>
      <c r="K4" s="225"/>
      <c r="L4" s="225"/>
      <c r="M4" s="225"/>
      <c r="N4" s="225"/>
      <c r="O4" s="225"/>
    </row>
    <row r="5" spans="1:15" s="15" customFormat="1" ht="50.1" customHeight="1">
      <c r="A5" s="227" t="s">
        <v>10</v>
      </c>
      <c r="B5" s="227"/>
      <c r="C5" s="229" t="str">
        <f>Data!AY5</f>
        <v>6/08/2026 12:00:00 AM</v>
      </c>
      <c r="D5" s="229"/>
      <c r="E5" s="187" t="s">
        <v>12</v>
      </c>
      <c r="F5" s="187"/>
      <c r="G5" s="225" t="str">
        <f>TRIM(Data!BF5)</f>
        <v>Campbell, Neil</v>
      </c>
      <c r="H5" s="225"/>
      <c r="I5" s="225"/>
      <c r="J5" s="225"/>
      <c r="K5" s="225"/>
      <c r="L5" s="225"/>
      <c r="M5" s="225"/>
      <c r="N5" s="225"/>
      <c r="O5" s="225"/>
    </row>
    <row r="6" spans="1:15" s="15" customFormat="1" ht="50.1" customHeight="1">
      <c r="A6" s="237" t="str">
        <f>Data!CZ5</f>
        <v>Retail Customer</v>
      </c>
      <c r="B6" s="237"/>
      <c r="C6" s="237"/>
      <c r="D6" s="237"/>
      <c r="E6" s="187"/>
      <c r="F6" s="187"/>
      <c r="G6" s="225" t="str">
        <f>CONCATENATE(Data!BH5," ",Data!BI5," ",Data!BJ5," ",Data!BK5," ",Data!BL5)</f>
        <v xml:space="preserve"> 7161  Midland Highway </v>
      </c>
      <c r="H6" s="225"/>
      <c r="I6" s="225"/>
      <c r="J6" s="225"/>
      <c r="K6" s="225"/>
      <c r="L6" s="225"/>
      <c r="M6" s="225"/>
      <c r="N6" s="225"/>
      <c r="O6" s="225"/>
    </row>
    <row r="7" spans="1:15" s="15" customFormat="1" ht="50.1" customHeight="1">
      <c r="A7" s="237"/>
      <c r="B7" s="237"/>
      <c r="C7" s="237"/>
      <c r="D7" s="237"/>
      <c r="E7" s="187"/>
      <c r="F7" s="187"/>
      <c r="G7" s="225" t="str">
        <f>CONCATENATE(Data!BM5," ",Data!BN5," ",Data!BO5," ",Data!BP5)</f>
        <v>Buninyong VIC 3357 Australia</v>
      </c>
      <c r="H7" s="225"/>
      <c r="I7" s="225"/>
      <c r="J7" s="225"/>
      <c r="K7" s="225"/>
      <c r="L7" s="225"/>
      <c r="M7" s="225"/>
      <c r="N7" s="225"/>
      <c r="O7" s="225"/>
    </row>
    <row r="8" spans="1:15" s="15" customFormat="1" ht="50.1" customHeight="1">
      <c r="A8" s="198" t="s">
        <v>141</v>
      </c>
      <c r="B8" s="235" t="s">
        <v>120</v>
      </c>
      <c r="C8" s="209" t="s">
        <v>119</v>
      </c>
      <c r="D8" s="209" t="s">
        <v>161</v>
      </c>
      <c r="E8" s="209" t="s">
        <v>202</v>
      </c>
      <c r="F8" s="178" t="s">
        <v>365</v>
      </c>
      <c r="G8" s="178" t="s">
        <v>187</v>
      </c>
      <c r="H8" s="178" t="s">
        <v>372</v>
      </c>
      <c r="I8" s="178" t="s">
        <v>427</v>
      </c>
      <c r="J8" s="178" t="s">
        <v>420</v>
      </c>
      <c r="K8" s="178" t="s">
        <v>421</v>
      </c>
      <c r="L8" s="178" t="s">
        <v>690</v>
      </c>
      <c r="M8" s="178" t="s">
        <v>378</v>
      </c>
      <c r="N8" s="178" t="s">
        <v>5</v>
      </c>
      <c r="O8" s="178" t="s">
        <v>684</v>
      </c>
    </row>
    <row r="9" spans="1:15" s="15" customFormat="1" ht="14.25" customHeight="1" hidden="1">
      <c r="A9" s="198"/>
      <c r="B9" s="235"/>
      <c r="C9" s="209"/>
      <c r="D9" s="209"/>
      <c r="E9" s="209"/>
      <c r="F9" s="178"/>
      <c r="G9" s="178"/>
      <c r="H9" s="178"/>
      <c r="I9" s="178"/>
      <c r="J9" s="178"/>
      <c r="K9" s="178"/>
      <c r="L9" s="178"/>
      <c r="M9" s="178"/>
      <c r="N9" s="178"/>
      <c r="O9" s="178"/>
    </row>
    <row r="10" spans="1:15" s="16" customFormat="1" ht="79.2" customHeight="1">
      <c r="A10" s="198"/>
      <c r="B10" s="235"/>
      <c r="C10" s="209"/>
      <c r="D10" s="209"/>
      <c r="E10" s="209"/>
      <c r="F10" s="178"/>
      <c r="G10" s="178"/>
      <c r="H10" s="178"/>
      <c r="I10" s="178"/>
      <c r="J10" s="178"/>
      <c r="K10" s="178"/>
      <c r="L10" s="178"/>
      <c r="M10" s="178"/>
      <c r="N10" s="178"/>
      <c r="O10" s="178"/>
    </row>
    <row r="11" spans="1:15" s="33" customFormat="1" ht="99">
      <c r="A11" s="99">
        <f>Data!AW11</f>
        <v>1</v>
      </c>
      <c r="B11" s="109" t="str">
        <f>Data!AY11</f>
        <v>Patio 1</v>
      </c>
      <c r="C11" s="38" t="str">
        <f>MID('Job Sheet'!K11,3,80)</f>
        <v>Verticali</v>
      </c>
      <c r="D11" s="38" t="str">
        <f>IF('Job Sheet'!M11="Spring","Pull Handle",IF('Job Sheet'!Q11="Not Required","",'Job Sheet'!Q11))</f>
        <v>Becker 5 Channel White Remote</v>
      </c>
      <c r="E11" s="38" t="str">
        <f>IF('Job Sheet'!AG11="No","",'Job Sheet'!AG11)</f>
        <v>Attached to Motor</v>
      </c>
      <c r="F11" s="38" t="str">
        <f>'Job Sheet'!AA11</f>
        <v/>
      </c>
      <c r="G11" s="38" t="str">
        <f>IF('Job Sheet'!F11="","",IF('Job Sheet'!U11="Powder Coated Brackets",CONCATENATE('Job Sheet'!V11," x 2"),""))</f>
        <v/>
      </c>
      <c r="H11" s="38" t="str">
        <f>IF('Job Sheet'!R11="None","",'Job Sheet'!R11)</f>
        <v/>
      </c>
      <c r="I11" s="38" t="str">
        <f>IF('Job Sheet'!S11="No","",'Job Sheet'!S11)</f>
        <v/>
      </c>
      <c r="J11" s="38" t="str">
        <f>IF(C11="Zipscreen","End Caps x 2 Funnels x 2",IF('Job Sheet'!AB11="None","",'Job Sheet'!AB11))</f>
        <v/>
      </c>
      <c r="K11" s="38" t="str">
        <f>'Job Sheet'!AC11</f>
        <v/>
      </c>
      <c r="L11" s="38" t="str">
        <f>IF(C11&lt;&gt;"Verticali","",IF('Job Sheet'!I11="Face","1 Pair",IF('Job Sheet'!I11="Reveal","2 Pairs",IF('Job Sheet'!I11="Reveal One Side, Face One Side","2 Pairs",""))))</f>
        <v>2 Pairs</v>
      </c>
      <c r="M11" s="38" t="str">
        <f>IF('Job Sheet'!I11="Face",CONCATENATE('Job Sheet'!W11," x 8"),IF('Job Sheet'!I11="Reveal One Side, Face One Side",CONCATENATE('Job Sheet'!W11," x 4"),""))</f>
        <v/>
      </c>
      <c r="N11" s="38" t="str">
        <f t="array" ref="N11">bpLOOKUP(Data!$AV11,"Notes",CustOrdOpt,6,FALSE)</f>
        <v/>
      </c>
      <c r="O11" s="151">
        <f>A11</f>
        <v>1</v>
      </c>
    </row>
    <row r="12" spans="1:15" s="33" customFormat="1" ht="60" customHeight="1">
      <c r="A12" s="99">
        <f>Data!AW12</f>
        <v>0</v>
      </c>
      <c r="B12" s="109">
        <f>Data!AY12</f>
        <v>0</v>
      </c>
      <c r="C12" s="38" t="str">
        <f>MID('Job Sheet'!K12,3,80)</f>
        <v/>
      </c>
      <c r="D12" s="38" t="str">
        <f>IF('Job Sheet'!M12="Spring","Pull Handle",IF('Job Sheet'!Q12="Not Required","",'Job Sheet'!Q12))</f>
        <v/>
      </c>
      <c r="E12" s="38" t="str">
        <f>IF('Job Sheet'!AG12="No","",'Job Sheet'!AG12)</f>
        <v/>
      </c>
      <c r="F12" s="38" t="str">
        <f>'Job Sheet'!AA12</f>
        <v/>
      </c>
      <c r="G12" s="38" t="str">
        <f>IF('Job Sheet'!F12="","",IF('Job Sheet'!U12="Powder Coated Brackets",CONCATENATE('Job Sheet'!V12," x 2"),""))</f>
        <v/>
      </c>
      <c r="H12" s="38" t="str">
        <f>IF('Job Sheet'!R12="None","",'Job Sheet'!R12)</f>
        <v/>
      </c>
      <c r="I12" s="38" t="str">
        <f>IF('Job Sheet'!S12="No","",'Job Sheet'!S12)</f>
        <v/>
      </c>
      <c r="J12" s="38" t="str">
        <f>IF(C12="Zipscreen","End Caps x 2 Funnels x 2",IF('Job Sheet'!AB12="None","",'Job Sheet'!AB12))</f>
        <v/>
      </c>
      <c r="K12" s="38" t="str">
        <f>'Job Sheet'!AC12</f>
        <v/>
      </c>
      <c r="L12" s="38" t="str">
        <f>IF(C12&lt;&gt;"Verticali","",IF('Job Sheet'!I12="Face","1 Pair",IF('Job Sheet'!I12="Reveal","2 Pairs",IF('Job Sheet'!I12="Reveal One Side, Face One Side","2 Pairs",""))))</f>
        <v/>
      </c>
      <c r="M12" s="38" t="str">
        <f>IF('Job Sheet'!I12="Face",CONCATENATE('Job Sheet'!W12," x 8"),IF('Job Sheet'!I12="Reveal One Side, Face One Side",CONCATENATE('Job Sheet'!W12," x 4"),""))</f>
        <v/>
      </c>
      <c r="N12" s="38" t="str">
        <f t="array" ref="N12">bpLOOKUP(Data!$AV12,"Notes",CustOrdOpt,6,FALSE)</f>
        <v/>
      </c>
      <c r="O12" s="151">
        <f t="shared" si="0" ref="O12:O20">A12</f>
        <v>0</v>
      </c>
    </row>
    <row r="13" spans="1:15" s="33" customFormat="1" ht="60" customHeight="1">
      <c r="A13" s="99">
        <f>Data!AW13</f>
        <v>0</v>
      </c>
      <c r="B13" s="109">
        <f>Data!AY13</f>
        <v>0</v>
      </c>
      <c r="C13" s="38" t="str">
        <f>MID('Job Sheet'!K13,3,80)</f>
        <v/>
      </c>
      <c r="D13" s="38" t="str">
        <f>IF('Job Sheet'!M13="Spring","Pull Handle",IF('Job Sheet'!Q13="Not Required","",'Job Sheet'!Q13))</f>
        <v/>
      </c>
      <c r="E13" s="38" t="str">
        <f>IF('Job Sheet'!AG13="No","",'Job Sheet'!AG13)</f>
        <v/>
      </c>
      <c r="F13" s="38" t="str">
        <f>'Job Sheet'!AA13</f>
        <v/>
      </c>
      <c r="G13" s="38" t="str">
        <f>IF('Job Sheet'!F13="","",IF('Job Sheet'!U13="Powder Coated Brackets",CONCATENATE('Job Sheet'!V13," x 2"),""))</f>
        <v/>
      </c>
      <c r="H13" s="38" t="str">
        <f>IF('Job Sheet'!R13="None","",'Job Sheet'!R13)</f>
        <v/>
      </c>
      <c r="I13" s="38" t="str">
        <f>IF('Job Sheet'!S13="No","",'Job Sheet'!S13)</f>
        <v/>
      </c>
      <c r="J13" s="38" t="str">
        <f>IF(C13="Zipscreen","End Caps x 2 Funnels x 2",IF('Job Sheet'!AB13="None","",'Job Sheet'!AB13))</f>
        <v/>
      </c>
      <c r="K13" s="38" t="str">
        <f>'Job Sheet'!AC13</f>
        <v/>
      </c>
      <c r="L13" s="38" t="str">
        <f>IF(C13&lt;&gt;"Verticali","",IF('Job Sheet'!I13="Face","1 Pair",IF('Job Sheet'!I13="Reveal","2 Pairs",IF('Job Sheet'!I13="Reveal One Side, Face One Side","2 Pairs",""))))</f>
        <v/>
      </c>
      <c r="M13" s="38" t="str">
        <f>IF('Job Sheet'!I13="Face",CONCATENATE('Job Sheet'!W13," x 8"),IF('Job Sheet'!I13="Reveal One Side, Face One Side",CONCATENATE('Job Sheet'!W13," x 4"),""))</f>
        <v/>
      </c>
      <c r="N13" s="38" t="str">
        <f t="array" ref="N13">bpLOOKUP(Data!$AV13,"Notes",CustOrdOpt,6,FALSE)</f>
        <v/>
      </c>
      <c r="O13" s="151">
        <f t="shared" si="0"/>
        <v>0</v>
      </c>
    </row>
    <row r="14" spans="1:15" s="33" customFormat="1" ht="60" customHeight="1">
      <c r="A14" s="99">
        <f>Data!AW14</f>
        <v>0</v>
      </c>
      <c r="B14" s="109">
        <f>Data!AY14</f>
        <v>0</v>
      </c>
      <c r="C14" s="38" t="str">
        <f>MID('Job Sheet'!K14,3,80)</f>
        <v/>
      </c>
      <c r="D14" s="38" t="str">
        <f>IF('Job Sheet'!M14="Spring","Pull Handle",IF('Job Sheet'!Q14="Not Required","",'Job Sheet'!Q14))</f>
        <v/>
      </c>
      <c r="E14" s="38" t="str">
        <f>IF('Job Sheet'!AG14="No","",'Job Sheet'!AG14)</f>
        <v/>
      </c>
      <c r="F14" s="38" t="str">
        <f>'Job Sheet'!AA14</f>
        <v/>
      </c>
      <c r="G14" s="38" t="str">
        <f>IF('Job Sheet'!F14="","",IF('Job Sheet'!U14="Powder Coated Brackets",CONCATENATE('Job Sheet'!V14," x 2"),""))</f>
        <v/>
      </c>
      <c r="H14" s="38" t="str">
        <f>IF('Job Sheet'!R14="None","",'Job Sheet'!R14)</f>
        <v/>
      </c>
      <c r="I14" s="38" t="str">
        <f>IF('Job Sheet'!S14="No","",'Job Sheet'!S14)</f>
        <v/>
      </c>
      <c r="J14" s="38" t="str">
        <f>IF(C14="Zipscreen","End Caps x 2 Funnels x 2",IF('Job Sheet'!AB14="None","",'Job Sheet'!AB14))</f>
        <v/>
      </c>
      <c r="K14" s="38" t="str">
        <f>'Job Sheet'!AC14</f>
        <v/>
      </c>
      <c r="L14" s="38" t="str">
        <f>IF(C14&lt;&gt;"Verticali","",IF('Job Sheet'!I14="Face","1 Pair",IF('Job Sheet'!I14="Reveal","2 Pairs",IF('Job Sheet'!I14="Reveal One Side, Face One Side","2 Pairs",""))))</f>
        <v/>
      </c>
      <c r="M14" s="38" t="str">
        <f>IF('Job Sheet'!I14="Face",CONCATENATE('Job Sheet'!W14," x 8"),IF('Job Sheet'!I14="Reveal One Side, Face One Side",CONCATENATE('Job Sheet'!W14," x 4"),""))</f>
        <v/>
      </c>
      <c r="N14" s="38" t="str">
        <f t="array" ref="N14">bpLOOKUP(Data!$AV14,"Notes",CustOrdOpt,6,FALSE)</f>
        <v/>
      </c>
      <c r="O14" s="151">
        <f t="shared" si="0"/>
        <v>0</v>
      </c>
    </row>
    <row r="15" spans="1:15" s="33" customFormat="1" ht="60" customHeight="1">
      <c r="A15" s="99">
        <f>Data!AW15</f>
        <v>0</v>
      </c>
      <c r="B15" s="109">
        <f>Data!AY15</f>
        <v>0</v>
      </c>
      <c r="C15" s="38" t="str">
        <f>MID('Job Sheet'!K15,3,80)</f>
        <v/>
      </c>
      <c r="D15" s="38" t="str">
        <f>IF('Job Sheet'!M15="Spring","Pull Handle",IF('Job Sheet'!Q15="Not Required","",'Job Sheet'!Q15))</f>
        <v/>
      </c>
      <c r="E15" s="38" t="str">
        <f>IF('Job Sheet'!AG15="No","",'Job Sheet'!AG15)</f>
        <v/>
      </c>
      <c r="F15" s="38" t="str">
        <f>'Job Sheet'!AA15</f>
        <v/>
      </c>
      <c r="G15" s="38" t="str">
        <f>IF('Job Sheet'!F15="","",IF('Job Sheet'!U15="Powder Coated Brackets",CONCATENATE('Job Sheet'!V15," x 2"),""))</f>
        <v/>
      </c>
      <c r="H15" s="38" t="str">
        <f>IF('Job Sheet'!R15="None","",'Job Sheet'!R15)</f>
        <v/>
      </c>
      <c r="I15" s="38" t="str">
        <f>IF('Job Sheet'!S15="No","",'Job Sheet'!S15)</f>
        <v/>
      </c>
      <c r="J15" s="38" t="str">
        <f>IF(C15="Zipscreen","End Caps x 2 Funnels x 2",IF('Job Sheet'!AB15="None","",'Job Sheet'!AB15))</f>
        <v/>
      </c>
      <c r="K15" s="38" t="str">
        <f>'Job Sheet'!AC15</f>
        <v/>
      </c>
      <c r="L15" s="38" t="str">
        <f>IF(C15&lt;&gt;"Verticali","",IF('Job Sheet'!I15="Face","1 Pair",IF('Job Sheet'!I15="Reveal","2 Pairs",IF('Job Sheet'!I15="Reveal One Side, Face One Side","2 Pairs",""))))</f>
        <v/>
      </c>
      <c r="M15" s="38" t="str">
        <f>IF('Job Sheet'!I15="Face",CONCATENATE('Job Sheet'!W15," x 8"),IF('Job Sheet'!I15="Reveal One Side, Face One Side",CONCATENATE('Job Sheet'!W15," x 4"),""))</f>
        <v/>
      </c>
      <c r="N15" s="38" t="str">
        <f t="array" ref="N15">bpLOOKUP(Data!$AV15,"Notes",CustOrdOpt,6,FALSE)</f>
        <v/>
      </c>
      <c r="O15" s="151">
        <f t="shared" si="0"/>
        <v>0</v>
      </c>
    </row>
    <row r="16" spans="1:15" s="33" customFormat="1" ht="60" customHeight="1">
      <c r="A16" s="99">
        <f>Data!AW16</f>
        <v>0</v>
      </c>
      <c r="B16" s="109">
        <f>Data!AY16</f>
        <v>0</v>
      </c>
      <c r="C16" s="38" t="str">
        <f>MID('Job Sheet'!K16,3,80)</f>
        <v/>
      </c>
      <c r="D16" s="38" t="str">
        <f>IF('Job Sheet'!M16="Spring","Pull Handle",IF('Job Sheet'!Q16="Not Required","",'Job Sheet'!Q16))</f>
        <v/>
      </c>
      <c r="E16" s="38" t="str">
        <f>IF('Job Sheet'!AG16="No","",'Job Sheet'!AG16)</f>
        <v/>
      </c>
      <c r="F16" s="38" t="str">
        <f>'Job Sheet'!AA16</f>
        <v/>
      </c>
      <c r="G16" s="38" t="str">
        <f>IF('Job Sheet'!F16="","",IF('Job Sheet'!U16="Powder Coated Brackets",CONCATENATE('Job Sheet'!V16," x 2"),""))</f>
        <v/>
      </c>
      <c r="H16" s="38" t="str">
        <f>IF('Job Sheet'!R16="None","",'Job Sheet'!R16)</f>
        <v/>
      </c>
      <c r="I16" s="38" t="str">
        <f>IF('Job Sheet'!S16="No","",'Job Sheet'!S16)</f>
        <v/>
      </c>
      <c r="J16" s="38" t="str">
        <f>IF(C16="Zipscreen","End Caps x 2 Funnels x 2",IF('Job Sheet'!AB16="None","",'Job Sheet'!AB16))</f>
        <v/>
      </c>
      <c r="K16" s="38" t="str">
        <f>'Job Sheet'!AC16</f>
        <v/>
      </c>
      <c r="L16" s="38" t="str">
        <f>IF(C16&lt;&gt;"Verticali","",IF('Job Sheet'!I16="Face","1 Pair",IF('Job Sheet'!I16="Reveal","2 Pairs",IF('Job Sheet'!I16="Reveal One Side, Face One Side","2 Pairs",""))))</f>
        <v/>
      </c>
      <c r="M16" s="38" t="str">
        <f>IF('Job Sheet'!I16="Face",CONCATENATE('Job Sheet'!W16," x 8"),IF('Job Sheet'!I16="Reveal One Side, Face One Side",CONCATENATE('Job Sheet'!W16," x 4"),""))</f>
        <v/>
      </c>
      <c r="N16" s="38" t="str">
        <f t="array" ref="N16">bpLOOKUP(Data!$AV16,"Notes",CustOrdOpt,6,FALSE)</f>
        <v/>
      </c>
      <c r="O16" s="151">
        <f t="shared" si="0"/>
        <v>0</v>
      </c>
    </row>
    <row r="17" spans="1:15" s="33" customFormat="1" ht="60" customHeight="1">
      <c r="A17" s="99">
        <f>Data!AW17</f>
        <v>0</v>
      </c>
      <c r="B17" s="109">
        <f>Data!AY17</f>
        <v>0</v>
      </c>
      <c r="C17" s="38" t="str">
        <f>MID('Job Sheet'!K17,3,80)</f>
        <v/>
      </c>
      <c r="D17" s="38" t="str">
        <f>IF('Job Sheet'!M17="Spring","Pull Handle",IF('Job Sheet'!Q17="Not Required","",'Job Sheet'!Q17))</f>
        <v/>
      </c>
      <c r="E17" s="38" t="str">
        <f>IF('Job Sheet'!AG17="No","",'Job Sheet'!AG17)</f>
        <v/>
      </c>
      <c r="F17" s="38" t="str">
        <f>'Job Sheet'!AA17</f>
        <v/>
      </c>
      <c r="G17" s="38" t="str">
        <f>IF('Job Sheet'!F17="","",IF('Job Sheet'!U17="Powder Coated Brackets",CONCATENATE('Job Sheet'!V17," x 2"),""))</f>
        <v/>
      </c>
      <c r="H17" s="38" t="str">
        <f>IF('Job Sheet'!R17="None","",'Job Sheet'!R17)</f>
        <v/>
      </c>
      <c r="I17" s="38" t="str">
        <f>IF('Job Sheet'!S17="No","",'Job Sheet'!S17)</f>
        <v/>
      </c>
      <c r="J17" s="38" t="str">
        <f>IF(C17="Zipscreen","End Caps x 2 Funnels x 2",IF('Job Sheet'!AB17="None","",'Job Sheet'!AB17))</f>
        <v/>
      </c>
      <c r="K17" s="38" t="str">
        <f>'Job Sheet'!AC17</f>
        <v/>
      </c>
      <c r="L17" s="38" t="str">
        <f>IF(C17&lt;&gt;"Verticali","",IF('Job Sheet'!I17="Face","1 Pair",IF('Job Sheet'!I17="Reveal","2 Pairs",IF('Job Sheet'!I17="Reveal One Side, Face One Side","2 Pairs",""))))</f>
        <v/>
      </c>
      <c r="M17" s="38" t="str">
        <f>IF('Job Sheet'!I17="Face",CONCATENATE('Job Sheet'!W17," x 8"),IF('Job Sheet'!I17="Reveal One Side, Face One Side",CONCATENATE('Job Sheet'!W17," x 4"),""))</f>
        <v/>
      </c>
      <c r="N17" s="38" t="str">
        <f t="array" ref="N17">bpLOOKUP(Data!$AV17,"Notes",CustOrdOpt,6,FALSE)</f>
        <v/>
      </c>
      <c r="O17" s="151">
        <f t="shared" si="0"/>
        <v>0</v>
      </c>
    </row>
    <row r="18" spans="1:15" s="33" customFormat="1" ht="60" customHeight="1">
      <c r="A18" s="99">
        <f>Data!AW18</f>
        <v>0</v>
      </c>
      <c r="B18" s="109">
        <f>Data!AY18</f>
        <v>0</v>
      </c>
      <c r="C18" s="38" t="str">
        <f>MID('Job Sheet'!K18,3,80)</f>
        <v/>
      </c>
      <c r="D18" s="38" t="str">
        <f>IF('Job Sheet'!M18="Spring","Pull Handle",IF('Job Sheet'!Q18="Not Required","",'Job Sheet'!Q18))</f>
        <v/>
      </c>
      <c r="E18" s="38" t="str">
        <f>IF('Job Sheet'!AG18="No","",'Job Sheet'!AG18)</f>
        <v/>
      </c>
      <c r="F18" s="38" t="str">
        <f>'Job Sheet'!AA18</f>
        <v/>
      </c>
      <c r="G18" s="38" t="str">
        <f>IF('Job Sheet'!F18="","",IF('Job Sheet'!U18="Powder Coated Brackets",CONCATENATE('Job Sheet'!V18," x 2"),""))</f>
        <v/>
      </c>
      <c r="H18" s="38" t="str">
        <f>IF('Job Sheet'!R18="None","",'Job Sheet'!R18)</f>
        <v/>
      </c>
      <c r="I18" s="38" t="str">
        <f>IF('Job Sheet'!S18="No","",'Job Sheet'!S18)</f>
        <v/>
      </c>
      <c r="J18" s="38" t="str">
        <f>IF(C18="Zipscreen","End Caps x 2 Funnels x 2",IF('Job Sheet'!AB18="None","",'Job Sheet'!AB18))</f>
        <v/>
      </c>
      <c r="K18" s="38" t="str">
        <f>'Job Sheet'!AC18</f>
        <v/>
      </c>
      <c r="L18" s="38" t="str">
        <f>IF(C18&lt;&gt;"Verticali","",IF('Job Sheet'!I18="Face","1 Pair",IF('Job Sheet'!I18="Reveal","2 Pairs",IF('Job Sheet'!I18="Reveal One Side, Face One Side","2 Pairs",""))))</f>
        <v/>
      </c>
      <c r="M18" s="38" t="str">
        <f>IF('Job Sheet'!I18="Face",CONCATENATE('Job Sheet'!W18," x 8"),IF('Job Sheet'!I18="Reveal One Side, Face One Side",CONCATENATE('Job Sheet'!W18," x 4"),""))</f>
        <v/>
      </c>
      <c r="N18" s="38" t="str">
        <f t="array" ref="N18">bpLOOKUP(Data!$AV18,"Notes",CustOrdOpt,6,FALSE)</f>
        <v/>
      </c>
      <c r="O18" s="151">
        <f t="shared" si="0"/>
        <v>0</v>
      </c>
    </row>
    <row r="19" spans="1:15" ht="60" customHeight="1">
      <c r="A19" s="99">
        <f>Data!AW19</f>
        <v>0</v>
      </c>
      <c r="B19" s="109">
        <f>Data!AY19</f>
        <v>0</v>
      </c>
      <c r="C19" s="38" t="str">
        <f>MID('Job Sheet'!K19,3,80)</f>
        <v/>
      </c>
      <c r="D19" s="38" t="str">
        <f>IF('Job Sheet'!M19="Spring","Pull Handle",IF('Job Sheet'!Q19="Not Required","",'Job Sheet'!Q19))</f>
        <v/>
      </c>
      <c r="E19" s="38" t="str">
        <f>IF('Job Sheet'!AG19="No","",'Job Sheet'!AG19)</f>
        <v/>
      </c>
      <c r="F19" s="38" t="str">
        <f>'Job Sheet'!AA19</f>
        <v/>
      </c>
      <c r="G19" s="38" t="str">
        <f>IF('Job Sheet'!F19="","",IF('Job Sheet'!U19="Powder Coated Brackets",CONCATENATE('Job Sheet'!V19," x 2"),""))</f>
        <v/>
      </c>
      <c r="H19" s="38" t="str">
        <f>IF('Job Sheet'!R19="None","",'Job Sheet'!R19)</f>
        <v/>
      </c>
      <c r="I19" s="38" t="str">
        <f>IF('Job Sheet'!S19="No","",'Job Sheet'!S19)</f>
        <v/>
      </c>
      <c r="J19" s="38" t="str">
        <f>IF(C19="Zipscreen","End Caps x 2 Funnels x 2",IF('Job Sheet'!AB19="None","",'Job Sheet'!AB19))</f>
        <v/>
      </c>
      <c r="K19" s="38" t="str">
        <f>'Job Sheet'!AC19</f>
        <v/>
      </c>
      <c r="L19" s="38" t="str">
        <f>IF(C19&lt;&gt;"Verticali","",IF('Job Sheet'!I19="Face","1 Pair",IF('Job Sheet'!I19="Reveal","2 Pairs",IF('Job Sheet'!I19="Reveal One Side, Face One Side","2 Pairs",""))))</f>
        <v/>
      </c>
      <c r="M19" s="38" t="str">
        <f>IF('Job Sheet'!I19="Face",CONCATENATE('Job Sheet'!W19," x 8"),IF('Job Sheet'!I19="Reveal One Side, Face One Side",CONCATENATE('Job Sheet'!W19," x 4"),""))</f>
        <v/>
      </c>
      <c r="N19" s="38" t="str">
        <f t="array" ref="N19">bpLOOKUP(Data!$AV19,"Notes",CustOrdOpt,6,FALSE)</f>
        <v/>
      </c>
      <c r="O19" s="151">
        <f t="shared" si="0"/>
        <v>0</v>
      </c>
    </row>
    <row r="20" spans="1:15" ht="60" customHeight="1">
      <c r="A20" s="99">
        <f>Data!AW20</f>
        <v>0</v>
      </c>
      <c r="B20" s="109">
        <f>Data!AY20</f>
        <v>0</v>
      </c>
      <c r="C20" s="38" t="str">
        <f>MID('Job Sheet'!K20,3,80)</f>
        <v/>
      </c>
      <c r="D20" s="38" t="str">
        <f>IF('Job Sheet'!M20="Spring","Pull Handle",IF('Job Sheet'!Q20="Not Required","",'Job Sheet'!Q20))</f>
        <v/>
      </c>
      <c r="E20" s="38" t="str">
        <f>IF('Job Sheet'!AG20="No","",'Job Sheet'!AG20)</f>
        <v/>
      </c>
      <c r="F20" s="38" t="str">
        <f>'Job Sheet'!AA20</f>
        <v/>
      </c>
      <c r="G20" s="38" t="str">
        <f>IF('Job Sheet'!F20="","",IF('Job Sheet'!U20="Powder Coated Brackets",CONCATENATE('Job Sheet'!V20," x 2"),""))</f>
        <v/>
      </c>
      <c r="H20" s="38" t="str">
        <f>IF('Job Sheet'!R20="None","",'Job Sheet'!R20)</f>
        <v/>
      </c>
      <c r="I20" s="38" t="str">
        <f>IF('Job Sheet'!S20="No","",'Job Sheet'!S20)</f>
        <v/>
      </c>
      <c r="J20" s="38" t="str">
        <f>IF(C20="Zipscreen","End Caps x 2 Funnels x 2",IF('Job Sheet'!AB20="None","",'Job Sheet'!AB20))</f>
        <v/>
      </c>
      <c r="K20" s="38" t="str">
        <f>'Job Sheet'!AC20</f>
        <v/>
      </c>
      <c r="L20" s="38" t="str">
        <f>IF(C20&lt;&gt;"Verticali","",IF('Job Sheet'!I20="Face","1 Pair",IF('Job Sheet'!I20="Reveal","2 Pairs",IF('Job Sheet'!I20="Reveal One Side, Face One Side","2 Pairs",""))))</f>
        <v/>
      </c>
      <c r="M20" s="38" t="str">
        <f>IF('Job Sheet'!I20="Face",CONCATENATE('Job Sheet'!W20," x 8"),IF('Job Sheet'!I20="Reveal One Side, Face One Side",CONCATENATE('Job Sheet'!W20," x 4"),""))</f>
        <v/>
      </c>
      <c r="N20" s="38" t="str">
        <f t="array" ref="N20">bpLOOKUP(Data!$AV20,"Notes",CustOrdOpt,6,FALSE)</f>
        <v/>
      </c>
      <c r="O20" s="151">
        <f t="shared" si="0"/>
        <v>0</v>
      </c>
    </row>
    <row r="21" ht="60" customHeight="1"/>
    <row r="22" ht="60" customHeight="1"/>
    <row r="23" ht="60" customHeight="1"/>
    <row r="24" ht="60" customHeight="1"/>
    <row r="25" ht="60" customHeight="1"/>
    <row r="26" ht="60" customHeight="1"/>
    <row r="27" ht="60" customHeight="1"/>
    <row r="28" ht="60" customHeight="1"/>
    <row r="29" ht="60" customHeight="1"/>
    <row r="30" ht="60" customHeight="1"/>
    <row r="31" ht="60" customHeight="1"/>
    <row r="32" ht="60" customHeight="1"/>
    <row r="33" ht="60" customHeight="1"/>
    <row r="34" ht="60" customHeight="1"/>
    <row r="35" ht="60" customHeight="1"/>
    <row r="36" ht="60" customHeight="1"/>
    <row r="37" ht="60" customHeight="1"/>
    <row r="38" ht="60" customHeight="1"/>
    <row r="39" ht="60" customHeight="1"/>
    <row r="40" ht="60" customHeight="1"/>
    <row r="41" ht="60" customHeight="1"/>
    <row r="42" ht="60" customHeight="1"/>
    <row r="43" ht="60" customHeight="1"/>
    <row r="44" ht="60" customHeight="1"/>
    <row r="45" ht="60" customHeight="1"/>
    <row r="46" ht="60" customHeight="1"/>
    <row r="47" ht="60" customHeight="1"/>
    <row r="48" ht="60" customHeight="1"/>
    <row r="49" ht="60" customHeight="1"/>
    <row r="50" ht="60" customHeight="1"/>
    <row r="51" ht="60" customHeight="1"/>
    <row r="52" ht="60" customHeight="1"/>
    <row r="53" ht="60" customHeight="1"/>
    <row r="54" ht="60" customHeight="1"/>
    <row r="55" ht="60" customHeight="1"/>
    <row r="56" ht="60" customHeight="1"/>
    <row r="57" ht="60" customHeight="1"/>
    <row r="58" ht="60" customHeight="1"/>
    <row r="59" ht="60" customHeight="1"/>
    <row r="60" ht="60" customHeight="1"/>
    <row r="61" ht="60" customHeight="1"/>
    <row r="62" ht="60" customHeight="1"/>
    <row r="63" ht="60" customHeight="1"/>
    <row r="64" ht="60" customHeight="1"/>
    <row r="65" ht="60" customHeight="1"/>
    <row r="66" ht="60" customHeight="1"/>
    <row r="67" ht="60" customHeight="1"/>
    <row r="68" ht="60" customHeight="1"/>
    <row r="69" ht="60" customHeight="1"/>
    <row r="70" ht="60" customHeight="1"/>
    <row r="71" ht="60" customHeight="1"/>
    <row r="72" ht="60" customHeight="1"/>
    <row r="73" ht="60" customHeight="1"/>
    <row r="74" ht="60" customHeight="1"/>
    <row r="75" ht="60" customHeight="1"/>
    <row r="76" ht="60" customHeight="1"/>
    <row r="77" ht="60" customHeight="1"/>
    <row r="78" ht="60" customHeight="1"/>
    <row r="79" ht="60" customHeight="1"/>
    <row r="80" ht="60" customHeight="1"/>
    <row r="81" ht="60" customHeight="1"/>
    <row r="82" ht="60" customHeight="1"/>
    <row r="83" ht="60" customHeight="1"/>
    <row r="84" ht="60" customHeight="1"/>
    <row r="85" ht="60" customHeight="1"/>
    <row r="86" ht="60" customHeight="1"/>
    <row r="87" ht="60" customHeight="1"/>
    <row r="88" ht="60" customHeight="1"/>
    <row r="89" ht="60" customHeight="1"/>
    <row r="90" ht="60" customHeight="1"/>
    <row r="91" ht="60" customHeight="1"/>
    <row r="92" ht="60" customHeight="1"/>
    <row r="93" ht="60" customHeight="1"/>
    <row r="94" ht="60" customHeight="1"/>
    <row r="95" ht="60" customHeight="1"/>
    <row r="96" ht="60" customHeight="1"/>
    <row r="97" ht="60" customHeight="1"/>
    <row r="98" ht="60" customHeight="1"/>
    <row r="99" ht="60" customHeight="1"/>
    <row r="100" ht="60" customHeight="1"/>
    <row r="101" ht="60" customHeight="1"/>
    <row r="102" ht="60" customHeight="1"/>
    <row r="103" ht="60" customHeight="1"/>
    <row r="104" ht="60" customHeight="1"/>
    <row r="105" ht="60" customHeight="1"/>
    <row r="106" ht="60" customHeight="1"/>
    <row r="107" ht="60" customHeight="1"/>
    <row r="108" ht="60" customHeight="1"/>
    <row r="109" ht="60" customHeight="1"/>
    <row r="110" ht="60" customHeight="1"/>
    <row r="111" ht="60" customHeight="1"/>
    <row r="112" ht="60" customHeight="1"/>
    <row r="113" ht="60" customHeight="1"/>
    <row r="114" ht="60" customHeight="1"/>
    <row r="115" ht="60" customHeight="1"/>
    <row r="116" ht="60" customHeight="1"/>
    <row r="117" ht="60" customHeight="1"/>
    <row r="118" ht="60" customHeight="1"/>
    <row r="119" ht="60" customHeight="1"/>
    <row r="120" ht="60" customHeight="1"/>
    <row r="121" ht="60" customHeight="1"/>
    <row r="122" ht="60" customHeight="1"/>
    <row r="123" ht="60" customHeight="1"/>
    <row r="124" ht="60" customHeight="1"/>
    <row r="125" ht="60" customHeight="1"/>
    <row r="126" ht="60" customHeight="1"/>
    <row r="127" ht="60" customHeight="1"/>
    <row r="128" ht="60" customHeight="1"/>
    <row r="129" ht="60" customHeight="1"/>
    <row r="130" ht="60" customHeight="1"/>
    <row r="131" ht="60" customHeight="1"/>
    <row r="132" ht="60" customHeight="1"/>
    <row r="133" ht="60" customHeight="1"/>
    <row r="134" ht="60" customHeight="1"/>
    <row r="135" ht="60" customHeight="1"/>
    <row r="136" ht="60" customHeight="1"/>
    <row r="137" ht="60" customHeight="1"/>
    <row r="138" ht="60" customHeight="1"/>
    <row r="139" ht="60" customHeight="1"/>
    <row r="140" ht="60" customHeight="1"/>
    <row r="141" ht="60" customHeight="1"/>
    <row r="142" ht="60" customHeight="1"/>
    <row r="143" ht="60" customHeight="1"/>
    <row r="144" ht="60" customHeight="1"/>
    <row r="145" ht="60" customHeight="1"/>
    <row r="146" ht="60" customHeight="1"/>
    <row r="147" ht="60" customHeight="1"/>
    <row r="148" ht="60" customHeight="1"/>
    <row r="149" ht="60" customHeight="1"/>
    <row r="150" ht="60" customHeight="1"/>
    <row r="151" ht="60" customHeight="1"/>
    <row r="152" ht="60" customHeight="1"/>
    <row r="153" ht="60" customHeight="1"/>
    <row r="154" ht="60" customHeight="1"/>
    <row r="155" ht="60" customHeight="1"/>
    <row r="156" ht="60" customHeight="1"/>
    <row r="157" ht="60" customHeight="1"/>
    <row r="158" ht="60" customHeight="1"/>
    <row r="159" ht="60" customHeight="1"/>
    <row r="160" ht="60" customHeight="1"/>
    <row r="161" ht="60" customHeight="1"/>
    <row r="162" ht="60" customHeight="1"/>
    <row r="163" ht="60" customHeight="1"/>
    <row r="164" ht="60" customHeight="1"/>
    <row r="165" ht="60" customHeight="1"/>
    <row r="166" ht="60" customHeight="1"/>
    <row r="167" ht="60" customHeight="1"/>
    <row r="168" ht="60" customHeight="1"/>
    <row r="169" ht="60" customHeight="1"/>
    <row r="170" ht="60" customHeight="1"/>
    <row r="171" ht="60" customHeight="1"/>
    <row r="172" ht="60" customHeight="1"/>
    <row r="173" ht="60" customHeight="1"/>
    <row r="174" ht="60" customHeight="1"/>
    <row r="175" ht="60" customHeight="1"/>
    <row r="176" ht="60" customHeight="1"/>
    <row r="177" ht="60" customHeight="1"/>
    <row r="178" ht="60" customHeight="1"/>
    <row r="179" ht="60" customHeight="1"/>
    <row r="180" ht="60" customHeight="1"/>
    <row r="181" ht="60" customHeight="1"/>
    <row r="182" ht="60" customHeight="1"/>
    <row r="183" ht="60" customHeight="1"/>
    <row r="184" ht="60" customHeight="1"/>
    <row r="185" ht="60" customHeight="1"/>
    <row r="186" ht="60" customHeight="1"/>
    <row r="187" ht="60" customHeight="1"/>
    <row r="188" ht="60" customHeight="1"/>
    <row r="189" ht="60" customHeight="1"/>
    <row r="190" ht="60" customHeight="1"/>
    <row r="191" ht="60" customHeight="1"/>
    <row r="192" ht="60" customHeight="1"/>
    <row r="193" ht="60" customHeight="1"/>
    <row r="194" ht="60" customHeight="1"/>
    <row r="195" ht="50.1" customHeight="1"/>
    <row r="196" ht="50.1" customHeight="1"/>
    <row r="197" ht="50.1" customHeight="1"/>
    <row r="198" ht="50.1" customHeight="1"/>
    <row r="199" ht="50.1" customHeight="1"/>
    <row r="200" ht="50.1" customHeight="1"/>
    <row r="201" ht="50.1" customHeight="1"/>
    <row r="202" ht="50.1" customHeight="1"/>
    <row r="203" ht="50.1" customHeight="1"/>
    <row r="204" ht="50.1" customHeight="1"/>
    <row r="205" ht="50.1" customHeight="1"/>
    <row r="206" ht="50.1" customHeight="1"/>
    <row r="207" ht="50.1" customHeight="1"/>
    <row r="208" ht="50.1" customHeight="1"/>
    <row r="209" ht="50.1" customHeight="1"/>
    <row r="210" ht="50.1" customHeight="1"/>
    <row r="211" ht="50.1" customHeight="1"/>
    <row r="212" ht="50.1" customHeight="1"/>
    <row r="213" ht="50.1" customHeight="1"/>
    <row r="214" ht="50.1" customHeight="1"/>
    <row r="215" ht="50.1" customHeight="1"/>
    <row r="216" ht="50.1" customHeight="1"/>
    <row r="217" ht="50.1" customHeight="1"/>
    <row r="218" ht="50.1" customHeight="1"/>
    <row r="219" ht="50.1" customHeight="1"/>
    <row r="220" ht="50.1" customHeight="1"/>
    <row r="221" ht="50.1" customHeight="1"/>
    <row r="222" ht="50.1" customHeight="1"/>
    <row r="223" ht="50.1" customHeight="1"/>
    <row r="224" ht="50.1" customHeight="1"/>
    <row r="225" ht="50.1" customHeight="1"/>
    <row r="226" ht="50.1" customHeight="1"/>
    <row r="227" ht="50.1" customHeight="1"/>
    <row r="228" ht="50.1" customHeight="1"/>
    <row r="229" ht="50.1" customHeight="1"/>
    <row r="230" ht="50.1" customHeight="1"/>
    <row r="231" ht="50.1" customHeight="1"/>
    <row r="232" ht="50.1" customHeight="1"/>
    <row r="233" ht="50.1" customHeight="1"/>
    <row r="234" ht="50.1" customHeight="1"/>
    <row r="235" ht="50.1" customHeight="1"/>
    <row r="236" ht="50.1" customHeight="1"/>
    <row r="237" ht="50.1" customHeight="1"/>
    <row r="238" ht="50.1" customHeight="1"/>
    <row r="239" ht="50.1" customHeight="1"/>
    <row r="240" ht="50.1" customHeight="1"/>
    <row r="241" ht="50.1" customHeight="1"/>
    <row r="242" ht="50.1" customHeight="1"/>
    <row r="243" ht="50.1" customHeight="1"/>
    <row r="244" ht="50.1" customHeight="1"/>
    <row r="245" ht="50.1" customHeight="1"/>
    <row r="246" ht="50.1" customHeight="1"/>
    <row r="247" ht="50.1" customHeight="1"/>
    <row r="248" ht="50.1" customHeight="1"/>
    <row r="249" ht="50.1" customHeight="1"/>
    <row r="250" ht="50.1" customHeight="1"/>
    <row r="251" ht="50.1" customHeight="1"/>
    <row r="252" ht="50.1" customHeight="1"/>
    <row r="253" ht="50.1" customHeight="1"/>
    <row r="254" ht="50.1" customHeight="1"/>
    <row r="255" ht="50.1" customHeight="1"/>
    <row r="256" ht="50.1" customHeight="1"/>
    <row r="257" ht="50.1" customHeight="1"/>
    <row r="258" ht="50.1" customHeight="1"/>
    <row r="259" ht="50.1" customHeight="1"/>
    <row r="260" ht="50.1" customHeight="1"/>
  </sheetData>
  <sheetProtection formatCells="0" formatRows="0" insertColumns="0" insertRows="0"/>
  <mergeCells count="37">
    <mergeCell ref="A1:O1"/>
    <mergeCell ref="K2:O2"/>
    <mergeCell ref="K3:O7"/>
    <mergeCell ref="O8:O10"/>
    <mergeCell ref="M8:M10"/>
    <mergeCell ref="N8:N10"/>
    <mergeCell ref="D8:D10"/>
    <mergeCell ref="A8:A10"/>
    <mergeCell ref="B8:B10"/>
    <mergeCell ref="G8:G10"/>
    <mergeCell ref="E8:E10"/>
    <mergeCell ref="F8:F10"/>
    <mergeCell ref="C8:C10"/>
    <mergeCell ref="H8:H10"/>
    <mergeCell ref="K8:K10"/>
    <mergeCell ref="J8:J10"/>
    <mergeCell ref="I8:I10"/>
    <mergeCell ref="L8:L10"/>
    <mergeCell ref="G7:J7"/>
    <mergeCell ref="A6:D7"/>
    <mergeCell ref="G6:J6"/>
    <mergeCell ref="G2:J2"/>
    <mergeCell ref="G3:J3"/>
    <mergeCell ref="G4:J4"/>
    <mergeCell ref="G5:J5"/>
    <mergeCell ref="A3:B3"/>
    <mergeCell ref="A4:B4"/>
    <mergeCell ref="A5:B5"/>
    <mergeCell ref="C2:D2"/>
    <mergeCell ref="C5:D5"/>
    <mergeCell ref="C3:D3"/>
    <mergeCell ref="C4:D4"/>
    <mergeCell ref="E2:F2"/>
    <mergeCell ref="E3:F3"/>
    <mergeCell ref="E4:F4"/>
    <mergeCell ref="E5:F7"/>
    <mergeCell ref="A2:B2"/>
  </mergeCells>
  <printOptions horizontalCentered="1"/>
  <pageMargins left="0.626771653543328" right="0.626771653543328" top="0.3" bottom="0.3" header="0.3" footer="0.3"/>
  <pageSetup fitToHeight="0" orientation="landscape" paperSize="9" scale="10" r:id="rId1"/>
  <headerFooter alignWithMargins="0">
    <oddFooter>&amp;L&amp;P of  &amp;N&amp;C&amp;Z&amp;F&amp;R&amp;D &amp;T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53FAEA-8B08-49EC-AA5F-8E1D5C607E25}">
  <sheetPr codeName="Sheet12">
    <pageSetUpPr fitToPage="1"/>
  </sheetPr>
  <dimension ref="A1:AC20"/>
  <sheetViews>
    <sheetView view="pageBreakPreview" zoomScale="50" zoomScaleSheetLayoutView="50" workbookViewId="0" topLeftCell="A1">
      <selection pane="topLeft" activeCell="K13" sqref="K13"/>
    </sheetView>
  </sheetViews>
  <sheetFormatPr defaultColWidth="9.14285714285714" defaultRowHeight="27.75"/>
  <cols>
    <col min="1" max="1" width="8.85714285714286" style="262"/>
    <col min="2" max="2" width="33.5714285714286" style="262" customWidth="1"/>
    <col min="3" max="4" width="12.7142857142857" style="262" customWidth="1"/>
    <col min="5" max="5" width="27.5714285714286" style="262" customWidth="1"/>
    <col min="6" max="6" width="26" style="262" customWidth="1"/>
    <col min="7" max="7" width="21.7142857142857" style="262" customWidth="1"/>
    <col min="8" max="8" width="23.1428571428571" style="262" customWidth="1"/>
    <col min="9" max="9" width="19" style="262" customWidth="1"/>
    <col min="10" max="10" width="23.7142857142857" style="262" customWidth="1"/>
    <col min="11" max="11" width="27" style="262" customWidth="1"/>
    <col min="12" max="12" width="27.1428571428571" style="262" customWidth="1"/>
    <col min="13" max="13" width="20.4285714285714" style="262" customWidth="1"/>
    <col min="14" max="14" width="16.5714285714286" style="262" customWidth="1"/>
    <col min="15" max="15" width="15.4285714285714" style="262" customWidth="1"/>
    <col min="16" max="16" width="23.8571428571429" style="262" customWidth="1"/>
    <col min="17" max="17" width="27.5714285714286" style="262" customWidth="1"/>
    <col min="18" max="18" width="26.4285714285714" style="262" customWidth="1"/>
    <col min="19" max="19" width="21.4285714285714" style="262" customWidth="1"/>
    <col min="20" max="20" width="48.1428571428571" style="262" customWidth="1"/>
    <col min="21" max="21" width="8.85714285714286" style="262"/>
    <col min="22" max="22" width="24.8571428571429" style="262" bestFit="1" customWidth="1"/>
    <col min="23" max="23" width="45.4285714285714" style="262" bestFit="1" customWidth="1"/>
    <col min="24" max="24" width="13.8571428571429" style="262" bestFit="1" customWidth="1"/>
    <col min="25" max="25" width="55.4285714285714" style="262" bestFit="1" customWidth="1"/>
    <col min="26" max="26" width="43.2857142857143" style="262" bestFit="1" customWidth="1"/>
    <col min="27" max="27" width="8.85714285714286" style="262"/>
    <col min="28" max="28" width="44.2857142857143" style="262" bestFit="1" customWidth="1"/>
    <col min="29" max="29" width="42.8571428571429" style="262" bestFit="1" customWidth="1"/>
    <col min="30" max="16384" width="8.85714285714286" style="262"/>
  </cols>
  <sheetData>
    <row r="1" spans="1:29" ht="40.05" customHeight="1">
      <c r="A1" s="263" t="s">
        <v>949</v>
      </c>
      <c r="B1" s="263"/>
      <c r="C1" s="263"/>
      <c r="D1" s="263"/>
      <c r="E1" s="263"/>
      <c r="F1" s="263"/>
      <c r="G1" s="263"/>
      <c r="H1" s="263"/>
      <c r="I1" s="263"/>
      <c r="J1" s="263"/>
      <c r="K1" s="263"/>
      <c r="L1" s="263"/>
      <c r="M1" s="263"/>
      <c r="N1" s="263"/>
      <c r="O1" s="263"/>
      <c r="P1" s="263"/>
      <c r="Q1" s="263"/>
      <c r="R1" s="263"/>
      <c r="S1" s="263"/>
      <c r="T1" s="263"/>
      <c r="V1" s="261" t="s">
        <v>585</v>
      </c>
      <c r="W1" s="261" t="s">
        <v>169</v>
      </c>
      <c r="X1" s="261" t="s">
        <v>159</v>
      </c>
      <c r="Y1" s="261"/>
      <c r="Z1" s="261" t="s">
        <v>951</v>
      </c>
      <c r="AB1" s="261" t="s">
        <v>420</v>
      </c>
      <c r="AC1" s="261" t="s">
        <v>951</v>
      </c>
    </row>
    <row r="2" spans="1:29" ht="40.05" customHeight="1">
      <c r="A2" s="263"/>
      <c r="B2" s="263"/>
      <c r="C2" s="263"/>
      <c r="D2" s="263"/>
      <c r="E2" s="263"/>
      <c r="F2" s="263"/>
      <c r="G2" s="263"/>
      <c r="H2" s="263"/>
      <c r="I2" s="263"/>
      <c r="J2" s="263"/>
      <c r="K2" s="263"/>
      <c r="L2" s="263"/>
      <c r="M2" s="263"/>
      <c r="N2" s="263"/>
      <c r="O2" s="263"/>
      <c r="P2" s="263"/>
      <c r="Q2" s="263"/>
      <c r="R2" s="263"/>
      <c r="S2" s="263"/>
      <c r="T2" s="263"/>
      <c r="V2" s="261" t="s">
        <v>933</v>
      </c>
      <c r="W2" s="261" t="s">
        <v>586</v>
      </c>
      <c r="X2" s="261" t="s">
        <v>150</v>
      </c>
      <c r="Y2" s="261" t="str">
        <f>CONCATENATE(V2,W2,X2)</f>
        <v>LeftGearboxBlack</v>
      </c>
      <c r="Z2" s="261" t="s">
        <v>952</v>
      </c>
      <c r="AB2" s="261" t="s">
        <v>959</v>
      </c>
      <c r="AC2" s="261" t="s">
        <v>967</v>
      </c>
    </row>
    <row r="3" spans="1:29" ht="40.05" customHeight="1">
      <c r="A3" s="263"/>
      <c r="B3" s="263"/>
      <c r="C3" s="263"/>
      <c r="D3" s="263"/>
      <c r="E3" s="263"/>
      <c r="F3" s="263"/>
      <c r="G3" s="263"/>
      <c r="H3" s="263"/>
      <c r="I3" s="263"/>
      <c r="J3" s="263"/>
      <c r="K3" s="263"/>
      <c r="L3" s="263"/>
      <c r="M3" s="263"/>
      <c r="N3" s="263"/>
      <c r="O3" s="263"/>
      <c r="P3" s="263"/>
      <c r="Q3" s="263"/>
      <c r="R3" s="263"/>
      <c r="S3" s="263"/>
      <c r="T3" s="263"/>
      <c r="V3" s="261" t="s">
        <v>950</v>
      </c>
      <c r="W3" s="261" t="s">
        <v>586</v>
      </c>
      <c r="X3" s="261" t="s">
        <v>150</v>
      </c>
      <c r="Y3" s="261" t="str">
        <f t="shared" si="0" ref="Y3:Y7">CONCATENATE(V3,W3,X3)</f>
        <v>RightGearboxBlack</v>
      </c>
      <c r="Z3" s="261" t="s">
        <v>953</v>
      </c>
      <c r="AB3" s="261" t="s">
        <v>961</v>
      </c>
      <c r="AC3" s="261" t="s">
        <v>968</v>
      </c>
    </row>
    <row r="4" spans="1:29" ht="40.05" customHeight="1">
      <c r="A4" s="263"/>
      <c r="B4" s="263"/>
      <c r="C4" s="263"/>
      <c r="D4" s="263"/>
      <c r="E4" s="263"/>
      <c r="F4" s="263"/>
      <c r="G4" s="263"/>
      <c r="H4" s="263"/>
      <c r="I4" s="263"/>
      <c r="J4" s="263"/>
      <c r="K4" s="263"/>
      <c r="L4" s="263"/>
      <c r="M4" s="263"/>
      <c r="N4" s="263"/>
      <c r="O4" s="263"/>
      <c r="P4" s="263"/>
      <c r="Q4" s="263"/>
      <c r="R4" s="263"/>
      <c r="S4" s="263"/>
      <c r="T4" s="263"/>
      <c r="V4" s="261" t="s">
        <v>933</v>
      </c>
      <c r="W4" s="261" t="s">
        <v>586</v>
      </c>
      <c r="X4" s="261" t="s">
        <v>844</v>
      </c>
      <c r="Y4" s="261" t="str">
        <f t="shared" si="0"/>
        <v>LeftGearboxWhite</v>
      </c>
      <c r="Z4" s="261" t="s">
        <v>954</v>
      </c>
      <c r="AB4" s="261" t="s">
        <v>960</v>
      </c>
      <c r="AC4" s="261" t="s">
        <v>970</v>
      </c>
    </row>
    <row r="5" spans="1:29" ht="40.05" customHeight="1">
      <c r="A5" s="263"/>
      <c r="B5" s="263"/>
      <c r="C5" s="263"/>
      <c r="D5" s="263"/>
      <c r="E5" s="263"/>
      <c r="F5" s="263"/>
      <c r="G5" s="263"/>
      <c r="H5" s="263"/>
      <c r="I5" s="263"/>
      <c r="J5" s="263"/>
      <c r="K5" s="263"/>
      <c r="L5" s="263"/>
      <c r="M5" s="263"/>
      <c r="N5" s="263"/>
      <c r="O5" s="263"/>
      <c r="P5" s="263"/>
      <c r="Q5" s="263"/>
      <c r="R5" s="263"/>
      <c r="S5" s="263"/>
      <c r="T5" s="263"/>
      <c r="V5" s="261" t="s">
        <v>950</v>
      </c>
      <c r="W5" s="261" t="s">
        <v>586</v>
      </c>
      <c r="X5" s="261" t="s">
        <v>844</v>
      </c>
      <c r="Y5" s="261" t="str">
        <f t="shared" si="0"/>
        <v>RightGearboxWhite</v>
      </c>
      <c r="Z5" s="261" t="s">
        <v>955</v>
      </c>
      <c r="AB5" s="261" t="s">
        <v>962</v>
      </c>
      <c r="AC5" s="261" t="s">
        <v>966</v>
      </c>
    </row>
    <row r="6" spans="1:29" ht="40.05" customHeight="1">
      <c r="A6" s="264" t="str">
        <f>IF(Data!AV11="","",CONCATENATE('Job Sheet'!D3,".",'Job Sheet'!D4," ",'Job Sheet'!M2))</f>
        <v>12085.A Campbell, Neil</v>
      </c>
      <c r="B6" s="264"/>
      <c r="C6" s="264"/>
      <c r="D6" s="264"/>
      <c r="E6" s="264"/>
      <c r="F6" s="264"/>
      <c r="G6" s="264"/>
      <c r="H6" s="264"/>
      <c r="I6" s="264"/>
      <c r="J6" s="264"/>
      <c r="K6" s="264"/>
      <c r="L6" s="264"/>
      <c r="M6" s="264"/>
      <c r="N6" s="264"/>
      <c r="O6" s="264"/>
      <c r="P6" s="264"/>
      <c r="Q6" s="264"/>
      <c r="R6" s="264"/>
      <c r="S6" s="264"/>
      <c r="T6" s="264"/>
      <c r="V6" s="261" t="s">
        <v>933</v>
      </c>
      <c r="W6" s="261" t="s">
        <v>584</v>
      </c>
      <c r="X6" s="261"/>
      <c r="Y6" s="261" t="str">
        <f t="shared" si="0"/>
        <v>LeftAcmeda Remote Motor</v>
      </c>
      <c r="Z6" s="261" t="s">
        <v>956</v>
      </c>
      <c r="AB6" s="261" t="s">
        <v>963</v>
      </c>
      <c r="AC6" s="261" t="s">
        <v>969</v>
      </c>
    </row>
    <row r="7" spans="1:29" ht="40.05" customHeight="1">
      <c r="A7" s="264"/>
      <c r="B7" s="264"/>
      <c r="C7" s="264"/>
      <c r="D7" s="264"/>
      <c r="E7" s="264"/>
      <c r="F7" s="264"/>
      <c r="G7" s="264"/>
      <c r="H7" s="264"/>
      <c r="I7" s="264"/>
      <c r="J7" s="264"/>
      <c r="K7" s="264"/>
      <c r="L7" s="264"/>
      <c r="M7" s="264"/>
      <c r="N7" s="264"/>
      <c r="O7" s="264"/>
      <c r="P7" s="264"/>
      <c r="Q7" s="264"/>
      <c r="R7" s="264"/>
      <c r="S7" s="264"/>
      <c r="T7" s="264"/>
      <c r="V7" s="261" t="s">
        <v>950</v>
      </c>
      <c r="W7" s="261" t="s">
        <v>584</v>
      </c>
      <c r="X7" s="261"/>
      <c r="Y7" s="261" t="str">
        <f t="shared" si="0"/>
        <v>RightAcmeda Remote Motor</v>
      </c>
      <c r="Z7" s="261" t="s">
        <v>957</v>
      </c>
      <c r="AB7" s="261" t="s">
        <v>934</v>
      </c>
      <c r="AC7" s="261" t="s">
        <v>971</v>
      </c>
    </row>
    <row r="8" spans="1:29" ht="40.05" customHeight="1">
      <c r="A8" s="264"/>
      <c r="B8" s="264"/>
      <c r="C8" s="264"/>
      <c r="D8" s="264"/>
      <c r="E8" s="264"/>
      <c r="F8" s="264"/>
      <c r="G8" s="264"/>
      <c r="H8" s="264"/>
      <c r="I8" s="264"/>
      <c r="J8" s="264"/>
      <c r="K8" s="264"/>
      <c r="L8" s="264"/>
      <c r="M8" s="264"/>
      <c r="N8" s="264"/>
      <c r="O8" s="264"/>
      <c r="P8" s="264"/>
      <c r="Q8" s="264"/>
      <c r="R8" s="264"/>
      <c r="S8" s="264"/>
      <c r="T8" s="264"/>
      <c r="AB8" s="261" t="s">
        <v>964</v>
      </c>
      <c r="AC8" s="261" t="s">
        <v>968</v>
      </c>
    </row>
    <row r="9" spans="1:29" ht="40.05" customHeight="1">
      <c r="A9" s="264"/>
      <c r="B9" s="264"/>
      <c r="C9" s="264"/>
      <c r="D9" s="264"/>
      <c r="E9" s="264"/>
      <c r="F9" s="264"/>
      <c r="G9" s="264"/>
      <c r="H9" s="264"/>
      <c r="I9" s="264"/>
      <c r="J9" s="264"/>
      <c r="K9" s="264"/>
      <c r="L9" s="264"/>
      <c r="M9" s="264"/>
      <c r="N9" s="264"/>
      <c r="O9" s="264"/>
      <c r="P9" s="264"/>
      <c r="Q9" s="264"/>
      <c r="R9" s="264"/>
      <c r="S9" s="264"/>
      <c r="T9" s="264"/>
      <c r="AB9" s="261" t="s">
        <v>965</v>
      </c>
      <c r="AC9" s="261" t="s">
        <v>969</v>
      </c>
    </row>
    <row r="10" spans="1:29" ht="106.8" customHeight="1">
      <c r="A10" s="266" t="s">
        <v>948</v>
      </c>
      <c r="B10" s="265" t="s">
        <v>164</v>
      </c>
      <c r="C10" s="265" t="s">
        <v>936</v>
      </c>
      <c r="D10" s="265" t="s">
        <v>937</v>
      </c>
      <c r="E10" s="265" t="s">
        <v>938</v>
      </c>
      <c r="F10" s="265" t="s">
        <v>159</v>
      </c>
      <c r="G10" s="265" t="s">
        <v>161</v>
      </c>
      <c r="H10" s="265" t="s">
        <v>939</v>
      </c>
      <c r="I10" s="265" t="s">
        <v>427</v>
      </c>
      <c r="J10" s="265" t="s">
        <v>357</v>
      </c>
      <c r="K10" s="265" t="s">
        <v>940</v>
      </c>
      <c r="L10" s="265" t="s">
        <v>941</v>
      </c>
      <c r="M10" s="265" t="s">
        <v>942</v>
      </c>
      <c r="N10" s="265" t="s">
        <v>943</v>
      </c>
      <c r="O10" s="265" t="s">
        <v>944</v>
      </c>
      <c r="P10" s="265" t="s">
        <v>945</v>
      </c>
      <c r="Q10" s="265" t="s">
        <v>174</v>
      </c>
      <c r="R10" s="265" t="s">
        <v>946</v>
      </c>
      <c r="S10" s="265" t="s">
        <v>947</v>
      </c>
      <c r="T10" s="265" t="s">
        <v>5</v>
      </c>
      <c r="AB10" s="261" t="s">
        <v>935</v>
      </c>
      <c r="AC10" s="261"/>
    </row>
    <row r="11" spans="1:20" ht="108">
      <c r="A11" s="261">
        <f>IF('Job Sheet'!K11&lt;&gt;"1.Verticali","",'Job Sheet'!A11)</f>
        <v>1</v>
      </c>
      <c r="B11" s="261" t="str">
        <f>IF(A11="","",'Job Sheet'!L11)</f>
        <v xml:space="preserve"> HVG Visiontex Glisse Sunscreen Naxos</v>
      </c>
      <c r="C11" s="261">
        <f>IF(A11="","",'Job Sheet'!F11)</f>
        <v>3972</v>
      </c>
      <c r="D11" s="261">
        <f>IF(A11="","",'Job Sheet'!G11+30)</f>
        <v>2680</v>
      </c>
      <c r="E11" s="261" t="b">
        <f>IF(A11="","",IF('Job Sheet'!U11="Verticali Colourbond Hooding","2.Colourbond Square"))</f>
        <v>0</v>
      </c>
      <c r="F11" s="261" t="str">
        <f>IF(A11="","",'Job Sheet'!V11)</f>
        <v>Paperbark (Merino)</v>
      </c>
      <c r="G11" s="261" t="e">
        <f>IF(A11="","",VLOOKUP(CONCATENATE('Job Sheet'!P11,'Job Sheet'!M11,'Job Sheet'!N11),VOFControl,2,FALSE))</f>
        <v>#N/A</v>
      </c>
      <c r="H11" s="261" t="str">
        <f>IF(A11="","",IF('Job Sheet'!M11="Acmeda Remote Motor","Automate AC",'Job Sheet'!M11))</f>
        <v>Becker Remote Operated</v>
      </c>
      <c r="I11" s="261" t="str">
        <f>IF(A11="","",'Job Sheet'!S11)</f>
        <v>No</v>
      </c>
      <c r="J11" s="261" t="str">
        <f>IF(OR(A11="",'Job Sheet'!M11="Gearbox"),"",'Job Sheet'!Q11)</f>
        <v>Becker 5 Channel White Remote</v>
      </c>
      <c r="K11" s="261"/>
      <c r="L11" s="261" t="str">
        <f>IF(A11="","","fix")</f>
        <v>fix</v>
      </c>
      <c r="M11" s="261" t="str">
        <f>IF(OR(A11="",'Job Sheet'!M11&lt;&gt;"Gearbox"),"",'Job Sheet'!Q11)</f>
        <v/>
      </c>
      <c r="N11" s="261" t="str">
        <f>IF(A11="","",IF('Job Sheet'!Z11="30mm Bubble Seal","Large Round Rubber",'Job Sheet'!Z11))</f>
        <v>Large Round Rubber</v>
      </c>
      <c r="O11" s="261" t="str">
        <f>IF(A11="","",'Tube Cutting'!P11)</f>
        <v>78mm</v>
      </c>
      <c r="P11" s="261">
        <f>IF(A11="","",VLOOKUP('Job Sheet'!AB11,VOFLF,2,FALSE))</f>
        <v>0</v>
      </c>
      <c r="Q11" s="261" t="str">
        <f>IF(OR(A11="",'Job Sheet'!V11='Job Sheet'!W11),"",'Job Sheet'!W11)</f>
        <v/>
      </c>
      <c r="R11" s="261" t="str">
        <f>IF(OR(A11="",'Job Sheet'!V11='Job Sheet'!X11),"",'Job Sheet'!X11)</f>
        <v/>
      </c>
      <c r="S11" s="261" t="str">
        <f>IF(A11="","","Regional")</f>
        <v>Regional</v>
      </c>
      <c r="T11" s="261" t="str">
        <f>IF(A11="","",'Job Sheet'!AE11)</f>
        <v/>
      </c>
    </row>
    <row r="12" spans="1:20" ht="60" customHeight="1">
      <c r="A12" s="261" t="str">
        <f>IF('Job Sheet'!K12&lt;&gt;"1.Verticali","",'Job Sheet'!A12)</f>
        <v/>
      </c>
      <c r="B12" s="261" t="str">
        <f>IF(A12="","",'Job Sheet'!L12)</f>
        <v/>
      </c>
      <c r="C12" s="261" t="str">
        <f>IF(A12="","",'Job Sheet'!F12)</f>
        <v/>
      </c>
      <c r="D12" s="261" t="str">
        <f>IF(A12="","",'Job Sheet'!G12+30)</f>
        <v/>
      </c>
      <c r="E12" s="261" t="str">
        <f>IF(A12="","",IF('Job Sheet'!U12="Verticali Colourbond Hooding","2.Colourbond Square"))</f>
        <v/>
      </c>
      <c r="F12" s="261" t="str">
        <f>IF(A12="","",'Job Sheet'!V12)</f>
        <v/>
      </c>
      <c r="G12" s="261" t="str">
        <f>IF(A12="","",VLOOKUP(CONCATENATE('Job Sheet'!P12,'Job Sheet'!M12,'Job Sheet'!N12),VOFControl,2,FALSE))</f>
        <v/>
      </c>
      <c r="H12" s="261" t="str">
        <f>IF(A12="","",IF('Job Sheet'!M12="Acmeda Remote Motor","Automate AC",'Job Sheet'!M12))</f>
        <v/>
      </c>
      <c r="I12" s="261" t="str">
        <f>IF(A12="","",'Job Sheet'!S12)</f>
        <v/>
      </c>
      <c r="J12" s="261" t="str">
        <f>IF(OR(A12="",'Job Sheet'!M12="Gearbox"),"",'Job Sheet'!Q12)</f>
        <v/>
      </c>
      <c r="K12" s="261"/>
      <c r="L12" s="261" t="str">
        <f t="shared" si="1" ref="L12:L20">IF(A12="","","fix")</f>
        <v/>
      </c>
      <c r="M12" s="261" t="str">
        <f>IF(OR(A12="",'Job Sheet'!M12&lt;&gt;"Gearbox"),"",'Job Sheet'!Q12)</f>
        <v/>
      </c>
      <c r="N12" s="261" t="str">
        <f>IF(A12="","",IF('Job Sheet'!Z12="30mm Bubble Seal","Large Round Rubber",'Job Sheet'!Z12))</f>
        <v/>
      </c>
      <c r="O12" s="261" t="str">
        <f>IF(A12="","",'Tube Cutting'!P12)</f>
        <v/>
      </c>
      <c r="P12" s="261" t="str">
        <f>IF(A12="","",VLOOKUP('Job Sheet'!AB12,VOFLF,2,FALSE))</f>
        <v/>
      </c>
      <c r="Q12" s="261" t="str">
        <f>IF(OR(A12="",'Job Sheet'!V12='Job Sheet'!W12),"",'Job Sheet'!W12)</f>
        <v/>
      </c>
      <c r="R12" s="261" t="str">
        <f>IF(OR(A12="",'Job Sheet'!V12='Job Sheet'!X12),"",'Job Sheet'!X12)</f>
        <v/>
      </c>
      <c r="S12" s="261" t="str">
        <f t="shared" si="2" ref="S12:S20">IF(A12="","","Regional")</f>
        <v/>
      </c>
      <c r="T12" s="261" t="str">
        <f>IF(A12="","",'Job Sheet'!AE12)</f>
        <v/>
      </c>
    </row>
    <row r="13" spans="1:20" ht="60" customHeight="1">
      <c r="A13" s="261" t="str">
        <f>IF('Job Sheet'!K13&lt;&gt;"1.Verticali","",'Job Sheet'!A13)</f>
        <v/>
      </c>
      <c r="B13" s="261" t="str">
        <f>IF(A13="","",'Job Sheet'!L13)</f>
        <v/>
      </c>
      <c r="C13" s="261" t="str">
        <f>IF(A13="","",'Job Sheet'!F13)</f>
        <v/>
      </c>
      <c r="D13" s="261" t="str">
        <f>IF(A13="","",'Job Sheet'!G13+30)</f>
        <v/>
      </c>
      <c r="E13" s="261" t="str">
        <f>IF(A13="","",IF('Job Sheet'!U13="Verticali Colourbond Hooding","2.Colourbond Square"))</f>
        <v/>
      </c>
      <c r="F13" s="261" t="str">
        <f>IF(A13="","",'Job Sheet'!V13)</f>
        <v/>
      </c>
      <c r="G13" s="261" t="str">
        <f>IF(A13="","",VLOOKUP(CONCATENATE('Job Sheet'!P13,'Job Sheet'!M13,'Job Sheet'!N13),VOFControl,2,FALSE))</f>
        <v/>
      </c>
      <c r="H13" s="261" t="str">
        <f>IF(A13="","",IF('Job Sheet'!M13="Acmeda Remote Motor","Automate AC",'Job Sheet'!M13))</f>
        <v/>
      </c>
      <c r="I13" s="261" t="str">
        <f>IF(A13="","",'Job Sheet'!S13)</f>
        <v/>
      </c>
      <c r="J13" s="261" t="str">
        <f>IF(OR(A13="",'Job Sheet'!M13="Gearbox"),"",'Job Sheet'!Q13)</f>
        <v/>
      </c>
      <c r="K13" s="261"/>
      <c r="L13" s="261" t="str">
        <f t="shared" si="1"/>
        <v/>
      </c>
      <c r="M13" s="261" t="str">
        <f>IF(OR(A13="",'Job Sheet'!M13&lt;&gt;"Gearbox"),"",'Job Sheet'!Q13)</f>
        <v/>
      </c>
      <c r="N13" s="261" t="str">
        <f>IF(A13="","",IF('Job Sheet'!Z13="30mm Bubble Seal","Large Round Rubber",'Job Sheet'!Z13))</f>
        <v/>
      </c>
      <c r="O13" s="261" t="str">
        <f>IF(A13="","",'Tube Cutting'!P13)</f>
        <v/>
      </c>
      <c r="P13" s="261" t="str">
        <f>IF(A13="","",VLOOKUP('Job Sheet'!AB13,VOFLF,2,FALSE))</f>
        <v/>
      </c>
      <c r="Q13" s="261" t="str">
        <f>IF(OR(A13="",'Job Sheet'!V13='Job Sheet'!W13),"",'Job Sheet'!W13)</f>
        <v/>
      </c>
      <c r="R13" s="261" t="str">
        <f>IF(OR(A13="",'Job Sheet'!V13='Job Sheet'!X13),"",'Job Sheet'!X13)</f>
        <v/>
      </c>
      <c r="S13" s="261" t="str">
        <f t="shared" si="2"/>
        <v/>
      </c>
      <c r="T13" s="261" t="str">
        <f>IF(A13="","",'Job Sheet'!AE13)</f>
        <v/>
      </c>
    </row>
    <row r="14" spans="1:20" ht="60" customHeight="1">
      <c r="A14" s="261" t="str">
        <f>IF('Job Sheet'!K14&lt;&gt;"1.Verticali","",'Job Sheet'!A14)</f>
        <v/>
      </c>
      <c r="B14" s="261" t="str">
        <f>IF(A14="","",'Job Sheet'!L14)</f>
        <v/>
      </c>
      <c r="C14" s="261" t="str">
        <f>IF(A14="","",'Job Sheet'!F14)</f>
        <v/>
      </c>
      <c r="D14" s="261" t="str">
        <f>IF(A14="","",'Job Sheet'!G14+30)</f>
        <v/>
      </c>
      <c r="E14" s="261" t="str">
        <f>IF(A14="","",IF('Job Sheet'!U14="Verticali Colourbond Hooding","2.Colourbond Square"))</f>
        <v/>
      </c>
      <c r="F14" s="261" t="str">
        <f>IF(A14="","",'Job Sheet'!V14)</f>
        <v/>
      </c>
      <c r="G14" s="261" t="str">
        <f>IF(A14="","",VLOOKUP(CONCATENATE('Job Sheet'!P14,'Job Sheet'!M14,'Job Sheet'!N14),VOFControl,2,FALSE))</f>
        <v/>
      </c>
      <c r="H14" s="261" t="str">
        <f>IF(A14="","",IF('Job Sheet'!M14="Acmeda Remote Motor","Automate AC",'Job Sheet'!M14))</f>
        <v/>
      </c>
      <c r="I14" s="261" t="str">
        <f>IF(A14="","",'Job Sheet'!S14)</f>
        <v/>
      </c>
      <c r="J14" s="261" t="str">
        <f>IF(OR(A14="",'Job Sheet'!M14="Gearbox"),"",'Job Sheet'!Q14)</f>
        <v/>
      </c>
      <c r="K14" s="261"/>
      <c r="L14" s="261" t="str">
        <f t="shared" si="1"/>
        <v/>
      </c>
      <c r="M14" s="261" t="str">
        <f>IF(OR(A14="",'Job Sheet'!M14&lt;&gt;"Gearbox"),"",'Job Sheet'!Q14)</f>
        <v/>
      </c>
      <c r="N14" s="261" t="str">
        <f>IF(A14="","",IF('Job Sheet'!Z14="30mm Bubble Seal","Large Round Rubber",'Job Sheet'!Z14))</f>
        <v/>
      </c>
      <c r="O14" s="261" t="str">
        <f>IF(A14="","",'Tube Cutting'!P14)</f>
        <v/>
      </c>
      <c r="P14" s="261" t="str">
        <f>IF(A14="","",VLOOKUP('Job Sheet'!AB14,VOFLF,2,FALSE))</f>
        <v/>
      </c>
      <c r="Q14" s="261" t="str">
        <f>IF(OR(A14="",'Job Sheet'!V14='Job Sheet'!W14),"",'Job Sheet'!W14)</f>
        <v/>
      </c>
      <c r="R14" s="261" t="str">
        <f>IF(OR(A14="",'Job Sheet'!V14='Job Sheet'!X14),"",'Job Sheet'!X14)</f>
        <v/>
      </c>
      <c r="S14" s="261" t="str">
        <f t="shared" si="2"/>
        <v/>
      </c>
      <c r="T14" s="261" t="str">
        <f>IF(A14="","",'Job Sheet'!AE14)</f>
        <v/>
      </c>
    </row>
    <row r="15" spans="1:20" ht="60" customHeight="1">
      <c r="A15" s="261" t="str">
        <f>IF('Job Sheet'!K15&lt;&gt;"1.Verticali","",'Job Sheet'!A15)</f>
        <v/>
      </c>
      <c r="B15" s="261" t="str">
        <f>IF(A15="","",'Job Sheet'!L15)</f>
        <v/>
      </c>
      <c r="C15" s="261" t="str">
        <f>IF(A15="","",'Job Sheet'!F15)</f>
        <v/>
      </c>
      <c r="D15" s="261" t="str">
        <f>IF(A15="","",'Job Sheet'!G15+30)</f>
        <v/>
      </c>
      <c r="E15" s="261" t="str">
        <f>IF(A15="","",IF('Job Sheet'!U15="Verticali Colourbond Hooding","2.Colourbond Square"))</f>
        <v/>
      </c>
      <c r="F15" s="261" t="str">
        <f>IF(A15="","",'Job Sheet'!V15)</f>
        <v/>
      </c>
      <c r="G15" s="261" t="str">
        <f>IF(A15="","",VLOOKUP(CONCATENATE('Job Sheet'!P15,'Job Sheet'!M15,'Job Sheet'!N15),VOFControl,2,FALSE))</f>
        <v/>
      </c>
      <c r="H15" s="261" t="str">
        <f>IF(A15="","",IF('Job Sheet'!M15="Acmeda Remote Motor","Automate AC",'Job Sheet'!M15))</f>
        <v/>
      </c>
      <c r="I15" s="261" t="str">
        <f>IF(A15="","",'Job Sheet'!S15)</f>
        <v/>
      </c>
      <c r="J15" s="261" t="str">
        <f>IF(OR(A15="",'Job Sheet'!M15="Gearbox"),"",'Job Sheet'!Q15)</f>
        <v/>
      </c>
      <c r="K15" s="261"/>
      <c r="L15" s="261" t="str">
        <f t="shared" si="1"/>
        <v/>
      </c>
      <c r="M15" s="261" t="str">
        <f>IF(OR(A15="",'Job Sheet'!M15&lt;&gt;"Gearbox"),"",'Job Sheet'!Q15)</f>
        <v/>
      </c>
      <c r="N15" s="261" t="str">
        <f>IF(A15="","",IF('Job Sheet'!Z15="30mm Bubble Seal","Large Round Rubber",'Job Sheet'!Z15))</f>
        <v/>
      </c>
      <c r="O15" s="261" t="str">
        <f>IF(A15="","",'Tube Cutting'!P15)</f>
        <v/>
      </c>
      <c r="P15" s="261" t="str">
        <f>IF(A15="","",VLOOKUP('Job Sheet'!AB15,VOFLF,2,FALSE))</f>
        <v/>
      </c>
      <c r="Q15" s="261" t="str">
        <f>IF(OR(A15="",'Job Sheet'!V15='Job Sheet'!W15),"",'Job Sheet'!W15)</f>
        <v/>
      </c>
      <c r="R15" s="261" t="str">
        <f>IF(OR(A15="",'Job Sheet'!V15='Job Sheet'!X15),"",'Job Sheet'!X15)</f>
        <v/>
      </c>
      <c r="S15" s="261" t="str">
        <f t="shared" si="2"/>
        <v/>
      </c>
      <c r="T15" s="261" t="str">
        <f>IF(A15="","",'Job Sheet'!AE15)</f>
        <v/>
      </c>
    </row>
    <row r="16" spans="1:20" ht="60" customHeight="1">
      <c r="A16" s="261" t="str">
        <f>IF('Job Sheet'!K16&lt;&gt;"1.Verticali","",'Job Sheet'!A16)</f>
        <v/>
      </c>
      <c r="B16" s="261" t="str">
        <f>IF(A16="","",'Job Sheet'!L16)</f>
        <v/>
      </c>
      <c r="C16" s="261" t="str">
        <f>IF(A16="","",'Job Sheet'!F16)</f>
        <v/>
      </c>
      <c r="D16" s="261" t="str">
        <f>IF(A16="","",'Job Sheet'!G16+30)</f>
        <v/>
      </c>
      <c r="E16" s="261" t="str">
        <f>IF(A16="","",IF('Job Sheet'!U16="Verticali Colourbond Hooding","2.Colourbond Square"))</f>
        <v/>
      </c>
      <c r="F16" s="261" t="str">
        <f>IF(A16="","",'Job Sheet'!V16)</f>
        <v/>
      </c>
      <c r="G16" s="261" t="str">
        <f>IF(A16="","",VLOOKUP(CONCATENATE('Job Sheet'!P16,'Job Sheet'!M16,'Job Sheet'!N16),VOFControl,2,FALSE))</f>
        <v/>
      </c>
      <c r="H16" s="261" t="str">
        <f>IF(A16="","",IF('Job Sheet'!M16="Acmeda Remote Motor","Automate AC",'Job Sheet'!M16))</f>
        <v/>
      </c>
      <c r="I16" s="261" t="str">
        <f>IF(A16="","",'Job Sheet'!S16)</f>
        <v/>
      </c>
      <c r="J16" s="261" t="str">
        <f>IF(OR(A16="",'Job Sheet'!M16="Gearbox"),"",'Job Sheet'!Q16)</f>
        <v/>
      </c>
      <c r="K16" s="261"/>
      <c r="L16" s="261" t="str">
        <f t="shared" si="1"/>
        <v/>
      </c>
      <c r="M16" s="261" t="str">
        <f>IF(OR(A16="",'Job Sheet'!M16&lt;&gt;"Gearbox"),"",'Job Sheet'!Q16)</f>
        <v/>
      </c>
      <c r="N16" s="261" t="str">
        <f>IF(A16="","",IF('Job Sheet'!Z16="30mm Bubble Seal","Large Round Rubber",'Job Sheet'!Z16))</f>
        <v/>
      </c>
      <c r="O16" s="261" t="str">
        <f>IF(A16="","",'Tube Cutting'!P16)</f>
        <v/>
      </c>
      <c r="P16" s="261" t="str">
        <f>IF(A16="","",VLOOKUP('Job Sheet'!AB16,VOFLF,2,FALSE))</f>
        <v/>
      </c>
      <c r="Q16" s="261" t="str">
        <f>IF(OR(A16="",'Job Sheet'!V16='Job Sheet'!W16),"",'Job Sheet'!W16)</f>
        <v/>
      </c>
      <c r="R16" s="261" t="str">
        <f>IF(OR(A16="",'Job Sheet'!V16='Job Sheet'!X16),"",'Job Sheet'!X16)</f>
        <v/>
      </c>
      <c r="S16" s="261" t="str">
        <f t="shared" si="2"/>
        <v/>
      </c>
      <c r="T16" s="261" t="str">
        <f>IF(A16="","",'Job Sheet'!AE16)</f>
        <v/>
      </c>
    </row>
    <row r="17" spans="1:20" ht="60" customHeight="1">
      <c r="A17" s="261" t="str">
        <f>IF('Job Sheet'!K17&lt;&gt;"1.Verticali","",'Job Sheet'!A17)</f>
        <v/>
      </c>
      <c r="B17" s="261" t="str">
        <f>IF(A17="","",'Job Sheet'!L17)</f>
        <v/>
      </c>
      <c r="C17" s="261" t="str">
        <f>IF(A17="","",'Job Sheet'!F17)</f>
        <v/>
      </c>
      <c r="D17" s="261" t="str">
        <f>IF(A17="","",'Job Sheet'!G17+30)</f>
        <v/>
      </c>
      <c r="E17" s="261" t="str">
        <f>IF(A17="","",IF('Job Sheet'!U17="Verticali Colourbond Hooding","2.Colourbond Square"))</f>
        <v/>
      </c>
      <c r="F17" s="261" t="str">
        <f>IF(A17="","",'Job Sheet'!V17)</f>
        <v/>
      </c>
      <c r="G17" s="261" t="str">
        <f>IF(A17="","",VLOOKUP(CONCATENATE('Job Sheet'!P17,'Job Sheet'!M17,'Job Sheet'!N17),VOFControl,2,FALSE))</f>
        <v/>
      </c>
      <c r="H17" s="261" t="str">
        <f>IF(A17="","",IF('Job Sheet'!M17="Acmeda Remote Motor","Automate AC",'Job Sheet'!M17))</f>
        <v/>
      </c>
      <c r="I17" s="261" t="str">
        <f>IF(A17="","",'Job Sheet'!S17)</f>
        <v/>
      </c>
      <c r="J17" s="261" t="str">
        <f>IF(OR(A17="",'Job Sheet'!M17="Gearbox"),"",'Job Sheet'!Q17)</f>
        <v/>
      </c>
      <c r="K17" s="261"/>
      <c r="L17" s="261" t="str">
        <f t="shared" si="1"/>
        <v/>
      </c>
      <c r="M17" s="261" t="str">
        <f>IF(OR(A17="",'Job Sheet'!M17&lt;&gt;"Gearbox"),"",'Job Sheet'!Q17)</f>
        <v/>
      </c>
      <c r="N17" s="261" t="str">
        <f>IF(A17="","",IF('Job Sheet'!Z17="30mm Bubble Seal","Large Round Rubber",'Job Sheet'!Z17))</f>
        <v/>
      </c>
      <c r="O17" s="261" t="str">
        <f>IF(A17="","",'Tube Cutting'!P17)</f>
        <v/>
      </c>
      <c r="P17" s="261" t="str">
        <f>IF(A17="","",VLOOKUP('Job Sheet'!AB17,VOFLF,2,FALSE))</f>
        <v/>
      </c>
      <c r="Q17" s="261" t="str">
        <f>IF(OR(A17="",'Job Sheet'!V17='Job Sheet'!W17),"",'Job Sheet'!W17)</f>
        <v/>
      </c>
      <c r="R17" s="261" t="str">
        <f>IF(OR(A17="",'Job Sheet'!V17='Job Sheet'!X17),"",'Job Sheet'!X17)</f>
        <v/>
      </c>
      <c r="S17" s="261" t="str">
        <f t="shared" si="2"/>
        <v/>
      </c>
      <c r="T17" s="261" t="str">
        <f>IF(A17="","",'Job Sheet'!AE17)</f>
        <v/>
      </c>
    </row>
    <row r="18" spans="1:20" ht="60" customHeight="1">
      <c r="A18" s="261" t="str">
        <f>IF('Job Sheet'!K18&lt;&gt;"1.Verticali","",'Job Sheet'!A18)</f>
        <v/>
      </c>
      <c r="B18" s="261" t="str">
        <f>IF(A18="","",'Job Sheet'!L18)</f>
        <v/>
      </c>
      <c r="C18" s="261" t="str">
        <f>IF(A18="","",'Job Sheet'!F18)</f>
        <v/>
      </c>
      <c r="D18" s="261" t="str">
        <f>IF(A18="","",'Job Sheet'!G18+30)</f>
        <v/>
      </c>
      <c r="E18" s="261" t="str">
        <f>IF(A18="","",IF('Job Sheet'!U18="Verticali Colourbond Hooding","2.Colourbond Square"))</f>
        <v/>
      </c>
      <c r="F18" s="261" t="str">
        <f>IF(A18="","",'Job Sheet'!V18)</f>
        <v/>
      </c>
      <c r="G18" s="261" t="str">
        <f>IF(A18="","",VLOOKUP(CONCATENATE('Job Sheet'!P18,'Job Sheet'!M18,'Job Sheet'!N18),VOFControl,2,FALSE))</f>
        <v/>
      </c>
      <c r="H18" s="261" t="str">
        <f>IF(A18="","",IF('Job Sheet'!M18="Acmeda Remote Motor","Automate AC",'Job Sheet'!M18))</f>
        <v/>
      </c>
      <c r="I18" s="261" t="str">
        <f>IF(A18="","",'Job Sheet'!S18)</f>
        <v/>
      </c>
      <c r="J18" s="261" t="str">
        <f>IF(OR(A18="",'Job Sheet'!M18="Gearbox"),"",'Job Sheet'!Q18)</f>
        <v/>
      </c>
      <c r="K18" s="261"/>
      <c r="L18" s="261" t="str">
        <f t="shared" si="1"/>
        <v/>
      </c>
      <c r="M18" s="261" t="str">
        <f>IF(OR(A18="",'Job Sheet'!M18&lt;&gt;"Gearbox"),"",'Job Sheet'!Q18)</f>
        <v/>
      </c>
      <c r="N18" s="261" t="str">
        <f>IF(A18="","",IF('Job Sheet'!Z18="30mm Bubble Seal","Large Round Rubber",'Job Sheet'!Z18))</f>
        <v/>
      </c>
      <c r="O18" s="261" t="str">
        <f>IF(A18="","",'Tube Cutting'!P18)</f>
        <v/>
      </c>
      <c r="P18" s="261" t="str">
        <f>IF(A18="","",VLOOKUP('Job Sheet'!AB18,VOFLF,2,FALSE))</f>
        <v/>
      </c>
      <c r="Q18" s="261" t="str">
        <f>IF(OR(A18="",'Job Sheet'!V18='Job Sheet'!W18),"",'Job Sheet'!W18)</f>
        <v/>
      </c>
      <c r="R18" s="261" t="str">
        <f>IF(OR(A18="",'Job Sheet'!V18='Job Sheet'!X18),"",'Job Sheet'!X18)</f>
        <v/>
      </c>
      <c r="S18" s="261" t="str">
        <f t="shared" si="2"/>
        <v/>
      </c>
      <c r="T18" s="261" t="str">
        <f>IF(A18="","",'Job Sheet'!AE18)</f>
        <v/>
      </c>
    </row>
    <row r="19" spans="1:20" ht="60" customHeight="1">
      <c r="A19" s="261" t="str">
        <f>IF('Job Sheet'!K19&lt;&gt;"1.Verticali","",'Job Sheet'!A19)</f>
        <v/>
      </c>
      <c r="B19" s="261" t="str">
        <f>IF(A19="","",'Job Sheet'!L19)</f>
        <v/>
      </c>
      <c r="C19" s="261" t="str">
        <f>IF(A19="","",'Job Sheet'!F19)</f>
        <v/>
      </c>
      <c r="D19" s="261" t="str">
        <f>IF(A19="","",'Job Sheet'!G19+30)</f>
        <v/>
      </c>
      <c r="E19" s="261" t="str">
        <f>IF(A19="","",IF('Job Sheet'!U19="Verticali Colourbond Hooding","2.Colourbond Square"))</f>
        <v/>
      </c>
      <c r="F19" s="261" t="str">
        <f>IF(A19="","",'Job Sheet'!V19)</f>
        <v/>
      </c>
      <c r="G19" s="261" t="str">
        <f>IF(A19="","",VLOOKUP(CONCATENATE('Job Sheet'!P19,'Job Sheet'!M19,'Job Sheet'!N19),VOFControl,2,FALSE))</f>
        <v/>
      </c>
      <c r="H19" s="261" t="str">
        <f>IF(A19="","",IF('Job Sheet'!M19="Acmeda Remote Motor","Automate AC",'Job Sheet'!M19))</f>
        <v/>
      </c>
      <c r="I19" s="261" t="str">
        <f>IF(A19="","",'Job Sheet'!S19)</f>
        <v/>
      </c>
      <c r="J19" s="261" t="str">
        <f>IF(OR(A19="",'Job Sheet'!M19="Gearbox"),"",'Job Sheet'!Q19)</f>
        <v/>
      </c>
      <c r="K19" s="261"/>
      <c r="L19" s="261" t="str">
        <f t="shared" si="1"/>
        <v/>
      </c>
      <c r="M19" s="261" t="str">
        <f>IF(OR(A19="",'Job Sheet'!M19&lt;&gt;"Gearbox"),"",'Job Sheet'!Q19)</f>
        <v/>
      </c>
      <c r="N19" s="261" t="str">
        <f>IF(A19="","",IF('Job Sheet'!Z19="30mm Bubble Seal","Large Round Rubber",'Job Sheet'!Z19))</f>
        <v/>
      </c>
      <c r="O19" s="261" t="str">
        <f>IF(A19="","",'Tube Cutting'!P19)</f>
        <v/>
      </c>
      <c r="P19" s="261" t="str">
        <f>IF(A19="","",VLOOKUP('Job Sheet'!AB19,VOFLF,2,FALSE))</f>
        <v/>
      </c>
      <c r="Q19" s="261" t="str">
        <f>IF(OR(A19="",'Job Sheet'!V19='Job Sheet'!W19),"",'Job Sheet'!W19)</f>
        <v/>
      </c>
      <c r="R19" s="261" t="str">
        <f>IF(OR(A19="",'Job Sheet'!V19='Job Sheet'!X19),"",'Job Sheet'!X19)</f>
        <v/>
      </c>
      <c r="S19" s="261" t="str">
        <f t="shared" si="2"/>
        <v/>
      </c>
      <c r="T19" s="261" t="str">
        <f>IF(A19="","",'Job Sheet'!AE19)</f>
        <v/>
      </c>
    </row>
    <row r="20" spans="1:20" ht="60" customHeight="1">
      <c r="A20" s="261" t="str">
        <f>IF('Job Sheet'!K20&lt;&gt;"1.Verticali","",'Job Sheet'!A20)</f>
        <v/>
      </c>
      <c r="B20" s="261" t="str">
        <f>IF(A20="","",'Job Sheet'!L20)</f>
        <v/>
      </c>
      <c r="C20" s="261" t="str">
        <f>IF(A20="","",'Job Sheet'!F20)</f>
        <v/>
      </c>
      <c r="D20" s="261" t="str">
        <f>IF(A20="","",'Job Sheet'!G20+30)</f>
        <v/>
      </c>
      <c r="E20" s="261" t="str">
        <f>IF(A20="","",IF('Job Sheet'!U20="Verticali Colourbond Hooding","2.Colourbond Square"))</f>
        <v/>
      </c>
      <c r="F20" s="261" t="str">
        <f>IF(A20="","",'Job Sheet'!V20)</f>
        <v/>
      </c>
      <c r="G20" s="261" t="str">
        <f>IF(A20="","",VLOOKUP(CONCATENATE('Job Sheet'!P20,'Job Sheet'!M20,'Job Sheet'!N20),VOFControl,2,FALSE))</f>
        <v/>
      </c>
      <c r="H20" s="261" t="str">
        <f>IF(A20="","",IF('Job Sheet'!M20="Acmeda Remote Motor","Automate AC",'Job Sheet'!M20))</f>
        <v/>
      </c>
      <c r="I20" s="261" t="str">
        <f>IF(A20="","",'Job Sheet'!S20)</f>
        <v/>
      </c>
      <c r="J20" s="261" t="str">
        <f>IF(OR(A20="",'Job Sheet'!M20="Gearbox"),"",'Job Sheet'!Q20)</f>
        <v/>
      </c>
      <c r="K20" s="261"/>
      <c r="L20" s="261" t="str">
        <f t="shared" si="1"/>
        <v/>
      </c>
      <c r="M20" s="261" t="str">
        <f>IF(OR(A20="",'Job Sheet'!M20&lt;&gt;"Gearbox"),"",'Job Sheet'!Q20)</f>
        <v/>
      </c>
      <c r="N20" s="261" t="str">
        <f>IF(A20="","",IF('Job Sheet'!Z20="30mm Bubble Seal","Large Round Rubber",'Job Sheet'!Z20))</f>
        <v/>
      </c>
      <c r="O20" s="261" t="str">
        <f>IF(A20="","",'Tube Cutting'!P20)</f>
        <v/>
      </c>
      <c r="P20" s="261" t="str">
        <f>IF(A20="","",VLOOKUP('Job Sheet'!AB20,VOFLF,2,FALSE))</f>
        <v/>
      </c>
      <c r="Q20" s="261" t="str">
        <f>IF(OR(A20="",'Job Sheet'!V20='Job Sheet'!W20),"",'Job Sheet'!W20)</f>
        <v/>
      </c>
      <c r="R20" s="261" t="str">
        <f>IF(OR(A20="",'Job Sheet'!V20='Job Sheet'!X20),"",'Job Sheet'!X20)</f>
        <v/>
      </c>
      <c r="S20" s="261" t="str">
        <f t="shared" si="2"/>
        <v/>
      </c>
      <c r="T20" s="261" t="str">
        <f>IF(A20="","",'Job Sheet'!AE20)</f>
        <v/>
      </c>
    </row>
  </sheetData>
  <mergeCells count="2">
    <mergeCell ref="A1:T5"/>
    <mergeCell ref="A6:T9"/>
  </mergeCells>
  <conditionalFormatting sqref="Q11:R20">
    <cfRule type="notContainsBlanks" priority="1" dxfId="0">
      <formula>LEN(TRIM(Q11))&gt;0</formula>
    </cfRule>
  </conditionalFormatting>
  <pageMargins left="0.703937007874016" right="0.703937007874016" top="0.75" bottom="0.75" header="0.3" footer="0.3"/>
  <pageSetup fitToHeight="0" horizontalDpi="597" verticalDpi="597" orientation="landscape" paperSize="9" scale="1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AA4371-F22A-4AFA-99C9-CF9359AC1BA6}">
  <sheetPr codeName="Sheet2">
    <pageSetUpPr fitToPage="1"/>
  </sheetPr>
  <dimension ref="A8:E40"/>
  <sheetViews>
    <sheetView view="pageBreakPreview" zoomScale="87" zoomScaleSheetLayoutView="87" workbookViewId="0" topLeftCell="A1">
      <selection pane="topLeft" activeCell="A26" sqref="A26:XFD26"/>
    </sheetView>
  </sheetViews>
  <sheetFormatPr defaultColWidth="9.109375" defaultRowHeight="13.5"/>
  <cols>
    <col min="1" max="1" width="9.71428571428571" customWidth="1"/>
    <col min="2" max="2" width="17.4285714285714" customWidth="1"/>
    <col min="3" max="4" width="24.4285714285714" customWidth="1"/>
    <col min="5" max="5" width="20.7142857142857" customWidth="1"/>
  </cols>
  <sheetData>
    <row r="8" spans="1:3" ht="13.2">
      <c r="A8" s="17" t="s">
        <v>395</v>
      </c>
      <c r="B8" s="23" t="str">
        <f>TRIM(Data!BF5)</f>
        <v>Campbell, Neil</v>
      </c>
      <c r="C8" s="23"/>
    </row>
    <row r="9" spans="1:2" ht="13.2">
      <c r="A9" s="17"/>
      <c r="B9" s="98"/>
    </row>
    <row r="10" ht="13.2">
      <c r="A10" t="s">
        <v>408</v>
      </c>
    </row>
    <row r="12" spans="2:4" ht="13.2">
      <c r="B12" s="17" t="s">
        <v>402</v>
      </c>
      <c r="D12" s="17" t="s">
        <v>403</v>
      </c>
    </row>
    <row r="13" spans="2:4" ht="13.2">
      <c r="B13" s="96" t="s">
        <v>396</v>
      </c>
      <c r="C13" s="95" t="s">
        <v>159</v>
      </c>
      <c r="D13" s="52" t="s">
        <v>399</v>
      </c>
    </row>
    <row r="14" spans="2:5" ht="13.2">
      <c r="B14" s="92"/>
      <c r="D14" s="97"/>
      <c r="E14" t="s">
        <v>396</v>
      </c>
    </row>
    <row r="15" spans="2:4" ht="13.2">
      <c r="B15" s="92"/>
      <c r="D15" s="94"/>
    </row>
    <row r="16" spans="2:4" ht="13.2">
      <c r="B16" s="92"/>
      <c r="D16" s="94"/>
    </row>
    <row r="17" spans="2:4" ht="13.2">
      <c r="B17" s="92"/>
      <c r="C17" t="s">
        <v>397</v>
      </c>
      <c r="D17" s="94" t="s">
        <v>397</v>
      </c>
    </row>
    <row r="18" spans="2:4" ht="13.2">
      <c r="B18" s="92"/>
      <c r="D18" s="94"/>
    </row>
    <row r="19" spans="2:4" ht="13.2">
      <c r="B19" s="92"/>
      <c r="D19" s="94"/>
    </row>
    <row r="20" spans="2:4" ht="13.2">
      <c r="B20" s="92"/>
      <c r="D20" s="94"/>
    </row>
    <row r="21" spans="2:4" ht="13.2">
      <c r="B21" s="93"/>
      <c r="D21" s="94"/>
    </row>
    <row r="22" spans="2:4" ht="13.2">
      <c r="B22" s="95" t="s">
        <v>398</v>
      </c>
      <c r="D22" t="s">
        <v>410</v>
      </c>
    </row>
    <row r="23" ht="13.2">
      <c r="A23" t="s">
        <v>409</v>
      </c>
    </row>
    <row r="25" spans="1:5" ht="26.4">
      <c r="A25" s="111" t="s">
        <v>400</v>
      </c>
      <c r="B25" s="111" t="s">
        <v>401</v>
      </c>
      <c r="C25" s="111" t="s">
        <v>405</v>
      </c>
      <c r="D25" s="111" t="s">
        <v>404</v>
      </c>
      <c r="E25" s="111" t="s">
        <v>159</v>
      </c>
    </row>
    <row r="26" spans="1:5" ht="13.2" customHeight="1">
      <c r="A26" s="112" t="str">
        <f>IF('Job Sheet'!U11="Verticali Colourbond Hooding",'Job Sheet'!A11,"")</f>
        <v/>
      </c>
      <c r="B26" s="112" t="str">
        <f>IF('Job Sheet'!U11="Verticali Colourbond Hooding",'Job Sheet'!B11,"")</f>
        <v/>
      </c>
      <c r="C26" s="112" t="str">
        <f>IF('Job Sheet'!U11="Verticali Colourbond Hooding",'Job Sheet'!F11+20,"")</f>
        <v/>
      </c>
      <c r="D26" s="112" t="str">
        <f>IF('Job Sheet'!U11="Verticali Colourbond Hooding",'Job Sheet'!F11+20,"")</f>
        <v/>
      </c>
      <c r="E26" s="112" t="str">
        <f>IF('Job Sheet'!U11="Verticali Colourbond Hooding",'Job Sheet'!V11,"")</f>
        <v/>
      </c>
    </row>
    <row r="27" spans="1:5" ht="13.2" customHeight="1">
      <c r="A27" s="112" t="str">
        <f>IF('Job Sheet'!U12="Verticali Colourbond Hooding",'Job Sheet'!A12,"")</f>
        <v/>
      </c>
      <c r="B27" s="112" t="str">
        <f>IF('Job Sheet'!U12="Verticali Colourbond Hooding",'Job Sheet'!B12,"")</f>
        <v/>
      </c>
      <c r="C27" s="112" t="str">
        <f>IF('Job Sheet'!U12="Verticali Colourbond Hooding",'Job Sheet'!F12+20,"")</f>
        <v/>
      </c>
      <c r="D27" s="112" t="str">
        <f>IF('Job Sheet'!U12="Verticali Colourbond Hooding",'Job Sheet'!F12+20,"")</f>
        <v/>
      </c>
      <c r="E27" s="112" t="str">
        <f>IF('Job Sheet'!U12="Verticali Colourbond Hooding",'Job Sheet'!V12,"")</f>
        <v/>
      </c>
    </row>
    <row r="28" spans="1:5" ht="13.2" customHeight="1">
      <c r="A28" s="112" t="str">
        <f>IF('Job Sheet'!U13="Verticali Colourbond Hooding",'Job Sheet'!A13,"")</f>
        <v/>
      </c>
      <c r="B28" s="112" t="str">
        <f>IF('Job Sheet'!U13="Verticali Colourbond Hooding",'Job Sheet'!B13,"")</f>
        <v/>
      </c>
      <c r="C28" s="112" t="str">
        <f>IF('Job Sheet'!U13="Verticali Colourbond Hooding",'Job Sheet'!F13+20,"")</f>
        <v/>
      </c>
      <c r="D28" s="112" t="str">
        <f>IF('Job Sheet'!U13="Verticali Colourbond Hooding",'Job Sheet'!F13+20,"")</f>
        <v/>
      </c>
      <c r="E28" s="112" t="str">
        <f>IF('Job Sheet'!U13="Verticali Colourbond Hooding",'Job Sheet'!V13,"")</f>
        <v/>
      </c>
    </row>
    <row r="29" spans="1:5" ht="13.2" customHeight="1">
      <c r="A29" s="112" t="str">
        <f>IF('Job Sheet'!U14="Verticali Colourbond Hooding",'Job Sheet'!A14,"")</f>
        <v/>
      </c>
      <c r="B29" s="112" t="str">
        <f>IF('Job Sheet'!U14="Verticali Colourbond Hooding",'Job Sheet'!B14,"")</f>
        <v/>
      </c>
      <c r="C29" s="112" t="str">
        <f>IF('Job Sheet'!U14="Verticali Colourbond Hooding",'Job Sheet'!F14+20,"")</f>
        <v/>
      </c>
      <c r="D29" s="112" t="str">
        <f>IF('Job Sheet'!U14="Verticali Colourbond Hooding",'Job Sheet'!F14+20,"")</f>
        <v/>
      </c>
      <c r="E29" s="112" t="str">
        <f>IF('Job Sheet'!U14="Verticali Colourbond Hooding",'Job Sheet'!V14,"")</f>
        <v/>
      </c>
    </row>
    <row r="30" spans="1:5" ht="13.2" customHeight="1">
      <c r="A30" s="112" t="str">
        <f>IF('Job Sheet'!U15="Verticali Colourbond Hooding",'Job Sheet'!A15,"")</f>
        <v/>
      </c>
      <c r="B30" s="112" t="str">
        <f>IF('Job Sheet'!U15="Verticali Colourbond Hooding",'Job Sheet'!B15,"")</f>
        <v/>
      </c>
      <c r="C30" s="112" t="str">
        <f>IF('Job Sheet'!U15="Verticali Colourbond Hooding",'Job Sheet'!F15+20,"")</f>
        <v/>
      </c>
      <c r="D30" s="112" t="str">
        <f>IF('Job Sheet'!U15="Verticali Colourbond Hooding",'Job Sheet'!F15+20,"")</f>
        <v/>
      </c>
      <c r="E30" s="112" t="str">
        <f>IF('Job Sheet'!U15="Verticali Colourbond Hooding",'Job Sheet'!V15,"")</f>
        <v/>
      </c>
    </row>
    <row r="31" spans="1:5" ht="13.2" customHeight="1">
      <c r="A31" s="112" t="str">
        <f>IF('Job Sheet'!U16="Verticali Colourbond Hooding",'Job Sheet'!A16,"")</f>
        <v/>
      </c>
      <c r="B31" s="112" t="str">
        <f>IF('Job Sheet'!U16="Verticali Colourbond Hooding",'Job Sheet'!B16,"")</f>
        <v/>
      </c>
      <c r="C31" s="112" t="str">
        <f>IF('Job Sheet'!U16="Verticali Colourbond Hooding",'Job Sheet'!F16+20,"")</f>
        <v/>
      </c>
      <c r="D31" s="112" t="str">
        <f>IF('Job Sheet'!U16="Verticali Colourbond Hooding",'Job Sheet'!F16+20,"")</f>
        <v/>
      </c>
      <c r="E31" s="112" t="str">
        <f>IF('Job Sheet'!U16="Verticali Colourbond Hooding",'Job Sheet'!V16,"")</f>
        <v/>
      </c>
    </row>
    <row r="32" spans="1:5" ht="13.2" customHeight="1">
      <c r="A32" s="112" t="str">
        <f>IF('Job Sheet'!U17="Verticali Colourbond Hooding",'Job Sheet'!A17,"")</f>
        <v/>
      </c>
      <c r="B32" s="112" t="str">
        <f>IF('Job Sheet'!U17="Verticali Colourbond Hooding",'Job Sheet'!B17,"")</f>
        <v/>
      </c>
      <c r="C32" s="112" t="str">
        <f>IF('Job Sheet'!U17="Verticali Colourbond Hooding",'Job Sheet'!F17+20,"")</f>
        <v/>
      </c>
      <c r="D32" s="112" t="str">
        <f>IF('Job Sheet'!U17="Verticali Colourbond Hooding",'Job Sheet'!F17+20,"")</f>
        <v/>
      </c>
      <c r="E32" s="112" t="str">
        <f>IF('Job Sheet'!U17="Verticali Colourbond Hooding",'Job Sheet'!V17,"")</f>
        <v/>
      </c>
    </row>
    <row r="33" spans="1:5" ht="13.2" customHeight="1">
      <c r="A33" s="112" t="str">
        <f>IF('Job Sheet'!U18="Verticali Colourbond Hooding",'Job Sheet'!A18,"")</f>
        <v/>
      </c>
      <c r="B33" s="112" t="str">
        <f>IF('Job Sheet'!U18="Verticali Colourbond Hooding",'Job Sheet'!B18,"")</f>
        <v/>
      </c>
      <c r="C33" s="112" t="str">
        <f>IF('Job Sheet'!U18="Verticali Colourbond Hooding",'Job Sheet'!F18+20,"")</f>
        <v/>
      </c>
      <c r="D33" s="112" t="str">
        <f>IF('Job Sheet'!U18="Verticali Colourbond Hooding",'Job Sheet'!F18+20,"")</f>
        <v/>
      </c>
      <c r="E33" s="112" t="str">
        <f>IF('Job Sheet'!U18="Verticali Colourbond Hooding",'Job Sheet'!V18,"")</f>
        <v/>
      </c>
    </row>
    <row r="34" spans="1:5" ht="13.2" customHeight="1">
      <c r="A34" s="112" t="str">
        <f>IF('Job Sheet'!U19="Verticali Colourbond Hooding",'Job Sheet'!A19,"")</f>
        <v/>
      </c>
      <c r="B34" s="112" t="str">
        <f>IF('Job Sheet'!U19="Verticali Colourbond Hooding",'Job Sheet'!B19,"")</f>
        <v/>
      </c>
      <c r="C34" s="112" t="str">
        <f>IF('Job Sheet'!U19="Verticali Colourbond Hooding",'Job Sheet'!F19+20,"")</f>
        <v/>
      </c>
      <c r="D34" s="112" t="str">
        <f>IF('Job Sheet'!U19="Verticali Colourbond Hooding",'Job Sheet'!F19+20,"")</f>
        <v/>
      </c>
      <c r="E34" s="112" t="str">
        <f>IF('Job Sheet'!U19="Verticali Colourbond Hooding",'Job Sheet'!V19,"")</f>
        <v/>
      </c>
    </row>
    <row r="35" spans="1:5" ht="13.2" customHeight="1">
      <c r="A35" s="112" t="str">
        <f>IF('Job Sheet'!U20="Verticali Colourbond Hooding",'Job Sheet'!A20,"")</f>
        <v/>
      </c>
      <c r="B35" s="112" t="str">
        <f>IF('Job Sheet'!U20="Verticali Colourbond Hooding",'Job Sheet'!B20,"")</f>
        <v/>
      </c>
      <c r="C35" s="112" t="str">
        <f>IF('Job Sheet'!U20="Verticali Colourbond Hooding",'Job Sheet'!F20+20,"")</f>
        <v/>
      </c>
      <c r="D35" s="112" t="str">
        <f>IF('Job Sheet'!U20="Verticali Colourbond Hooding",'Job Sheet'!F20+20,"")</f>
        <v/>
      </c>
      <c r="E35" s="112" t="str">
        <f>IF('Job Sheet'!U20="Verticali Colourbond Hooding",'Job Sheet'!V20,"")</f>
        <v/>
      </c>
    </row>
    <row r="36" spans="1:5" ht="13.2" customHeight="1">
      <c r="A36" s="112" t="str">
        <f>IF('Job Sheet'!R21="Verticali Colourbond Hooding",'Job Sheet'!A21,"")</f>
        <v/>
      </c>
      <c r="B36" s="112" t="str">
        <f>IF('Job Sheet'!R21="Verticali Colourbond Hooding",'Job Sheet'!B21,"")</f>
        <v/>
      </c>
      <c r="C36" s="112" t="str">
        <f>IF('Job Sheet'!R21="Verticali Colourbond Hooding",'Job Sheet'!F21+20,"")</f>
        <v/>
      </c>
      <c r="D36" s="112" t="str">
        <f>IF('Job Sheet'!R21="Verticali Colourbond Hooding",'Job Sheet'!F21+20,"")</f>
        <v/>
      </c>
      <c r="E36" s="112" t="str">
        <f>IF('Job Sheet'!R21="Verticali Colourbond Hooding",'Job Sheet'!S21,"")</f>
        <v/>
      </c>
    </row>
    <row r="37" spans="1:5" ht="13.2" customHeight="1">
      <c r="A37" s="112" t="str">
        <f>IF('Job Sheet'!R22="Verticali Colourbond Hooding",'Job Sheet'!A22,"")</f>
        <v/>
      </c>
      <c r="B37" s="112" t="str">
        <f>IF('Job Sheet'!R22="Verticali Colourbond Hooding",'Job Sheet'!B22,"")</f>
        <v/>
      </c>
      <c r="C37" s="112" t="str">
        <f>IF('Job Sheet'!R22="Verticali Colourbond Hooding",'Job Sheet'!F22+20,"")</f>
        <v/>
      </c>
      <c r="D37" s="112" t="str">
        <f>IF('Job Sheet'!R22="Verticali Colourbond Hooding",'Job Sheet'!F22+20,"")</f>
        <v/>
      </c>
      <c r="E37" s="112" t="str">
        <f>IF('Job Sheet'!R22="Verticali Colourbond Hooding",'Job Sheet'!S22,"")</f>
        <v/>
      </c>
    </row>
    <row r="38" spans="1:5" ht="13.2" customHeight="1">
      <c r="A38" s="112" t="str">
        <f>IF('Job Sheet'!R23="Verticali Colourbond Hooding",'Job Sheet'!A23,"")</f>
        <v/>
      </c>
      <c r="B38" s="112" t="str">
        <f>IF('Job Sheet'!R23="Verticali Colourbond Hooding",'Job Sheet'!B23,"")</f>
        <v/>
      </c>
      <c r="C38" s="112" t="str">
        <f>IF('Job Sheet'!R23="Verticali Colourbond Hooding",'Job Sheet'!F23+20,"")</f>
        <v/>
      </c>
      <c r="D38" s="112" t="str">
        <f>IF('Job Sheet'!R23="Verticali Colourbond Hooding",'Job Sheet'!F23+20,"")</f>
        <v/>
      </c>
      <c r="E38" s="112" t="str">
        <f>IF('Job Sheet'!R23="Verticali Colourbond Hooding",'Job Sheet'!S23,"")</f>
        <v/>
      </c>
    </row>
    <row r="39" spans="1:5" ht="13.2" customHeight="1">
      <c r="A39" s="112" t="str">
        <f>IF('Job Sheet'!R24="Verticali Colourbond Hooding",'Job Sheet'!A24,"")</f>
        <v/>
      </c>
      <c r="B39" s="112" t="str">
        <f>IF('Job Sheet'!R24="Verticali Colourbond Hooding",'Job Sheet'!B24,"")</f>
        <v/>
      </c>
      <c r="C39" s="112" t="str">
        <f>IF('Job Sheet'!R24="Verticali Colourbond Hooding",'Job Sheet'!F24+20,"")</f>
        <v/>
      </c>
      <c r="D39" s="112" t="str">
        <f>IF('Job Sheet'!R24="Verticali Colourbond Hooding",'Job Sheet'!F24+20,"")</f>
        <v/>
      </c>
      <c r="E39" s="112" t="str">
        <f>IF('Job Sheet'!R24="Verticali Colourbond Hooding",'Job Sheet'!S24,"")</f>
        <v/>
      </c>
    </row>
    <row r="40" spans="1:5" ht="13.2" customHeight="1">
      <c r="A40" s="112" t="str">
        <f>IF('Job Sheet'!R25="Verticali Colourbond Hooding",'Job Sheet'!A25,"")</f>
        <v/>
      </c>
      <c r="B40" s="112" t="str">
        <f>IF('Job Sheet'!R25="Verticali Colourbond Hooding",'Job Sheet'!B25,"")</f>
        <v/>
      </c>
      <c r="C40" s="112" t="str">
        <f>IF('Job Sheet'!R25="Verticali Colourbond Hooding",'Job Sheet'!F25+20,"")</f>
        <v/>
      </c>
      <c r="D40" s="112" t="str">
        <f>IF('Job Sheet'!R25="Verticali Colourbond Hooding",'Job Sheet'!F25+20,"")</f>
        <v/>
      </c>
      <c r="E40" s="112" t="str">
        <f>IF('Job Sheet'!R25="Verticali Colourbond Hooding",'Job Sheet'!S25,"")</f>
        <v/>
      </c>
    </row>
  </sheetData>
  <pageMargins left="0.865354330708672" right="0.865354330708672" top="0.75" bottom="0.75" header="0.3" footer="0.3"/>
  <pageSetup fitToHeight="0" orientation="portrait" paperSize="9" scale="10" r:id="rId2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69760B-C24D-44CC-B5F5-15891C747059}">
  <sheetPr codeName="Sheet1">
    <pageSetUpPr fitToPage="1"/>
  </sheetPr>
  <dimension ref="A1:M20"/>
  <sheetViews>
    <sheetView view="pageBreakPreview" zoomScale="60" zoomScaleNormal="60" workbookViewId="0" topLeftCell="A1">
      <selection pane="topLeft" activeCell="G2" sqref="G2:J2"/>
    </sheetView>
  </sheetViews>
  <sheetFormatPr defaultColWidth="9.109375" defaultRowHeight="13.5"/>
  <cols>
    <col min="1" max="1" width="10.4285714285714" style="82" customWidth="1"/>
    <col min="2" max="2" width="37" style="82" customWidth="1"/>
    <col min="3" max="3" width="24.8571428571429" style="82" customWidth="1"/>
    <col min="4" max="4" width="38.2857142857143" style="82" customWidth="1"/>
    <col min="5" max="5" width="26" style="82" customWidth="1"/>
    <col min="6" max="6" width="40.1428571428571" style="82" customWidth="1"/>
    <col min="7" max="7" width="32" style="82" customWidth="1"/>
    <col min="8" max="8" width="30.2857142857143" style="82" customWidth="1"/>
    <col min="9" max="9" width="29.7142857142857" style="82" customWidth="1"/>
    <col min="10" max="10" width="24" style="83" customWidth="1"/>
    <col min="11" max="11" width="26.7142857142857" style="83" customWidth="1"/>
    <col min="12" max="12" width="27" style="82" customWidth="1"/>
    <col min="13" max="13" width="53" style="82" customWidth="1"/>
  </cols>
  <sheetData>
    <row r="1" spans="1:13" ht="93.75" customHeight="1">
      <c r="A1" s="239" t="s">
        <v>353</v>
      </c>
      <c r="B1" s="239"/>
      <c r="C1" s="239"/>
      <c r="D1" s="239"/>
      <c r="E1" s="239"/>
      <c r="F1" s="239"/>
      <c r="G1" s="239"/>
      <c r="H1" s="239"/>
      <c r="I1" s="239"/>
      <c r="J1" s="239"/>
      <c r="K1" s="239"/>
      <c r="L1" s="239"/>
      <c r="M1" s="239"/>
    </row>
    <row r="2" spans="1:13" ht="39.9" customHeight="1">
      <c r="A2" s="209" t="s">
        <v>7</v>
      </c>
      <c r="B2" s="209"/>
      <c r="C2" s="209"/>
      <c r="D2" s="209"/>
      <c r="E2" s="185" t="s">
        <v>118</v>
      </c>
      <c r="F2" s="185"/>
      <c r="G2" s="225" t="str">
        <f>IF(Data!BF5="","",Data!BF5)</f>
        <v>Campbell, Neil</v>
      </c>
      <c r="H2" s="225"/>
      <c r="I2" s="225"/>
      <c r="J2" s="225"/>
      <c r="K2" s="178" t="s">
        <v>4</v>
      </c>
      <c r="L2" s="178"/>
      <c r="M2" s="178"/>
    </row>
    <row r="3" spans="1:13" ht="39.9" customHeight="1">
      <c r="A3" s="226" t="s">
        <v>142</v>
      </c>
      <c r="B3" s="226"/>
      <c r="C3" s="187" t="str">
        <f>IF(Data!BC5="","",Data!BC5)</f>
        <v>12085</v>
      </c>
      <c r="D3" s="187"/>
      <c r="E3" s="186" t="s">
        <v>8</v>
      </c>
      <c r="F3" s="186"/>
      <c r="G3" s="225" t="str">
        <f>TRIM(Data!AX5)</f>
        <v>Verticali Patio Blinds &amp; Fixed Guide Awnings</v>
      </c>
      <c r="H3" s="225"/>
      <c r="I3" s="225"/>
      <c r="J3" s="225"/>
      <c r="K3" s="243" t="str">
        <f>TRIM(Data!BG5)</f>
        <v/>
      </c>
      <c r="L3" s="244"/>
      <c r="M3" s="245"/>
    </row>
    <row r="4" spans="1:13" ht="39.9" customHeight="1">
      <c r="A4" s="177" t="s">
        <v>15</v>
      </c>
      <c r="B4" s="177"/>
      <c r="C4" s="187" t="str">
        <f>IF(Data!BD5="","",Data!BD5)</f>
        <v>A</v>
      </c>
      <c r="D4" s="187"/>
      <c r="E4" s="186" t="s">
        <v>136</v>
      </c>
      <c r="F4" s="186"/>
      <c r="G4" s="225" t="str">
        <f>LEFT(Data!BA5,10)</f>
        <v>18/09/2026</v>
      </c>
      <c r="H4" s="225"/>
      <c r="I4" s="225"/>
      <c r="J4" s="225"/>
      <c r="K4" s="246"/>
      <c r="L4" s="247"/>
      <c r="M4" s="248"/>
    </row>
    <row r="5" spans="1:13" ht="39.9" customHeight="1">
      <c r="A5" s="227" t="s">
        <v>10</v>
      </c>
      <c r="B5" s="227"/>
      <c r="C5" s="229" t="str">
        <f>IF(Data!AY5="","",Data!AY5)</f>
        <v>6/08/2026 12:00:00 AM</v>
      </c>
      <c r="D5" s="229"/>
      <c r="E5" s="187" t="s">
        <v>12</v>
      </c>
      <c r="F5" s="187"/>
      <c r="G5" s="225" t="str">
        <f>TRIM(Data!BF5)</f>
        <v>Campbell, Neil</v>
      </c>
      <c r="H5" s="225"/>
      <c r="I5" s="225"/>
      <c r="J5" s="225"/>
      <c r="K5" s="249"/>
      <c r="L5" s="250"/>
      <c r="M5" s="251"/>
    </row>
    <row r="6" spans="1:13" ht="39.9" customHeight="1">
      <c r="A6" s="237" t="str">
        <f>IF(Data!CZ5="","",Data!CZ5)</f>
        <v>Retail Customer</v>
      </c>
      <c r="B6" s="237"/>
      <c r="C6" s="237"/>
      <c r="D6" s="237"/>
      <c r="E6" s="187"/>
      <c r="F6" s="187"/>
      <c r="G6" s="225" t="str">
        <f>CONCATENATE(Data!BH5," ",Data!BI5," ",Data!BJ5," ",Data!BK5," ",Data!BL5)</f>
        <v xml:space="preserve"> 7161  Midland Highway </v>
      </c>
      <c r="H6" s="225"/>
      <c r="I6" s="225"/>
      <c r="J6" s="225"/>
      <c r="K6" s="114" t="s">
        <v>419</v>
      </c>
      <c r="L6" s="241" t="str">
        <f>IF(Data!BR5="","",Data!BR5)</f>
        <v>nac_in_eket@hotmail.com</v>
      </c>
      <c r="M6" s="242"/>
    </row>
    <row r="7" spans="1:13" ht="39.9" customHeight="1">
      <c r="A7" s="237"/>
      <c r="B7" s="237"/>
      <c r="C7" s="237"/>
      <c r="D7" s="237"/>
      <c r="E7" s="187"/>
      <c r="F7" s="187"/>
      <c r="G7" s="225" t="str">
        <f>CONCATENATE(Data!BM5," ",Data!BN5," ",Data!BO5," ",Data!BP5)</f>
        <v>Buninyong VIC 3357 Australia</v>
      </c>
      <c r="H7" s="225"/>
      <c r="I7" s="225"/>
      <c r="J7" s="225"/>
      <c r="K7" s="225" t="s">
        <v>354</v>
      </c>
      <c r="L7" s="225"/>
      <c r="M7" s="109" t="str">
        <f>IF(Data!BT5="","",Data!BT5)</f>
        <v>0427368330</v>
      </c>
    </row>
    <row r="8" spans="1:13" ht="12.75" customHeight="1">
      <c r="A8" s="240" t="s">
        <v>141</v>
      </c>
      <c r="B8" s="193" t="s">
        <v>120</v>
      </c>
      <c r="C8" s="193" t="s">
        <v>355</v>
      </c>
      <c r="D8" s="183" t="s">
        <v>119</v>
      </c>
      <c r="E8" s="183" t="s">
        <v>183</v>
      </c>
      <c r="F8" s="193" t="s">
        <v>356</v>
      </c>
      <c r="G8" s="193" t="s">
        <v>357</v>
      </c>
      <c r="H8" s="183" t="s">
        <v>358</v>
      </c>
      <c r="I8" s="183" t="s">
        <v>359</v>
      </c>
      <c r="J8" s="183" t="s">
        <v>360</v>
      </c>
      <c r="K8" s="183" t="s">
        <v>361</v>
      </c>
      <c r="L8" s="183" t="s">
        <v>362</v>
      </c>
      <c r="M8" s="183" t="s">
        <v>5</v>
      </c>
    </row>
    <row r="9" spans="1:13" ht="12.75" customHeight="1">
      <c r="A9" s="240"/>
      <c r="B9" s="193"/>
      <c r="C9" s="193"/>
      <c r="D9" s="183"/>
      <c r="E9" s="183"/>
      <c r="F9" s="193"/>
      <c r="G9" s="193"/>
      <c r="H9" s="183"/>
      <c r="I9" s="183"/>
      <c r="J9" s="183"/>
      <c r="K9" s="183"/>
      <c r="L9" s="183"/>
      <c r="M9" s="183"/>
    </row>
    <row r="10" spans="1:13" ht="47.25" customHeight="1">
      <c r="A10" s="240"/>
      <c r="B10" s="193"/>
      <c r="C10" s="193"/>
      <c r="D10" s="183"/>
      <c r="E10" s="183"/>
      <c r="F10" s="193"/>
      <c r="G10" s="193"/>
      <c r="H10" s="183"/>
      <c r="I10" s="183"/>
      <c r="J10" s="183"/>
      <c r="K10" s="183"/>
      <c r="L10" s="183"/>
      <c r="M10" s="183"/>
    </row>
    <row r="11" spans="1:13" ht="60" customHeight="1">
      <c r="A11" s="90">
        <f>IF(Data!AX11="","",'Job Sheet'!A11)</f>
        <v>1</v>
      </c>
      <c r="B11" s="32" t="str">
        <f>IF(C11="","",'Job Sheet'!B11)</f>
        <v>Patio 1</v>
      </c>
      <c r="C11" s="32" t="str">
        <f t="array" ref="C11">IF(bpLOOKUP(Data!$AV11,"ELECTRICIAN",CustOrdOpt,6,FALSE)="Yes","Yes","")</f>
        <v>Yes</v>
      </c>
      <c r="D11" s="32" t="str">
        <f>IF(C11="","",Data!AX11)</f>
        <v>Verticali &amp; Zipscreen</v>
      </c>
      <c r="E11" s="35" t="str">
        <f>IF(C11="","",'Job Sheet'!I11)</f>
        <v>Reveal</v>
      </c>
      <c r="F11" s="35" t="str">
        <f>IF(C11="","",'Job Sheet'!M11)</f>
        <v>Becker Remote Operated</v>
      </c>
      <c r="G11" s="35" t="str">
        <f>IF(C11="","",'Job Sheet'!Q11)</f>
        <v>Becker 5 Channel White Remote</v>
      </c>
      <c r="H11" s="35"/>
      <c r="I11" s="35" t="str">
        <f t="array" ref="I11">bpLOOKUP(Data!$AV11,"HOUSECONSTRUCTION",CustOrdOpt,6,FALSE)</f>
        <v>Brick</v>
      </c>
      <c r="J11" s="35" t="str">
        <f t="array" ref="J11">bpLOOKUP(Data!$AV11,"ROOF",CustOrdOpt,6,FALSE)</f>
        <v>Pitched Iron</v>
      </c>
      <c r="K11" s="35" t="str">
        <f t="array" ref="K11">bpLOOKUP(Data!$AV11,"SWITCHBOARD",CustOrdOpt,6,FALSE)</f>
        <v>No</v>
      </c>
      <c r="L11" s="35" t="str">
        <f t="array" ref="L11">bpLOOKUP(Data!$AV11,"STOREYS",CustOrdOpt,6,FALSE)</f>
        <v>1</v>
      </c>
      <c r="M11" s="113" t="str">
        <f>IF(C11="","",'Job Sheet'!AE11)</f>
        <v/>
      </c>
    </row>
    <row r="12" spans="1:13" ht="60" customHeight="1">
      <c r="A12" s="90" t="str">
        <f>IF(Data!AX12="","",'Job Sheet'!A12)</f>
        <v/>
      </c>
      <c r="B12" s="32" t="str">
        <f>IF(C12="","",'Job Sheet'!B12)</f>
        <v/>
      </c>
      <c r="C12" s="32" t="str">
        <f t="array" ref="C12">IF(bpLOOKUP(Data!$AV12,"ELECTRICIAN",CustOrdOpt,6,FALSE)="Yes","Yes","")</f>
        <v/>
      </c>
      <c r="D12" s="32" t="str">
        <f>IF(C12="","",Data!AX12)</f>
        <v/>
      </c>
      <c r="E12" s="35" t="str">
        <f>IF(C12="","",'Job Sheet'!I12)</f>
        <v/>
      </c>
      <c r="F12" s="35" t="str">
        <f>IF(C12="","",'Job Sheet'!M12)</f>
        <v/>
      </c>
      <c r="G12" s="35" t="str">
        <f>IF(C12="","",'Job Sheet'!Q12)</f>
        <v/>
      </c>
      <c r="H12" s="35"/>
      <c r="I12" s="35" t="str">
        <f t="array" ref="I12">bpLOOKUP(Data!$AV12,"HOUSECONSTRUCTION",CustOrdOpt,6,FALSE)</f>
        <v/>
      </c>
      <c r="J12" s="35" t="str">
        <f t="array" ref="J12">bpLOOKUP(Data!$AV12,"ROOF",CustOrdOpt,6,FALSE)</f>
        <v/>
      </c>
      <c r="K12" s="35" t="str">
        <f t="array" ref="K12">bpLOOKUP(Data!$AV12,"SWITCHBOARD",CustOrdOpt,6,FALSE)</f>
        <v/>
      </c>
      <c r="L12" s="35" t="str">
        <f t="array" ref="L12">bpLOOKUP(Data!$AV12,"STOREYS",CustOrdOpt,6,FALSE)</f>
        <v/>
      </c>
      <c r="M12" s="113" t="str">
        <f>IF(C12="","",'Job Sheet'!AE12)</f>
        <v/>
      </c>
    </row>
    <row r="13" spans="1:13" ht="60" customHeight="1">
      <c r="A13" s="90" t="str">
        <f>IF(Data!AX13="","",'Job Sheet'!A13)</f>
        <v/>
      </c>
      <c r="B13" s="32" t="str">
        <f>IF(C13="","",'Job Sheet'!B13)</f>
        <v/>
      </c>
      <c r="C13" s="32" t="str">
        <f t="array" ref="C13">IF(bpLOOKUP(Data!$AV13,"ELECTRICIAN",CustOrdOpt,6,FALSE)="Yes","Yes","")</f>
        <v/>
      </c>
      <c r="D13" s="32" t="str">
        <f>IF(C13="","",Data!AX13)</f>
        <v/>
      </c>
      <c r="E13" s="35" t="str">
        <f>IF(C13="","",'Job Sheet'!I13)</f>
        <v/>
      </c>
      <c r="F13" s="35" t="str">
        <f>IF(C13="","",'Job Sheet'!M13)</f>
        <v/>
      </c>
      <c r="G13" s="35" t="str">
        <f>IF(C13="","",'Job Sheet'!Q13)</f>
        <v/>
      </c>
      <c r="H13" s="35"/>
      <c r="I13" s="35" t="str">
        <f t="array" ref="I13">bpLOOKUP(Data!$AV13,"HOUSECONSTRUCTION",CustOrdOpt,6,FALSE)</f>
        <v/>
      </c>
      <c r="J13" s="35" t="str">
        <f t="array" ref="J13">bpLOOKUP(Data!$AV13,"ROOF",CustOrdOpt,6,FALSE)</f>
        <v/>
      </c>
      <c r="K13" s="35" t="str">
        <f t="array" ref="K13">bpLOOKUP(Data!$AV13,"SWITCHBOARD",CustOrdOpt,6,FALSE)</f>
        <v/>
      </c>
      <c r="L13" s="35" t="str">
        <f t="array" ref="L13">bpLOOKUP(Data!$AV13,"STOREYS",CustOrdOpt,6,FALSE)</f>
        <v/>
      </c>
      <c r="M13" s="113" t="str">
        <f>IF(C13="","",'Job Sheet'!AE13)</f>
        <v/>
      </c>
    </row>
    <row r="14" spans="1:13" ht="60" customHeight="1">
      <c r="A14" s="90" t="str">
        <f>IF(Data!AX14="","",'Job Sheet'!A14)</f>
        <v/>
      </c>
      <c r="B14" s="32" t="str">
        <f>IF(C14="","",'Job Sheet'!B14)</f>
        <v/>
      </c>
      <c r="C14" s="32" t="str">
        <f t="array" ref="C14">IF(bpLOOKUP(Data!$AV14,"ELECTRICIAN",CustOrdOpt,6,FALSE)="Yes","Yes","")</f>
        <v/>
      </c>
      <c r="D14" s="32" t="str">
        <f>IF(C14="","",Data!AX14)</f>
        <v/>
      </c>
      <c r="E14" s="35" t="str">
        <f>IF(C14="","",'Job Sheet'!I14)</f>
        <v/>
      </c>
      <c r="F14" s="35" t="str">
        <f>IF(C14="","",'Job Sheet'!M14)</f>
        <v/>
      </c>
      <c r="G14" s="35" t="str">
        <f>IF(C14="","",'Job Sheet'!Q14)</f>
        <v/>
      </c>
      <c r="H14" s="35"/>
      <c r="I14" s="35" t="str">
        <f t="array" ref="I14">bpLOOKUP(Data!$AV14,"HOUSECONSTRUCTION",CustOrdOpt,6,FALSE)</f>
        <v/>
      </c>
      <c r="J14" s="35" t="str">
        <f t="array" ref="J14">bpLOOKUP(Data!$AV14,"ROOF",CustOrdOpt,6,FALSE)</f>
        <v/>
      </c>
      <c r="K14" s="35" t="str">
        <f t="array" ref="K14">bpLOOKUP(Data!$AV14,"SWITCHBOARD",CustOrdOpt,6,FALSE)</f>
        <v/>
      </c>
      <c r="L14" s="35" t="str">
        <f t="array" ref="L14">bpLOOKUP(Data!$AV14,"STOREYS",CustOrdOpt,6,FALSE)</f>
        <v/>
      </c>
      <c r="M14" s="113" t="str">
        <f>IF(C14="","",'Job Sheet'!AE14)</f>
        <v/>
      </c>
    </row>
    <row r="15" spans="1:13" ht="60" customHeight="1">
      <c r="A15" s="90" t="str">
        <f>IF(Data!AX15="","",'Job Sheet'!A15)</f>
        <v/>
      </c>
      <c r="B15" s="32" t="str">
        <f>IF(C15="","",'Job Sheet'!B15)</f>
        <v/>
      </c>
      <c r="C15" s="32" t="str">
        <f t="array" ref="C15">IF(bpLOOKUP(Data!$AV15,"ELECTRICIAN",CustOrdOpt,6,FALSE)="Yes","Yes","")</f>
        <v/>
      </c>
      <c r="D15" s="32" t="str">
        <f>IF(C15="","",Data!AX15)</f>
        <v/>
      </c>
      <c r="E15" s="35" t="str">
        <f>IF(C15="","",'Job Sheet'!I15)</f>
        <v/>
      </c>
      <c r="F15" s="35" t="str">
        <f>IF(C15="","",'Job Sheet'!M15)</f>
        <v/>
      </c>
      <c r="G15" s="35" t="str">
        <f>IF(C15="","",'Job Sheet'!Q15)</f>
        <v/>
      </c>
      <c r="H15" s="35"/>
      <c r="I15" s="35" t="str">
        <f t="array" ref="I15">bpLOOKUP(Data!$AV15,"HOUSECONSTRUCTION",CustOrdOpt,6,FALSE)</f>
        <v/>
      </c>
      <c r="J15" s="35" t="str">
        <f t="array" ref="J15">bpLOOKUP(Data!$AV15,"ROOF",CustOrdOpt,6,FALSE)</f>
        <v/>
      </c>
      <c r="K15" s="35" t="str">
        <f t="array" ref="K15">bpLOOKUP(Data!$AV15,"SWITCHBOARD",CustOrdOpt,6,FALSE)</f>
        <v/>
      </c>
      <c r="L15" s="35" t="str">
        <f t="array" ref="L15">bpLOOKUP(Data!$AV15,"STOREYS",CustOrdOpt,6,FALSE)</f>
        <v/>
      </c>
      <c r="M15" s="113" t="str">
        <f>IF(C15="","",'Job Sheet'!AE15)</f>
        <v/>
      </c>
    </row>
    <row r="16" spans="1:13" ht="60" customHeight="1">
      <c r="A16" s="90" t="str">
        <f>IF(Data!AX16="","",'Job Sheet'!A16)</f>
        <v/>
      </c>
      <c r="B16" s="32" t="str">
        <f>IF(C16="","",'Job Sheet'!B16)</f>
        <v/>
      </c>
      <c r="C16" s="32" t="str">
        <f t="array" ref="C16">IF(bpLOOKUP(Data!$AV16,"ELECTRICIAN",CustOrdOpt,6,FALSE)="Yes","Yes","")</f>
        <v/>
      </c>
      <c r="D16" s="32" t="str">
        <f>IF(C16="","",Data!AX16)</f>
        <v/>
      </c>
      <c r="E16" s="35" t="str">
        <f>IF(C16="","",'Job Sheet'!I16)</f>
        <v/>
      </c>
      <c r="F16" s="35" t="str">
        <f>IF(C16="","",'Job Sheet'!M16)</f>
        <v/>
      </c>
      <c r="G16" s="35" t="str">
        <f>IF(C16="","",'Job Sheet'!Q16)</f>
        <v/>
      </c>
      <c r="H16" s="35"/>
      <c r="I16" s="35" t="str">
        <f t="array" ref="I16">bpLOOKUP(Data!$AV16,"HOUSECONSTRUCTION",CustOrdOpt,6,FALSE)</f>
        <v/>
      </c>
      <c r="J16" s="35" t="str">
        <f t="array" ref="J16">bpLOOKUP(Data!$AV16,"ROOF",CustOrdOpt,6,FALSE)</f>
        <v/>
      </c>
      <c r="K16" s="35" t="str">
        <f t="array" ref="K16">bpLOOKUP(Data!$AV16,"SWITCHBOARD",CustOrdOpt,6,FALSE)</f>
        <v/>
      </c>
      <c r="L16" s="35" t="str">
        <f t="array" ref="L16">bpLOOKUP(Data!$AV16,"STOREYS",CustOrdOpt,6,FALSE)</f>
        <v/>
      </c>
      <c r="M16" s="113" t="str">
        <f>IF(C16="","",'Job Sheet'!AE16)</f>
        <v/>
      </c>
    </row>
    <row r="17" spans="1:13" ht="60" customHeight="1">
      <c r="A17" s="90" t="str">
        <f>IF(Data!AX17="","",'Job Sheet'!A17)</f>
        <v/>
      </c>
      <c r="B17" s="32" t="str">
        <f>IF(C17="","",'Job Sheet'!B17)</f>
        <v/>
      </c>
      <c r="C17" s="32" t="str">
        <f t="array" ref="C17">IF(bpLOOKUP(Data!$AV17,"ELECTRICIAN",CustOrdOpt,6,FALSE)="Yes","Yes","")</f>
        <v/>
      </c>
      <c r="D17" s="32" t="str">
        <f>IF(C17="","",Data!AX17)</f>
        <v/>
      </c>
      <c r="E17" s="35" t="str">
        <f>IF(C17="","",'Job Sheet'!I17)</f>
        <v/>
      </c>
      <c r="F17" s="35" t="str">
        <f>IF(C17="","",'Job Sheet'!M17)</f>
        <v/>
      </c>
      <c r="G17" s="35" t="str">
        <f>IF(C17="","",'Job Sheet'!Q17)</f>
        <v/>
      </c>
      <c r="H17" s="35"/>
      <c r="I17" s="35" t="str">
        <f t="array" ref="I17">bpLOOKUP(Data!$AV17,"HOUSECONSTRUCTION",CustOrdOpt,6,FALSE)</f>
        <v/>
      </c>
      <c r="J17" s="35" t="str">
        <f t="array" ref="J17">bpLOOKUP(Data!$AV17,"ROOF",CustOrdOpt,6,FALSE)</f>
        <v/>
      </c>
      <c r="K17" s="35" t="str">
        <f t="array" ref="K17">bpLOOKUP(Data!$AV17,"SWITCHBOARD",CustOrdOpt,6,FALSE)</f>
        <v/>
      </c>
      <c r="L17" s="35" t="str">
        <f t="array" ref="L17">bpLOOKUP(Data!$AV17,"STOREYS",CustOrdOpt,6,FALSE)</f>
        <v/>
      </c>
      <c r="M17" s="113" t="str">
        <f>IF(C17="","",'Job Sheet'!AE17)</f>
        <v/>
      </c>
    </row>
    <row r="18" spans="1:13" ht="60" customHeight="1">
      <c r="A18" s="90" t="str">
        <f>IF(Data!AX18="","",'Job Sheet'!A18)</f>
        <v/>
      </c>
      <c r="B18" s="32" t="str">
        <f>IF(C18="","",'Job Sheet'!B18)</f>
        <v/>
      </c>
      <c r="C18" s="32" t="str">
        <f t="array" ref="C18">IF(bpLOOKUP(Data!$AV18,"ELECTRICIAN",CustOrdOpt,6,FALSE)="Yes","Yes","")</f>
        <v/>
      </c>
      <c r="D18" s="32" t="str">
        <f>IF(C18="","",Data!AX18)</f>
        <v/>
      </c>
      <c r="E18" s="35" t="str">
        <f>IF(C18="","",'Job Sheet'!I18)</f>
        <v/>
      </c>
      <c r="F18" s="35" t="str">
        <f>IF(C18="","",'Job Sheet'!M18)</f>
        <v/>
      </c>
      <c r="G18" s="35" t="str">
        <f>IF(C18="","",'Job Sheet'!Q18)</f>
        <v/>
      </c>
      <c r="H18" s="35"/>
      <c r="I18" s="35" t="str">
        <f t="array" ref="I18">bpLOOKUP(Data!$AV18,"HOUSECONSTRUCTION",CustOrdOpt,6,FALSE)</f>
        <v/>
      </c>
      <c r="J18" s="35" t="str">
        <f t="array" ref="J18">bpLOOKUP(Data!$AV18,"ROOF",CustOrdOpt,6,FALSE)</f>
        <v/>
      </c>
      <c r="K18" s="35" t="str">
        <f t="array" ref="K18">bpLOOKUP(Data!$AV18,"SWITCHBOARD",CustOrdOpt,6,FALSE)</f>
        <v/>
      </c>
      <c r="L18" s="35" t="str">
        <f t="array" ref="L18">bpLOOKUP(Data!$AV18,"STOREYS",CustOrdOpt,6,FALSE)</f>
        <v/>
      </c>
      <c r="M18" s="113" t="str">
        <f>IF(C18="","",'Job Sheet'!AE18)</f>
        <v/>
      </c>
    </row>
    <row r="19" spans="1:13" ht="60" customHeight="1">
      <c r="A19" s="90" t="str">
        <f>IF(Data!AX19="","",'Job Sheet'!A19)</f>
        <v/>
      </c>
      <c r="B19" s="32" t="str">
        <f>IF(C19="","",'Job Sheet'!B19)</f>
        <v/>
      </c>
      <c r="C19" s="32" t="str">
        <f t="array" ref="C19">IF(bpLOOKUP(Data!$AV19,"ELECTRICIAN",CustOrdOpt,6,FALSE)="Yes","Yes","")</f>
        <v/>
      </c>
      <c r="D19" s="32" t="str">
        <f>IF(C19="","",Data!AX19)</f>
        <v/>
      </c>
      <c r="E19" s="35" t="str">
        <f>IF(C19="","",'Job Sheet'!I19)</f>
        <v/>
      </c>
      <c r="F19" s="35" t="str">
        <f>IF(C19="","",'Job Sheet'!M19)</f>
        <v/>
      </c>
      <c r="G19" s="35" t="str">
        <f>IF(C19="","",'Job Sheet'!Q19)</f>
        <v/>
      </c>
      <c r="H19" s="35"/>
      <c r="I19" s="35" t="str">
        <f t="array" ref="I19">bpLOOKUP(Data!$AV19,"HOUSECONSTRUCTION",CustOrdOpt,6,FALSE)</f>
        <v/>
      </c>
      <c r="J19" s="35" t="str">
        <f t="array" ref="J19">bpLOOKUP(Data!$AV19,"ROOF",CustOrdOpt,6,FALSE)</f>
        <v/>
      </c>
      <c r="K19" s="35" t="str">
        <f t="array" ref="K19">bpLOOKUP(Data!$AV19,"SWITCHBOARD",CustOrdOpt,6,FALSE)</f>
        <v/>
      </c>
      <c r="L19" s="35" t="str">
        <f t="array" ref="L19">bpLOOKUP(Data!$AV19,"STOREYS",CustOrdOpt,6,FALSE)</f>
        <v/>
      </c>
      <c r="M19" s="113" t="str">
        <f>IF(C19="","",'Job Sheet'!AE19)</f>
        <v/>
      </c>
    </row>
    <row r="20" spans="1:13" ht="60" customHeight="1">
      <c r="A20" s="90" t="str">
        <f>IF(Data!AX20="","",'Job Sheet'!A20)</f>
        <v/>
      </c>
      <c r="B20" s="32" t="str">
        <f>IF(C20="","",'Job Sheet'!B20)</f>
        <v/>
      </c>
      <c r="C20" s="32" t="str">
        <f t="array" ref="C20">IF(bpLOOKUP(Data!$AV20,"ELECTRICIAN",CustOrdOpt,6,FALSE)="Yes","Yes","")</f>
        <v/>
      </c>
      <c r="D20" s="32" t="str">
        <f>IF(C20="","",Data!AX20)</f>
        <v/>
      </c>
      <c r="E20" s="35" t="str">
        <f>IF(C20="","",'Job Sheet'!I20)</f>
        <v/>
      </c>
      <c r="F20" s="35" t="str">
        <f>IF(C20="","",'Job Sheet'!M20)</f>
        <v/>
      </c>
      <c r="G20" s="35" t="str">
        <f>IF(C20="","",'Job Sheet'!Q20)</f>
        <v/>
      </c>
      <c r="H20" s="35"/>
      <c r="I20" s="35" t="str">
        <f t="array" ref="I20">bpLOOKUP(Data!$AV20,"HOUSECONSTRUCTION",CustOrdOpt,6,FALSE)</f>
        <v/>
      </c>
      <c r="J20" s="35" t="str">
        <f t="array" ref="J20">bpLOOKUP(Data!$AV20,"ROOF",CustOrdOpt,6,FALSE)</f>
        <v/>
      </c>
      <c r="K20" s="35" t="str">
        <f t="array" ref="K20">bpLOOKUP(Data!$AV20,"SWITCHBOARD",CustOrdOpt,6,FALSE)</f>
        <v/>
      </c>
      <c r="L20" s="35" t="str">
        <f t="array" ref="L20">bpLOOKUP(Data!$AV20,"STOREYS",CustOrdOpt,6,FALSE)</f>
        <v/>
      </c>
      <c r="M20" s="113" t="str">
        <f>IF(C20="","",'Job Sheet'!AE20)</f>
        <v/>
      </c>
    </row>
    <row r="21" ht="60" customHeight="1"/>
    <row r="22" ht="60" customHeight="1"/>
    <row r="23" ht="60" customHeight="1"/>
    <row r="24" ht="60" customHeight="1"/>
    <row r="25" ht="60" customHeight="1"/>
    <row r="26" ht="60" customHeight="1"/>
    <row r="27" ht="60" customHeight="1"/>
    <row r="28" ht="60" customHeight="1"/>
    <row r="29" ht="60" customHeight="1"/>
    <row r="30" ht="60" customHeight="1"/>
    <row r="31" ht="60" customHeight="1"/>
    <row r="32" ht="60" customHeight="1"/>
    <row r="33" ht="60" customHeight="1"/>
    <row r="34" ht="60" customHeight="1"/>
    <row r="35" ht="60" customHeight="1"/>
    <row r="36" ht="60" customHeight="1"/>
    <row r="37" ht="60" customHeight="1"/>
    <row r="38" ht="60" customHeight="1"/>
    <row r="39" ht="60" customHeight="1"/>
    <row r="40" ht="60" customHeight="1"/>
    <row r="41" ht="60" customHeight="1"/>
    <row r="42" ht="60" customHeight="1"/>
    <row r="43" ht="60" customHeight="1"/>
    <row r="44" ht="60" customHeight="1"/>
    <row r="45" ht="60" customHeight="1"/>
    <row r="46" ht="60" customHeight="1"/>
    <row r="47" ht="60" customHeight="1"/>
    <row r="48" ht="60" customHeight="1"/>
    <row r="49" ht="60" customHeight="1"/>
    <row r="50" ht="60" customHeight="1"/>
    <row r="51" ht="60" customHeight="1"/>
    <row r="52" ht="60" customHeight="1"/>
    <row r="53" ht="60" customHeight="1"/>
    <row r="54" ht="60" customHeight="1"/>
    <row r="55" ht="60" customHeight="1"/>
    <row r="56" ht="60" customHeight="1"/>
    <row r="57" ht="60" customHeight="1"/>
    <row r="58" ht="60" customHeight="1"/>
    <row r="59" ht="60" customHeight="1"/>
    <row r="60" ht="60" customHeight="1"/>
    <row r="61" ht="60" customHeight="1"/>
    <row r="62" ht="60" customHeight="1"/>
    <row r="63" ht="60" customHeight="1"/>
    <row r="64" ht="60" customHeight="1"/>
    <row r="65" ht="60" customHeight="1"/>
    <row r="66" ht="60" customHeight="1"/>
    <row r="67" ht="60" customHeight="1"/>
    <row r="68" ht="60" customHeight="1"/>
    <row r="69" ht="60" customHeight="1"/>
    <row r="70" ht="60" customHeight="1"/>
    <row r="71" ht="60" customHeight="1"/>
    <row r="72" ht="60" customHeight="1"/>
    <row r="73" ht="60" customHeight="1"/>
    <row r="74" ht="60" customHeight="1"/>
    <row r="75" ht="60" customHeight="1"/>
    <row r="76" ht="60" customHeight="1"/>
    <row r="77" ht="60" customHeight="1"/>
    <row r="78" ht="60" customHeight="1"/>
    <row r="79" ht="60" customHeight="1"/>
    <row r="80" ht="60" customHeight="1"/>
    <row r="81" ht="60" customHeight="1"/>
    <row r="82" ht="60" customHeight="1"/>
    <row r="83" ht="60" customHeight="1"/>
    <row r="84" ht="60" customHeight="1"/>
    <row r="85" ht="60" customHeight="1"/>
    <row r="86" ht="60" customHeight="1"/>
    <row r="87" ht="60" customHeight="1"/>
    <row r="88" ht="60" customHeight="1"/>
    <row r="89" ht="60" customHeight="1"/>
    <row r="90" ht="60" customHeight="1"/>
    <row r="91" ht="60" customHeight="1"/>
    <row r="92" ht="60" customHeight="1"/>
    <row r="93" ht="60" customHeight="1"/>
    <row r="94" ht="60" customHeight="1"/>
    <row r="95" ht="60" customHeight="1"/>
    <row r="96" ht="60" customHeight="1"/>
    <row r="97" ht="60" customHeight="1"/>
    <row r="98" ht="60" customHeight="1"/>
    <row r="99" ht="60" customHeight="1"/>
    <row r="100" ht="60" customHeight="1"/>
    <row r="101" ht="60" customHeight="1"/>
    <row r="102" ht="60" customHeight="1"/>
    <row r="103" ht="60" customHeight="1"/>
    <row r="104" ht="60" customHeight="1"/>
    <row r="105" ht="60" customHeight="1"/>
    <row r="106" ht="60" customHeight="1"/>
    <row r="107" ht="60" customHeight="1"/>
    <row r="108" ht="60" customHeight="1"/>
    <row r="109" ht="60" customHeight="1"/>
    <row r="110" ht="60" customHeight="1"/>
    <row r="111" ht="60" customHeight="1"/>
    <row r="112" ht="60" customHeight="1"/>
    <row r="113" ht="60" customHeight="1"/>
    <row r="114" ht="60" customHeight="1"/>
    <row r="115" ht="60" customHeight="1"/>
    <row r="116" ht="60" customHeight="1"/>
    <row r="117" ht="60" customHeight="1"/>
    <row r="118" ht="60" customHeight="1"/>
    <row r="119" ht="60" customHeight="1"/>
    <row r="120" ht="60" customHeight="1"/>
    <row r="121" ht="60" customHeight="1"/>
    <row r="122" ht="60" customHeight="1"/>
    <row r="123" ht="60" customHeight="1"/>
    <row r="124" ht="60" customHeight="1"/>
    <row r="125" ht="60" customHeight="1"/>
    <row r="126" ht="60" customHeight="1"/>
    <row r="127" ht="60" customHeight="1"/>
    <row r="128" ht="60" customHeight="1"/>
    <row r="129" ht="60" customHeight="1"/>
    <row r="130" ht="60" customHeight="1"/>
    <row r="131" ht="60" customHeight="1"/>
    <row r="132" ht="60" customHeight="1"/>
    <row r="133" ht="60" customHeight="1"/>
    <row r="134" ht="60" customHeight="1"/>
    <row r="135" ht="60" customHeight="1"/>
    <row r="136" ht="60" customHeight="1"/>
    <row r="137" ht="60" customHeight="1"/>
    <row r="138" ht="60" customHeight="1"/>
    <row r="139" ht="60" customHeight="1"/>
    <row r="140" ht="60" customHeight="1"/>
    <row r="141" ht="60" customHeight="1"/>
    <row r="142" ht="60" customHeight="1"/>
    <row r="143" ht="60" customHeight="1"/>
    <row r="144" ht="60" customHeight="1"/>
    <row r="145" ht="60" customHeight="1"/>
    <row r="146" ht="60" customHeight="1"/>
    <row r="147" ht="60" customHeight="1"/>
    <row r="148" ht="60" customHeight="1"/>
    <row r="149" ht="60" customHeight="1"/>
    <row r="150" ht="60" customHeight="1"/>
    <row r="151" ht="60" customHeight="1"/>
    <row r="152" ht="60" customHeight="1"/>
    <row r="153" ht="60" customHeight="1"/>
    <row r="154" ht="60" customHeight="1"/>
    <row r="155" ht="60" customHeight="1"/>
    <row r="156" ht="60" customHeight="1"/>
    <row r="157" ht="60" customHeight="1"/>
    <row r="158" ht="60" customHeight="1"/>
    <row r="159" ht="60" customHeight="1"/>
    <row r="160" ht="60" customHeight="1"/>
    <row r="161" ht="60" customHeight="1"/>
    <row r="162" ht="60" customHeight="1"/>
    <row r="163" ht="60" customHeight="1"/>
    <row r="164" ht="60" customHeight="1"/>
    <row r="165" ht="60" customHeight="1"/>
    <row r="166" ht="60" customHeight="1"/>
    <row r="167" ht="60" customHeight="1"/>
    <row r="168" ht="60" customHeight="1"/>
    <row r="169" ht="60" customHeight="1"/>
    <row r="170" ht="60" customHeight="1"/>
    <row r="171" ht="60" customHeight="1"/>
    <row r="172" ht="60" customHeight="1"/>
    <row r="173" ht="60" customHeight="1"/>
    <row r="174" ht="60" customHeight="1"/>
    <row r="175" ht="60" customHeight="1"/>
    <row r="176" ht="60" customHeight="1"/>
    <row r="177" ht="60" customHeight="1"/>
    <row r="178" ht="60" customHeight="1"/>
    <row r="179" ht="60" customHeight="1"/>
    <row r="180" ht="60" customHeight="1"/>
    <row r="181" ht="60" customHeight="1"/>
    <row r="182" ht="60" customHeight="1"/>
    <row r="183" ht="60" customHeight="1"/>
    <row r="184" ht="60" customHeight="1"/>
    <row r="185" ht="60" customHeight="1"/>
    <row r="186" ht="60" customHeight="1"/>
    <row r="187" ht="60" customHeight="1"/>
    <row r="188" ht="60" customHeight="1"/>
    <row r="189" ht="60" customHeight="1"/>
    <row r="190" ht="60" customHeight="1"/>
    <row r="191" ht="60" customHeight="1"/>
    <row r="192" ht="60" customHeight="1"/>
    <row r="193" ht="60" customHeight="1"/>
    <row r="194" ht="60" customHeight="1"/>
    <row r="195" ht="60" customHeight="1"/>
    <row r="196" ht="60" customHeight="1"/>
    <row r="197" ht="60" customHeight="1"/>
    <row r="198" ht="60" customHeight="1"/>
    <row r="199" ht="60" customHeight="1"/>
    <row r="200" ht="60" customHeight="1"/>
    <row r="201" ht="60" customHeight="1"/>
    <row r="202" ht="60" customHeight="1"/>
    <row r="203" ht="60" customHeight="1"/>
    <row r="204" ht="60" customHeight="1"/>
    <row r="205" ht="60" customHeight="1"/>
    <row r="206" ht="60" customHeight="1"/>
    <row r="207" ht="60" customHeight="1"/>
    <row r="208" ht="60" customHeight="1"/>
    <row r="209" ht="60" customHeight="1"/>
    <row r="210" ht="60" customHeight="1"/>
    <row r="211" ht="60" customHeight="1"/>
    <row r="212" ht="60" customHeight="1"/>
    <row r="213" ht="60" customHeight="1"/>
    <row r="214" ht="60" customHeight="1"/>
    <row r="215" ht="60" customHeight="1"/>
    <row r="216" ht="60" customHeight="1"/>
    <row r="217" ht="60" customHeight="1"/>
    <row r="218" ht="60" customHeight="1"/>
    <row r="219" ht="60" customHeight="1"/>
    <row r="220" ht="60" customHeight="1"/>
    <row r="221" ht="60" customHeight="1"/>
    <row r="222" ht="60" customHeight="1"/>
    <row r="223" ht="60" customHeight="1"/>
    <row r="224" ht="60" customHeight="1"/>
    <row r="225" ht="60" customHeight="1"/>
    <row r="226" ht="60" customHeight="1"/>
    <row r="227" ht="60" customHeight="1"/>
    <row r="228" ht="60" customHeight="1"/>
    <row r="229" ht="60" customHeight="1"/>
    <row r="230" ht="60" customHeight="1"/>
    <row r="231" ht="60" customHeight="1"/>
    <row r="232" ht="60" customHeight="1"/>
    <row r="233" ht="60" customHeight="1"/>
    <row r="234" ht="60" customHeight="1"/>
    <row r="235" ht="60" customHeight="1"/>
    <row r="236" ht="60" customHeight="1"/>
    <row r="237" ht="60" customHeight="1"/>
    <row r="238" ht="60" customHeight="1"/>
    <row r="239" ht="60" customHeight="1"/>
    <row r="240" ht="60" customHeight="1"/>
    <row r="241" ht="60" customHeight="1"/>
    <row r="242" ht="60" customHeight="1"/>
    <row r="243" ht="60" customHeight="1"/>
    <row r="244" ht="60" customHeight="1"/>
    <row r="245" ht="60" customHeight="1"/>
    <row r="246" ht="60" customHeight="1"/>
    <row r="247" ht="60" customHeight="1"/>
    <row r="248" ht="60" customHeight="1"/>
    <row r="249" ht="60" customHeight="1"/>
    <row r="250" ht="60" customHeight="1"/>
    <row r="251" ht="60" customHeight="1"/>
    <row r="252" ht="60" customHeight="1"/>
    <row r="253" ht="60" customHeight="1"/>
    <row r="254" ht="60" customHeight="1"/>
    <row r="255" ht="60" customHeight="1"/>
    <row r="256" ht="60" customHeight="1"/>
    <row r="257" ht="60" customHeight="1"/>
    <row r="258" ht="60" customHeight="1"/>
    <row r="259" ht="60" customHeight="1"/>
    <row r="260" ht="60" customHeight="1"/>
    <row r="261" ht="60" customHeight="1"/>
    <row r="262" ht="60" customHeight="1"/>
    <row r="263" ht="60" customHeight="1"/>
    <row r="264" ht="60" customHeight="1"/>
    <row r="265" ht="60" customHeight="1"/>
    <row r="266" ht="60" customHeight="1"/>
    <row r="267" ht="60" customHeight="1"/>
    <row r="268" ht="60" customHeight="1"/>
    <row r="269" ht="60" customHeight="1"/>
    <row r="270" ht="60" customHeight="1"/>
    <row r="271" ht="60" customHeight="1"/>
    <row r="272" ht="60" customHeight="1"/>
    <row r="273" ht="60" customHeight="1"/>
    <row r="274" ht="60" customHeight="1"/>
    <row r="275" ht="60" customHeight="1"/>
    <row r="276" ht="60" customHeight="1"/>
    <row r="277" ht="60" customHeight="1"/>
    <row r="278" ht="60" customHeight="1"/>
    <row r="279" ht="60" customHeight="1"/>
    <row r="280" ht="60" customHeight="1"/>
    <row r="281" ht="60" customHeight="1"/>
    <row r="282" ht="60" customHeight="1"/>
    <row r="283" ht="60" customHeight="1"/>
    <row r="284" ht="60" customHeight="1"/>
    <row r="285" ht="60" customHeight="1"/>
    <row r="286" ht="60" customHeight="1"/>
    <row r="287" ht="60" customHeight="1"/>
    <row r="288" ht="60" customHeight="1"/>
    <row r="289" ht="60" customHeight="1"/>
    <row r="290" ht="60" customHeight="1"/>
    <row r="291" ht="60" customHeight="1"/>
    <row r="292" ht="60" customHeight="1"/>
    <row r="293" ht="60" customHeight="1"/>
    <row r="294" ht="60" customHeight="1"/>
    <row r="295" ht="60" customHeight="1"/>
    <row r="296" ht="60" customHeight="1"/>
    <row r="297" ht="60" customHeight="1"/>
    <row r="298" ht="60" customHeight="1"/>
    <row r="299" ht="60" customHeight="1"/>
    <row r="300" ht="60" customHeight="1"/>
    <row r="301" ht="60" customHeight="1"/>
    <row r="302" ht="60" customHeight="1"/>
    <row r="303" ht="60" customHeight="1"/>
    <row r="304" ht="60" customHeight="1"/>
    <row r="305" ht="60" customHeight="1"/>
    <row r="306" ht="60" customHeight="1"/>
    <row r="307" ht="60" customHeight="1"/>
    <row r="308" ht="60" customHeight="1"/>
    <row r="309" ht="60" customHeight="1"/>
    <row r="310" ht="60" customHeight="1"/>
    <row r="311" ht="60" customHeight="1"/>
    <row r="312" ht="60" customHeight="1"/>
    <row r="313" ht="60" customHeight="1"/>
    <row r="314" ht="60" customHeight="1"/>
    <row r="315" ht="60" customHeight="1"/>
    <row r="316" ht="60" customHeight="1"/>
    <row r="317" ht="60" customHeight="1"/>
    <row r="318" ht="60" customHeight="1"/>
    <row r="319" ht="60" customHeight="1"/>
    <row r="320" ht="60" customHeight="1"/>
    <row r="321" ht="60" customHeight="1"/>
    <row r="322" ht="60" customHeight="1"/>
    <row r="323" ht="60" customHeight="1"/>
    <row r="324" ht="60" customHeight="1"/>
    <row r="325" ht="60" customHeight="1"/>
    <row r="326" ht="60" customHeight="1"/>
    <row r="327" ht="60" customHeight="1"/>
    <row r="328" ht="60" customHeight="1"/>
    <row r="329" ht="60" customHeight="1"/>
    <row r="330" ht="60" customHeight="1"/>
    <row r="331" ht="60" customHeight="1"/>
    <row r="332" ht="60" customHeight="1"/>
    <row r="333" ht="60" customHeight="1"/>
    <row r="334" ht="60" customHeight="1"/>
    <row r="335" ht="60" customHeight="1"/>
    <row r="336" ht="60" customHeight="1"/>
    <row r="337" ht="60" customHeight="1"/>
    <row r="338" ht="60" customHeight="1"/>
    <row r="339" ht="60" customHeight="1"/>
    <row r="340" ht="60" customHeight="1"/>
    <row r="341" ht="60" customHeight="1"/>
    <row r="342" ht="60" customHeight="1"/>
    <row r="343" ht="60" customHeight="1"/>
    <row r="344" ht="60" customHeight="1"/>
    <row r="345" ht="60" customHeight="1"/>
    <row r="346" ht="60" customHeight="1"/>
    <row r="347" ht="60" customHeight="1"/>
    <row r="348" ht="60" customHeight="1"/>
    <row r="349" ht="60" customHeight="1"/>
    <row r="350" ht="60" customHeight="1"/>
    <row r="351" ht="60" customHeight="1"/>
    <row r="352" ht="60" customHeight="1"/>
    <row r="353" ht="60" customHeight="1"/>
    <row r="354" ht="60" customHeight="1"/>
    <row r="355" ht="60" customHeight="1"/>
    <row r="356" ht="60" customHeight="1"/>
    <row r="357" ht="60" customHeight="1"/>
    <row r="358" ht="60" customHeight="1"/>
    <row r="359" ht="60" customHeight="1"/>
    <row r="360" ht="60" customHeight="1"/>
    <row r="361" ht="60" customHeight="1"/>
    <row r="362" ht="60" customHeight="1"/>
    <row r="363" ht="60" customHeight="1"/>
    <row r="364" ht="60" customHeight="1"/>
    <row r="365" ht="60" customHeight="1"/>
    <row r="366" ht="60" customHeight="1"/>
    <row r="367" ht="60" customHeight="1"/>
    <row r="368" ht="60" customHeight="1"/>
    <row r="369" ht="60" customHeight="1"/>
    <row r="370" ht="60" customHeight="1"/>
    <row r="371" ht="60" customHeight="1"/>
    <row r="372" ht="60" customHeight="1"/>
    <row r="373" ht="60" customHeight="1"/>
    <row r="374" ht="60" customHeight="1"/>
    <row r="375" ht="60" customHeight="1"/>
    <row r="376" ht="60" customHeight="1"/>
    <row r="377" ht="60" customHeight="1"/>
    <row r="378" ht="60" customHeight="1"/>
    <row r="379" ht="60" customHeight="1"/>
    <row r="380" ht="60" customHeight="1"/>
    <row r="381" ht="60" customHeight="1"/>
    <row r="382" ht="60" customHeight="1"/>
    <row r="383" ht="60" customHeight="1"/>
    <row r="384" ht="60" customHeight="1"/>
    <row r="385" ht="60" customHeight="1"/>
    <row r="386" ht="60" customHeight="1"/>
    <row r="387" ht="60" customHeight="1"/>
    <row r="388" ht="60" customHeight="1"/>
    <row r="389" ht="60" customHeight="1"/>
    <row r="390" ht="60" customHeight="1"/>
    <row r="391" ht="60" customHeight="1"/>
    <row r="392" ht="60" customHeight="1"/>
    <row r="393" ht="60" customHeight="1"/>
    <row r="394" ht="60" customHeight="1"/>
    <row r="395" ht="60" customHeight="1"/>
    <row r="396" ht="60" customHeight="1"/>
    <row r="397" ht="60" customHeight="1"/>
    <row r="398" ht="60" customHeight="1"/>
    <row r="399" ht="60" customHeight="1"/>
    <row r="400" ht="60" customHeight="1"/>
    <row r="401" ht="60" customHeight="1"/>
    <row r="402" ht="60" customHeight="1"/>
    <row r="403" ht="60" customHeight="1"/>
    <row r="404" ht="60" customHeight="1"/>
    <row r="405" ht="60" customHeight="1"/>
    <row r="406" ht="60" customHeight="1"/>
    <row r="407" ht="60" customHeight="1"/>
    <row r="408" ht="60" customHeight="1"/>
    <row r="409" ht="60" customHeight="1"/>
    <row r="410" ht="60" customHeight="1"/>
    <row r="411" ht="60" customHeight="1"/>
    <row r="412" ht="60" customHeight="1"/>
    <row r="413" ht="60" customHeight="1"/>
    <row r="414" ht="60" customHeight="1"/>
    <row r="415" ht="60" customHeight="1"/>
    <row r="416" ht="60" customHeight="1"/>
    <row r="417" ht="60" customHeight="1"/>
    <row r="418" ht="60" customHeight="1"/>
    <row r="419" ht="60" customHeight="1"/>
  </sheetData>
  <mergeCells count="37">
    <mergeCell ref="L6:M6"/>
    <mergeCell ref="K3:M5"/>
    <mergeCell ref="K8:K10"/>
    <mergeCell ref="L8:L10"/>
    <mergeCell ref="M8:M10"/>
    <mergeCell ref="K7:L7"/>
    <mergeCell ref="F8:F10"/>
    <mergeCell ref="G8:G10"/>
    <mergeCell ref="H8:H10"/>
    <mergeCell ref="I8:I10"/>
    <mergeCell ref="J8:J10"/>
    <mergeCell ref="A8:A10"/>
    <mergeCell ref="B8:B10"/>
    <mergeCell ref="C8:C10"/>
    <mergeCell ref="D8:D10"/>
    <mergeCell ref="E8:E10"/>
    <mergeCell ref="A3:B3"/>
    <mergeCell ref="C3:D3"/>
    <mergeCell ref="E3:F3"/>
    <mergeCell ref="G3:J3"/>
    <mergeCell ref="A4:B4"/>
    <mergeCell ref="C4:D4"/>
    <mergeCell ref="E4:F4"/>
    <mergeCell ref="G4:J4"/>
    <mergeCell ref="A5:B5"/>
    <mergeCell ref="C5:D5"/>
    <mergeCell ref="E5:F7"/>
    <mergeCell ref="G5:J5"/>
    <mergeCell ref="A6:D7"/>
    <mergeCell ref="G6:J6"/>
    <mergeCell ref="G7:J7"/>
    <mergeCell ref="A1:M1"/>
    <mergeCell ref="A2:B2"/>
    <mergeCell ref="C2:D2"/>
    <mergeCell ref="E2:F2"/>
    <mergeCell ref="G2:J2"/>
    <mergeCell ref="K2:M2"/>
  </mergeCells>
  <pageMargins left="1.00708661417325" right="1.00708661417325" top="0.75" bottom="0.75" header="0.3" footer="0.3"/>
  <pageSetup fitToHeight="0" orientation="landscape" paperSize="9" scale="1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Labels"/>
  <dimension ref="A1:K44"/>
  <sheetViews>
    <sheetView zoomScale="90" zoomScaleNormal="90" zoomScaleSheetLayoutView="100" workbookViewId="0" topLeftCell="A1">
      <selection pane="topLeft" activeCell="A21" sqref="A21"/>
    </sheetView>
  </sheetViews>
  <sheetFormatPr defaultColWidth="9.33203125" defaultRowHeight="13.5"/>
  <cols>
    <col min="1" max="1" width="30.7142857142857" bestFit="1" customWidth="1"/>
    <col min="2" max="2" width="64.2857142857143" bestFit="1" customWidth="1"/>
    <col min="3" max="3" width="41" bestFit="1" customWidth="1"/>
    <col min="4" max="4" width="45.5714285714286" bestFit="1" customWidth="1"/>
    <col min="5" max="5" width="42.7142857142857" bestFit="1" customWidth="1"/>
    <col min="6" max="6" width="34.5714285714286" bestFit="1" customWidth="1"/>
    <col min="7" max="7" width="34" bestFit="1" customWidth="1"/>
    <col min="8" max="8" width="33.5714285714286" bestFit="1" customWidth="1"/>
    <col min="9" max="9" width="41.5714285714286" bestFit="1" customWidth="1"/>
    <col min="10" max="10" width="10.4285714285714" bestFit="1" customWidth="1"/>
    <col min="11" max="11" width="11.2857142857143" bestFit="1" customWidth="1"/>
  </cols>
  <sheetData>
    <row r="1" spans="1:6" ht="13.2">
      <c r="A1">
        <v>1</v>
      </c>
      <c r="C1" s="24"/>
      <c r="D1" s="28"/>
      <c r="E1" s="24"/>
      <c r="F1" s="24"/>
    </row>
    <row r="2" spans="1:4" ht="13.2">
      <c r="A2">
        <v>2</v>
      </c>
      <c r="B2" s="29"/>
      <c r="C2" s="24"/>
      <c r="D2" s="28"/>
    </row>
    <row r="3" spans="1:4" ht="13.2">
      <c r="A3">
        <v>3</v>
      </c>
      <c r="C3" s="24"/>
      <c r="D3" s="24"/>
    </row>
    <row r="4" ht="13.2">
      <c r="A4">
        <v>4</v>
      </c>
    </row>
    <row r="5" ht="13.2">
      <c r="A5">
        <v>5</v>
      </c>
    </row>
    <row r="6" ht="13.2">
      <c r="A6">
        <v>6</v>
      </c>
    </row>
    <row r="7" ht="13.2">
      <c r="A7">
        <v>7</v>
      </c>
    </row>
    <row r="8" ht="13.2">
      <c r="A8">
        <v>8</v>
      </c>
    </row>
    <row r="9" ht="13.2">
      <c r="A9" t="s">
        <v>134</v>
      </c>
    </row>
    <row r="10" spans="1:11" ht="13.2">
      <c r="A10" t="s">
        <v>114</v>
      </c>
      <c r="B10" t="s">
        <v>115</v>
      </c>
      <c r="C10" t="s">
        <v>116</v>
      </c>
      <c r="D10" t="s">
        <v>117</v>
      </c>
      <c r="E10" t="s">
        <v>118</v>
      </c>
      <c r="F10" t="s">
        <v>135</v>
      </c>
      <c r="G10" t="s">
        <v>119</v>
      </c>
      <c r="H10" t="s">
        <v>120</v>
      </c>
      <c r="I10" t="s">
        <v>121</v>
      </c>
      <c r="J10" t="s">
        <v>122</v>
      </c>
      <c r="K10" t="s">
        <v>123</v>
      </c>
    </row>
    <row r="11" spans="1:11" ht="13.2" customHeight="1">
      <c r="A11" t="str">
        <f>IF(OR(Data!$AV11="",Data!$AW11&gt;999),"","^XA^LH0,0^PRB,D^MD20^JMA^FS")</f>
        <v>^XA^LH0,0^PRB,D^MD20^JMA^FS</v>
      </c>
      <c r="B11" t="str">
        <f t="array" ref="B11">IF(A11&lt;&gt;"","^BY2,2.7,13^FO506,20^B2N,132,Y,N,N^SN"&amp;BarcodeValue(Data!BC$5,Data!BD$5,Data!AW11,0)&amp;",N,Y^FS","")</f>
        <v>^BY2,2.7,13^FO506,20^B2N,132,Y,N,N^SN0012085650010000,N,Y^FS</v>
      </c>
      <c r="C11" t="str">
        <f>IF(A11&lt;&gt;"","^FO20,20^A0N,28,37^CI13^FD"&amp;TEXT(Data!AY$5,"d/m/yyyy")&amp;"^FS","")</f>
        <v>^FO20,20^A0N,28,37^CI13^FD6/8/2026^FS</v>
      </c>
      <c r="D11" t="str">
        <f>IF(A11&lt;&gt;"","^FO220,20^A0N,41,48^CI13^FD"&amp;Data!$BC$5&amp;Data!$BD$5&amp;"/"&amp;RIGHT("000"&amp;Data!AW11,3)&amp;"^FS","")</f>
        <v>^FO220,20^A0N,41,48^CI13^FD12085A/001^FS</v>
      </c>
      <c r="E11" t="str">
        <f>IF(A11&lt;&gt;"","^FO20,55^A0N,30,30^CI13^FD"&amp;Data!$BF$5&amp;"^FS","")</f>
        <v>^FO20,55^A0N,30,30^CI13^FDCampbell, Neil^FS</v>
      </c>
      <c r="F11" t="str">
        <f>IF(A11&lt;&gt;"","^FO20,95^A0N,30,30^CI13^FD"&amp;Data!AX$5&amp;"^FS","")</f>
        <v>^FO20,95^A0N,30,30^CI13^FDVerticali Patio Blinds &amp; Fixed Guide Awnings^FS</v>
      </c>
      <c r="G11" t="str">
        <f>IF(A11&lt;&gt;"","^FO20,135^A0N,30,30^CI13^FD"&amp;Data!BE11&amp;"^FS","")</f>
        <v>^FO20,135^A0N,30,30^CI13^FDVERTC HVG Visiontex Glisse Sunscreen Naxos^FS</v>
      </c>
      <c r="H11" t="str">
        <f>IF(A11&lt;&gt;"","^FO20,175^A0N,30,30^CI13^FD"&amp;Data!AY11&amp;"^FS","")</f>
        <v>^FO20,175^A0N,30,30^CI13^FDPatio 1^FS</v>
      </c>
      <c r="I11" t="str">
        <f>IF(A11&lt;&gt;"","^FO300,175^A0N,30,30^CI13^FD"&amp;"W:"&amp;Data!BA11&amp;" H:"&amp;Data!BB11,"")</f>
        <v>^FO300,175^A0N,30,30^CI13^FDW:3977 H:2650</v>
      </c>
      <c r="J11" t="str">
        <f>IF(A11&lt;&gt;"","^PQ"&amp;Data!$F$19&amp;",0,"&amp;Data!$F$19&amp;",Y","")</f>
        <v>^PQ0,0,0,Y</v>
      </c>
      <c r="K11" t="str">
        <f t="shared" si="0" ref="K11:K44">IF(A11&lt;&gt;"","^XZ","")</f>
        <v>^XZ</v>
      </c>
    </row>
    <row r="12" spans="1:11" ht="13.2" customHeight="1">
      <c r="A12" t="str">
        <f>IF(OR(Data!$AV12="",Data!$AW12&gt;999),"","^XA^LH0,0^PRB,D^MD20^JMA^FS")</f>
        <v/>
      </c>
      <c r="B12" t="str">
        <f t="array" ref="B12">IF(A12&lt;&gt;"","^BY2,2.7,13^FO506,20^B2N,132,Y,N,N^SN"&amp;BarcodeValue(Data!BC$5,Data!BD$5,Data!AW12,0)&amp;",N,Y^FS","")</f>
        <v/>
      </c>
      <c r="C12" t="str">
        <f>IF(A12&lt;&gt;"","^FO20,20^A0N,28,37^CI13^FD"&amp;TEXT(Data!AY$5,"d/m/yyyy")&amp;"^FS","")</f>
        <v/>
      </c>
      <c r="D12" t="str">
        <f>IF(A12&lt;&gt;"","^FO220,20^A0N,41,48^CI13^FD"&amp;Data!$BC$5&amp;Data!$BD$5&amp;"/"&amp;RIGHT("000"&amp;Data!AW12,3)&amp;"^FS","")</f>
        <v/>
      </c>
      <c r="E12" t="str">
        <f>IF(A12&lt;&gt;"","^FO20,55^A0N,30,30^CI13^FD"&amp;Data!$BF$5&amp;"^FS","")</f>
        <v/>
      </c>
      <c r="F12" t="str">
        <f>IF(A12&lt;&gt;"","^FO20,95^A0N,30,30^CI13^FD"&amp;Data!AX$5&amp;"^FS","")</f>
        <v/>
      </c>
      <c r="G12" t="str">
        <f>IF(A12&lt;&gt;"","^FO20,135^A0N,30,30^CI13^FD"&amp;Data!BE12&amp;"^FS","")</f>
        <v/>
      </c>
      <c r="H12" t="str">
        <f>IF(A12&lt;&gt;"","^FO20,175^A0N,30,30^CI13^FD"&amp;Data!AY12&amp;"^FS","")</f>
        <v/>
      </c>
      <c r="I12" t="str">
        <f>IF(A12&lt;&gt;"","^FO300,175^A0N,30,30^CI13^FD"&amp;"W:"&amp;Data!BA12&amp;" H:"&amp;Data!BB12,"")</f>
        <v/>
      </c>
      <c r="J12" t="str">
        <f>IF(A12&lt;&gt;"","^PQ"&amp;Data!$F$19&amp;",0,"&amp;Data!$F$19&amp;",Y","")</f>
        <v/>
      </c>
      <c r="K12" t="str">
        <f t="shared" si="0"/>
        <v/>
      </c>
    </row>
    <row r="13" spans="1:11" ht="13.2" customHeight="1">
      <c r="A13" t="str">
        <f>IF(OR(Data!$AV13="",Data!$AW13&gt;999),"","^XA^LH0,0^PRB,D^MD20^JMA^FS")</f>
        <v/>
      </c>
      <c r="B13" t="str">
        <f t="array" ref="B13">IF(A13&lt;&gt;"","^BY2,2.7,13^FO506,20^B2N,132,Y,N,N^SN"&amp;BarcodeValue(Data!BC$5,Data!BD$5,Data!AW13,0)&amp;",N,Y^FS","")</f>
        <v/>
      </c>
      <c r="C13" t="str">
        <f>IF(A13&lt;&gt;"","^FO20,20^A0N,28,37^CI13^FD"&amp;TEXT(Data!AY$5,"d/m/yyyy")&amp;"^FS","")</f>
        <v/>
      </c>
      <c r="D13" t="str">
        <f>IF(A13&lt;&gt;"","^FO220,20^A0N,41,48^CI13^FD"&amp;Data!$BC$5&amp;Data!$BD$5&amp;"/"&amp;RIGHT("000"&amp;Data!AW13,3)&amp;"^FS","")</f>
        <v/>
      </c>
      <c r="E13" t="str">
        <f>IF(A13&lt;&gt;"","^FO20,55^A0N,30,30^CI13^FD"&amp;Data!$BF$5&amp;"^FS","")</f>
        <v/>
      </c>
      <c r="F13" t="str">
        <f>IF(A13&lt;&gt;"","^FO20,95^A0N,30,30^CI13^FD"&amp;Data!AX$5&amp;"^FS","")</f>
        <v/>
      </c>
      <c r="G13" t="str">
        <f>IF(A13&lt;&gt;"","^FO20,135^A0N,30,30^CI13^FD"&amp;Data!BE13&amp;"^FS","")</f>
        <v/>
      </c>
      <c r="H13" t="str">
        <f>IF(A13&lt;&gt;"","^FO20,175^A0N,30,30^CI13^FD"&amp;Data!AY13&amp;"^FS","")</f>
        <v/>
      </c>
      <c r="I13" t="str">
        <f>IF(A13&lt;&gt;"","^FO300,175^A0N,30,30^CI13^FD"&amp;"W:"&amp;Data!BA13&amp;" H:"&amp;Data!BB13,"")</f>
        <v/>
      </c>
      <c r="J13" t="str">
        <f>IF(A13&lt;&gt;"","^PQ"&amp;Data!$F$19&amp;",0,"&amp;Data!$F$19&amp;",Y","")</f>
        <v/>
      </c>
      <c r="K13" t="str">
        <f t="shared" si="0"/>
        <v/>
      </c>
    </row>
    <row r="14" spans="1:11" ht="13.2" customHeight="1">
      <c r="A14" t="str">
        <f>IF(OR(Data!$AV14="",Data!$AW14&gt;999),"","^XA^LH0,0^PRB,D^MD20^JMA^FS")</f>
        <v/>
      </c>
      <c r="B14" t="str">
        <f t="array" ref="B14">IF(A14&lt;&gt;"","^BY2,2.7,13^FO506,20^B2N,132,Y,N,N^SN"&amp;BarcodeValue(Data!BC$5,Data!BD$5,Data!AW14,0)&amp;",N,Y^FS","")</f>
        <v/>
      </c>
      <c r="C14" t="str">
        <f>IF(A14&lt;&gt;"","^FO20,20^A0N,28,37^CI13^FD"&amp;TEXT(Data!AY$5,"d/m/yyyy")&amp;"^FS","")</f>
        <v/>
      </c>
      <c r="D14" t="str">
        <f>IF(A14&lt;&gt;"","^FO220,20^A0N,41,48^CI13^FD"&amp;Data!$BC$5&amp;Data!$BD$5&amp;"/"&amp;RIGHT("000"&amp;Data!AW14,3)&amp;"^FS","")</f>
        <v/>
      </c>
      <c r="E14" t="str">
        <f>IF(A14&lt;&gt;"","^FO20,55^A0N,30,30^CI13^FD"&amp;Data!$BF$5&amp;"^FS","")</f>
        <v/>
      </c>
      <c r="F14" t="str">
        <f>IF(A14&lt;&gt;"","^FO20,95^A0N,30,30^CI13^FD"&amp;Data!AX$5&amp;"^FS","")</f>
        <v/>
      </c>
      <c r="G14" t="str">
        <f>IF(A14&lt;&gt;"","^FO20,135^A0N,30,30^CI13^FD"&amp;Data!BE14&amp;"^FS","")</f>
        <v/>
      </c>
      <c r="H14" t="str">
        <f>IF(A14&lt;&gt;"","^FO20,175^A0N,30,30^CI13^FD"&amp;Data!AY14&amp;"^FS","")</f>
        <v/>
      </c>
      <c r="I14" t="str">
        <f>IF(A14&lt;&gt;"","^FO300,175^A0N,30,30^CI13^FD"&amp;"W:"&amp;Data!BA14&amp;" H:"&amp;Data!BB14,"")</f>
        <v/>
      </c>
      <c r="J14" t="str">
        <f>IF(A14&lt;&gt;"","^PQ"&amp;Data!$F$19&amp;",0,"&amp;Data!$F$19&amp;",Y","")</f>
        <v/>
      </c>
      <c r="K14" t="str">
        <f t="shared" si="0"/>
        <v/>
      </c>
    </row>
    <row r="15" spans="1:11" ht="13.2" customHeight="1">
      <c r="A15" t="str">
        <f>IF(OR(Data!$AV15="",Data!$AW15&gt;999),"","^XA^LH0,0^PRB,D^MD20^JMA^FS")</f>
        <v/>
      </c>
      <c r="B15" t="str">
        <f t="array" ref="B15">IF(A15&lt;&gt;"","^BY2,2.7,13^FO506,20^B2N,132,Y,N,N^SN"&amp;BarcodeValue(Data!BC$5,Data!BD$5,Data!AW15,0)&amp;",N,Y^FS","")</f>
        <v/>
      </c>
      <c r="C15" t="str">
        <f>IF(A15&lt;&gt;"","^FO20,20^A0N,28,37^CI13^FD"&amp;TEXT(Data!AY$5,"d/m/yyyy")&amp;"^FS","")</f>
        <v/>
      </c>
      <c r="D15" t="str">
        <f>IF(A15&lt;&gt;"","^FO220,20^A0N,41,48^CI13^FD"&amp;Data!$BC$5&amp;Data!$BD$5&amp;"/"&amp;RIGHT("000"&amp;Data!AW15,3)&amp;"^FS","")</f>
        <v/>
      </c>
      <c r="E15" t="str">
        <f>IF(A15&lt;&gt;"","^FO20,55^A0N,30,30^CI13^FD"&amp;Data!$BF$5&amp;"^FS","")</f>
        <v/>
      </c>
      <c r="F15" t="str">
        <f>IF(A15&lt;&gt;"","^FO20,95^A0N,30,30^CI13^FD"&amp;Data!AX$5&amp;"^FS","")</f>
        <v/>
      </c>
      <c r="G15" t="str">
        <f>IF(A15&lt;&gt;"","^FO20,135^A0N,30,30^CI13^FD"&amp;Data!BE15&amp;"^FS","")</f>
        <v/>
      </c>
      <c r="H15" t="str">
        <f>IF(A15&lt;&gt;"","^FO20,175^A0N,30,30^CI13^FD"&amp;Data!AY15&amp;"^FS","")</f>
        <v/>
      </c>
      <c r="I15" t="str">
        <f>IF(A15&lt;&gt;"","^FO300,175^A0N,30,30^CI13^FD"&amp;"W:"&amp;Data!BA15&amp;" H:"&amp;Data!BB15,"")</f>
        <v/>
      </c>
      <c r="J15" t="str">
        <f>IF(A15&lt;&gt;"","^PQ"&amp;Data!$F$19&amp;",0,"&amp;Data!$F$19&amp;",Y","")</f>
        <v/>
      </c>
      <c r="K15" t="str">
        <f t="shared" si="0"/>
        <v/>
      </c>
    </row>
    <row r="16" spans="1:11" ht="13.2" customHeight="1">
      <c r="A16" t="str">
        <f>IF(OR(Data!$AV16="",Data!$AW16&gt;999),"","^XA^LH0,0^PRB,D^MD20^JMA^FS")</f>
        <v/>
      </c>
      <c r="B16" t="str">
        <f t="array" ref="B16">IF(A16&lt;&gt;"","^BY2,2.7,13^FO506,20^B2N,132,Y,N,N^SN"&amp;BarcodeValue(Data!BC$5,Data!BD$5,Data!AW16,0)&amp;",N,Y^FS","")</f>
        <v/>
      </c>
      <c r="C16" t="str">
        <f>IF(A16&lt;&gt;"","^FO20,20^A0N,28,37^CI13^FD"&amp;TEXT(Data!AY$5,"d/m/yyyy")&amp;"^FS","")</f>
        <v/>
      </c>
      <c r="D16" t="str">
        <f>IF(A16&lt;&gt;"","^FO220,20^A0N,41,48^CI13^FD"&amp;Data!$BC$5&amp;Data!$BD$5&amp;"/"&amp;RIGHT("000"&amp;Data!AW16,3)&amp;"^FS","")</f>
        <v/>
      </c>
      <c r="E16" t="str">
        <f>IF(A16&lt;&gt;"","^FO20,55^A0N,30,30^CI13^FD"&amp;Data!$BF$5&amp;"^FS","")</f>
        <v/>
      </c>
      <c r="F16" t="str">
        <f>IF(A16&lt;&gt;"","^FO20,95^A0N,30,30^CI13^FD"&amp;Data!AX$5&amp;"^FS","")</f>
        <v/>
      </c>
      <c r="G16" t="str">
        <f>IF(A16&lt;&gt;"","^FO20,135^A0N,30,30^CI13^FD"&amp;Data!BE16&amp;"^FS","")</f>
        <v/>
      </c>
      <c r="H16" t="str">
        <f>IF(A16&lt;&gt;"","^FO20,175^A0N,30,30^CI13^FD"&amp;Data!AY16&amp;"^FS","")</f>
        <v/>
      </c>
      <c r="I16" t="str">
        <f>IF(A16&lt;&gt;"","^FO300,175^A0N,30,30^CI13^FD"&amp;"W:"&amp;Data!BA16&amp;" H:"&amp;Data!BB16,"")</f>
        <v/>
      </c>
      <c r="J16" t="str">
        <f>IF(A16&lt;&gt;"","^PQ"&amp;Data!$F$19&amp;",0,"&amp;Data!$F$19&amp;",Y","")</f>
        <v/>
      </c>
      <c r="K16" t="str">
        <f t="shared" si="0"/>
        <v/>
      </c>
    </row>
    <row r="17" spans="1:11" ht="13.2" customHeight="1">
      <c r="A17" t="str">
        <f>IF(OR(Data!$AV17="",Data!$AW17&gt;999),"","^XA^LH0,0^PRB,D^MD20^JMA^FS")</f>
        <v/>
      </c>
      <c r="B17" t="str">
        <f t="array" ref="B17">IF(A17&lt;&gt;"","^BY2,2.7,13^FO506,20^B2N,132,Y,N,N^SN"&amp;BarcodeValue(Data!BC$5,Data!BD$5,Data!AW17,0)&amp;",N,Y^FS","")</f>
        <v/>
      </c>
      <c r="C17" t="str">
        <f>IF(A17&lt;&gt;"","^FO20,20^A0N,28,37^CI13^FD"&amp;TEXT(Data!AY$5,"d/m/yyyy")&amp;"^FS","")</f>
        <v/>
      </c>
      <c r="D17" t="str">
        <f>IF(A17&lt;&gt;"","^FO220,20^A0N,41,48^CI13^FD"&amp;Data!$BC$5&amp;Data!$BD$5&amp;"/"&amp;RIGHT("000"&amp;Data!AW17,3)&amp;"^FS","")</f>
        <v/>
      </c>
      <c r="E17" t="str">
        <f>IF(A17&lt;&gt;"","^FO20,55^A0N,30,30^CI13^FD"&amp;Data!$BF$5&amp;"^FS","")</f>
        <v/>
      </c>
      <c r="F17" t="str">
        <f>IF(A17&lt;&gt;"","^FO20,95^A0N,30,30^CI13^FD"&amp;Data!AX$5&amp;"^FS","")</f>
        <v/>
      </c>
      <c r="G17" t="str">
        <f>IF(A17&lt;&gt;"","^FO20,135^A0N,30,30^CI13^FD"&amp;Data!BE17&amp;"^FS","")</f>
        <v/>
      </c>
      <c r="H17" t="str">
        <f>IF(A17&lt;&gt;"","^FO20,175^A0N,30,30^CI13^FD"&amp;Data!AY17&amp;"^FS","")</f>
        <v/>
      </c>
      <c r="I17" t="str">
        <f>IF(A17&lt;&gt;"","^FO300,175^A0N,30,30^CI13^FD"&amp;"W:"&amp;Data!BA17&amp;" H:"&amp;Data!BB17,"")</f>
        <v/>
      </c>
      <c r="J17" t="str">
        <f>IF(A17&lt;&gt;"","^PQ"&amp;Data!$F$19&amp;",0,"&amp;Data!$F$19&amp;",Y","")</f>
        <v/>
      </c>
      <c r="K17" t="str">
        <f t="shared" si="0"/>
        <v/>
      </c>
    </row>
    <row r="18" spans="1:11" ht="13.2" customHeight="1">
      <c r="A18" t="str">
        <f>IF(OR(Data!$AV18="",Data!$AW18&gt;999),"","^XA^LH0,0^PRB,D^MD20^JMA^FS")</f>
        <v/>
      </c>
      <c r="B18" t="str">
        <f t="array" ref="B18">IF(A18&lt;&gt;"","^BY2,2.7,13^FO506,20^B2N,132,Y,N,N^SN"&amp;BarcodeValue(Data!BC$5,Data!BD$5,Data!AW18,0)&amp;",N,Y^FS","")</f>
        <v/>
      </c>
      <c r="C18" t="str">
        <f>IF(A18&lt;&gt;"","^FO20,20^A0N,28,37^CI13^FD"&amp;TEXT(Data!AY$5,"d/m/yyyy")&amp;"^FS","")</f>
        <v/>
      </c>
      <c r="D18" t="str">
        <f>IF(A18&lt;&gt;"","^FO220,20^A0N,41,48^CI13^FD"&amp;Data!$BC$5&amp;Data!$BD$5&amp;"/"&amp;RIGHT("000"&amp;Data!AW18,3)&amp;"^FS","")</f>
        <v/>
      </c>
      <c r="E18" t="str">
        <f>IF(A18&lt;&gt;"","^FO20,55^A0N,30,30^CI13^FD"&amp;Data!$BF$5&amp;"^FS","")</f>
        <v/>
      </c>
      <c r="F18" t="str">
        <f>IF(A18&lt;&gt;"","^FO20,95^A0N,30,30^CI13^FD"&amp;Data!AX$5&amp;"^FS","")</f>
        <v/>
      </c>
      <c r="G18" t="str">
        <f>IF(A18&lt;&gt;"","^FO20,135^A0N,30,30^CI13^FD"&amp;Data!BE18&amp;"^FS","")</f>
        <v/>
      </c>
      <c r="H18" t="str">
        <f>IF(A18&lt;&gt;"","^FO20,175^A0N,30,30^CI13^FD"&amp;Data!AY18&amp;"^FS","")</f>
        <v/>
      </c>
      <c r="I18" t="str">
        <f>IF(A18&lt;&gt;"","^FO300,175^A0N,30,30^CI13^FD"&amp;"W:"&amp;Data!BA18&amp;" H:"&amp;Data!BB18,"")</f>
        <v/>
      </c>
      <c r="J18" t="str">
        <f>IF(A18&lt;&gt;"","^PQ"&amp;Data!$F$19&amp;",0,"&amp;Data!$F$19&amp;",Y","")</f>
        <v/>
      </c>
      <c r="K18" t="str">
        <f t="shared" si="0"/>
        <v/>
      </c>
    </row>
    <row r="19" spans="1:11" ht="13.2" customHeight="1">
      <c r="A19" t="str">
        <f>IF(OR(Data!$AV19="",Data!$AW19&gt;999),"","^XA^LH0,0^PRB,D^MD20^JMA^FS")</f>
        <v/>
      </c>
      <c r="B19" t="str">
        <f t="array" ref="B19">IF(A19&lt;&gt;"","^BY2,2.7,13^FO506,20^B2N,132,Y,N,N^SN"&amp;BarcodeValue(Data!BC$5,Data!BD$5,Data!AW19,0)&amp;",N,Y^FS","")</f>
        <v/>
      </c>
      <c r="C19" t="str">
        <f>IF(A19&lt;&gt;"","^FO20,20^A0N,28,37^CI13^FD"&amp;TEXT(Data!AY$5,"d/m/yyyy")&amp;"^FS","")</f>
        <v/>
      </c>
      <c r="D19" t="str">
        <f>IF(A19&lt;&gt;"","^FO220,20^A0N,41,48^CI13^FD"&amp;Data!$BC$5&amp;Data!$BD$5&amp;"/"&amp;RIGHT("000"&amp;Data!AW19,3)&amp;"^FS","")</f>
        <v/>
      </c>
      <c r="E19" t="str">
        <f>IF(A19&lt;&gt;"","^FO20,55^A0N,30,30^CI13^FD"&amp;Data!$BF$5&amp;"^FS","")</f>
        <v/>
      </c>
      <c r="F19" t="str">
        <f>IF(A19&lt;&gt;"","^FO20,95^A0N,30,30^CI13^FD"&amp;Data!AX$5&amp;"^FS","")</f>
        <v/>
      </c>
      <c r="G19" t="str">
        <f>IF(A19&lt;&gt;"","^FO20,135^A0N,30,30^CI13^FD"&amp;Data!BE19&amp;"^FS","")</f>
        <v/>
      </c>
      <c r="H19" t="str">
        <f>IF(A19&lt;&gt;"","^FO20,175^A0N,30,30^CI13^FD"&amp;Data!AY19&amp;"^FS","")</f>
        <v/>
      </c>
      <c r="I19" t="str">
        <f>IF(A19&lt;&gt;"","^FO300,175^A0N,30,30^CI13^FD"&amp;"W:"&amp;Data!BA19&amp;" H:"&amp;Data!BB19,"")</f>
        <v/>
      </c>
      <c r="J19" t="str">
        <f>IF(A19&lt;&gt;"","^PQ"&amp;Data!$F$19&amp;",0,"&amp;Data!$F$19&amp;",Y","")</f>
        <v/>
      </c>
      <c r="K19" t="str">
        <f t="shared" si="0"/>
        <v/>
      </c>
    </row>
    <row r="20" spans="1:11" ht="13.2" customHeight="1">
      <c r="A20" t="str">
        <f>IF(OR(Data!$AV20="",Data!$AW20&gt;999),"","^XA^LH0,0^PRB,D^MD20^JMA^FS")</f>
        <v/>
      </c>
      <c r="B20" t="str">
        <f t="array" ref="B20">IF(A20&lt;&gt;"","^BY2,2.7,13^FO506,20^B2N,132,Y,N,N^SN"&amp;BarcodeValue(Data!BC$5,Data!BD$5,Data!AW20,0)&amp;",N,Y^FS","")</f>
        <v/>
      </c>
      <c r="C20" t="str">
        <f>IF(A20&lt;&gt;"","^FO20,20^A0N,28,37^CI13^FD"&amp;TEXT(Data!AY$5,"d/m/yyyy")&amp;"^FS","")</f>
        <v/>
      </c>
      <c r="D20" t="str">
        <f>IF(A20&lt;&gt;"","^FO220,20^A0N,41,48^CI13^FD"&amp;Data!$BC$5&amp;Data!$BD$5&amp;"/"&amp;RIGHT("000"&amp;Data!AW20,3)&amp;"^FS","")</f>
        <v/>
      </c>
      <c r="E20" t="str">
        <f>IF(A20&lt;&gt;"","^FO20,55^A0N,30,30^CI13^FD"&amp;Data!$BF$5&amp;"^FS","")</f>
        <v/>
      </c>
      <c r="F20" t="str">
        <f>IF(A20&lt;&gt;"","^FO20,95^A0N,30,30^CI13^FD"&amp;Data!AX$5&amp;"^FS","")</f>
        <v/>
      </c>
      <c r="G20" t="str">
        <f>IF(A20&lt;&gt;"","^FO20,135^A0N,30,30^CI13^FD"&amp;Data!BE20&amp;"^FS","")</f>
        <v/>
      </c>
      <c r="H20" t="str">
        <f>IF(A20&lt;&gt;"","^FO20,175^A0N,30,30^CI13^FD"&amp;Data!AY20&amp;"^FS","")</f>
        <v/>
      </c>
      <c r="I20" t="str">
        <f>IF(A20&lt;&gt;"","^FO300,175^A0N,30,30^CI13^FD"&amp;"W:"&amp;Data!BA20&amp;" H:"&amp;Data!BB20,"")</f>
        <v/>
      </c>
      <c r="J20" t="str">
        <f>IF(A20&lt;&gt;"","^PQ"&amp;Data!$F$19&amp;",0,"&amp;Data!$F$19&amp;",Y","")</f>
        <v/>
      </c>
      <c r="K20" t="str">
        <f t="shared" si="0"/>
        <v/>
      </c>
    </row>
    <row r="21" spans="1:11" ht="13.2" customHeight="1">
      <c r="A21" t="str">
        <f>IF(OR(Data!$AV21="",Data!$AW21&gt;999),"","^XA^LH0,0^PRB,D^MD20^JMA^FS")</f>
        <v/>
      </c>
      <c r="B21" t="str">
        <f t="array" ref="B21">IF(A21&lt;&gt;"","^BY2,2.7,13^FO506,20^B2N,132,Y,N,N^SN"&amp;BarcodeValue(Data!BC$5,Data!BD$5,Data!AW21,0)&amp;",N,Y^FS","")</f>
        <v/>
      </c>
      <c r="C21" t="str">
        <f>IF(A21&lt;&gt;"","^FO20,20^A0N,28,37^CI13^FD"&amp;TEXT(Data!AY$5,"d/m/yyyy")&amp;"^FS","")</f>
        <v/>
      </c>
      <c r="D21" t="str">
        <f>IF(A21&lt;&gt;"","^FO220,20^A0N,41,48^CI13^FD"&amp;Data!$BC$5&amp;Data!$BD$5&amp;"/"&amp;RIGHT("000"&amp;Data!AW21,3)&amp;"^FS","")</f>
        <v/>
      </c>
      <c r="E21" t="str">
        <f>IF(A21&lt;&gt;"","^FO20,55^A0N,30,30^CI13^FD"&amp;Data!$BF$5&amp;"^FS","")</f>
        <v/>
      </c>
      <c r="F21" t="str">
        <f>IF(A21&lt;&gt;"","^FO20,95^A0N,30,30^CI13^FD"&amp;Data!AX$5&amp;"^FS","")</f>
        <v/>
      </c>
      <c r="G21" t="str">
        <f>IF(A21&lt;&gt;"","^FO20,135^A0N,30,30^CI13^FD"&amp;Data!BE21&amp;"^FS","")</f>
        <v/>
      </c>
      <c r="H21" t="str">
        <f>IF(A21&lt;&gt;"","^FO20,175^A0N,30,30^CI13^FD"&amp;Data!AY21&amp;"^FS","")</f>
        <v/>
      </c>
      <c r="I21" t="str">
        <f>IF(A21&lt;&gt;"","^FO300,175^A0N,30,30^CI13^FD"&amp;"W:"&amp;Data!BA21&amp;" H:"&amp;Data!BB21,"")</f>
        <v/>
      </c>
      <c r="J21" t="str">
        <f>IF(A21&lt;&gt;"","^PQ"&amp;Data!$F$19&amp;",0,"&amp;Data!$F$19&amp;",Y","")</f>
        <v/>
      </c>
      <c r="K21" t="str">
        <f t="shared" si="0"/>
        <v/>
      </c>
    </row>
    <row r="22" spans="1:11" ht="13.2" customHeight="1">
      <c r="A22" t="str">
        <f>IF(OR(Data!$AV22="",Data!$AW22&gt;999),"","^XA^LH0,0^PRB,D^MD20^JMA^FS")</f>
        <v/>
      </c>
      <c r="B22" t="str">
        <f t="array" ref="B22">IF(A22&lt;&gt;"","^BY2,2.7,13^FO506,20^B2N,132,Y,N,N^SN"&amp;BarcodeValue(Data!BC$5,Data!BD$5,Data!AW22,0)&amp;",N,Y^FS","")</f>
        <v/>
      </c>
      <c r="C22" t="str">
        <f>IF(A22&lt;&gt;"","^FO20,20^A0N,28,37^CI13^FD"&amp;TEXT(Data!AY$5,"d/m/yyyy")&amp;"^FS","")</f>
        <v/>
      </c>
      <c r="D22" t="str">
        <f>IF(A22&lt;&gt;"","^FO220,20^A0N,41,48^CI13^FD"&amp;Data!$BC$5&amp;Data!$BD$5&amp;"/"&amp;RIGHT("000"&amp;Data!AW22,3)&amp;"^FS","")</f>
        <v/>
      </c>
      <c r="E22" t="str">
        <f>IF(A22&lt;&gt;"","^FO20,55^A0N,30,30^CI13^FD"&amp;Data!$BF$5&amp;"^FS","")</f>
        <v/>
      </c>
      <c r="F22" t="str">
        <f>IF(A22&lt;&gt;"","^FO20,95^A0N,30,30^CI13^FD"&amp;Data!AX$5&amp;"^FS","")</f>
        <v/>
      </c>
      <c r="G22" t="str">
        <f>IF(A22&lt;&gt;"","^FO20,135^A0N,30,30^CI13^FD"&amp;Data!BE22&amp;"^FS","")</f>
        <v/>
      </c>
      <c r="H22" t="str">
        <f>IF(A22&lt;&gt;"","^FO20,175^A0N,30,30^CI13^FD"&amp;Data!AY22&amp;"^FS","")</f>
        <v/>
      </c>
      <c r="I22" t="str">
        <f>IF(A22&lt;&gt;"","^FO300,175^A0N,30,30^CI13^FD"&amp;"W:"&amp;Data!BA22&amp;" H:"&amp;Data!BB22,"")</f>
        <v/>
      </c>
      <c r="J22" t="str">
        <f>IF(A22&lt;&gt;"","^PQ"&amp;Data!$F$19&amp;",0,"&amp;Data!$F$19&amp;",Y","")</f>
        <v/>
      </c>
      <c r="K22" t="str">
        <f t="shared" si="0"/>
        <v/>
      </c>
    </row>
    <row r="23" spans="1:11" ht="13.2" customHeight="1">
      <c r="A23" t="str">
        <f>IF(OR(Data!$AV23="",Data!$AW23&gt;999),"","^XA^LH0,0^PRB,D^MD20^JMA^FS")</f>
        <v/>
      </c>
      <c r="B23" t="str">
        <f t="array" ref="B23">IF(A23&lt;&gt;"","^BY2,2.7,13^FO506,20^B2N,132,Y,N,N^SN"&amp;BarcodeValue(Data!BC$5,Data!BD$5,Data!AW23,0)&amp;",N,Y^FS","")</f>
        <v/>
      </c>
      <c r="C23" t="str">
        <f>IF(A23&lt;&gt;"","^FO20,20^A0N,28,37^CI13^FD"&amp;TEXT(Data!AY$5,"d/m/yyyy")&amp;"^FS","")</f>
        <v/>
      </c>
      <c r="D23" t="str">
        <f>IF(A23&lt;&gt;"","^FO220,20^A0N,41,48^CI13^FD"&amp;Data!$BC$5&amp;Data!$BD$5&amp;"/"&amp;RIGHT("000"&amp;Data!AW23,3)&amp;"^FS","")</f>
        <v/>
      </c>
      <c r="E23" t="str">
        <f>IF(A23&lt;&gt;"","^FO20,55^A0N,30,30^CI13^FD"&amp;Data!$BF$5&amp;"^FS","")</f>
        <v/>
      </c>
      <c r="F23" t="str">
        <f>IF(A23&lt;&gt;"","^FO20,95^A0N,30,30^CI13^FD"&amp;Data!AX$5&amp;"^FS","")</f>
        <v/>
      </c>
      <c r="G23" t="str">
        <f>IF(A23&lt;&gt;"","^FO20,135^A0N,30,30^CI13^FD"&amp;Data!BE23&amp;"^FS","")</f>
        <v/>
      </c>
      <c r="H23" t="str">
        <f>IF(A23&lt;&gt;"","^FO20,175^A0N,30,30^CI13^FD"&amp;Data!AY23&amp;"^FS","")</f>
        <v/>
      </c>
      <c r="I23" t="str">
        <f>IF(A23&lt;&gt;"","^FO300,175^A0N,30,30^CI13^FD"&amp;"W:"&amp;Data!BA23&amp;" H:"&amp;Data!BB23,"")</f>
        <v/>
      </c>
      <c r="J23" t="str">
        <f>IF(A23&lt;&gt;"","^PQ"&amp;Data!$F$19&amp;",0,"&amp;Data!$F$19&amp;",Y","")</f>
        <v/>
      </c>
      <c r="K23" t="str">
        <f t="shared" si="0"/>
        <v/>
      </c>
    </row>
    <row r="24" spans="1:11" ht="13.2" customHeight="1">
      <c r="A24" t="str">
        <f>IF(OR(Data!$AV24="",Data!$AW24&gt;999),"","^XA^LH0,0^PRB,D^MD20^JMA^FS")</f>
        <v/>
      </c>
      <c r="B24" t="str">
        <f t="array" ref="B24">IF(A24&lt;&gt;"","^BY2,2.7,13^FO506,20^B2N,132,Y,N,N^SN"&amp;BarcodeValue(Data!BC$5,Data!BD$5,Data!AW24,0)&amp;",N,Y^FS","")</f>
        <v/>
      </c>
      <c r="C24" t="str">
        <f>IF(A24&lt;&gt;"","^FO20,20^A0N,28,37^CI13^FD"&amp;TEXT(Data!AY$5,"d/m/yyyy")&amp;"^FS","")</f>
        <v/>
      </c>
      <c r="D24" t="str">
        <f>IF(A24&lt;&gt;"","^FO220,20^A0N,41,48^CI13^FD"&amp;Data!$BC$5&amp;Data!$BD$5&amp;"/"&amp;RIGHT("000"&amp;Data!AW24,3)&amp;"^FS","")</f>
        <v/>
      </c>
      <c r="E24" t="str">
        <f>IF(A24&lt;&gt;"","^FO20,55^A0N,30,30^CI13^FD"&amp;Data!$BF$5&amp;"^FS","")</f>
        <v/>
      </c>
      <c r="F24" t="str">
        <f>IF(A24&lt;&gt;"","^FO20,95^A0N,30,30^CI13^FD"&amp;Data!AX$5&amp;"^FS","")</f>
        <v/>
      </c>
      <c r="G24" t="str">
        <f>IF(A24&lt;&gt;"","^FO20,135^A0N,30,30^CI13^FD"&amp;Data!BE24&amp;"^FS","")</f>
        <v/>
      </c>
      <c r="H24" t="str">
        <f>IF(A24&lt;&gt;"","^FO20,175^A0N,30,30^CI13^FD"&amp;Data!AY24&amp;"^FS","")</f>
        <v/>
      </c>
      <c r="I24" t="str">
        <f>IF(A24&lt;&gt;"","^FO300,175^A0N,30,30^CI13^FD"&amp;"W:"&amp;Data!BA24&amp;" H:"&amp;Data!BB24,"")</f>
        <v/>
      </c>
      <c r="J24" t="str">
        <f>IF(A24&lt;&gt;"","^PQ"&amp;Data!$F$19&amp;",0,"&amp;Data!$F$19&amp;",Y","")</f>
        <v/>
      </c>
      <c r="K24" t="str">
        <f t="shared" si="0"/>
        <v/>
      </c>
    </row>
    <row r="25" spans="1:11" ht="13.2" customHeight="1">
      <c r="A25" t="str">
        <f>IF(OR(Data!$AV25="",Data!$AW25&gt;999),"","^XA^LH0,0^PRB,D^MD20^JMA^FS")</f>
        <v/>
      </c>
      <c r="B25" t="str">
        <f t="array" ref="B25">IF(A25&lt;&gt;"","^BY2,2.7,13^FO506,20^B2N,132,Y,N,N^SN"&amp;BarcodeValue(Data!BC$5,Data!BD$5,Data!AW25,0)&amp;",N,Y^FS","")</f>
        <v/>
      </c>
      <c r="C25" t="str">
        <f>IF(A25&lt;&gt;"","^FO20,20^A0N,28,37^CI13^FD"&amp;TEXT(Data!AY$5,"d/m/yyyy")&amp;"^FS","")</f>
        <v/>
      </c>
      <c r="D25" t="str">
        <f>IF(A25&lt;&gt;"","^FO220,20^A0N,41,48^CI13^FD"&amp;Data!$BC$5&amp;Data!$BD$5&amp;"/"&amp;RIGHT("000"&amp;Data!AW25,3)&amp;"^FS","")</f>
        <v/>
      </c>
      <c r="E25" t="str">
        <f>IF(A25&lt;&gt;"","^FO20,55^A0N,30,30^CI13^FD"&amp;Data!$BF$5&amp;"^FS","")</f>
        <v/>
      </c>
      <c r="F25" t="str">
        <f>IF(A25&lt;&gt;"","^FO20,95^A0N,30,30^CI13^FD"&amp;Data!AX$5&amp;"^FS","")</f>
        <v/>
      </c>
      <c r="G25" t="str">
        <f>IF(A25&lt;&gt;"","^FO20,135^A0N,30,30^CI13^FD"&amp;Data!BE25&amp;"^FS","")</f>
        <v/>
      </c>
      <c r="H25" t="str">
        <f>IF(A25&lt;&gt;"","^FO20,175^A0N,30,30^CI13^FD"&amp;Data!AY25&amp;"^FS","")</f>
        <v/>
      </c>
      <c r="I25" t="str">
        <f>IF(A25&lt;&gt;"","^FO300,175^A0N,30,30^CI13^FD"&amp;"W:"&amp;Data!BA25&amp;" H:"&amp;Data!BB25,"")</f>
        <v/>
      </c>
      <c r="J25" t="str">
        <f>IF(A25&lt;&gt;"","^PQ"&amp;Data!$F$19&amp;",0,"&amp;Data!$F$19&amp;",Y","")</f>
        <v/>
      </c>
      <c r="K25" t="str">
        <f t="shared" si="0"/>
        <v/>
      </c>
    </row>
    <row r="26" spans="1:11" ht="13.2" customHeight="1">
      <c r="A26" t="str">
        <f>IF(OR(Data!$AV26="",Data!$AW26&gt;999),"","^XA^LH0,0^PRB,D^MD20^JMA^FS")</f>
        <v/>
      </c>
      <c r="B26" t="str">
        <f t="array" ref="B26">IF(A26&lt;&gt;"","^BY2,2.7,13^FO506,20^B2N,132,Y,N,N^SN"&amp;BarcodeValue(Data!BC$5,Data!BD$5,Data!AW26,0)&amp;",N,Y^FS","")</f>
        <v/>
      </c>
      <c r="C26" t="str">
        <f>IF(A26&lt;&gt;"","^FO20,20^A0N,28,37^CI13^FD"&amp;TEXT(Data!AY$5,"d/m/yyyy")&amp;"^FS","")</f>
        <v/>
      </c>
      <c r="D26" t="str">
        <f>IF(A26&lt;&gt;"","^FO220,20^A0N,41,48^CI13^FD"&amp;Data!$BC$5&amp;Data!$BD$5&amp;"/"&amp;RIGHT("000"&amp;Data!AW26,3)&amp;"^FS","")</f>
        <v/>
      </c>
      <c r="E26" t="str">
        <f>IF(A26&lt;&gt;"","^FO20,55^A0N,30,30^CI13^FD"&amp;Data!$BF$5&amp;"^FS","")</f>
        <v/>
      </c>
      <c r="F26" t="str">
        <f>IF(A26&lt;&gt;"","^FO20,95^A0N,30,30^CI13^FD"&amp;Data!AX$5&amp;"^FS","")</f>
        <v/>
      </c>
      <c r="G26" t="str">
        <f>IF(A26&lt;&gt;"","^FO20,135^A0N,30,30^CI13^FD"&amp;Data!BE26&amp;"^FS","")</f>
        <v/>
      </c>
      <c r="H26" t="str">
        <f>IF(A26&lt;&gt;"","^FO20,175^A0N,30,30^CI13^FD"&amp;Data!AY26&amp;"^FS","")</f>
        <v/>
      </c>
      <c r="I26" t="str">
        <f>IF(A26&lt;&gt;"","^FO300,175^A0N,30,30^CI13^FD"&amp;"W:"&amp;Data!BA26&amp;" H:"&amp;Data!BB26,"")</f>
        <v/>
      </c>
      <c r="J26" t="str">
        <f>IF(A26&lt;&gt;"","^PQ"&amp;Data!$F$19&amp;",0,"&amp;Data!$F$19&amp;",Y","")</f>
        <v/>
      </c>
      <c r="K26" t="str">
        <f t="shared" si="0"/>
        <v/>
      </c>
    </row>
    <row r="27" spans="1:11" ht="13.2" customHeight="1">
      <c r="A27" t="str">
        <f>IF(OR(Data!$AV27="",Data!$AW27&gt;999),"","^XA^LH0,0^PRB,D^MD20^JMA^FS")</f>
        <v/>
      </c>
      <c r="B27" t="str">
        <f t="array" ref="B27">IF(A27&lt;&gt;"","^BY2,2.7,13^FO506,20^B2N,132,Y,N,N^SN"&amp;BarcodeValue(Data!BC$5,Data!BD$5,Data!AW27,0)&amp;",N,Y^FS","")</f>
        <v/>
      </c>
      <c r="C27" t="str">
        <f>IF(A27&lt;&gt;"","^FO20,20^A0N,28,37^CI13^FD"&amp;TEXT(Data!AY$5,"d/m/yyyy")&amp;"^FS","")</f>
        <v/>
      </c>
      <c r="D27" t="str">
        <f>IF(A27&lt;&gt;"","^FO220,20^A0N,41,48^CI13^FD"&amp;Data!$BC$5&amp;Data!$BD$5&amp;"/"&amp;RIGHT("000"&amp;Data!AW27,3)&amp;"^FS","")</f>
        <v/>
      </c>
      <c r="E27" t="str">
        <f>IF(A27&lt;&gt;"","^FO20,55^A0N,30,30^CI13^FD"&amp;Data!$BF$5&amp;"^FS","")</f>
        <v/>
      </c>
      <c r="F27" t="str">
        <f>IF(A27&lt;&gt;"","^FO20,95^A0N,30,30^CI13^FD"&amp;Data!AX$5&amp;"^FS","")</f>
        <v/>
      </c>
      <c r="G27" t="str">
        <f>IF(A27&lt;&gt;"","^FO20,135^A0N,30,30^CI13^FD"&amp;Data!BE27&amp;"^FS","")</f>
        <v/>
      </c>
      <c r="H27" t="str">
        <f>IF(A27&lt;&gt;"","^FO20,175^A0N,30,30^CI13^FD"&amp;Data!AY27&amp;"^FS","")</f>
        <v/>
      </c>
      <c r="I27" t="str">
        <f>IF(A27&lt;&gt;"","^FO300,175^A0N,30,30^CI13^FD"&amp;"W:"&amp;Data!BA27&amp;" H:"&amp;Data!BB27,"")</f>
        <v/>
      </c>
      <c r="J27" t="str">
        <f>IF(A27&lt;&gt;"","^PQ"&amp;Data!$F$19&amp;",0,"&amp;Data!$F$19&amp;",Y","")</f>
        <v/>
      </c>
      <c r="K27" t="str">
        <f t="shared" si="0"/>
        <v/>
      </c>
    </row>
    <row r="28" spans="1:11" ht="13.2" customHeight="1">
      <c r="A28" t="str">
        <f>IF(OR(Data!$AV28="",Data!$AW28&gt;999),"","^XA^LH0,0^PRB,D^MD20^JMA^FS")</f>
        <v/>
      </c>
      <c r="B28" t="str">
        <f t="array" ref="B28">IF(A28&lt;&gt;"","^BY2,2.7,13^FO506,20^B2N,132,Y,N,N^SN"&amp;BarcodeValue(Data!BC$5,Data!BD$5,Data!AW28,0)&amp;",N,Y^FS","")</f>
        <v/>
      </c>
      <c r="C28" t="str">
        <f>IF(A28&lt;&gt;"","^FO20,20^A0N,28,37^CI13^FD"&amp;TEXT(Data!AY$5,"d/m/yyyy")&amp;"^FS","")</f>
        <v/>
      </c>
      <c r="D28" t="str">
        <f>IF(A28&lt;&gt;"","^FO220,20^A0N,41,48^CI13^FD"&amp;Data!$BC$5&amp;Data!$BD$5&amp;"/"&amp;RIGHT("000"&amp;Data!AW28,3)&amp;"^FS","")</f>
        <v/>
      </c>
      <c r="E28" t="str">
        <f>IF(A28&lt;&gt;"","^FO20,55^A0N,30,30^CI13^FD"&amp;Data!$BF$5&amp;"^FS","")</f>
        <v/>
      </c>
      <c r="F28" t="str">
        <f>IF(A28&lt;&gt;"","^FO20,95^A0N,30,30^CI13^FD"&amp;Data!AX$5&amp;"^FS","")</f>
        <v/>
      </c>
      <c r="G28" t="str">
        <f>IF(A28&lt;&gt;"","^FO20,135^A0N,30,30^CI13^FD"&amp;Data!BE28&amp;"^FS","")</f>
        <v/>
      </c>
      <c r="H28" t="str">
        <f>IF(A28&lt;&gt;"","^FO20,175^A0N,30,30^CI13^FD"&amp;Data!AY28&amp;"^FS","")</f>
        <v/>
      </c>
      <c r="I28" t="str">
        <f>IF(A28&lt;&gt;"","^FO300,175^A0N,30,30^CI13^FD"&amp;"W:"&amp;Data!BA28&amp;" H:"&amp;Data!BB28,"")</f>
        <v/>
      </c>
      <c r="J28" t="str">
        <f>IF(A28&lt;&gt;"","^PQ"&amp;Data!$F$19&amp;",0,"&amp;Data!$F$19&amp;",Y","")</f>
        <v/>
      </c>
      <c r="K28" t="str">
        <f t="shared" si="0"/>
        <v/>
      </c>
    </row>
    <row r="29" spans="1:11" ht="12.6" customHeight="1">
      <c r="A29" t="str">
        <f>IF(OR(Data!$AV21="",Data!$AW21&gt;999),"","^XA^LH0,0^PRB,D^MD20^JMA^FS")</f>
        <v/>
      </c>
      <c r="B29" t="str">
        <f t="array" ref="B29">IF(A29&lt;&gt;"","^BY2,2.7,13^FO506,20^B2N,132,Y,N,N^SN"&amp;BarcodeValue(Data!BC$5,Data!BD$5,Data!AW21,0)&amp;",N,Y^FS","")</f>
        <v/>
      </c>
      <c r="C29" t="str">
        <f>IF(A29&lt;&gt;"","^FO20,20^A0N,28,37^CI13^FD"&amp;TEXT(Data!AY$5,"d/m/yyyy")&amp;"^FS","")</f>
        <v/>
      </c>
      <c r="D29" t="str">
        <f>IF(A29&lt;&gt;"","^FO220,20^A0N,41,48^CI13^FD"&amp;Data!$BC$5&amp;Data!$BD$5&amp;"/"&amp;RIGHT("000"&amp;Data!AW21,3)&amp;"^FS","")</f>
        <v/>
      </c>
      <c r="E29" t="str">
        <f>IF(A29&lt;&gt;"","^FO20,55^A0N,30,30^CI13^FD"&amp;Data!$BF$5&amp;"^FS","")</f>
        <v/>
      </c>
      <c r="F29" t="str">
        <f>IF(A29&lt;&gt;"","^FO20,95^A0N,30,30^CI13^FD"&amp;Data!AX$5&amp;"^FS","")</f>
        <v/>
      </c>
      <c r="G29" t="str">
        <f>IF(A29&lt;&gt;"","^FO20,135^A0N,30,30^CI13^FD"&amp;Data!BE21&amp;"^FS","")</f>
        <v/>
      </c>
      <c r="H29" t="str">
        <f>IF(A29&lt;&gt;"","^FO20,175^A0N,30,30^CI13^FD"&amp;Data!AY21&amp;"^FS","")</f>
        <v/>
      </c>
      <c r="I29" t="str">
        <f>IF(A29&lt;&gt;"","^FO300,175^A0N,30,30^CI13^FD"&amp;"W:"&amp;Data!BA21&amp;" H:"&amp;Data!BB21,"")</f>
        <v/>
      </c>
      <c r="J29" t="str">
        <f>IF(A29&lt;&gt;"","^PQ"&amp;Data!$F$19&amp;",0,"&amp;Data!$F$19&amp;",Y","")</f>
        <v/>
      </c>
      <c r="K29" t="str">
        <f t="shared" si="0"/>
        <v/>
      </c>
    </row>
    <row r="30" spans="1:11" ht="12.6" customHeight="1">
      <c r="A30" t="str">
        <f>IF(OR(Data!$AV22="",Data!$AW22&gt;999),"","^XA^LH0,0^PRB,D^MD20^JMA^FS")</f>
        <v/>
      </c>
      <c r="B30" t="str">
        <f t="array" ref="B30">IF(A30&lt;&gt;"","^BY2,2.7,13^FO506,20^B2N,132,Y,N,N^SN"&amp;BarcodeValue(Data!BC$5,Data!BD$5,Data!AW22,0)&amp;",N,Y^FS","")</f>
        <v/>
      </c>
      <c r="C30" t="str">
        <f>IF(A30&lt;&gt;"","^FO20,20^A0N,28,37^CI13^FD"&amp;TEXT(Data!AY$5,"d/m/yyyy")&amp;"^FS","")</f>
        <v/>
      </c>
      <c r="D30" t="str">
        <f>IF(A30&lt;&gt;"","^FO220,20^A0N,41,48^CI13^FD"&amp;Data!$BC$5&amp;Data!$BD$5&amp;"/"&amp;RIGHT("000"&amp;Data!AW22,3)&amp;"^FS","")</f>
        <v/>
      </c>
      <c r="E30" t="str">
        <f>IF(A30&lt;&gt;"","^FO20,55^A0N,30,30^CI13^FD"&amp;Data!$BF$5&amp;"^FS","")</f>
        <v/>
      </c>
      <c r="F30" t="str">
        <f>IF(A30&lt;&gt;"","^FO20,95^A0N,30,30^CI13^FD"&amp;Data!AX$5&amp;"^FS","")</f>
        <v/>
      </c>
      <c r="G30" t="str">
        <f>IF(A30&lt;&gt;"","^FO20,135^A0N,30,30^CI13^FD"&amp;Data!BE22&amp;"^FS","")</f>
        <v/>
      </c>
      <c r="H30" t="str">
        <f>IF(A30&lt;&gt;"","^FO20,175^A0N,30,30^CI13^FD"&amp;Data!AY22&amp;"^FS","")</f>
        <v/>
      </c>
      <c r="I30" t="str">
        <f>IF(A30&lt;&gt;"","^FO300,175^A0N,30,30^CI13^FD"&amp;"W:"&amp;Data!BA22&amp;" H:"&amp;Data!BB22,"")</f>
        <v/>
      </c>
      <c r="J30" t="str">
        <f>IF(A30&lt;&gt;"","^PQ"&amp;Data!$F$19&amp;",0,"&amp;Data!$F$19&amp;",Y","")</f>
        <v/>
      </c>
      <c r="K30" t="str">
        <f t="shared" si="0"/>
        <v/>
      </c>
    </row>
    <row r="31" spans="1:11" ht="12.6" customHeight="1">
      <c r="A31" t="str">
        <f>IF(OR(Data!$AV23="",Data!$AW23&gt;999),"","^XA^LH0,0^PRB,D^MD20^JMA^FS")</f>
        <v/>
      </c>
      <c r="B31" t="str">
        <f t="array" ref="B31">IF(A31&lt;&gt;"","^BY2,2.7,13^FO506,20^B2N,132,Y,N,N^SN"&amp;BarcodeValue(Data!BC$5,Data!BD$5,Data!AW23,0)&amp;",N,Y^FS","")</f>
        <v/>
      </c>
      <c r="C31" t="str">
        <f>IF(A31&lt;&gt;"","^FO20,20^A0N,28,37^CI13^FD"&amp;TEXT(Data!AY$5,"d/m/yyyy")&amp;"^FS","")</f>
        <v/>
      </c>
      <c r="D31" t="str">
        <f>IF(A31&lt;&gt;"","^FO220,20^A0N,41,48^CI13^FD"&amp;Data!$BC$5&amp;Data!$BD$5&amp;"/"&amp;RIGHT("000"&amp;Data!AW23,3)&amp;"^FS","")</f>
        <v/>
      </c>
      <c r="E31" t="str">
        <f>IF(A31&lt;&gt;"","^FO20,55^A0N,30,30^CI13^FD"&amp;Data!$BF$5&amp;"^FS","")</f>
        <v/>
      </c>
      <c r="F31" t="str">
        <f>IF(A31&lt;&gt;"","^FO20,95^A0N,30,30^CI13^FD"&amp;Data!AX$5&amp;"^FS","")</f>
        <v/>
      </c>
      <c r="G31" t="str">
        <f>IF(A31&lt;&gt;"","^FO20,135^A0N,30,30^CI13^FD"&amp;Data!BE23&amp;"^FS","")</f>
        <v/>
      </c>
      <c r="H31" t="str">
        <f>IF(A31&lt;&gt;"","^FO20,175^A0N,30,30^CI13^FD"&amp;Data!AY23&amp;"^FS","")</f>
        <v/>
      </c>
      <c r="I31" t="str">
        <f>IF(A31&lt;&gt;"","^FO300,175^A0N,30,30^CI13^FD"&amp;"W:"&amp;Data!BA23&amp;" H:"&amp;Data!BB23,"")</f>
        <v/>
      </c>
      <c r="J31" t="str">
        <f>IF(A31&lt;&gt;"","^PQ"&amp;Data!$F$19&amp;",0,"&amp;Data!$F$19&amp;",Y","")</f>
        <v/>
      </c>
      <c r="K31" t="str">
        <f t="shared" si="0"/>
        <v/>
      </c>
    </row>
    <row r="32" spans="1:11" ht="12.6" customHeight="1">
      <c r="A32" t="str">
        <f>IF(OR(Data!$AV24="",Data!$AW24&gt;999),"","^XA^LH0,0^PRB,D^MD20^JMA^FS")</f>
        <v/>
      </c>
      <c r="B32" t="str">
        <f t="array" ref="B32">IF(A32&lt;&gt;"","^BY2,2.7,13^FO506,20^B2N,132,Y,N,N^SN"&amp;BarcodeValue(Data!BC$5,Data!BD$5,Data!AW24,0)&amp;",N,Y^FS","")</f>
        <v/>
      </c>
      <c r="C32" t="str">
        <f>IF(A32&lt;&gt;"","^FO20,20^A0N,28,37^CI13^FD"&amp;TEXT(Data!AY$5,"d/m/yyyy")&amp;"^FS","")</f>
        <v/>
      </c>
      <c r="D32" t="str">
        <f>IF(A32&lt;&gt;"","^FO220,20^A0N,41,48^CI13^FD"&amp;Data!$BC$5&amp;Data!$BD$5&amp;"/"&amp;RIGHT("000"&amp;Data!AW24,3)&amp;"^FS","")</f>
        <v/>
      </c>
      <c r="E32" t="str">
        <f>IF(A32&lt;&gt;"","^FO20,55^A0N,30,30^CI13^FD"&amp;Data!$BF$5&amp;"^FS","")</f>
        <v/>
      </c>
      <c r="F32" t="str">
        <f>IF(A32&lt;&gt;"","^FO20,95^A0N,30,30^CI13^FD"&amp;Data!AX$5&amp;"^FS","")</f>
        <v/>
      </c>
      <c r="G32" t="str">
        <f>IF(A32&lt;&gt;"","^FO20,135^A0N,30,30^CI13^FD"&amp;Data!BE24&amp;"^FS","")</f>
        <v/>
      </c>
      <c r="H32" t="str">
        <f>IF(A32&lt;&gt;"","^FO20,175^A0N,30,30^CI13^FD"&amp;Data!AY24&amp;"^FS","")</f>
        <v/>
      </c>
      <c r="I32" t="str">
        <f>IF(A32&lt;&gt;"","^FO300,175^A0N,30,30^CI13^FD"&amp;"W:"&amp;Data!BA24&amp;" H:"&amp;Data!BB24,"")</f>
        <v/>
      </c>
      <c r="J32" t="str">
        <f>IF(A32&lt;&gt;"","^PQ"&amp;Data!$F$19&amp;",0,"&amp;Data!$F$19&amp;",Y","")</f>
        <v/>
      </c>
      <c r="K32" t="str">
        <f t="shared" si="0"/>
        <v/>
      </c>
    </row>
    <row r="33" spans="1:11" ht="13.2">
      <c r="A33" t="str">
        <f>IF(OR(Data!$AV25="",Data!$AW25&gt;999),"","^XA^LH0,0^PRB,D^MD20^JMA^FS")</f>
        <v/>
      </c>
      <c r="B33" t="str">
        <f t="array" ref="B33">IF(A33&lt;&gt;"","^BY2,2.7,13^FO506,20^B2N,132,Y,N,N^SN"&amp;BarcodeValue(Data!BC$5,Data!BD$5,Data!AW25,0)&amp;",N,Y^FS","")</f>
        <v/>
      </c>
      <c r="C33" t="str">
        <f>IF(A33&lt;&gt;"","^FO20,20^A0N,28,37^CI13^FD"&amp;TEXT(Data!AY$5,"d/m/yyyy")&amp;"^FS","")</f>
        <v/>
      </c>
      <c r="D33" t="str">
        <f>IF(A33&lt;&gt;"","^FO220,20^A0N,41,48^CI13^FD"&amp;Data!$BC$5&amp;Data!$BD$5&amp;"/"&amp;RIGHT("000"&amp;Data!AW25,3)&amp;"^FS","")</f>
        <v/>
      </c>
      <c r="E33" t="str">
        <f>IF(A33&lt;&gt;"","^FO20,55^A0N,30,30^CI13^FD"&amp;Data!$BF$5&amp;"^FS","")</f>
        <v/>
      </c>
      <c r="F33" t="str">
        <f>IF(A33&lt;&gt;"","^FO20,95^A0N,30,30^CI13^FD"&amp;Data!AX$5&amp;"^FS","")</f>
        <v/>
      </c>
      <c r="G33" t="str">
        <f>IF(A33&lt;&gt;"","^FO20,135^A0N,30,30^CI13^FD"&amp;Data!BE25&amp;"^FS","")</f>
        <v/>
      </c>
      <c r="H33" t="str">
        <f>IF(A33&lt;&gt;"","^FO20,175^A0N,30,30^CI13^FD"&amp;Data!AY25&amp;"^FS","")</f>
        <v/>
      </c>
      <c r="I33" t="str">
        <f>IF(A33&lt;&gt;"","^FO300,175^A0N,30,30^CI13^FD"&amp;"W:"&amp;Data!BA25&amp;" H:"&amp;Data!BB25,"")</f>
        <v/>
      </c>
      <c r="J33" t="str">
        <f>IF(A33&lt;&gt;"","^PQ"&amp;Data!$F$19&amp;",0,"&amp;Data!$F$19&amp;",Y","")</f>
        <v/>
      </c>
      <c r="K33" t="str">
        <f t="shared" si="0"/>
        <v/>
      </c>
    </row>
    <row r="34" spans="1:11" ht="13.2">
      <c r="A34" t="str">
        <f>IF(OR(Data!$AV26="",Data!$AW26&gt;999),"","^XA^LH0,0^PRB,D^MD20^JMA^FS")</f>
        <v/>
      </c>
      <c r="B34" t="str">
        <f t="array" ref="B34">IF(A34&lt;&gt;"","^BY2,2.7,13^FO506,20^B2N,132,Y,N,N^SN"&amp;BarcodeValue(Data!BC$5,Data!BD$5,Data!AW26,0)&amp;",N,Y^FS","")</f>
        <v/>
      </c>
      <c r="C34" t="str">
        <f>IF(A34&lt;&gt;"","^FO20,20^A0N,28,37^CI13^FD"&amp;TEXT(Data!AY$5,"d/m/yyyy")&amp;"^FS","")</f>
        <v/>
      </c>
      <c r="D34" t="str">
        <f>IF(A34&lt;&gt;"","^FO220,20^A0N,41,48^CI13^FD"&amp;Data!$BC$5&amp;Data!$BD$5&amp;"/"&amp;RIGHT("000"&amp;Data!AW26,3)&amp;"^FS","")</f>
        <v/>
      </c>
      <c r="E34" t="str">
        <f>IF(A34&lt;&gt;"","^FO20,55^A0N,30,30^CI13^FD"&amp;Data!$BF$5&amp;"^FS","")</f>
        <v/>
      </c>
      <c r="F34" t="str">
        <f>IF(A34&lt;&gt;"","^FO20,95^A0N,30,30^CI13^FD"&amp;Data!AX$5&amp;"^FS","")</f>
        <v/>
      </c>
      <c r="G34" t="str">
        <f>IF(A34&lt;&gt;"","^FO20,135^A0N,30,30^CI13^FD"&amp;Data!BE26&amp;"^FS","")</f>
        <v/>
      </c>
      <c r="H34" t="str">
        <f>IF(A34&lt;&gt;"","^FO20,175^A0N,30,30^CI13^FD"&amp;Data!AY26&amp;"^FS","")</f>
        <v/>
      </c>
      <c r="I34" t="str">
        <f>IF(A34&lt;&gt;"","^FO300,175^A0N,30,30^CI13^FD"&amp;"W:"&amp;Data!BA26&amp;" H:"&amp;Data!BB26,"")</f>
        <v/>
      </c>
      <c r="J34" t="str">
        <f>IF(A34&lt;&gt;"","^PQ"&amp;Data!$F$19&amp;",0,"&amp;Data!$F$19&amp;",Y","")</f>
        <v/>
      </c>
      <c r="K34" t="str">
        <f t="shared" si="0"/>
        <v/>
      </c>
    </row>
    <row r="35" spans="1:11" ht="13.2">
      <c r="A35" t="str">
        <f>IF(OR(Data!$AV27="",Data!$AW27&gt;999),"","^XA^LH0,0^PRB,D^MD20^JMA^FS")</f>
        <v/>
      </c>
      <c r="B35" t="str">
        <f t="array" ref="B35">IF(A35&lt;&gt;"","^BY2,2.7,13^FO506,20^B2N,132,Y,N,N^SN"&amp;BarcodeValue(Data!BC$5,Data!BD$5,Data!AW27,0)&amp;",N,Y^FS","")</f>
        <v/>
      </c>
      <c r="C35" t="str">
        <f>IF(A35&lt;&gt;"","^FO20,20^A0N,28,37^CI13^FD"&amp;TEXT(Data!AY$5,"d/m/yyyy")&amp;"^FS","")</f>
        <v/>
      </c>
      <c r="D35" t="str">
        <f>IF(A35&lt;&gt;"","^FO220,20^A0N,41,48^CI13^FD"&amp;Data!$BC$5&amp;Data!$BD$5&amp;"/"&amp;RIGHT("000"&amp;Data!AW27,3)&amp;"^FS","")</f>
        <v/>
      </c>
      <c r="E35" t="str">
        <f>IF(A35&lt;&gt;"","^FO20,55^A0N,30,30^CI13^FD"&amp;Data!$BF$5&amp;"^FS","")</f>
        <v/>
      </c>
      <c r="F35" t="str">
        <f>IF(A35&lt;&gt;"","^FO20,95^A0N,30,30^CI13^FD"&amp;Data!AX$5&amp;"^FS","")</f>
        <v/>
      </c>
      <c r="G35" t="str">
        <f>IF(A35&lt;&gt;"","^FO20,135^A0N,30,30^CI13^FD"&amp;Data!BE27&amp;"^FS","")</f>
        <v/>
      </c>
      <c r="H35" t="str">
        <f>IF(A35&lt;&gt;"","^FO20,175^A0N,30,30^CI13^FD"&amp;Data!AY27&amp;"^FS","")</f>
        <v/>
      </c>
      <c r="I35" t="str">
        <f>IF(A35&lt;&gt;"","^FO300,175^A0N,30,30^CI13^FD"&amp;"W:"&amp;Data!BA27&amp;" H:"&amp;Data!BB27,"")</f>
        <v/>
      </c>
      <c r="J35" t="str">
        <f>IF(A35&lt;&gt;"","^PQ"&amp;Data!$F$19&amp;",0,"&amp;Data!$F$19&amp;",Y","")</f>
        <v/>
      </c>
      <c r="K35" t="str">
        <f t="shared" si="0"/>
        <v/>
      </c>
    </row>
    <row r="36" spans="1:11" ht="13.2">
      <c r="A36" t="str">
        <f>IF(OR(Data!$AV28="",Data!$AW28&gt;999),"","^XA^LH0,0^PRB,D^MD20^JMA^FS")</f>
        <v/>
      </c>
      <c r="B36" t="str">
        <f t="array" ref="B36">IF(A36&lt;&gt;"","^BY2,2.7,13^FO506,20^B2N,132,Y,N,N^SN"&amp;BarcodeValue(Data!BC$5,Data!BD$5,Data!AW28,0)&amp;",N,Y^FS","")</f>
        <v/>
      </c>
      <c r="C36" t="str">
        <f>IF(A36&lt;&gt;"","^FO20,20^A0N,28,37^CI13^FD"&amp;TEXT(Data!AY$5,"d/m/yyyy")&amp;"^FS","")</f>
        <v/>
      </c>
      <c r="D36" t="str">
        <f>IF(A36&lt;&gt;"","^FO220,20^A0N,41,48^CI13^FD"&amp;Data!$BC$5&amp;Data!$BD$5&amp;"/"&amp;RIGHT("000"&amp;Data!AW28,3)&amp;"^FS","")</f>
        <v/>
      </c>
      <c r="E36" t="str">
        <f>IF(A36&lt;&gt;"","^FO20,55^A0N,30,30^CI13^FD"&amp;Data!$BF$5&amp;"^FS","")</f>
        <v/>
      </c>
      <c r="F36" t="str">
        <f>IF(A36&lt;&gt;"","^FO20,95^A0N,30,30^CI13^FD"&amp;Data!AX$5&amp;"^FS","")</f>
        <v/>
      </c>
      <c r="G36" t="str">
        <f>IF(A36&lt;&gt;"","^FO20,135^A0N,30,30^CI13^FD"&amp;Data!BE28&amp;"^FS","")</f>
        <v/>
      </c>
      <c r="H36" t="str">
        <f>IF(A36&lt;&gt;"","^FO20,175^A0N,30,30^CI13^FD"&amp;Data!AY28&amp;"^FS","")</f>
        <v/>
      </c>
      <c r="I36" t="str">
        <f>IF(A36&lt;&gt;"","^FO300,175^A0N,30,30^CI13^FD"&amp;"W:"&amp;Data!BA28&amp;" H:"&amp;Data!BB28,"")</f>
        <v/>
      </c>
      <c r="J36" t="str">
        <f>IF(A36&lt;&gt;"","^PQ"&amp;Data!$F$19&amp;",0,"&amp;Data!$F$19&amp;",Y","")</f>
        <v/>
      </c>
      <c r="K36" t="str">
        <f t="shared" si="0"/>
        <v/>
      </c>
    </row>
    <row r="37" spans="1:11" ht="13.2">
      <c r="A37" t="str">
        <f>IF(OR(Data!$AV21="",Data!$AW21&gt;999),"","^XA^LH0,0^PRB,D^MD20^JMA^FS")</f>
        <v/>
      </c>
      <c r="B37" t="str">
        <f t="array" ref="B37">IF(A37&lt;&gt;"","^BY2,2.7,13^FO506,20^B2N,132,Y,N,N^SN"&amp;BarcodeValue(Data!BC$5,Data!BD$5,Data!AW21,0)&amp;",N,Y^FS","")</f>
        <v/>
      </c>
      <c r="C37" t="str">
        <f>IF(A37&lt;&gt;"","^FO20,20^A0N,28,37^CI13^FD"&amp;TEXT(Data!AY$5,"d/m/yyyy")&amp;"^FS","")</f>
        <v/>
      </c>
      <c r="D37" t="str">
        <f>IF(A37&lt;&gt;"","^FO220,20^A0N,41,48^CI13^FD"&amp;Data!$BC$5&amp;Data!$BD$5&amp;"/"&amp;RIGHT("000"&amp;Data!AW21,3)&amp;"^FS","")</f>
        <v/>
      </c>
      <c r="E37" t="str">
        <f>IF(A37&lt;&gt;"","^FO20,55^A0N,30,30^CI13^FD"&amp;Data!$BF$5&amp;"^FS","")</f>
        <v/>
      </c>
      <c r="F37" t="str">
        <f>IF(A37&lt;&gt;"","^FO20,95^A0N,30,30^CI13^FD"&amp;Data!AX$5&amp;"^FS","")</f>
        <v/>
      </c>
      <c r="G37" t="str">
        <f>IF(A37&lt;&gt;"","^FO20,135^A0N,30,30^CI13^FD"&amp;Data!BE21&amp;"^FS","")</f>
        <v/>
      </c>
      <c r="H37" t="str">
        <f>IF(A37&lt;&gt;"","^FO20,175^A0N,30,30^CI13^FD"&amp;Data!AY21&amp;"^FS","")</f>
        <v/>
      </c>
      <c r="I37" t="str">
        <f>IF(A37&lt;&gt;"","^FO300,175^A0N,30,30^CI13^FD"&amp;"W:"&amp;Data!BA21&amp;" H:"&amp;Data!BB21,"")</f>
        <v/>
      </c>
      <c r="J37" t="str">
        <f>IF(A37&lt;&gt;"","^PQ"&amp;Data!$F$19&amp;",0,"&amp;Data!$F$19&amp;",Y","")</f>
        <v/>
      </c>
      <c r="K37" t="str">
        <f t="shared" si="0"/>
        <v/>
      </c>
    </row>
    <row r="38" spans="1:11" ht="13.2">
      <c r="A38" t="str">
        <f>IF(OR(Data!$AV22="",Data!$AW22&gt;999),"","^XA^LH0,0^PRB,D^MD20^JMA^FS")</f>
        <v/>
      </c>
      <c r="B38" t="str">
        <f t="array" ref="B38">IF(A38&lt;&gt;"","^BY2,2.7,13^FO506,20^B2N,132,Y,N,N^SN"&amp;BarcodeValue(Data!BC$5,Data!BD$5,Data!AW22,0)&amp;",N,Y^FS","")</f>
        <v/>
      </c>
      <c r="C38" t="str">
        <f>IF(A38&lt;&gt;"","^FO20,20^A0N,28,37^CI13^FD"&amp;TEXT(Data!AY$5,"d/m/yyyy")&amp;"^FS","")</f>
        <v/>
      </c>
      <c r="D38" t="str">
        <f>IF(A38&lt;&gt;"","^FO220,20^A0N,41,48^CI13^FD"&amp;Data!$BC$5&amp;Data!$BD$5&amp;"/"&amp;RIGHT("000"&amp;Data!AW22,3)&amp;"^FS","")</f>
        <v/>
      </c>
      <c r="E38" t="str">
        <f>IF(A38&lt;&gt;"","^FO20,55^A0N,30,30^CI13^FD"&amp;Data!$BF$5&amp;"^FS","")</f>
        <v/>
      </c>
      <c r="F38" t="str">
        <f>IF(A38&lt;&gt;"","^FO20,95^A0N,30,30^CI13^FD"&amp;Data!AX$5&amp;"^FS","")</f>
        <v/>
      </c>
      <c r="G38" t="str">
        <f>IF(A38&lt;&gt;"","^FO20,135^A0N,30,30^CI13^FD"&amp;Data!BE22&amp;"^FS","")</f>
        <v/>
      </c>
      <c r="H38" t="str">
        <f>IF(A38&lt;&gt;"","^FO20,175^A0N,30,30^CI13^FD"&amp;Data!AY22&amp;"^FS","")</f>
        <v/>
      </c>
      <c r="I38" t="str">
        <f>IF(A38&lt;&gt;"","^FO300,175^A0N,30,30^CI13^FD"&amp;"W:"&amp;Data!BA22&amp;" H:"&amp;Data!BB22,"")</f>
        <v/>
      </c>
      <c r="J38" t="str">
        <f>IF(A38&lt;&gt;"","^PQ"&amp;Data!$F$19&amp;",0,"&amp;Data!$F$19&amp;",Y","")</f>
        <v/>
      </c>
      <c r="K38" t="str">
        <f t="shared" si="0"/>
        <v/>
      </c>
    </row>
    <row r="39" spans="1:11" ht="13.2">
      <c r="A39" t="str">
        <f>IF(OR(Data!$AV23="",Data!$AW23&gt;999),"","^XA^LH0,0^PRB,D^MD20^JMA^FS")</f>
        <v/>
      </c>
      <c r="B39" t="str">
        <f t="array" ref="B39">IF(A39&lt;&gt;"","^BY2,2.7,13^FO506,20^B2N,132,Y,N,N^SN"&amp;BarcodeValue(Data!BC$5,Data!BD$5,Data!AW23,0)&amp;",N,Y^FS","")</f>
        <v/>
      </c>
      <c r="C39" t="str">
        <f>IF(A39&lt;&gt;"","^FO20,20^A0N,28,37^CI13^FD"&amp;TEXT(Data!AY$5,"d/m/yyyy")&amp;"^FS","")</f>
        <v/>
      </c>
      <c r="D39" t="str">
        <f>IF(A39&lt;&gt;"","^FO220,20^A0N,41,48^CI13^FD"&amp;Data!$BC$5&amp;Data!$BD$5&amp;"/"&amp;RIGHT("000"&amp;Data!AW23,3)&amp;"^FS","")</f>
        <v/>
      </c>
      <c r="E39" t="str">
        <f>IF(A39&lt;&gt;"","^FO20,55^A0N,30,30^CI13^FD"&amp;Data!$BF$5&amp;"^FS","")</f>
        <v/>
      </c>
      <c r="F39" t="str">
        <f>IF(A39&lt;&gt;"","^FO20,95^A0N,30,30^CI13^FD"&amp;Data!AX$5&amp;"^FS","")</f>
        <v/>
      </c>
      <c r="G39" t="str">
        <f>IF(A39&lt;&gt;"","^FO20,135^A0N,30,30^CI13^FD"&amp;Data!BE23&amp;"^FS","")</f>
        <v/>
      </c>
      <c r="H39" t="str">
        <f>IF(A39&lt;&gt;"","^FO20,175^A0N,30,30^CI13^FD"&amp;Data!AY23&amp;"^FS","")</f>
        <v/>
      </c>
      <c r="I39" t="str">
        <f>IF(A39&lt;&gt;"","^FO300,175^A0N,30,30^CI13^FD"&amp;"W:"&amp;Data!BA23&amp;" H:"&amp;Data!BB23,"")</f>
        <v/>
      </c>
      <c r="J39" t="str">
        <f>IF(A39&lt;&gt;"","^PQ"&amp;Data!$F$19&amp;",0,"&amp;Data!$F$19&amp;",Y","")</f>
        <v/>
      </c>
      <c r="K39" t="str">
        <f t="shared" si="0"/>
        <v/>
      </c>
    </row>
    <row r="40" spans="1:11" ht="13.2">
      <c r="A40" t="str">
        <f>IF(OR(Data!$AV24="",Data!$AW24&gt;999),"","^XA^LH0,0^PRB,D^MD20^JMA^FS")</f>
        <v/>
      </c>
      <c r="B40" t="str">
        <f t="array" ref="B40">IF(A40&lt;&gt;"","^BY2,2.7,13^FO506,20^B2N,132,Y,N,N^SN"&amp;BarcodeValue(Data!BC$5,Data!BD$5,Data!AW24,0)&amp;",N,Y^FS","")</f>
        <v/>
      </c>
      <c r="C40" t="str">
        <f>IF(A40&lt;&gt;"","^FO20,20^A0N,28,37^CI13^FD"&amp;TEXT(Data!AY$5,"d/m/yyyy")&amp;"^FS","")</f>
        <v/>
      </c>
      <c r="D40" t="str">
        <f>IF(A40&lt;&gt;"","^FO220,20^A0N,41,48^CI13^FD"&amp;Data!$BC$5&amp;Data!$BD$5&amp;"/"&amp;RIGHT("000"&amp;Data!AW24,3)&amp;"^FS","")</f>
        <v/>
      </c>
      <c r="E40" t="str">
        <f>IF(A40&lt;&gt;"","^FO20,55^A0N,30,30^CI13^FD"&amp;Data!$BF$5&amp;"^FS","")</f>
        <v/>
      </c>
      <c r="F40" t="str">
        <f>IF(A40&lt;&gt;"","^FO20,95^A0N,30,30^CI13^FD"&amp;Data!AX$5&amp;"^FS","")</f>
        <v/>
      </c>
      <c r="G40" t="str">
        <f>IF(A40&lt;&gt;"","^FO20,135^A0N,30,30^CI13^FD"&amp;Data!BE24&amp;"^FS","")</f>
        <v/>
      </c>
      <c r="H40" t="str">
        <f>IF(A40&lt;&gt;"","^FO20,175^A0N,30,30^CI13^FD"&amp;Data!AY24&amp;"^FS","")</f>
        <v/>
      </c>
      <c r="I40" t="str">
        <f>IF(A40&lt;&gt;"","^FO300,175^A0N,30,30^CI13^FD"&amp;"W:"&amp;Data!BA24&amp;" H:"&amp;Data!BB24,"")</f>
        <v/>
      </c>
      <c r="J40" t="str">
        <f>IF(A40&lt;&gt;"","^PQ"&amp;Data!$F$19&amp;",0,"&amp;Data!$F$19&amp;",Y","")</f>
        <v/>
      </c>
      <c r="K40" t="str">
        <f t="shared" si="0"/>
        <v/>
      </c>
    </row>
    <row r="41" spans="1:11" ht="13.2">
      <c r="A41" t="str">
        <f>IF(OR(Data!$AV25="",Data!$AW25&gt;999),"","^XA^LH0,0^PRB,D^MD20^JMA^FS")</f>
        <v/>
      </c>
      <c r="B41" t="str">
        <f t="array" ref="B41">IF(A41&lt;&gt;"","^BY2,2.7,13^FO506,20^B2N,132,Y,N,N^SN"&amp;BarcodeValue(Data!BC$5,Data!BD$5,Data!AW25,0)&amp;",N,Y^FS","")</f>
        <v/>
      </c>
      <c r="C41" t="str">
        <f>IF(A41&lt;&gt;"","^FO20,20^A0N,28,37^CI13^FD"&amp;TEXT(Data!AY$5,"d/m/yyyy")&amp;"^FS","")</f>
        <v/>
      </c>
      <c r="D41" t="str">
        <f>IF(A41&lt;&gt;"","^FO220,20^A0N,41,48^CI13^FD"&amp;Data!$BC$5&amp;Data!$BD$5&amp;"/"&amp;RIGHT("000"&amp;Data!AW25,3)&amp;"^FS","")</f>
        <v/>
      </c>
      <c r="E41" t="str">
        <f>IF(A41&lt;&gt;"","^FO20,55^A0N,30,30^CI13^FD"&amp;Data!$BF$5&amp;"^FS","")</f>
        <v/>
      </c>
      <c r="F41" t="str">
        <f>IF(A41&lt;&gt;"","^FO20,95^A0N,30,30^CI13^FD"&amp;Data!AX$5&amp;"^FS","")</f>
        <v/>
      </c>
      <c r="G41" t="str">
        <f>IF(A41&lt;&gt;"","^FO20,135^A0N,30,30^CI13^FD"&amp;Data!BE25&amp;"^FS","")</f>
        <v/>
      </c>
      <c r="H41" t="str">
        <f>IF(A41&lt;&gt;"","^FO20,175^A0N,30,30^CI13^FD"&amp;Data!AY25&amp;"^FS","")</f>
        <v/>
      </c>
      <c r="I41" t="str">
        <f>IF(A41&lt;&gt;"","^FO300,175^A0N,30,30^CI13^FD"&amp;"W:"&amp;Data!BA25&amp;" H:"&amp;Data!BB25,"")</f>
        <v/>
      </c>
      <c r="J41" t="str">
        <f>IF(A41&lt;&gt;"","^PQ"&amp;Data!$F$19&amp;",0,"&amp;Data!$F$19&amp;",Y","")</f>
        <v/>
      </c>
      <c r="K41" t="str">
        <f t="shared" si="0"/>
        <v/>
      </c>
    </row>
    <row r="42" spans="1:11" ht="13.2">
      <c r="A42" t="str">
        <f>IF(OR(Data!$AV26="",Data!$AW26&gt;999),"","^XA^LH0,0^PRB,D^MD20^JMA^FS")</f>
        <v/>
      </c>
      <c r="B42" t="str">
        <f t="array" ref="B42">IF(A42&lt;&gt;"","^BY2,2.7,13^FO506,20^B2N,132,Y,N,N^SN"&amp;BarcodeValue(Data!BC$5,Data!BD$5,Data!AW26,0)&amp;",N,Y^FS","")</f>
        <v/>
      </c>
      <c r="C42" t="str">
        <f>IF(A42&lt;&gt;"","^FO20,20^A0N,28,37^CI13^FD"&amp;TEXT(Data!AY$5,"d/m/yyyy")&amp;"^FS","")</f>
        <v/>
      </c>
      <c r="D42" t="str">
        <f>IF(A42&lt;&gt;"","^FO220,20^A0N,41,48^CI13^FD"&amp;Data!$BC$5&amp;Data!$BD$5&amp;"/"&amp;RIGHT("000"&amp;Data!AW26,3)&amp;"^FS","")</f>
        <v/>
      </c>
      <c r="E42" t="str">
        <f>IF(A42&lt;&gt;"","^FO20,55^A0N,30,30^CI13^FD"&amp;Data!$BF$5&amp;"^FS","")</f>
        <v/>
      </c>
      <c r="F42" t="str">
        <f>IF(A42&lt;&gt;"","^FO20,95^A0N,30,30^CI13^FD"&amp;Data!AX$5&amp;"^FS","")</f>
        <v/>
      </c>
      <c r="G42" t="str">
        <f>IF(A42&lt;&gt;"","^FO20,135^A0N,30,30^CI13^FD"&amp;Data!BE26&amp;"^FS","")</f>
        <v/>
      </c>
      <c r="H42" t="str">
        <f>IF(A42&lt;&gt;"","^FO20,175^A0N,30,30^CI13^FD"&amp;Data!AY26&amp;"^FS","")</f>
        <v/>
      </c>
      <c r="I42" t="str">
        <f>IF(A42&lt;&gt;"","^FO300,175^A0N,30,30^CI13^FD"&amp;"W:"&amp;Data!BA26&amp;" H:"&amp;Data!BB26,"")</f>
        <v/>
      </c>
      <c r="J42" t="str">
        <f>IF(A42&lt;&gt;"","^PQ"&amp;Data!$F$19&amp;",0,"&amp;Data!$F$19&amp;",Y","")</f>
        <v/>
      </c>
      <c r="K42" t="str">
        <f t="shared" si="0"/>
        <v/>
      </c>
    </row>
    <row r="43" spans="1:11" ht="13.2">
      <c r="A43" t="str">
        <f>IF(OR(Data!$AV27="",Data!$AW27&gt;999),"","^XA^LH0,0^PRB,D^MD20^JMA^FS")</f>
        <v/>
      </c>
      <c r="B43" t="str">
        <f t="array" ref="B43">IF(A43&lt;&gt;"","^BY2,2.7,13^FO506,20^B2N,132,Y,N,N^SN"&amp;BarcodeValue(Data!BC$5,Data!BD$5,Data!AW27,0)&amp;",N,Y^FS","")</f>
        <v/>
      </c>
      <c r="C43" t="str">
        <f>IF(A43&lt;&gt;"","^FO20,20^A0N,28,37^CI13^FD"&amp;TEXT(Data!AY$5,"d/m/yyyy")&amp;"^FS","")</f>
        <v/>
      </c>
      <c r="D43" t="str">
        <f>IF(A43&lt;&gt;"","^FO220,20^A0N,41,48^CI13^FD"&amp;Data!$BC$5&amp;Data!$BD$5&amp;"/"&amp;RIGHT("000"&amp;Data!AW27,3)&amp;"^FS","")</f>
        <v/>
      </c>
      <c r="E43" t="str">
        <f>IF(A43&lt;&gt;"","^FO20,55^A0N,30,30^CI13^FD"&amp;Data!$BF$5&amp;"^FS","")</f>
        <v/>
      </c>
      <c r="F43" t="str">
        <f>IF(A43&lt;&gt;"","^FO20,95^A0N,30,30^CI13^FD"&amp;Data!AX$5&amp;"^FS","")</f>
        <v/>
      </c>
      <c r="G43" t="str">
        <f>IF(A43&lt;&gt;"","^FO20,135^A0N,30,30^CI13^FD"&amp;Data!BE27&amp;"^FS","")</f>
        <v/>
      </c>
      <c r="H43" t="str">
        <f>IF(A43&lt;&gt;"","^FO20,175^A0N,30,30^CI13^FD"&amp;Data!AY27&amp;"^FS","")</f>
        <v/>
      </c>
      <c r="I43" t="str">
        <f>IF(A43&lt;&gt;"","^FO300,175^A0N,30,30^CI13^FD"&amp;"W:"&amp;Data!BA27&amp;" H:"&amp;Data!BB27,"")</f>
        <v/>
      </c>
      <c r="J43" t="str">
        <f>IF(A43&lt;&gt;"","^PQ"&amp;Data!$F$19&amp;",0,"&amp;Data!$F$19&amp;",Y","")</f>
        <v/>
      </c>
      <c r="K43" t="str">
        <f t="shared" si="0"/>
        <v/>
      </c>
    </row>
    <row r="44" spans="1:11" ht="13.2">
      <c r="A44" t="str">
        <f>IF(OR(Data!$AV28="",Data!$AW28&gt;999),"","^XA^LH0,0^PRB,D^MD20^JMA^FS")</f>
        <v/>
      </c>
      <c r="B44" t="str">
        <f t="array" ref="B44">IF(A44&lt;&gt;"","^BY2,2.7,13^FO506,20^B2N,132,Y,N,N^SN"&amp;BarcodeValue(Data!BC$5,Data!BD$5,Data!AW28,0)&amp;",N,Y^FS","")</f>
        <v/>
      </c>
      <c r="C44" t="str">
        <f>IF(A44&lt;&gt;"","^FO20,20^A0N,28,37^CI13^FD"&amp;TEXT(Data!AY$5,"d/m/yyyy")&amp;"^FS","")</f>
        <v/>
      </c>
      <c r="D44" t="str">
        <f>IF(A44&lt;&gt;"","^FO220,20^A0N,41,48^CI13^FD"&amp;Data!$BC$5&amp;Data!$BD$5&amp;"/"&amp;RIGHT("000"&amp;Data!AW28,3)&amp;"^FS","")</f>
        <v/>
      </c>
      <c r="E44" t="str">
        <f>IF(A44&lt;&gt;"","^FO20,55^A0N,30,30^CI13^FD"&amp;Data!$BF$5&amp;"^FS","")</f>
        <v/>
      </c>
      <c r="F44" t="str">
        <f>IF(A44&lt;&gt;"","^FO20,95^A0N,30,30^CI13^FD"&amp;Data!AX$5&amp;"^FS","")</f>
        <v/>
      </c>
      <c r="G44" t="str">
        <f>IF(A44&lt;&gt;"","^FO20,135^A0N,30,30^CI13^FD"&amp;Data!BE28&amp;"^FS","")</f>
        <v/>
      </c>
      <c r="H44" t="str">
        <f>IF(A44&lt;&gt;"","^FO20,175^A0N,30,30^CI13^FD"&amp;Data!AY28&amp;"^FS","")</f>
        <v/>
      </c>
      <c r="I44" t="str">
        <f>IF(A44&lt;&gt;"","^FO300,175^A0N,30,30^CI13^FD"&amp;"W:"&amp;Data!BA28&amp;" H:"&amp;Data!BB28,"")</f>
        <v/>
      </c>
      <c r="J44" t="str">
        <f>IF(A44&lt;&gt;"","^PQ"&amp;Data!$F$19&amp;",0,"&amp;Data!$F$19&amp;",Y","")</f>
        <v/>
      </c>
      <c r="K44" t="str">
        <f t="shared" si="0"/>
        <v/>
      </c>
    </row>
  </sheetData>
  <pageMargins left="1.36141732283505" right="1.36141732283505" top="0.75" bottom="0.75" header="0.3" footer="0.3"/>
  <pageSetup orientation="portrait" paperSize="9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AAD4C-C8BB-47D0-9047-6487925A26C8}">
  <sheetPr codeName="Sheet11"/>
  <dimension ref="A1:OZ14"/>
  <sheetViews>
    <sheetView workbookViewId="0" topLeftCell="LB1">
      <selection pane="topLeft" activeCell="LX13" sqref="LX13"/>
    </sheetView>
  </sheetViews>
  <sheetFormatPr defaultColWidth="9.109375" defaultRowHeight="13.5"/>
  <cols>
    <col min="4" max="4" width="7.71428571428571" bestFit="1" customWidth="1"/>
    <col min="5" max="5" width="3.28571428571429" customWidth="1"/>
    <col min="7" max="7" width="15.7142857142857" customWidth="1"/>
    <col min="8" max="8" width="23.7142857142857" customWidth="1"/>
    <col min="9" max="9" width="22.2857142857143" bestFit="1" customWidth="1"/>
    <col min="10" max="10" width="43.1428571428571" customWidth="1"/>
    <col min="11" max="336" width="5.42857142857143" customWidth="1"/>
    <col min="337" max="337" width="5" bestFit="1" customWidth="1"/>
    <col min="338" max="433" width="5.42857142857143" customWidth="1"/>
  </cols>
  <sheetData>
    <row r="1" spans="5:388" s="152" customFormat="1" ht="45.6" customHeight="1">
      <c r="E1" s="153"/>
      <c r="F1" s="153"/>
      <c r="G1" s="153"/>
      <c r="H1" s="153"/>
      <c r="I1" s="153"/>
      <c r="J1" s="153"/>
      <c r="K1" s="154"/>
      <c r="L1" s="154"/>
      <c r="M1" s="154"/>
      <c r="O1" s="155"/>
      <c r="Q1" s="156"/>
      <c r="T1" s="155"/>
      <c r="U1" s="155"/>
      <c r="V1" s="155"/>
      <c r="DY1" s="155"/>
      <c r="EP1" s="152" t="s">
        <v>782</v>
      </c>
      <c r="JA1" s="157"/>
      <c r="MD1" s="152" t="s">
        <v>783</v>
      </c>
      <c r="ME1" s="152" t="s">
        <v>784</v>
      </c>
      <c r="MJ1" s="152" t="s">
        <v>785</v>
      </c>
      <c r="MK1" s="152" t="s">
        <v>786</v>
      </c>
      <c r="ML1" s="152" t="s">
        <v>787</v>
      </c>
      <c r="MM1" s="152" t="s">
        <v>788</v>
      </c>
      <c r="MN1" s="152" t="s">
        <v>787</v>
      </c>
      <c r="MO1" s="152" t="s">
        <v>788</v>
      </c>
      <c r="MP1" s="152" t="s">
        <v>789</v>
      </c>
      <c r="MQ1" s="152" t="s">
        <v>790</v>
      </c>
      <c r="ND1" s="152" t="s">
        <v>574</v>
      </c>
      <c r="NE1" s="152" t="s">
        <v>575</v>
      </c>
      <c r="NG1" s="152" t="s">
        <v>576</v>
      </c>
      <c r="NH1" s="152" t="s">
        <v>577</v>
      </c>
      <c r="NI1" s="152" t="s">
        <v>578</v>
      </c>
      <c r="NJ1" s="152" t="s">
        <v>579</v>
      </c>
      <c r="NK1" s="152" t="s">
        <v>791</v>
      </c>
      <c r="NL1" s="152" t="s">
        <v>580</v>
      </c>
      <c r="NM1" s="152" t="s">
        <v>581</v>
      </c>
      <c r="NO1" s="152" t="s">
        <v>582</v>
      </c>
      <c r="NT1" s="152">
        <v>1037432</v>
      </c>
      <c r="NU1" s="152">
        <v>1039378</v>
      </c>
      <c r="NV1" s="152">
        <v>9910000</v>
      </c>
      <c r="NW1" s="152">
        <v>9707030</v>
      </c>
      <c r="NX1" s="152">
        <v>9751002</v>
      </c>
    </row>
    <row r="2" spans="14:416" s="158" customFormat="1" ht="14.4">
      <c r="N2" s="252" t="s">
        <v>792</v>
      </c>
      <c r="O2" s="253"/>
      <c r="P2" s="253"/>
      <c r="Q2" s="253"/>
      <c r="R2" s="253"/>
      <c r="S2" s="253"/>
      <c r="T2" s="253"/>
      <c r="U2" s="253"/>
      <c r="V2" s="253"/>
      <c r="W2" s="253"/>
      <c r="X2" s="253"/>
      <c r="Y2" s="253"/>
      <c r="Z2" s="253"/>
      <c r="AA2" s="253"/>
      <c r="AB2" s="253"/>
      <c r="AC2" s="254"/>
      <c r="AD2" s="255" t="s">
        <v>793</v>
      </c>
      <c r="AE2" s="256"/>
      <c r="AF2" s="256"/>
      <c r="AG2" s="256"/>
      <c r="AH2" s="256"/>
      <c r="AI2" s="256"/>
      <c r="AJ2" s="256"/>
      <c r="AK2" s="256"/>
      <c r="AL2" s="256"/>
      <c r="AM2" s="256"/>
      <c r="AN2" s="256"/>
      <c r="AO2" s="256"/>
      <c r="AP2" s="256"/>
      <c r="AQ2" s="256"/>
      <c r="AR2" s="256"/>
      <c r="AS2" s="257"/>
      <c r="AT2" s="252" t="s">
        <v>794</v>
      </c>
      <c r="AU2" s="253"/>
      <c r="AV2" s="253"/>
      <c r="AW2" s="253"/>
      <c r="AX2" s="253"/>
      <c r="AY2" s="253"/>
      <c r="AZ2" s="253"/>
      <c r="BA2" s="253"/>
      <c r="BB2" s="253"/>
      <c r="BC2" s="253"/>
      <c r="BD2" s="253"/>
      <c r="BE2" s="253"/>
      <c r="BF2" s="253"/>
      <c r="BG2" s="253"/>
      <c r="BH2" s="253"/>
      <c r="BI2" s="254"/>
      <c r="BJ2" s="255" t="s">
        <v>795</v>
      </c>
      <c r="BK2" s="256"/>
      <c r="BL2" s="256"/>
      <c r="BM2" s="256"/>
      <c r="BN2" s="256"/>
      <c r="BO2" s="256"/>
      <c r="BP2" s="256"/>
      <c r="BQ2" s="256"/>
      <c r="BR2" s="256"/>
      <c r="BS2" s="256"/>
      <c r="BT2" s="256"/>
      <c r="BU2" s="256"/>
      <c r="BV2" s="256"/>
      <c r="BW2" s="256"/>
      <c r="BX2" s="256"/>
      <c r="BY2" s="257"/>
      <c r="BZ2" s="252" t="s">
        <v>796</v>
      </c>
      <c r="CA2" s="253"/>
      <c r="CB2" s="253"/>
      <c r="CC2" s="253"/>
      <c r="CD2" s="253"/>
      <c r="CE2" s="253"/>
      <c r="CF2" s="253"/>
      <c r="CG2" s="253"/>
      <c r="CH2" s="253"/>
      <c r="CI2" s="253"/>
      <c r="CJ2" s="253"/>
      <c r="CK2" s="253"/>
      <c r="CL2" s="253"/>
      <c r="CM2" s="253"/>
      <c r="CN2" s="253"/>
      <c r="CO2" s="254"/>
      <c r="CP2" s="255" t="s">
        <v>797</v>
      </c>
      <c r="CQ2" s="256"/>
      <c r="CR2" s="256"/>
      <c r="CS2" s="256"/>
      <c r="CT2" s="256"/>
      <c r="CU2" s="256"/>
      <c r="CV2" s="256"/>
      <c r="CW2" s="256"/>
      <c r="CX2" s="256"/>
      <c r="CY2" s="256"/>
      <c r="CZ2" s="256"/>
      <c r="DA2" s="256"/>
      <c r="DB2" s="256"/>
      <c r="DC2" s="256"/>
      <c r="DD2" s="256"/>
      <c r="DE2" s="257"/>
      <c r="DF2" s="252" t="s">
        <v>798</v>
      </c>
      <c r="DG2" s="253"/>
      <c r="DH2" s="253"/>
      <c r="DI2" s="253"/>
      <c r="DJ2" s="254"/>
      <c r="DK2" s="255" t="s">
        <v>799</v>
      </c>
      <c r="DL2" s="256"/>
      <c r="DM2" s="256"/>
      <c r="DN2" s="256"/>
      <c r="DO2" s="256"/>
      <c r="DP2" s="256"/>
      <c r="DQ2" s="256"/>
      <c r="DR2" s="256"/>
      <c r="DS2" s="256"/>
      <c r="DT2" s="257"/>
      <c r="DU2" s="252" t="s">
        <v>800</v>
      </c>
      <c r="DV2" s="253"/>
      <c r="DW2" s="253"/>
      <c r="DX2" s="253"/>
      <c r="DY2" s="253"/>
      <c r="DZ2" s="253"/>
      <c r="EA2" s="253"/>
      <c r="EB2" s="253"/>
      <c r="EC2" s="253"/>
      <c r="ED2" s="253"/>
      <c r="EE2" s="253"/>
      <c r="EF2" s="253"/>
      <c r="EG2" s="253"/>
      <c r="EH2" s="253"/>
      <c r="EI2" s="253"/>
      <c r="EJ2" s="254"/>
      <c r="EK2" s="255" t="s">
        <v>801</v>
      </c>
      <c r="EL2" s="256"/>
      <c r="EM2" s="256"/>
      <c r="EN2" s="257"/>
      <c r="EO2" s="252" t="s">
        <v>802</v>
      </c>
      <c r="EP2" s="253"/>
      <c r="EQ2" s="254"/>
      <c r="ER2" s="255" t="s">
        <v>803</v>
      </c>
      <c r="ES2" s="256"/>
      <c r="ET2" s="256"/>
      <c r="EU2" s="256"/>
      <c r="EV2" s="256"/>
      <c r="EW2" s="256"/>
      <c r="EX2" s="256"/>
      <c r="EY2" s="256"/>
      <c r="EZ2" s="256"/>
      <c r="FA2" s="256"/>
      <c r="FB2" s="256"/>
      <c r="FC2" s="257"/>
      <c r="FD2" s="252" t="s">
        <v>804</v>
      </c>
      <c r="FE2" s="253"/>
      <c r="FF2" s="253"/>
      <c r="FG2" s="253"/>
      <c r="FH2" s="253"/>
      <c r="FI2" s="253"/>
      <c r="FJ2" s="253"/>
      <c r="FK2" s="253"/>
      <c r="FL2" s="253"/>
      <c r="FM2" s="253"/>
      <c r="FN2" s="253"/>
      <c r="FO2" s="254"/>
      <c r="FP2" s="255" t="s">
        <v>805</v>
      </c>
      <c r="FQ2" s="256"/>
      <c r="FR2" s="256"/>
      <c r="FS2" s="256"/>
      <c r="FT2" s="256"/>
      <c r="FU2" s="257"/>
      <c r="FV2" s="252" t="s">
        <v>806</v>
      </c>
      <c r="FW2" s="253"/>
      <c r="FX2" s="253"/>
      <c r="FY2" s="254"/>
      <c r="FZ2" s="255" t="s">
        <v>801</v>
      </c>
      <c r="GA2" s="256"/>
      <c r="GB2" s="257"/>
      <c r="GC2" s="252" t="s">
        <v>807</v>
      </c>
      <c r="GD2" s="253"/>
      <c r="GE2" s="253"/>
      <c r="GF2" s="254"/>
      <c r="GG2" s="255" t="s">
        <v>187</v>
      </c>
      <c r="GH2" s="257"/>
      <c r="GI2" s="252" t="s">
        <v>801</v>
      </c>
      <c r="GJ2" s="253"/>
      <c r="GK2" s="253"/>
      <c r="GL2" s="254"/>
      <c r="GM2" s="255" t="s">
        <v>808</v>
      </c>
      <c r="GN2" s="257"/>
      <c r="GO2" s="252" t="s">
        <v>809</v>
      </c>
      <c r="GP2" s="253"/>
      <c r="GQ2" s="253"/>
      <c r="GR2" s="253"/>
      <c r="GS2" s="253"/>
      <c r="GT2" s="253"/>
      <c r="GU2" s="253"/>
      <c r="GV2" s="253"/>
      <c r="GW2" s="253"/>
      <c r="GX2" s="253"/>
      <c r="GY2" s="253"/>
      <c r="GZ2" s="253"/>
      <c r="HA2" s="253"/>
      <c r="HB2" s="254"/>
      <c r="HC2" s="255" t="s">
        <v>810</v>
      </c>
      <c r="HD2" s="256"/>
      <c r="HE2" s="256"/>
      <c r="HF2" s="256"/>
      <c r="HG2" s="256"/>
      <c r="HH2" s="256"/>
      <c r="HI2" s="256"/>
      <c r="HJ2" s="256"/>
      <c r="HK2" s="257"/>
      <c r="HL2" s="252" t="s">
        <v>811</v>
      </c>
      <c r="HM2" s="253"/>
      <c r="HN2" s="253"/>
      <c r="HO2" s="253"/>
      <c r="HP2" s="253"/>
      <c r="HQ2" s="253"/>
      <c r="HR2" s="253"/>
      <c r="HS2" s="254"/>
      <c r="HT2" s="158" t="s">
        <v>801</v>
      </c>
      <c r="HU2" s="252" t="s">
        <v>812</v>
      </c>
      <c r="HV2" s="253"/>
      <c r="HW2" s="253"/>
      <c r="HX2" s="253"/>
      <c r="HY2" s="253"/>
      <c r="HZ2" s="253"/>
      <c r="IA2" s="253"/>
      <c r="IB2" s="254"/>
      <c r="IC2" s="158" t="s">
        <v>801</v>
      </c>
      <c r="ID2" s="252" t="s">
        <v>813</v>
      </c>
      <c r="IE2" s="253"/>
      <c r="IF2" s="253"/>
      <c r="IG2" s="253"/>
      <c r="IH2" s="254"/>
      <c r="II2" s="255" t="s">
        <v>801</v>
      </c>
      <c r="IJ2" s="256"/>
      <c r="IK2" s="256"/>
      <c r="IL2" s="257"/>
      <c r="IM2" s="252" t="s">
        <v>814</v>
      </c>
      <c r="IN2" s="253"/>
      <c r="IO2" s="253"/>
      <c r="IP2" s="253"/>
      <c r="IQ2" s="254"/>
      <c r="IR2" s="255" t="s">
        <v>801</v>
      </c>
      <c r="IS2" s="256"/>
      <c r="IT2" s="256"/>
      <c r="IU2" s="256"/>
      <c r="IV2" s="256"/>
      <c r="IW2" s="256"/>
      <c r="IX2" s="256"/>
      <c r="IY2" s="256"/>
      <c r="IZ2" s="256"/>
      <c r="JA2" s="256"/>
      <c r="JB2" s="256"/>
      <c r="JC2" s="257"/>
      <c r="JD2" s="252" t="s">
        <v>815</v>
      </c>
      <c r="JE2" s="253"/>
      <c r="JF2" s="253"/>
      <c r="JG2" s="253"/>
      <c r="JH2" s="254"/>
      <c r="JI2" s="255" t="s">
        <v>816</v>
      </c>
      <c r="JJ2" s="256"/>
      <c r="JK2" s="256"/>
      <c r="JL2" s="256"/>
      <c r="JM2" s="257"/>
      <c r="JN2" s="252" t="s">
        <v>817</v>
      </c>
      <c r="JO2" s="253"/>
      <c r="JP2" s="253"/>
      <c r="JQ2" s="253"/>
      <c r="JR2" s="254"/>
      <c r="JS2" s="255" t="s">
        <v>818</v>
      </c>
      <c r="JT2" s="256"/>
      <c r="JU2" s="257"/>
      <c r="JV2" s="252" t="s">
        <v>819</v>
      </c>
      <c r="JW2" s="253"/>
      <c r="JX2" s="253"/>
      <c r="JY2" s="253"/>
      <c r="JZ2" s="253"/>
      <c r="KA2" s="253"/>
      <c r="KB2" s="253"/>
      <c r="KC2" s="253"/>
      <c r="KD2" s="253"/>
      <c r="KE2" s="253"/>
      <c r="KF2" s="253"/>
      <c r="KG2" s="253"/>
      <c r="KH2" s="253"/>
      <c r="KI2" s="253"/>
      <c r="KJ2" s="253"/>
      <c r="KK2" s="253"/>
      <c r="KL2" s="253"/>
      <c r="KM2" s="253"/>
      <c r="KN2" s="253"/>
      <c r="KO2" s="253"/>
      <c r="KP2" s="253"/>
      <c r="KQ2" s="253"/>
      <c r="KR2" s="253"/>
      <c r="KS2" s="253"/>
      <c r="KT2" s="253"/>
      <c r="KU2" s="253"/>
      <c r="KV2" s="253"/>
      <c r="KW2" s="253"/>
      <c r="KX2" s="253"/>
      <c r="KY2" s="253"/>
      <c r="KZ2" s="254"/>
      <c r="LA2" s="255" t="s">
        <v>820</v>
      </c>
      <c r="LB2" s="256"/>
      <c r="LC2" s="256"/>
      <c r="LD2" s="256"/>
      <c r="LE2" s="256"/>
      <c r="LF2" s="256"/>
      <c r="LG2" s="256"/>
      <c r="LH2" s="256"/>
      <c r="LI2" s="256"/>
      <c r="LJ2" s="256"/>
      <c r="LK2" s="256"/>
      <c r="LL2" s="256"/>
      <c r="LM2" s="256"/>
      <c r="LN2" s="256"/>
      <c r="LO2" s="256"/>
      <c r="LP2" s="256"/>
      <c r="LQ2" s="256"/>
      <c r="LR2" s="256"/>
      <c r="LS2" s="256"/>
      <c r="LT2" s="256"/>
      <c r="LU2" s="256"/>
      <c r="LV2" s="256"/>
      <c r="LW2" s="256"/>
      <c r="LX2" s="256"/>
      <c r="LY2" s="256"/>
      <c r="LZ2" s="256"/>
      <c r="MA2" s="257"/>
      <c r="MB2" s="252" t="s">
        <v>821</v>
      </c>
      <c r="MC2" s="253"/>
      <c r="MD2" s="253"/>
      <c r="ME2" s="253"/>
      <c r="MF2" s="253"/>
      <c r="MG2" s="253"/>
      <c r="MH2" s="253"/>
      <c r="MI2" s="253"/>
      <c r="MJ2" s="256" t="s">
        <v>822</v>
      </c>
      <c r="MK2" s="256"/>
      <c r="ML2" s="256"/>
      <c r="MM2" s="256"/>
      <c r="MN2" s="256"/>
      <c r="MO2" s="256"/>
      <c r="MP2" s="256"/>
      <c r="MQ2" s="256"/>
      <c r="MR2" s="256"/>
      <c r="MS2" s="256"/>
      <c r="MT2" s="256"/>
      <c r="MU2" s="256"/>
      <c r="MV2" s="256"/>
      <c r="MW2" s="256"/>
      <c r="MX2" s="256"/>
      <c r="MY2" s="256"/>
      <c r="MZ2" s="256"/>
      <c r="NA2" s="257"/>
      <c r="NB2" s="252" t="s">
        <v>823</v>
      </c>
      <c r="NC2" s="253"/>
      <c r="ND2" s="253"/>
      <c r="NE2" s="253"/>
      <c r="NF2" s="253"/>
      <c r="NG2" s="253"/>
      <c r="NH2" s="253"/>
      <c r="NI2" s="253"/>
      <c r="NJ2" s="253"/>
      <c r="NK2" s="253"/>
      <c r="NL2" s="253"/>
      <c r="NM2" s="253"/>
      <c r="NN2" s="253"/>
      <c r="NO2" s="253"/>
      <c r="NP2" s="253"/>
      <c r="NQ2" s="253"/>
      <c r="NR2" s="253"/>
      <c r="NS2" s="254"/>
      <c r="NT2" s="255" t="s">
        <v>824</v>
      </c>
      <c r="NU2" s="256"/>
      <c r="NV2" s="256"/>
      <c r="NW2" s="256"/>
      <c r="NX2" s="256"/>
      <c r="NY2" s="256"/>
      <c r="NZ2" s="256"/>
      <c r="OA2" s="256"/>
      <c r="OB2" s="256"/>
      <c r="OC2" s="256"/>
      <c r="OD2" s="256"/>
      <c r="OE2" s="256"/>
      <c r="OF2" s="256"/>
      <c r="OG2" s="256"/>
      <c r="OH2" s="256"/>
      <c r="OI2" s="256"/>
      <c r="OJ2" s="256"/>
      <c r="OK2" s="256"/>
      <c r="OL2" s="256"/>
      <c r="OM2" s="256"/>
      <c r="ON2" s="256"/>
      <c r="OO2" s="256"/>
      <c r="OP2" s="256"/>
      <c r="OQ2" s="256"/>
      <c r="OR2" s="256"/>
      <c r="OS2" s="257"/>
      <c r="OT2" s="252" t="s">
        <v>825</v>
      </c>
      <c r="OU2" s="253"/>
      <c r="OV2" s="253"/>
      <c r="OW2" s="253"/>
      <c r="OX2" s="254"/>
      <c r="OY2" s="255" t="s">
        <v>826</v>
      </c>
      <c r="OZ2" s="257"/>
    </row>
    <row r="3" spans="1:416" s="159" customFormat="1" ht="86.4" customHeight="1">
      <c r="A3" s="159" t="s">
        <v>827</v>
      </c>
      <c r="B3" s="159" t="s">
        <v>828</v>
      </c>
      <c r="C3" s="159" t="s">
        <v>829</v>
      </c>
      <c r="D3" s="159" t="s">
        <v>433</v>
      </c>
      <c r="E3" s="159" t="s">
        <v>434</v>
      </c>
      <c r="F3" s="159" t="s">
        <v>435</v>
      </c>
      <c r="G3" s="160" t="s">
        <v>119</v>
      </c>
      <c r="H3" s="160" t="s">
        <v>436</v>
      </c>
      <c r="I3" s="160" t="s">
        <v>437</v>
      </c>
      <c r="J3" s="160" t="s">
        <v>438</v>
      </c>
      <c r="K3" s="160" t="s">
        <v>439</v>
      </c>
      <c r="L3" s="160" t="s">
        <v>138</v>
      </c>
      <c r="M3" s="160" t="s">
        <v>158</v>
      </c>
      <c r="N3" s="161" t="s">
        <v>830</v>
      </c>
      <c r="O3" s="161" t="s">
        <v>150</v>
      </c>
      <c r="P3" s="161" t="s">
        <v>831</v>
      </c>
      <c r="Q3" s="161" t="s">
        <v>832</v>
      </c>
      <c r="R3" s="161" t="s">
        <v>833</v>
      </c>
      <c r="S3" s="161" t="s">
        <v>834</v>
      </c>
      <c r="T3" s="161" t="s">
        <v>835</v>
      </c>
      <c r="U3" s="161" t="s">
        <v>836</v>
      </c>
      <c r="V3" s="161" t="s">
        <v>837</v>
      </c>
      <c r="W3" s="161" t="s">
        <v>838</v>
      </c>
      <c r="X3" s="161" t="s">
        <v>839</v>
      </c>
      <c r="Y3" s="161" t="s">
        <v>840</v>
      </c>
      <c r="Z3" s="161" t="s">
        <v>841</v>
      </c>
      <c r="AA3" s="161" t="s">
        <v>842</v>
      </c>
      <c r="AB3" s="161" t="s">
        <v>843</v>
      </c>
      <c r="AC3" s="161" t="s">
        <v>844</v>
      </c>
      <c r="AD3" s="162" t="s">
        <v>830</v>
      </c>
      <c r="AE3" s="162" t="s">
        <v>150</v>
      </c>
      <c r="AF3" s="162" t="s">
        <v>831</v>
      </c>
      <c r="AG3" s="162" t="s">
        <v>832</v>
      </c>
      <c r="AH3" s="162" t="s">
        <v>833</v>
      </c>
      <c r="AI3" s="162" t="s">
        <v>834</v>
      </c>
      <c r="AJ3" s="162" t="s">
        <v>835</v>
      </c>
      <c r="AK3" s="162" t="s">
        <v>836</v>
      </c>
      <c r="AL3" s="162" t="s">
        <v>837</v>
      </c>
      <c r="AM3" s="162" t="s">
        <v>838</v>
      </c>
      <c r="AN3" s="162" t="s">
        <v>839</v>
      </c>
      <c r="AO3" s="162" t="s">
        <v>840</v>
      </c>
      <c r="AP3" s="162" t="s">
        <v>841</v>
      </c>
      <c r="AQ3" s="162" t="s">
        <v>842</v>
      </c>
      <c r="AR3" s="162" t="s">
        <v>843</v>
      </c>
      <c r="AS3" s="162" t="s">
        <v>844</v>
      </c>
      <c r="AT3" s="161" t="s">
        <v>830</v>
      </c>
      <c r="AU3" s="161" t="s">
        <v>150</v>
      </c>
      <c r="AV3" s="161" t="s">
        <v>831</v>
      </c>
      <c r="AW3" s="161" t="s">
        <v>832</v>
      </c>
      <c r="AX3" s="161" t="s">
        <v>833</v>
      </c>
      <c r="AY3" s="161" t="s">
        <v>834</v>
      </c>
      <c r="AZ3" s="161" t="s">
        <v>835</v>
      </c>
      <c r="BA3" s="161" t="s">
        <v>836</v>
      </c>
      <c r="BB3" s="161" t="s">
        <v>837</v>
      </c>
      <c r="BC3" s="161" t="s">
        <v>838</v>
      </c>
      <c r="BD3" s="161" t="s">
        <v>839</v>
      </c>
      <c r="BE3" s="161" t="s">
        <v>840</v>
      </c>
      <c r="BF3" s="161" t="s">
        <v>841</v>
      </c>
      <c r="BG3" s="161" t="s">
        <v>842</v>
      </c>
      <c r="BH3" s="161" t="s">
        <v>845</v>
      </c>
      <c r="BI3" s="161" t="s">
        <v>844</v>
      </c>
      <c r="BJ3" s="162" t="s">
        <v>830</v>
      </c>
      <c r="BK3" s="162" t="s">
        <v>150</v>
      </c>
      <c r="BL3" s="162" t="s">
        <v>831</v>
      </c>
      <c r="BM3" s="162" t="s">
        <v>832</v>
      </c>
      <c r="BN3" s="162" t="s">
        <v>833</v>
      </c>
      <c r="BO3" s="162" t="s">
        <v>834</v>
      </c>
      <c r="BP3" s="162" t="s">
        <v>835</v>
      </c>
      <c r="BQ3" s="162" t="s">
        <v>836</v>
      </c>
      <c r="BR3" s="162" t="s">
        <v>837</v>
      </c>
      <c r="BS3" s="162" t="s">
        <v>838</v>
      </c>
      <c r="BT3" s="162" t="s">
        <v>839</v>
      </c>
      <c r="BU3" s="162" t="s">
        <v>840</v>
      </c>
      <c r="BV3" s="162" t="s">
        <v>841</v>
      </c>
      <c r="BW3" s="162" t="s">
        <v>842</v>
      </c>
      <c r="BX3" s="162" t="s">
        <v>843</v>
      </c>
      <c r="BY3" s="162" t="s">
        <v>844</v>
      </c>
      <c r="BZ3" s="161" t="s">
        <v>830</v>
      </c>
      <c r="CA3" s="161" t="s">
        <v>150</v>
      </c>
      <c r="CB3" s="161" t="s">
        <v>831</v>
      </c>
      <c r="CC3" s="161" t="s">
        <v>832</v>
      </c>
      <c r="CD3" s="161" t="s">
        <v>833</v>
      </c>
      <c r="CE3" s="161" t="s">
        <v>834</v>
      </c>
      <c r="CF3" s="161" t="s">
        <v>835</v>
      </c>
      <c r="CG3" s="161" t="s">
        <v>836</v>
      </c>
      <c r="CH3" s="161" t="s">
        <v>837</v>
      </c>
      <c r="CI3" s="161" t="s">
        <v>838</v>
      </c>
      <c r="CJ3" s="161" t="s">
        <v>839</v>
      </c>
      <c r="CK3" s="161" t="s">
        <v>840</v>
      </c>
      <c r="CL3" s="161" t="s">
        <v>841</v>
      </c>
      <c r="CM3" s="161" t="s">
        <v>842</v>
      </c>
      <c r="CN3" s="161" t="s">
        <v>845</v>
      </c>
      <c r="CO3" s="161" t="s">
        <v>844</v>
      </c>
      <c r="CP3" s="162" t="s">
        <v>830</v>
      </c>
      <c r="CQ3" s="162" t="s">
        <v>150</v>
      </c>
      <c r="CR3" s="162" t="s">
        <v>831</v>
      </c>
      <c r="CS3" s="162" t="s">
        <v>832</v>
      </c>
      <c r="CT3" s="162" t="s">
        <v>833</v>
      </c>
      <c r="CU3" s="162" t="s">
        <v>834</v>
      </c>
      <c r="CV3" s="162" t="s">
        <v>835</v>
      </c>
      <c r="CW3" s="162" t="s">
        <v>836</v>
      </c>
      <c r="CX3" s="162" t="s">
        <v>837</v>
      </c>
      <c r="CY3" s="162" t="s">
        <v>838</v>
      </c>
      <c r="CZ3" s="162" t="s">
        <v>839</v>
      </c>
      <c r="DA3" s="162" t="s">
        <v>840</v>
      </c>
      <c r="DB3" s="162" t="s">
        <v>841</v>
      </c>
      <c r="DC3" s="162" t="s">
        <v>842</v>
      </c>
      <c r="DD3" s="162" t="s">
        <v>845</v>
      </c>
      <c r="DE3" s="162" t="s">
        <v>844</v>
      </c>
      <c r="DF3" s="161" t="s">
        <v>440</v>
      </c>
      <c r="DG3" s="161" t="s">
        <v>441</v>
      </c>
      <c r="DH3" s="161" t="s">
        <v>442</v>
      </c>
      <c r="DI3" s="161" t="s">
        <v>443</v>
      </c>
      <c r="DJ3" s="161" t="s">
        <v>444</v>
      </c>
      <c r="DK3" s="162" t="s">
        <v>445</v>
      </c>
      <c r="DL3" s="162" t="s">
        <v>446</v>
      </c>
      <c r="DM3" s="162" t="s">
        <v>447</v>
      </c>
      <c r="DN3" s="162" t="s">
        <v>448</v>
      </c>
      <c r="DO3" s="162" t="s">
        <v>449</v>
      </c>
      <c r="DP3" s="162" t="s">
        <v>450</v>
      </c>
      <c r="DQ3" s="162" t="s">
        <v>451</v>
      </c>
      <c r="DR3" s="162" t="s">
        <v>452</v>
      </c>
      <c r="DS3" s="162" t="s">
        <v>453</v>
      </c>
      <c r="DT3" s="162" t="s">
        <v>454</v>
      </c>
      <c r="DU3" s="161" t="s">
        <v>830</v>
      </c>
      <c r="DV3" s="161" t="s">
        <v>150</v>
      </c>
      <c r="DW3" s="161" t="s">
        <v>831</v>
      </c>
      <c r="DX3" s="161" t="s">
        <v>832</v>
      </c>
      <c r="DY3" s="161" t="s">
        <v>833</v>
      </c>
      <c r="DZ3" s="161" t="s">
        <v>834</v>
      </c>
      <c r="EA3" s="161" t="s">
        <v>835</v>
      </c>
      <c r="EB3" s="161" t="s">
        <v>836</v>
      </c>
      <c r="EC3" s="161" t="s">
        <v>837</v>
      </c>
      <c r="ED3" s="161" t="s">
        <v>838</v>
      </c>
      <c r="EE3" s="161" t="s">
        <v>839</v>
      </c>
      <c r="EF3" s="161" t="s">
        <v>840</v>
      </c>
      <c r="EG3" s="161" t="s">
        <v>841</v>
      </c>
      <c r="EH3" s="161" t="s">
        <v>842</v>
      </c>
      <c r="EI3" s="161" t="s">
        <v>845</v>
      </c>
      <c r="EJ3" s="161" t="s">
        <v>844</v>
      </c>
      <c r="EK3" s="162" t="s">
        <v>455</v>
      </c>
      <c r="EL3" s="162" t="s">
        <v>456</v>
      </c>
      <c r="EM3" s="162" t="s">
        <v>457</v>
      </c>
      <c r="EN3" s="162" t="s">
        <v>458</v>
      </c>
      <c r="EO3" s="161" t="s">
        <v>459</v>
      </c>
      <c r="EP3" s="161" t="s">
        <v>460</v>
      </c>
      <c r="EQ3" s="161" t="s">
        <v>461</v>
      </c>
      <c r="ER3" s="162" t="s">
        <v>846</v>
      </c>
      <c r="ES3" s="162" t="s">
        <v>847</v>
      </c>
      <c r="ET3" s="162" t="s">
        <v>848</v>
      </c>
      <c r="EU3" s="162" t="s">
        <v>849</v>
      </c>
      <c r="EV3" s="162" t="s">
        <v>850</v>
      </c>
      <c r="EW3" s="162" t="s">
        <v>851</v>
      </c>
      <c r="EX3" s="162" t="s">
        <v>852</v>
      </c>
      <c r="EY3" s="162" t="s">
        <v>853</v>
      </c>
      <c r="EZ3" s="162" t="s">
        <v>854</v>
      </c>
      <c r="FA3" s="162" t="s">
        <v>855</v>
      </c>
      <c r="FB3" s="162" t="s">
        <v>856</v>
      </c>
      <c r="FC3" s="162" t="s">
        <v>857</v>
      </c>
      <c r="FD3" s="161" t="s">
        <v>846</v>
      </c>
      <c r="FE3" s="161" t="s">
        <v>847</v>
      </c>
      <c r="FF3" s="161" t="s">
        <v>848</v>
      </c>
      <c r="FG3" s="161" t="s">
        <v>849</v>
      </c>
      <c r="FH3" s="161" t="s">
        <v>850</v>
      </c>
      <c r="FI3" s="161" t="s">
        <v>851</v>
      </c>
      <c r="FJ3" s="161" t="s">
        <v>852</v>
      </c>
      <c r="FK3" s="161" t="s">
        <v>853</v>
      </c>
      <c r="FL3" s="161" t="s">
        <v>854</v>
      </c>
      <c r="FM3" s="161" t="s">
        <v>855</v>
      </c>
      <c r="FN3" s="161" t="s">
        <v>856</v>
      </c>
      <c r="FO3" s="161" t="s">
        <v>857</v>
      </c>
      <c r="FP3" s="159" t="s">
        <v>858</v>
      </c>
      <c r="FQ3" s="159" t="s">
        <v>859</v>
      </c>
      <c r="FR3" s="159" t="s">
        <v>860</v>
      </c>
      <c r="FS3" s="159" t="s">
        <v>861</v>
      </c>
      <c r="FT3" s="159" t="s">
        <v>862</v>
      </c>
      <c r="FU3" s="159" t="s">
        <v>846</v>
      </c>
      <c r="FV3" s="163" t="s">
        <v>858</v>
      </c>
      <c r="FW3" s="163" t="s">
        <v>859</v>
      </c>
      <c r="FX3" s="163" t="s">
        <v>860</v>
      </c>
      <c r="FY3" s="163" t="s">
        <v>862</v>
      </c>
      <c r="FZ3" s="159" t="s">
        <v>462</v>
      </c>
      <c r="GA3" s="159" t="s">
        <v>463</v>
      </c>
      <c r="GB3" s="159" t="s">
        <v>464</v>
      </c>
      <c r="GC3" s="163" t="s">
        <v>465</v>
      </c>
      <c r="GD3" s="163" t="s">
        <v>466</v>
      </c>
      <c r="GE3" s="163" t="s">
        <v>467</v>
      </c>
      <c r="GF3" s="163" t="s">
        <v>468</v>
      </c>
      <c r="GG3" s="159" t="s">
        <v>469</v>
      </c>
      <c r="GH3" s="159" t="s">
        <v>470</v>
      </c>
      <c r="GI3" s="163" t="s">
        <v>471</v>
      </c>
      <c r="GJ3" s="163" t="s">
        <v>472</v>
      </c>
      <c r="GK3" s="163" t="s">
        <v>473</v>
      </c>
      <c r="GL3" s="163" t="s">
        <v>474</v>
      </c>
      <c r="GM3" s="159" t="s">
        <v>150</v>
      </c>
      <c r="GN3" s="159" t="s">
        <v>844</v>
      </c>
      <c r="GO3" s="163" t="s">
        <v>863</v>
      </c>
      <c r="GP3" s="163" t="s">
        <v>864</v>
      </c>
      <c r="GQ3" s="163" t="s">
        <v>865</v>
      </c>
      <c r="GR3" s="163" t="s">
        <v>866</v>
      </c>
      <c r="GS3" s="163" t="s">
        <v>867</v>
      </c>
      <c r="GT3" s="163" t="s">
        <v>868</v>
      </c>
      <c r="GU3" s="163" t="s">
        <v>869</v>
      </c>
      <c r="GV3" s="163" t="s">
        <v>870</v>
      </c>
      <c r="GW3" s="163" t="s">
        <v>871</v>
      </c>
      <c r="GX3" s="163" t="s">
        <v>872</v>
      </c>
      <c r="GY3" s="163" t="s">
        <v>873</v>
      </c>
      <c r="GZ3" s="163" t="s">
        <v>874</v>
      </c>
      <c r="HA3" s="163" t="s">
        <v>875</v>
      </c>
      <c r="HB3" s="163" t="s">
        <v>876</v>
      </c>
      <c r="HC3" s="159" t="s">
        <v>846</v>
      </c>
      <c r="HD3" s="159" t="s">
        <v>848</v>
      </c>
      <c r="HE3" s="159" t="s">
        <v>850</v>
      </c>
      <c r="HF3" s="159" t="s">
        <v>852</v>
      </c>
      <c r="HG3" s="159" t="s">
        <v>854</v>
      </c>
      <c r="HH3" s="159" t="s">
        <v>855</v>
      </c>
      <c r="HI3" s="159" t="s">
        <v>856</v>
      </c>
      <c r="HJ3" s="159" t="s">
        <v>857</v>
      </c>
      <c r="HK3" s="159" t="s">
        <v>877</v>
      </c>
      <c r="HL3" s="163" t="s">
        <v>846</v>
      </c>
      <c r="HM3" s="163" t="s">
        <v>848</v>
      </c>
      <c r="HN3" s="163" t="s">
        <v>850</v>
      </c>
      <c r="HO3" s="163" t="s">
        <v>852</v>
      </c>
      <c r="HP3" s="163" t="s">
        <v>854</v>
      </c>
      <c r="HQ3" s="163" t="s">
        <v>855</v>
      </c>
      <c r="HR3" s="163" t="s">
        <v>856</v>
      </c>
      <c r="HS3" s="163" t="s">
        <v>857</v>
      </c>
      <c r="HT3" s="159" t="s">
        <v>696</v>
      </c>
      <c r="HU3" s="163" t="s">
        <v>858</v>
      </c>
      <c r="HV3" s="163" t="s">
        <v>859</v>
      </c>
      <c r="HW3" s="163" t="s">
        <v>860</v>
      </c>
      <c r="HX3" s="163" t="s">
        <v>861</v>
      </c>
      <c r="HY3" s="163" t="s">
        <v>862</v>
      </c>
      <c r="HZ3" s="163" t="s">
        <v>878</v>
      </c>
      <c r="IA3" s="164" t="s">
        <v>879</v>
      </c>
      <c r="IB3" s="163" t="s">
        <v>880</v>
      </c>
      <c r="IC3" s="159" t="s">
        <v>475</v>
      </c>
      <c r="ID3" s="163" t="s">
        <v>858</v>
      </c>
      <c r="IE3" s="163" t="s">
        <v>859</v>
      </c>
      <c r="IF3" s="163" t="s">
        <v>860</v>
      </c>
      <c r="IG3" s="163" t="s">
        <v>878</v>
      </c>
      <c r="IH3" s="163" t="s">
        <v>880</v>
      </c>
      <c r="II3" s="159" t="s">
        <v>754</v>
      </c>
      <c r="IJ3" s="159" t="s">
        <v>755</v>
      </c>
      <c r="IK3" s="159" t="s">
        <v>756</v>
      </c>
      <c r="IL3" s="159" t="s">
        <v>757</v>
      </c>
      <c r="IM3" s="163" t="s">
        <v>150</v>
      </c>
      <c r="IN3" s="163" t="s">
        <v>844</v>
      </c>
      <c r="IO3" s="163" t="s">
        <v>881</v>
      </c>
      <c r="IP3" s="163" t="s">
        <v>882</v>
      </c>
      <c r="IQ3" s="163" t="s">
        <v>487</v>
      </c>
      <c r="IR3" s="159" t="s">
        <v>476</v>
      </c>
      <c r="IS3" s="159" t="s">
        <v>477</v>
      </c>
      <c r="IT3" s="159" t="s">
        <v>478</v>
      </c>
      <c r="IU3" s="159" t="s">
        <v>479</v>
      </c>
      <c r="IV3" s="159" t="s">
        <v>480</v>
      </c>
      <c r="IW3" s="159" t="s">
        <v>481</v>
      </c>
      <c r="IX3" s="159" t="s">
        <v>482</v>
      </c>
      <c r="IY3" s="159" t="s">
        <v>483</v>
      </c>
      <c r="IZ3" s="159" t="s">
        <v>484</v>
      </c>
      <c r="JA3" s="159" t="s">
        <v>485</v>
      </c>
      <c r="JB3" s="159" t="s">
        <v>486</v>
      </c>
      <c r="JC3" s="159" t="s">
        <v>487</v>
      </c>
      <c r="JD3" s="163" t="s">
        <v>883</v>
      </c>
      <c r="JE3" s="163" t="s">
        <v>884</v>
      </c>
      <c r="JF3" s="163" t="s">
        <v>885</v>
      </c>
      <c r="JG3" s="163" t="s">
        <v>886</v>
      </c>
      <c r="JH3" s="163" t="s">
        <v>887</v>
      </c>
      <c r="JI3" s="159" t="s">
        <v>883</v>
      </c>
      <c r="JJ3" s="159" t="s">
        <v>884</v>
      </c>
      <c r="JK3" s="159" t="s">
        <v>885</v>
      </c>
      <c r="JL3" s="159" t="s">
        <v>886</v>
      </c>
      <c r="JM3" s="159" t="s">
        <v>887</v>
      </c>
      <c r="JN3" s="163" t="s">
        <v>883</v>
      </c>
      <c r="JO3" s="163" t="s">
        <v>884</v>
      </c>
      <c r="JP3" s="163" t="s">
        <v>885</v>
      </c>
      <c r="JQ3" s="163" t="s">
        <v>886</v>
      </c>
      <c r="JR3" s="163" t="s">
        <v>887</v>
      </c>
      <c r="JS3" s="159" t="s">
        <v>488</v>
      </c>
      <c r="JT3" s="159" t="s">
        <v>489</v>
      </c>
      <c r="JU3" s="159" t="s">
        <v>888</v>
      </c>
      <c r="JV3" s="163" t="s">
        <v>889</v>
      </c>
      <c r="JW3" s="163" t="s">
        <v>890</v>
      </c>
      <c r="JX3" s="163" t="s">
        <v>891</v>
      </c>
      <c r="JY3" s="163" t="s">
        <v>892</v>
      </c>
      <c r="JZ3" s="163" t="s">
        <v>490</v>
      </c>
      <c r="KA3" s="163" t="s">
        <v>491</v>
      </c>
      <c r="KB3" s="163" t="s">
        <v>492</v>
      </c>
      <c r="KC3" s="163" t="s">
        <v>493</v>
      </c>
      <c r="KD3" s="163" t="s">
        <v>494</v>
      </c>
      <c r="KE3" s="163" t="s">
        <v>777</v>
      </c>
      <c r="KF3" s="163" t="s">
        <v>495</v>
      </c>
      <c r="KG3" s="163" t="s">
        <v>496</v>
      </c>
      <c r="KH3" s="163" t="s">
        <v>497</v>
      </c>
      <c r="KI3" s="163" t="s">
        <v>893</v>
      </c>
      <c r="KJ3" s="163" t="s">
        <v>498</v>
      </c>
      <c r="KK3" s="163" t="s">
        <v>499</v>
      </c>
      <c r="KL3" s="163" t="s">
        <v>500</v>
      </c>
      <c r="KM3" s="163" t="s">
        <v>501</v>
      </c>
      <c r="KN3" s="163" t="s">
        <v>502</v>
      </c>
      <c r="KO3" s="163" t="s">
        <v>503</v>
      </c>
      <c r="KP3" s="163" t="s">
        <v>504</v>
      </c>
      <c r="KQ3" s="163" t="s">
        <v>894</v>
      </c>
      <c r="KR3" s="163" t="s">
        <v>505</v>
      </c>
      <c r="KS3" s="163" t="s">
        <v>506</v>
      </c>
      <c r="KT3" s="163" t="s">
        <v>593</v>
      </c>
      <c r="KU3" s="163" t="s">
        <v>507</v>
      </c>
      <c r="KV3" s="163" t="s">
        <v>508</v>
      </c>
      <c r="KW3" s="163" t="s">
        <v>509</v>
      </c>
      <c r="KX3" s="163" t="s">
        <v>510</v>
      </c>
      <c r="KY3" s="163" t="s">
        <v>511</v>
      </c>
      <c r="KZ3" s="163" t="s">
        <v>895</v>
      </c>
      <c r="LA3" s="159" t="s">
        <v>512</v>
      </c>
      <c r="LB3" s="159" t="s">
        <v>513</v>
      </c>
      <c r="LC3" s="159" t="s">
        <v>723</v>
      </c>
      <c r="LD3" s="159" t="s">
        <v>514</v>
      </c>
      <c r="LE3" s="159" t="s">
        <v>515</v>
      </c>
      <c r="LF3" s="159" t="s">
        <v>516</v>
      </c>
      <c r="LG3" s="159" t="s">
        <v>517</v>
      </c>
      <c r="LH3" s="159" t="s">
        <v>518</v>
      </c>
      <c r="LI3" s="159" t="s">
        <v>519</v>
      </c>
      <c r="LJ3" s="159" t="s">
        <v>520</v>
      </c>
      <c r="LK3" s="159" t="s">
        <v>521</v>
      </c>
      <c r="LL3" s="159" t="s">
        <v>896</v>
      </c>
      <c r="LM3" s="159" t="s">
        <v>932</v>
      </c>
      <c r="LN3" s="159" t="s">
        <v>522</v>
      </c>
      <c r="LO3" s="159" t="s">
        <v>523</v>
      </c>
      <c r="LP3" s="159" t="s">
        <v>524</v>
      </c>
      <c r="LQ3" s="159" t="s">
        <v>525</v>
      </c>
      <c r="LR3" s="159" t="s">
        <v>526</v>
      </c>
      <c r="LS3" s="159" t="s">
        <v>527</v>
      </c>
      <c r="LT3" s="159" t="s">
        <v>528</v>
      </c>
      <c r="LU3" s="159" t="s">
        <v>529</v>
      </c>
      <c r="LV3" s="159" t="s">
        <v>530</v>
      </c>
      <c r="LW3" s="159" t="s">
        <v>531</v>
      </c>
      <c r="LX3" s="159" t="s">
        <v>532</v>
      </c>
      <c r="LY3" s="159" t="s">
        <v>533</v>
      </c>
      <c r="LZ3" s="159" t="s">
        <v>534</v>
      </c>
      <c r="MA3" s="159" t="s">
        <v>535</v>
      </c>
      <c r="MB3" s="163" t="s">
        <v>897</v>
      </c>
      <c r="MC3" s="163" t="s">
        <v>898</v>
      </c>
      <c r="MD3" s="163" t="s">
        <v>899</v>
      </c>
      <c r="ME3" s="163" t="s">
        <v>900</v>
      </c>
      <c r="MF3" s="163" t="s">
        <v>901</v>
      </c>
      <c r="MG3" s="163" t="s">
        <v>902</v>
      </c>
      <c r="MH3" s="163" t="s">
        <v>903</v>
      </c>
      <c r="MI3" s="163" t="s">
        <v>904</v>
      </c>
      <c r="MJ3" s="159" t="s">
        <v>724</v>
      </c>
      <c r="MK3" s="159" t="s">
        <v>725</v>
      </c>
      <c r="ML3" s="159" t="s">
        <v>905</v>
      </c>
      <c r="MM3" s="159" t="s">
        <v>906</v>
      </c>
      <c r="MN3" s="159" t="s">
        <v>907</v>
      </c>
      <c r="MO3" s="159" t="s">
        <v>908</v>
      </c>
      <c r="MP3" s="159" t="s">
        <v>909</v>
      </c>
      <c r="MQ3" s="159" t="s">
        <v>910</v>
      </c>
      <c r="MR3" s="159" t="s">
        <v>911</v>
      </c>
      <c r="MS3" s="159" t="s">
        <v>912</v>
      </c>
      <c r="MT3" s="159" t="s">
        <v>913</v>
      </c>
      <c r="MU3" s="159" t="s">
        <v>914</v>
      </c>
      <c r="MV3" s="159" t="s">
        <v>726</v>
      </c>
      <c r="MW3" s="159" t="s">
        <v>727</v>
      </c>
      <c r="MX3" s="159" t="s">
        <v>769</v>
      </c>
      <c r="MY3" s="159" t="s">
        <v>770</v>
      </c>
      <c r="MZ3" s="159" t="s">
        <v>915</v>
      </c>
      <c r="NA3" s="159" t="s">
        <v>916</v>
      </c>
      <c r="NB3" s="163" t="s">
        <v>917</v>
      </c>
      <c r="NC3" s="163" t="s">
        <v>918</v>
      </c>
      <c r="ND3" s="163" t="s">
        <v>919</v>
      </c>
      <c r="NE3" s="163" t="s">
        <v>920</v>
      </c>
      <c r="NF3" s="163" t="s">
        <v>921</v>
      </c>
      <c r="NG3" s="163" t="s">
        <v>536</v>
      </c>
      <c r="NH3" s="163" t="s">
        <v>537</v>
      </c>
      <c r="NI3" s="163" t="s">
        <v>538</v>
      </c>
      <c r="NJ3" s="163" t="s">
        <v>539</v>
      </c>
      <c r="NK3" s="163" t="s">
        <v>540</v>
      </c>
      <c r="NL3" s="163" t="s">
        <v>541</v>
      </c>
      <c r="NM3" s="163" t="s">
        <v>542</v>
      </c>
      <c r="NN3" s="163" t="s">
        <v>543</v>
      </c>
      <c r="NO3" s="163" t="s">
        <v>544</v>
      </c>
      <c r="NP3" s="163" t="s">
        <v>545</v>
      </c>
      <c r="NQ3" s="163" t="s">
        <v>546</v>
      </c>
      <c r="NR3" s="163" t="s">
        <v>547</v>
      </c>
      <c r="NS3" s="163" t="s">
        <v>922</v>
      </c>
      <c r="NT3" s="159" t="s">
        <v>548</v>
      </c>
      <c r="NU3" s="159" t="s">
        <v>549</v>
      </c>
      <c r="NV3" s="159" t="s">
        <v>550</v>
      </c>
      <c r="NW3" s="159" t="s">
        <v>551</v>
      </c>
      <c r="NX3" s="159" t="s">
        <v>552</v>
      </c>
      <c r="NY3" s="159" t="s">
        <v>553</v>
      </c>
      <c r="NZ3" s="159" t="s">
        <v>554</v>
      </c>
      <c r="OA3" s="159" t="s">
        <v>555</v>
      </c>
      <c r="OB3" s="159" t="s">
        <v>556</v>
      </c>
      <c r="OC3" s="159" t="s">
        <v>557</v>
      </c>
      <c r="OD3" s="159" t="s">
        <v>558</v>
      </c>
      <c r="OE3" s="159" t="s">
        <v>559</v>
      </c>
      <c r="OF3" s="159" t="s">
        <v>560</v>
      </c>
      <c r="OG3" s="159" t="s">
        <v>561</v>
      </c>
      <c r="OH3" s="159" t="s">
        <v>562</v>
      </c>
      <c r="OI3" s="159" t="s">
        <v>563</v>
      </c>
      <c r="OJ3" s="159" t="s">
        <v>564</v>
      </c>
      <c r="OK3" s="159" t="s">
        <v>565</v>
      </c>
      <c r="OL3" s="159" t="s">
        <v>566</v>
      </c>
      <c r="OM3" s="159" t="s">
        <v>567</v>
      </c>
      <c r="ON3" s="159" t="s">
        <v>568</v>
      </c>
      <c r="OO3" s="159" t="s">
        <v>569</v>
      </c>
      <c r="OP3" s="159" t="s">
        <v>570</v>
      </c>
      <c r="OQ3" s="159" t="s">
        <v>571</v>
      </c>
      <c r="OR3" s="159" t="s">
        <v>572</v>
      </c>
      <c r="OS3" s="159" t="s">
        <v>573</v>
      </c>
      <c r="OT3" s="163" t="s">
        <v>697</v>
      </c>
      <c r="OU3" s="163" t="s">
        <v>698</v>
      </c>
      <c r="OV3" s="163" t="s">
        <v>699</v>
      </c>
      <c r="OW3" s="163" t="s">
        <v>700</v>
      </c>
      <c r="OX3" s="163" t="s">
        <v>701</v>
      </c>
      <c r="OY3" s="159" t="s">
        <v>721</v>
      </c>
      <c r="OZ3" s="159" t="s">
        <v>722</v>
      </c>
    </row>
    <row r="4" spans="7:416" s="159" customFormat="1" ht="48" customHeight="1">
      <c r="G4" s="160"/>
      <c r="H4" s="160"/>
      <c r="I4" s="160"/>
      <c r="J4" s="152"/>
      <c r="K4" s="155"/>
      <c r="L4" s="152"/>
      <c r="M4" s="156"/>
      <c r="N4" s="163" t="s">
        <v>923</v>
      </c>
      <c r="O4" s="163" t="s">
        <v>923</v>
      </c>
      <c r="P4" s="163" t="s">
        <v>923</v>
      </c>
      <c r="Q4" s="163" t="s">
        <v>923</v>
      </c>
      <c r="R4" s="163" t="s">
        <v>923</v>
      </c>
      <c r="S4" s="163" t="s">
        <v>923</v>
      </c>
      <c r="T4" s="163" t="s">
        <v>923</v>
      </c>
      <c r="U4" s="163" t="s">
        <v>923</v>
      </c>
      <c r="V4" s="163" t="s">
        <v>923</v>
      </c>
      <c r="W4" s="163" t="s">
        <v>923</v>
      </c>
      <c r="X4" s="163" t="s">
        <v>923</v>
      </c>
      <c r="Y4" s="163" t="s">
        <v>923</v>
      </c>
      <c r="Z4" s="163" t="s">
        <v>923</v>
      </c>
      <c r="AA4" s="163" t="s">
        <v>923</v>
      </c>
      <c r="AB4" s="163" t="s">
        <v>923</v>
      </c>
      <c r="AC4" s="163" t="s">
        <v>923</v>
      </c>
      <c r="AD4" s="159" t="s">
        <v>923</v>
      </c>
      <c r="AE4" s="159" t="s">
        <v>923</v>
      </c>
      <c r="AF4" s="159" t="s">
        <v>923</v>
      </c>
      <c r="AG4" s="159" t="s">
        <v>923</v>
      </c>
      <c r="AH4" s="159" t="s">
        <v>923</v>
      </c>
      <c r="AI4" s="159" t="s">
        <v>923</v>
      </c>
      <c r="AJ4" s="159" t="s">
        <v>923</v>
      </c>
      <c r="AK4" s="159" t="s">
        <v>923</v>
      </c>
      <c r="AL4" s="159" t="s">
        <v>923</v>
      </c>
      <c r="AM4" s="159" t="s">
        <v>923</v>
      </c>
      <c r="AN4" s="159" t="s">
        <v>923</v>
      </c>
      <c r="AO4" s="159" t="s">
        <v>923</v>
      </c>
      <c r="AP4" s="159" t="s">
        <v>923</v>
      </c>
      <c r="AQ4" s="159" t="s">
        <v>923</v>
      </c>
      <c r="AR4" s="159" t="s">
        <v>923</v>
      </c>
      <c r="AS4" s="159" t="s">
        <v>923</v>
      </c>
      <c r="AT4" s="163" t="s">
        <v>923</v>
      </c>
      <c r="AU4" s="163" t="s">
        <v>923</v>
      </c>
      <c r="AV4" s="163" t="s">
        <v>923</v>
      </c>
      <c r="AW4" s="163" t="s">
        <v>923</v>
      </c>
      <c r="AX4" s="163" t="s">
        <v>923</v>
      </c>
      <c r="AY4" s="163" t="s">
        <v>923</v>
      </c>
      <c r="AZ4" s="163" t="s">
        <v>923</v>
      </c>
      <c r="BA4" s="163" t="s">
        <v>923</v>
      </c>
      <c r="BB4" s="163" t="s">
        <v>923</v>
      </c>
      <c r="BC4" s="163" t="s">
        <v>923</v>
      </c>
      <c r="BD4" s="163" t="s">
        <v>923</v>
      </c>
      <c r="BE4" s="163" t="s">
        <v>923</v>
      </c>
      <c r="BF4" s="163" t="s">
        <v>923</v>
      </c>
      <c r="BG4" s="163" t="s">
        <v>923</v>
      </c>
      <c r="BH4" s="163" t="s">
        <v>923</v>
      </c>
      <c r="BI4" s="163" t="s">
        <v>923</v>
      </c>
      <c r="BJ4" s="159" t="s">
        <v>923</v>
      </c>
      <c r="BK4" s="159" t="s">
        <v>923</v>
      </c>
      <c r="BL4" s="159" t="s">
        <v>923</v>
      </c>
      <c r="BM4" s="159" t="s">
        <v>923</v>
      </c>
      <c r="BN4" s="159" t="s">
        <v>923</v>
      </c>
      <c r="BO4" s="159" t="s">
        <v>923</v>
      </c>
      <c r="BP4" s="159" t="s">
        <v>923</v>
      </c>
      <c r="BQ4" s="159" t="s">
        <v>923</v>
      </c>
      <c r="BR4" s="159" t="s">
        <v>923</v>
      </c>
      <c r="BS4" s="159" t="s">
        <v>923</v>
      </c>
      <c r="BT4" s="159" t="s">
        <v>923</v>
      </c>
      <c r="BU4" s="159" t="s">
        <v>923</v>
      </c>
      <c r="BV4" s="159" t="s">
        <v>923</v>
      </c>
      <c r="BW4" s="159" t="s">
        <v>923</v>
      </c>
      <c r="BX4" s="159" t="s">
        <v>923</v>
      </c>
      <c r="BY4" s="159" t="s">
        <v>923</v>
      </c>
      <c r="BZ4" s="163" t="s">
        <v>923</v>
      </c>
      <c r="CA4" s="163" t="s">
        <v>923</v>
      </c>
      <c r="CB4" s="163" t="s">
        <v>923</v>
      </c>
      <c r="CC4" s="163" t="s">
        <v>923</v>
      </c>
      <c r="CD4" s="163" t="s">
        <v>923</v>
      </c>
      <c r="CE4" s="163" t="s">
        <v>923</v>
      </c>
      <c r="CF4" s="163" t="s">
        <v>923</v>
      </c>
      <c r="CG4" s="163" t="s">
        <v>923</v>
      </c>
      <c r="CH4" s="163" t="s">
        <v>923</v>
      </c>
      <c r="CI4" s="163" t="s">
        <v>923</v>
      </c>
      <c r="CJ4" s="163" t="s">
        <v>923</v>
      </c>
      <c r="CK4" s="163" t="s">
        <v>923</v>
      </c>
      <c r="CL4" s="163" t="s">
        <v>923</v>
      </c>
      <c r="CM4" s="163" t="s">
        <v>923</v>
      </c>
      <c r="CN4" s="163" t="s">
        <v>923</v>
      </c>
      <c r="CO4" s="163" t="s">
        <v>923</v>
      </c>
      <c r="CP4" s="159" t="s">
        <v>923</v>
      </c>
      <c r="CQ4" s="159" t="s">
        <v>923</v>
      </c>
      <c r="CR4" s="159" t="s">
        <v>923</v>
      </c>
      <c r="CS4" s="159" t="s">
        <v>923</v>
      </c>
      <c r="CT4" s="159" t="s">
        <v>923</v>
      </c>
      <c r="CU4" s="159" t="s">
        <v>923</v>
      </c>
      <c r="CV4" s="159" t="s">
        <v>923</v>
      </c>
      <c r="CW4" s="159" t="s">
        <v>923</v>
      </c>
      <c r="CX4" s="159" t="s">
        <v>923</v>
      </c>
      <c r="CY4" s="159" t="s">
        <v>923</v>
      </c>
      <c r="CZ4" s="159" t="s">
        <v>923</v>
      </c>
      <c r="DA4" s="159" t="s">
        <v>923</v>
      </c>
      <c r="DB4" s="159" t="s">
        <v>923</v>
      </c>
      <c r="DC4" s="159" t="s">
        <v>923</v>
      </c>
      <c r="DD4" s="159" t="s">
        <v>923</v>
      </c>
      <c r="DE4" s="159" t="s">
        <v>923</v>
      </c>
      <c r="DF4" s="163" t="s">
        <v>923</v>
      </c>
      <c r="DG4" s="163" t="s">
        <v>923</v>
      </c>
      <c r="DH4" s="163" t="s">
        <v>923</v>
      </c>
      <c r="DI4" s="163" t="s">
        <v>923</v>
      </c>
      <c r="DJ4" s="163" t="s">
        <v>923</v>
      </c>
      <c r="DK4" s="159" t="s">
        <v>923</v>
      </c>
      <c r="DL4" s="159" t="s">
        <v>923</v>
      </c>
      <c r="DM4" s="159" t="s">
        <v>923</v>
      </c>
      <c r="DN4" s="159" t="s">
        <v>923</v>
      </c>
      <c r="DO4" s="159" t="s">
        <v>923</v>
      </c>
      <c r="DP4" s="159" t="s">
        <v>923</v>
      </c>
      <c r="DQ4" s="159" t="s">
        <v>923</v>
      </c>
      <c r="DR4" s="159" t="s">
        <v>923</v>
      </c>
      <c r="DS4" s="159" t="s">
        <v>923</v>
      </c>
      <c r="DT4" s="159" t="s">
        <v>923</v>
      </c>
      <c r="DU4" s="163" t="s">
        <v>923</v>
      </c>
      <c r="DV4" s="163" t="s">
        <v>923</v>
      </c>
      <c r="DW4" s="163" t="s">
        <v>923</v>
      </c>
      <c r="DX4" s="163" t="s">
        <v>923</v>
      </c>
      <c r="DY4" s="163" t="s">
        <v>923</v>
      </c>
      <c r="DZ4" s="163" t="s">
        <v>923</v>
      </c>
      <c r="EA4" s="163" t="s">
        <v>923</v>
      </c>
      <c r="EB4" s="163" t="s">
        <v>923</v>
      </c>
      <c r="EC4" s="163" t="s">
        <v>923</v>
      </c>
      <c r="ED4" s="163" t="s">
        <v>923</v>
      </c>
      <c r="EE4" s="163" t="s">
        <v>923</v>
      </c>
      <c r="EF4" s="163" t="s">
        <v>923</v>
      </c>
      <c r="EG4" s="163" t="s">
        <v>923</v>
      </c>
      <c r="EH4" s="163" t="s">
        <v>923</v>
      </c>
      <c r="EI4" s="163" t="s">
        <v>923</v>
      </c>
      <c r="EJ4" s="163" t="s">
        <v>923</v>
      </c>
      <c r="EK4" s="159" t="s">
        <v>923</v>
      </c>
      <c r="EL4" s="159" t="s">
        <v>923</v>
      </c>
      <c r="EM4" s="159" t="s">
        <v>923</v>
      </c>
      <c r="EN4" s="159" t="s">
        <v>923</v>
      </c>
      <c r="EO4" s="163" t="s">
        <v>923</v>
      </c>
      <c r="EP4" s="163" t="s">
        <v>923</v>
      </c>
      <c r="EQ4" s="163" t="s">
        <v>923</v>
      </c>
      <c r="ER4" s="159" t="s">
        <v>923</v>
      </c>
      <c r="ES4" s="159" t="s">
        <v>923</v>
      </c>
      <c r="ET4" s="159" t="s">
        <v>923</v>
      </c>
      <c r="EU4" s="159" t="s">
        <v>923</v>
      </c>
      <c r="EV4" s="159" t="s">
        <v>923</v>
      </c>
      <c r="EW4" s="159" t="s">
        <v>923</v>
      </c>
      <c r="EX4" s="159" t="s">
        <v>923</v>
      </c>
      <c r="EY4" s="159" t="s">
        <v>923</v>
      </c>
      <c r="EZ4" s="159" t="s">
        <v>923</v>
      </c>
      <c r="FA4" s="159" t="s">
        <v>923</v>
      </c>
      <c r="FB4" s="159" t="s">
        <v>923</v>
      </c>
      <c r="FC4" s="159" t="s">
        <v>923</v>
      </c>
      <c r="FD4" s="163" t="s">
        <v>923</v>
      </c>
      <c r="FE4" s="163" t="s">
        <v>923</v>
      </c>
      <c r="FF4" s="163" t="s">
        <v>923</v>
      </c>
      <c r="FG4" s="163" t="s">
        <v>923</v>
      </c>
      <c r="FH4" s="163" t="s">
        <v>923</v>
      </c>
      <c r="FI4" s="163" t="s">
        <v>923</v>
      </c>
      <c r="FJ4" s="163" t="s">
        <v>923</v>
      </c>
      <c r="FK4" s="163" t="s">
        <v>923</v>
      </c>
      <c r="FL4" s="163" t="s">
        <v>923</v>
      </c>
      <c r="FM4" s="163" t="s">
        <v>923</v>
      </c>
      <c r="FN4" s="163" t="s">
        <v>923</v>
      </c>
      <c r="FO4" s="163" t="s">
        <v>923</v>
      </c>
      <c r="FP4" s="159" t="s">
        <v>923</v>
      </c>
      <c r="FQ4" s="159" t="s">
        <v>923</v>
      </c>
      <c r="FR4" s="159" t="s">
        <v>923</v>
      </c>
      <c r="FS4" s="159" t="s">
        <v>923</v>
      </c>
      <c r="FT4" s="159" t="s">
        <v>923</v>
      </c>
      <c r="FU4" s="159" t="s">
        <v>923</v>
      </c>
      <c r="FV4" s="163" t="s">
        <v>923</v>
      </c>
      <c r="FW4" s="163" t="s">
        <v>923</v>
      </c>
      <c r="FX4" s="163" t="s">
        <v>923</v>
      </c>
      <c r="FY4" s="163" t="s">
        <v>923</v>
      </c>
      <c r="FZ4" s="159" t="s">
        <v>923</v>
      </c>
      <c r="GA4" s="159" t="s">
        <v>923</v>
      </c>
      <c r="GB4" s="159" t="s">
        <v>923</v>
      </c>
      <c r="GC4" s="163" t="s">
        <v>923</v>
      </c>
      <c r="GD4" s="163" t="s">
        <v>923</v>
      </c>
      <c r="GE4" s="163" t="s">
        <v>923</v>
      </c>
      <c r="GF4" s="163" t="s">
        <v>923</v>
      </c>
      <c r="GG4" s="159" t="s">
        <v>923</v>
      </c>
      <c r="GH4" s="159" t="s">
        <v>923</v>
      </c>
      <c r="GI4" s="163" t="s">
        <v>923</v>
      </c>
      <c r="GJ4" s="163" t="s">
        <v>923</v>
      </c>
      <c r="GK4" s="163" t="s">
        <v>923</v>
      </c>
      <c r="GL4" s="163" t="s">
        <v>923</v>
      </c>
      <c r="GM4" s="159" t="s">
        <v>923</v>
      </c>
      <c r="GN4" s="159" t="s">
        <v>923</v>
      </c>
      <c r="GO4" s="163" t="s">
        <v>923</v>
      </c>
      <c r="GP4" s="163" t="s">
        <v>923</v>
      </c>
      <c r="GQ4" s="163" t="s">
        <v>923</v>
      </c>
      <c r="GR4" s="163" t="s">
        <v>923</v>
      </c>
      <c r="GS4" s="163" t="s">
        <v>923</v>
      </c>
      <c r="GT4" s="163" t="s">
        <v>923</v>
      </c>
      <c r="GU4" s="163" t="s">
        <v>923</v>
      </c>
      <c r="GV4" s="163" t="s">
        <v>923</v>
      </c>
      <c r="GW4" s="163" t="s">
        <v>923</v>
      </c>
      <c r="GX4" s="163" t="s">
        <v>923</v>
      </c>
      <c r="GY4" s="163" t="s">
        <v>923</v>
      </c>
      <c r="GZ4" s="163" t="s">
        <v>923</v>
      </c>
      <c r="HA4" s="163" t="s">
        <v>923</v>
      </c>
      <c r="HB4" s="163" t="s">
        <v>923</v>
      </c>
      <c r="HC4" s="159" t="s">
        <v>923</v>
      </c>
      <c r="HD4" s="159" t="s">
        <v>923</v>
      </c>
      <c r="HE4" s="159" t="s">
        <v>923</v>
      </c>
      <c r="HF4" s="159" t="s">
        <v>923</v>
      </c>
      <c r="HG4" s="159" t="s">
        <v>923</v>
      </c>
      <c r="HH4" s="159" t="s">
        <v>923</v>
      </c>
      <c r="HI4" s="159" t="s">
        <v>923</v>
      </c>
      <c r="HJ4" s="159" t="s">
        <v>923</v>
      </c>
      <c r="HK4" s="159" t="s">
        <v>923</v>
      </c>
      <c r="HL4" s="163" t="s">
        <v>923</v>
      </c>
      <c r="HM4" s="163" t="s">
        <v>923</v>
      </c>
      <c r="HN4" s="163" t="s">
        <v>923</v>
      </c>
      <c r="HO4" s="163" t="s">
        <v>923</v>
      </c>
      <c r="HP4" s="163" t="s">
        <v>923</v>
      </c>
      <c r="HQ4" s="163" t="s">
        <v>923</v>
      </c>
      <c r="HR4" s="163" t="s">
        <v>923</v>
      </c>
      <c r="HS4" s="163" t="s">
        <v>923</v>
      </c>
      <c r="HT4" s="159" t="s">
        <v>924</v>
      </c>
      <c r="HU4" s="163" t="s">
        <v>923</v>
      </c>
      <c r="HV4" s="163" t="s">
        <v>923</v>
      </c>
      <c r="HW4" s="163" t="s">
        <v>923</v>
      </c>
      <c r="HX4" s="163" t="s">
        <v>923</v>
      </c>
      <c r="HY4" s="163" t="s">
        <v>923</v>
      </c>
      <c r="HZ4" s="163" t="s">
        <v>923</v>
      </c>
      <c r="IA4" s="164" t="s">
        <v>923</v>
      </c>
      <c r="IB4" s="163" t="s">
        <v>923</v>
      </c>
      <c r="IC4" s="159" t="s">
        <v>923</v>
      </c>
      <c r="ID4" s="163" t="s">
        <v>923</v>
      </c>
      <c r="IE4" s="163" t="s">
        <v>923</v>
      </c>
      <c r="IF4" s="163" t="s">
        <v>923</v>
      </c>
      <c r="IG4" s="163" t="s">
        <v>923</v>
      </c>
      <c r="IH4" s="163" t="s">
        <v>923</v>
      </c>
      <c r="II4" s="159" t="s">
        <v>923</v>
      </c>
      <c r="IJ4" s="159" t="s">
        <v>923</v>
      </c>
      <c r="IK4" s="159" t="s">
        <v>923</v>
      </c>
      <c r="IL4" s="159" t="s">
        <v>923</v>
      </c>
      <c r="IM4" s="163" t="s">
        <v>923</v>
      </c>
      <c r="IN4" s="163" t="s">
        <v>923</v>
      </c>
      <c r="IO4" s="163" t="s">
        <v>923</v>
      </c>
      <c r="IP4" s="163" t="s">
        <v>923</v>
      </c>
      <c r="IQ4" s="163" t="s">
        <v>923</v>
      </c>
      <c r="IR4" s="159" t="s">
        <v>923</v>
      </c>
      <c r="IS4" s="159" t="s">
        <v>923</v>
      </c>
      <c r="IT4" s="159" t="s">
        <v>923</v>
      </c>
      <c r="IU4" s="159" t="s">
        <v>923</v>
      </c>
      <c r="IV4" s="159" t="s">
        <v>923</v>
      </c>
      <c r="IW4" s="159" t="s">
        <v>923</v>
      </c>
      <c r="IX4" s="159" t="s">
        <v>923</v>
      </c>
      <c r="IY4" s="159" t="s">
        <v>923</v>
      </c>
      <c r="IZ4" s="159" t="s">
        <v>923</v>
      </c>
      <c r="JA4" s="165" t="s">
        <v>925</v>
      </c>
      <c r="JB4" s="159" t="s">
        <v>923</v>
      </c>
      <c r="JC4" s="159" t="s">
        <v>923</v>
      </c>
      <c r="JD4" s="163" t="s">
        <v>923</v>
      </c>
      <c r="JE4" s="163" t="s">
        <v>923</v>
      </c>
      <c r="JF4" s="163" t="s">
        <v>923</v>
      </c>
      <c r="JG4" s="163" t="s">
        <v>923</v>
      </c>
      <c r="JH4" s="163" t="s">
        <v>923</v>
      </c>
      <c r="JI4" s="159" t="s">
        <v>923</v>
      </c>
      <c r="JJ4" s="159" t="s">
        <v>923</v>
      </c>
      <c r="JK4" s="159" t="s">
        <v>923</v>
      </c>
      <c r="JL4" s="159" t="s">
        <v>923</v>
      </c>
      <c r="JM4" s="159" t="s">
        <v>923</v>
      </c>
      <c r="JN4" s="163" t="s">
        <v>923</v>
      </c>
      <c r="JO4" s="163" t="s">
        <v>923</v>
      </c>
      <c r="JP4" s="163" t="s">
        <v>923</v>
      </c>
      <c r="JQ4" s="163" t="s">
        <v>923</v>
      </c>
      <c r="JR4" s="163" t="s">
        <v>923</v>
      </c>
      <c r="JS4" s="159" t="s">
        <v>923</v>
      </c>
      <c r="JT4" s="159" t="s">
        <v>923</v>
      </c>
      <c r="JU4" s="159" t="s">
        <v>925</v>
      </c>
      <c r="JV4" s="163" t="s">
        <v>926</v>
      </c>
      <c r="JW4" s="163" t="s">
        <v>926</v>
      </c>
      <c r="JX4" s="163" t="s">
        <v>925</v>
      </c>
      <c r="JY4" s="163" t="s">
        <v>925</v>
      </c>
      <c r="JZ4" s="163" t="s">
        <v>926</v>
      </c>
      <c r="KA4" s="163" t="s">
        <v>925</v>
      </c>
      <c r="KB4" s="163" t="s">
        <v>925</v>
      </c>
      <c r="KC4" s="163" t="s">
        <v>926</v>
      </c>
      <c r="KD4" s="163" t="s">
        <v>925</v>
      </c>
      <c r="KE4" s="163" t="s">
        <v>925</v>
      </c>
      <c r="KF4" s="163" t="s">
        <v>925</v>
      </c>
      <c r="KG4" s="163" t="s">
        <v>925</v>
      </c>
      <c r="KH4" s="163" t="s">
        <v>924</v>
      </c>
      <c r="KI4" s="163" t="s">
        <v>925</v>
      </c>
      <c r="KJ4" s="163" t="s">
        <v>925</v>
      </c>
      <c r="KK4" s="163" t="s">
        <v>925</v>
      </c>
      <c r="KL4" s="163" t="s">
        <v>925</v>
      </c>
      <c r="KM4" s="163" t="s">
        <v>925</v>
      </c>
      <c r="KN4" s="163" t="s">
        <v>925</v>
      </c>
      <c r="KO4" s="163" t="s">
        <v>925</v>
      </c>
      <c r="KP4" s="163" t="s">
        <v>925</v>
      </c>
      <c r="KQ4" s="163" t="s">
        <v>925</v>
      </c>
      <c r="KR4" s="163" t="s">
        <v>925</v>
      </c>
      <c r="KS4" s="163" t="s">
        <v>925</v>
      </c>
      <c r="KT4" s="163" t="s">
        <v>925</v>
      </c>
      <c r="KU4" s="163" t="s">
        <v>925</v>
      </c>
      <c r="KV4" s="163" t="s">
        <v>925</v>
      </c>
      <c r="KW4" s="163" t="s">
        <v>925</v>
      </c>
      <c r="KX4" s="163" t="s">
        <v>925</v>
      </c>
      <c r="KY4" s="163" t="s">
        <v>925</v>
      </c>
      <c r="KZ4" s="163" t="s">
        <v>925</v>
      </c>
      <c r="LA4" s="159" t="s">
        <v>927</v>
      </c>
      <c r="LB4" s="159" t="s">
        <v>927</v>
      </c>
      <c r="LC4" s="159" t="s">
        <v>927</v>
      </c>
      <c r="LD4" s="159" t="s">
        <v>927</v>
      </c>
      <c r="LE4" s="159" t="s">
        <v>927</v>
      </c>
      <c r="LF4" s="159" t="s">
        <v>927</v>
      </c>
      <c r="LG4" s="159" t="s">
        <v>927</v>
      </c>
      <c r="LH4" s="159" t="s">
        <v>927</v>
      </c>
      <c r="LI4" s="159" t="s">
        <v>927</v>
      </c>
      <c r="LJ4" s="159" t="s">
        <v>927</v>
      </c>
      <c r="LK4" s="159" t="s">
        <v>927</v>
      </c>
      <c r="LL4" s="159" t="s">
        <v>927</v>
      </c>
      <c r="LM4" s="159" t="s">
        <v>927</v>
      </c>
      <c r="LN4" s="159" t="s">
        <v>927</v>
      </c>
      <c r="LO4" s="159" t="s">
        <v>927</v>
      </c>
      <c r="LP4" s="159" t="s">
        <v>927</v>
      </c>
      <c r="LQ4" s="159" t="s">
        <v>927</v>
      </c>
      <c r="LR4" s="159" t="s">
        <v>927</v>
      </c>
      <c r="LS4" s="159" t="s">
        <v>928</v>
      </c>
      <c r="LT4" s="159" t="s">
        <v>927</v>
      </c>
      <c r="LU4" s="159" t="s">
        <v>927</v>
      </c>
      <c r="LV4" s="159" t="s">
        <v>927</v>
      </c>
      <c r="LW4" s="159" t="s">
        <v>927</v>
      </c>
      <c r="LX4" s="159" t="s">
        <v>927</v>
      </c>
      <c r="LY4" s="159" t="s">
        <v>927</v>
      </c>
      <c r="LZ4" s="159" t="s">
        <v>927</v>
      </c>
      <c r="MA4" s="159" t="s">
        <v>927</v>
      </c>
      <c r="MB4" s="163" t="s">
        <v>927</v>
      </c>
      <c r="MC4" s="163" t="s">
        <v>927</v>
      </c>
      <c r="MD4" s="163" t="s">
        <v>927</v>
      </c>
      <c r="ME4" s="163" t="s">
        <v>927</v>
      </c>
      <c r="MF4" s="163" t="s">
        <v>927</v>
      </c>
      <c r="MG4" s="163" t="s">
        <v>927</v>
      </c>
      <c r="MH4" s="163" t="s">
        <v>927</v>
      </c>
      <c r="MI4" s="163" t="s">
        <v>927</v>
      </c>
      <c r="MJ4" s="159" t="s">
        <v>927</v>
      </c>
      <c r="MK4" s="159" t="s">
        <v>927</v>
      </c>
      <c r="ML4" s="159" t="s">
        <v>927</v>
      </c>
      <c r="MM4" s="159" t="s">
        <v>927</v>
      </c>
      <c r="MN4" s="159" t="s">
        <v>927</v>
      </c>
      <c r="MO4" s="159" t="s">
        <v>927</v>
      </c>
      <c r="MP4" s="159" t="s">
        <v>927</v>
      </c>
      <c r="MQ4" s="159" t="s">
        <v>927</v>
      </c>
      <c r="MR4" s="159" t="s">
        <v>927</v>
      </c>
      <c r="MS4" s="159" t="s">
        <v>927</v>
      </c>
      <c r="MT4" s="159" t="s">
        <v>927</v>
      </c>
      <c r="MU4" s="159" t="s">
        <v>927</v>
      </c>
      <c r="MV4" s="159" t="s">
        <v>927</v>
      </c>
      <c r="MW4" s="159" t="s">
        <v>927</v>
      </c>
      <c r="MX4" s="159" t="s">
        <v>927</v>
      </c>
      <c r="MY4" s="159" t="s">
        <v>927</v>
      </c>
      <c r="MZ4" s="159" t="s">
        <v>927</v>
      </c>
      <c r="NA4" s="159" t="s">
        <v>927</v>
      </c>
      <c r="NB4" s="163" t="s">
        <v>929</v>
      </c>
      <c r="NC4" s="163" t="s">
        <v>929</v>
      </c>
      <c r="ND4" s="163" t="s">
        <v>929</v>
      </c>
      <c r="NE4" s="163" t="s">
        <v>929</v>
      </c>
      <c r="NF4" s="163" t="s">
        <v>929</v>
      </c>
      <c r="NG4" s="163" t="s">
        <v>929</v>
      </c>
      <c r="NH4" s="163" t="s">
        <v>929</v>
      </c>
      <c r="NI4" s="163" t="s">
        <v>929</v>
      </c>
      <c r="NJ4" s="163" t="s">
        <v>929</v>
      </c>
      <c r="NK4" s="163" t="s">
        <v>929</v>
      </c>
      <c r="NL4" s="163" t="s">
        <v>929</v>
      </c>
      <c r="NM4" s="163" t="s">
        <v>929</v>
      </c>
      <c r="NN4" s="163" t="s">
        <v>929</v>
      </c>
      <c r="NO4" s="163" t="s">
        <v>929</v>
      </c>
      <c r="NP4" s="163" t="s">
        <v>929</v>
      </c>
      <c r="NQ4" s="163" t="s">
        <v>929</v>
      </c>
      <c r="NR4" s="163" t="s">
        <v>929</v>
      </c>
      <c r="NS4" s="163" t="s">
        <v>929</v>
      </c>
      <c r="NT4" s="159" t="s">
        <v>930</v>
      </c>
      <c r="NU4" s="159" t="s">
        <v>930</v>
      </c>
      <c r="NV4" s="159" t="s">
        <v>930</v>
      </c>
      <c r="NW4" s="159" t="s">
        <v>930</v>
      </c>
      <c r="NX4" s="159" t="s">
        <v>930</v>
      </c>
      <c r="NY4" s="159" t="s">
        <v>930</v>
      </c>
      <c r="NZ4" s="159" t="s">
        <v>930</v>
      </c>
      <c r="OA4" s="159" t="s">
        <v>930</v>
      </c>
      <c r="OB4" s="159" t="s">
        <v>930</v>
      </c>
      <c r="OC4" s="159" t="s">
        <v>930</v>
      </c>
      <c r="OD4" s="159" t="s">
        <v>930</v>
      </c>
      <c r="OE4" s="159" t="s">
        <v>930</v>
      </c>
      <c r="OF4" s="159" t="s">
        <v>930</v>
      </c>
      <c r="OG4" s="159" t="s">
        <v>930</v>
      </c>
      <c r="OH4" s="159" t="s">
        <v>930</v>
      </c>
      <c r="OI4" s="159" t="s">
        <v>930</v>
      </c>
      <c r="OJ4" s="159" t="s">
        <v>930</v>
      </c>
      <c r="OK4" s="159" t="s">
        <v>930</v>
      </c>
      <c r="OL4" s="159" t="s">
        <v>930</v>
      </c>
      <c r="OM4" s="159" t="s">
        <v>930</v>
      </c>
      <c r="ON4" s="159" t="s">
        <v>930</v>
      </c>
      <c r="OO4" s="159" t="s">
        <v>930</v>
      </c>
      <c r="OP4" s="159" t="s">
        <v>930</v>
      </c>
      <c r="OQ4" s="159" t="s">
        <v>930</v>
      </c>
      <c r="OR4" s="159" t="s">
        <v>930</v>
      </c>
      <c r="OS4" s="159" t="s">
        <v>930</v>
      </c>
      <c r="OT4" s="163" t="s">
        <v>931</v>
      </c>
      <c r="OU4" s="163" t="s">
        <v>931</v>
      </c>
      <c r="OV4" s="163" t="s">
        <v>931</v>
      </c>
      <c r="OW4" s="163" t="s">
        <v>931</v>
      </c>
      <c r="OX4" s="163" t="s">
        <v>931</v>
      </c>
      <c r="OY4" s="159" t="s">
        <v>923</v>
      </c>
      <c r="OZ4" s="159" t="s">
        <v>923</v>
      </c>
    </row>
    <row r="5" spans="4:409" ht="13.2" customHeight="1">
      <c r="D5" t="str">
        <f>IF('Tube Cutting'!C11="","",CONCATENATE(Data!BC$5,".",Data!BD$5))</f>
        <v>12085.A</v>
      </c>
      <c r="E5">
        <f>IF(D5="","",Data!AW11)</f>
        <v>1</v>
      </c>
      <c r="F5" t="str">
        <f>IF(D5="","",Data!AV11)</f>
        <v>d77c44a3-0aeb-4cea-a71f-d27584d2a764</v>
      </c>
      <c r="G5" t="str">
        <f>IF(D5="","",'Tube Cutting'!C11)</f>
        <v>Verticali</v>
      </c>
      <c r="H5" t="str">
        <f>IF(D5="","",Data!BF$5)</f>
        <v>Campbell, Neil</v>
      </c>
      <c r="I5" t="str">
        <f>IF(D5="","",Data!AX$5)</f>
        <v>Verticali Patio Blinds &amp; Fixed Guide Awnings</v>
      </c>
      <c r="J5" s="116" t="str">
        <f>'Job Sheet'!L11</f>
        <v xml:space="preserve"> HVG Visiontex Glisse Sunscreen Naxos</v>
      </c>
      <c r="K5">
        <f>IF(D5="","",L5*M5/1000000)</f>
        <v>11.7791</v>
      </c>
      <c r="L5" s="115">
        <f>'Fabric Cutting'!E11</f>
        <v>3862</v>
      </c>
      <c r="M5" s="115">
        <f>'Fabric Cutting'!F11</f>
        <v>3050</v>
      </c>
      <c r="N5" t="str">
        <f>IF(AND('Tube Cutting'!G11="Colourbond Under-Roll Hooding",'Tube Cutting'!H11="Custom Powdercoat"),'Tube Cutting'!D11,"")</f>
        <v/>
      </c>
      <c r="O5" t="str">
        <f>IF(AND('Tube Cutting'!G11="Colourbond Under-Roll Hooding",'Tube Cutting'!H11="Ebony (Black)"),'Tube Cutting'!D11,"")</f>
        <v/>
      </c>
      <c r="P5" t="str">
        <f>IF(AND('Tube Cutting'!G11="Colourbond Under-Roll Hooding",'Tube Cutting'!H11="Caulfield Green"),'Tube Cutting'!D11,"")</f>
        <v/>
      </c>
      <c r="Q5" t="str">
        <f>IF(AND('Tube Cutting'!G11="Colourbond Under-Roll Hooding",'Tube Cutting'!H11="Charcoal (Monument)"),'Tube Cutting'!D11,"")</f>
        <v/>
      </c>
      <c r="R5" t="str">
        <f>IF(AND('Tube Cutting'!G11="Colourbond Under-Roll Hooding",'Tube Cutting'!H11="Dune"),'Tube Cutting'!D11,"")</f>
        <v/>
      </c>
      <c r="S5" t="str">
        <f>IF(AND('Tube Cutting'!G11="Colourbond Under-Roll Hooding",'Tube Cutting'!H11="Heritage Red (Manor Red)"),'Tube Cutting'!D11,"")</f>
        <v/>
      </c>
      <c r="T5" t="str">
        <f>IF(AND('Tube Cutting'!G11="Colourbond Under-Roll Hooding",'Tube Cutting'!H11="Ironstone"),'Tube Cutting'!D11,"")</f>
        <v/>
      </c>
      <c r="U5" t="str">
        <f>IF(AND('Tube Cutting'!G11="Colourbond Under-Roll Hooding",'Tube Cutting'!H11="Jasper"),'Tube Cutting'!D11,"")</f>
        <v/>
      </c>
      <c r="V5" t="str">
        <f>IF(AND('Tube Cutting'!G11="Colourbond Under-Roll Hooding",'Tube Cutting'!H11="Merino (Paperbark)"),'Tube Cutting'!D11,"")</f>
        <v/>
      </c>
      <c r="W5" t="str">
        <f>IF(AND('Tube Cutting'!G11="Colourbond Under-Roll Hooding",'Tube Cutting'!H11="Mist Green"),'Tube Cutting'!D11,"")</f>
        <v/>
      </c>
      <c r="X5" t="str">
        <f>IF(AND('Tube Cutting'!G11="Colourbond Under-Roll Hooding",'Tube Cutting'!H11="Mountain Blue"),'Tube Cutting'!D11,"")</f>
        <v/>
      </c>
      <c r="Y5" t="str">
        <f>IF(AND('Tube Cutting'!G11="Colourbond Under-Roll Hooding",'Tube Cutting'!H11="Smooth Cream (Classic Cream)"),'Tube Cutting'!D11,"")</f>
        <v/>
      </c>
      <c r="Z5" t="str">
        <f>IF(AND('Tube Cutting'!G11="Colourbond Under-Roll Hooding",'Tube Cutting'!H11="Shale Grey"),'Tube Cutting'!D11,"")</f>
        <v/>
      </c>
      <c r="AA5" t="str">
        <f>IF(AND('Tube Cutting'!G11="Colourbond Under-Roll Hooding",'Tube Cutting'!H11="Slate Grey (Woodland Grey)"),'Tube Cutting'!D11,"")</f>
        <v/>
      </c>
      <c r="AB5" t="str">
        <f>IF(AND('Tube Cutting'!G11="Colourbond Under-Roll Hooding",'Tube Cutting'!H11="Surfmist"),'Tube Cutting'!D11,"")</f>
        <v/>
      </c>
      <c r="AC5" t="str">
        <f>IF(AND('Tube Cutting'!G11="Colourbond Under-Roll Hooding",'Tube Cutting'!H11="White"),'Tube Cutting'!D11,"")</f>
        <v/>
      </c>
      <c r="AT5" t="str">
        <f>IF(AND('Tube Cutting'!G11="Colourbond Under-Roll Hooding",'Tube Cutting'!H11="Custom Powdercoat"),1,"")</f>
        <v/>
      </c>
      <c r="AU5" t="str">
        <f>IF(AND('Tube Cutting'!G11="Colourbond Under-Roll Hooding",'Tube Cutting'!H11="Ebony (Black)"),1,"")</f>
        <v/>
      </c>
      <c r="AV5" t="str">
        <f>IF(AND('Tube Cutting'!G11="Colourbond Under-Roll Hooding",'Tube Cutting'!H11="Caulfield Green"),1,"")</f>
        <v/>
      </c>
      <c r="AW5" t="str">
        <f>IF(AND('Tube Cutting'!G11="Colourbond Under-Roll Hooding",'Tube Cutting'!H11="Charcoal (Monument)"),1,"")</f>
        <v/>
      </c>
      <c r="AX5" t="str">
        <f>IF(AND('Tube Cutting'!G11="Colourbond Under-Roll Hooding",'Tube Cutting'!H11="Dune"),1,"")</f>
        <v/>
      </c>
      <c r="AY5" t="str">
        <f>IF(AND('Tube Cutting'!G11="Colourbond Under-Roll Hooding",'Tube Cutting'!H11="Heritage Red (Manor Red)"),1,"")</f>
        <v/>
      </c>
      <c r="AZ5" t="str">
        <f>IF(AND('Tube Cutting'!G11="Colourbond Under-Roll Hooding",'Tube Cutting'!H11="Ironstone"),1,"")</f>
        <v/>
      </c>
      <c r="BA5" t="str">
        <f>IF(AND('Tube Cutting'!G11="Colourbond Under-Roll Hooding",'Tube Cutting'!H11="Jasper"),1,"")</f>
        <v/>
      </c>
      <c r="BB5" t="str">
        <f>IF(AND('Tube Cutting'!G11="Colourbond Under-Roll Hooding",'Tube Cutting'!H11="Merino (Paperbark)"),1,"")</f>
        <v/>
      </c>
      <c r="BC5" t="str">
        <f>IF(AND('Tube Cutting'!G11="Colourbond Under-Roll Hooding",'Tube Cutting'!H11="Mist Green"),1,"")</f>
        <v/>
      </c>
      <c r="BD5" t="str">
        <f>IF(AND('Tube Cutting'!G11="Colourbond Under-Roll Hooding",'Tube Cutting'!H11="Mountain Blue"),1,"")</f>
        <v/>
      </c>
      <c r="BE5" t="str">
        <f>IF(AND('Tube Cutting'!G11="Colourbond Under-Roll Hooding",'Tube Cutting'!H11="Smooth Cream (Classic Cream)"),1,"")</f>
        <v/>
      </c>
      <c r="BF5" t="str">
        <f>IF(AND('Tube Cutting'!G11="Colourbond Under-Roll Hooding",'Tube Cutting'!H11="Shale Grey"),1,"")</f>
        <v/>
      </c>
      <c r="BG5" t="str">
        <f>IF(AND('Tube Cutting'!G11="Colourbond Under-Roll Hooding",'Tube Cutting'!H11="Slate Grey (Woodland Grey)"),1,"")</f>
        <v/>
      </c>
      <c r="BH5" t="str">
        <f>IF(AND('Tube Cutting'!G11="Colourbond Under-Roll Hooding",'Tube Cutting'!H11="Surfmist"),1,"")</f>
        <v/>
      </c>
      <c r="BI5" t="str">
        <f>IF(AND('Tube Cutting'!G11="Colourbond Under-Roll Hooding",'Tube Cutting'!H11="White"),1,"")</f>
        <v/>
      </c>
      <c r="BJ5" t="str">
        <f>IF(AND('Tube Cutting'!G11="Colourbond Over-Roll Hooding",'Tube Cutting'!H11="Custom Powdercoat"),'Tube Cutting'!D11,"")</f>
        <v/>
      </c>
      <c r="BK5" t="str">
        <f>IF(AND('Tube Cutting'!G11="Colourbond Over-Roll Hooding",'Tube Cutting'!H11="Ebony (Black)"),'Tube Cutting'!D11,"")</f>
        <v/>
      </c>
      <c r="BL5" t="str">
        <f>IF(AND('Tube Cutting'!G11="Colourbond Over-Roll Hooding",'Tube Cutting'!H11="Caulfield Green"),'Tube Cutting'!D11,"")</f>
        <v/>
      </c>
      <c r="BM5" t="str">
        <f>IF(AND('Tube Cutting'!G11="Colourbond Over-Roll Hooding",'Tube Cutting'!H11="Charcoal (Monument)"),'Tube Cutting'!D11,"")</f>
        <v/>
      </c>
      <c r="BN5" t="str">
        <f>IF(AND('Tube Cutting'!G11="Colourbond Over-Roll Hooding",'Tube Cutting'!H11="Dune"),'Tube Cutting'!D11,"")</f>
        <v/>
      </c>
      <c r="BO5" t="str">
        <f>IF(AND('Tube Cutting'!G11="Colourbond Over-Roll Hooding",'Tube Cutting'!H11="Heritage Red (Manor Red)"),'Tube Cutting'!D11,"")</f>
        <v/>
      </c>
      <c r="BP5" t="str">
        <f>IF(AND('Tube Cutting'!G11="Colourbond Over-Roll Hooding",'Tube Cutting'!H11="Ironstone"),'Tube Cutting'!D11,"")</f>
        <v/>
      </c>
      <c r="BQ5" t="str">
        <f>IF(AND('Tube Cutting'!G11="Colourbond Over-Roll Hooding",'Tube Cutting'!H11="Jasper"),'Tube Cutting'!D11,"")</f>
        <v/>
      </c>
      <c r="BR5" t="str">
        <f>IF(AND('Tube Cutting'!G11="Colourbond Over-Roll Hooding",'Tube Cutting'!H11="Merino (Paperbark)"),'Tube Cutting'!D11,"")</f>
        <v/>
      </c>
      <c r="BS5" t="str">
        <f>IF(AND('Tube Cutting'!G11="Colourbond Over-Roll Hooding",'Tube Cutting'!H11="Mist Green"),'Tube Cutting'!D11,"")</f>
        <v/>
      </c>
      <c r="BT5" t="str">
        <f>IF(AND('Tube Cutting'!G11="Colourbond Over-Roll Hooding",'Tube Cutting'!H11="Mountain Blue"),'Tube Cutting'!D11,"")</f>
        <v/>
      </c>
      <c r="BU5" t="str">
        <f>IF(AND('Tube Cutting'!G11="Colourbond Over-Roll Hooding",'Tube Cutting'!H11="Smooth Cream (Classic Cream)"),'Tube Cutting'!D11,"")</f>
        <v/>
      </c>
      <c r="BV5" t="str">
        <f>IF(AND('Tube Cutting'!G11="Colourbond Over-Roll Hooding",'Tube Cutting'!H11="Shale Grey"),'Tube Cutting'!D11,"")</f>
        <v/>
      </c>
      <c r="BW5" t="str">
        <f>IF(AND('Tube Cutting'!G11="Colourbond Over-Roll Hooding",'Tube Cutting'!H11="Slate Grey (Woodland Grey)"),'Tube Cutting'!D11,"")</f>
        <v/>
      </c>
      <c r="BX5" t="str">
        <f>IF(AND('Tube Cutting'!G11="Colourbond Over-Roll Hooding",'Tube Cutting'!H11="Surfmist"),'Tube Cutting'!D11,"")</f>
        <v/>
      </c>
      <c r="BY5" t="str">
        <f>IF(AND('Tube Cutting'!G11="Colourbond Over-Roll Hooding",'Tube Cutting'!H11="Mist"),'Tube Cutting'!D11,"")</f>
        <v/>
      </c>
      <c r="CP5" t="str">
        <f>IF(AND('Tube Cutting'!G11="Colourbond Over-Roll Hooding",'Tube Cutting'!H11="Custom Powdercoat"),1,"")</f>
        <v/>
      </c>
      <c r="CQ5" t="str">
        <f>IF(AND('Tube Cutting'!G11="Colourbond Over-Roll Hooding",'Tube Cutting'!H11="Ebony (Black)"),1,"")</f>
        <v/>
      </c>
      <c r="CR5" t="str">
        <f>IF(AND('Tube Cutting'!G11="Colourbond Over-Roll Hooding",'Tube Cutting'!H11="Caulfield Green"),1,"")</f>
        <v/>
      </c>
      <c r="CS5" t="str">
        <f>IF(AND('Tube Cutting'!G11="Colourbond Over-Roll Hooding",'Tube Cutting'!H11="Charcoal (Monument)"),1,"")</f>
        <v/>
      </c>
      <c r="CT5" t="str">
        <f>IF(AND('Tube Cutting'!G11="Colourbond Over-Roll Hooding",'Tube Cutting'!H11="Dune"),1,"")</f>
        <v/>
      </c>
      <c r="CU5" t="str">
        <f>IF(AND('Tube Cutting'!G11="Colourbond Over-Roll Hooding",'Tube Cutting'!H11="Heritage Red (Manor Red)"),1,"")</f>
        <v/>
      </c>
      <c r="CV5" t="str">
        <f>IF(AND('Tube Cutting'!G11="Colourbond Over-Roll Hooding",'Tube Cutting'!H11="Ironstone"),1,"")</f>
        <v/>
      </c>
      <c r="CW5" t="str">
        <f>IF(AND('Tube Cutting'!G11="Colourbond Over-Roll Hooding",'Tube Cutting'!H11="Jasper"),1,"")</f>
        <v/>
      </c>
      <c r="CX5" t="str">
        <f>IF(AND('Tube Cutting'!G11="Colourbond Over-Roll Hooding",'Tube Cutting'!H11="Merino (Paperbark)"),1,"")</f>
        <v/>
      </c>
      <c r="CY5" t="str">
        <f>IF(AND('Tube Cutting'!G11="Colourbond Over-Roll Hooding",'Tube Cutting'!H11="Mist Green"),1,"")</f>
        <v/>
      </c>
      <c r="CZ5" t="str">
        <f>IF(AND('Tube Cutting'!G11="Colourbond Over-Roll Hooding",'Tube Cutting'!H11="Mountain Blue"),1,"")</f>
        <v/>
      </c>
      <c r="DA5" t="str">
        <f>IF(AND('Tube Cutting'!G11="Colourbond Over-Roll Hooding",'Tube Cutting'!H11="Smooth Cream (Classic Cream)"),1,"")</f>
        <v/>
      </c>
      <c r="DB5" t="str">
        <f>IF(AND('Tube Cutting'!G11="Colourbond Over-Roll Hooding",'Tube Cutting'!H11="Shale Grey"),1,"")</f>
        <v/>
      </c>
      <c r="DC5" t="str">
        <f>IF(AND('Tube Cutting'!G11="Colourbond Over-Roll Hooding",'Tube Cutting'!H11="Slate Grey (Woodland Grey)"),1,"")</f>
        <v/>
      </c>
      <c r="DD5" t="str">
        <f>IF(AND('Tube Cutting'!G11="Colourbond Over-Roll Hooding",'Tube Cutting'!H11="Surfmist"),1,"")</f>
        <v/>
      </c>
      <c r="DE5" t="str">
        <f>IF(AND('Tube Cutting'!G11="Colourbond Over-Roll Hooding",'Tube Cutting'!H11="Mist"),1,"")</f>
        <v/>
      </c>
      <c r="DI5">
        <f>IF('Tube Cutting'!P11="78mm",'Tube Cutting'!Q11,"")</f>
        <v>3835</v>
      </c>
      <c r="DJ5" t="str">
        <f>IF('Tube Cutting'!P11="85mm Tube",'Tube Cutting'!Q11,"")</f>
        <v/>
      </c>
      <c r="DM5" t="str">
        <f>IF(AND('Tube Cutting'!C11="Zipscreen",'Job Sheet'!M11="Gearbox"),1,"")</f>
        <v/>
      </c>
      <c r="DN5" t="str">
        <f>IF('Tube Cutting'!C11="Zipscreen",1,"")</f>
        <v/>
      </c>
      <c r="EK5">
        <f>IF(D5="","",1)</f>
        <v>1</v>
      </c>
      <c r="GM5" t="str">
        <f>IF(AND('Job Sheet'!M11="Gearbox",'Job Sheet'!N11="Black"),1,"")</f>
        <v/>
      </c>
      <c r="GN5" t="str">
        <f>IF(AND('Job Sheet'!M11="Gearbox",'Job Sheet'!N11="White"),1,"")</f>
        <v/>
      </c>
      <c r="GO5" t="str">
        <f>IF('Job Sheet'!Q11="Black Crank Handle 1000mm",1,"")</f>
        <v/>
      </c>
      <c r="GP5" t="str">
        <f>IF('Job Sheet'!Q11="Black Crank Handle 1200mm",1,"")</f>
        <v/>
      </c>
      <c r="GQ5" t="str">
        <f>IF('Job Sheet'!Q11="Black Crank Handle 1500mm",1,"")</f>
        <v/>
      </c>
      <c r="GR5" t="str">
        <f>IF('Job Sheet'!Q11="Black Crank Handle 1800mm",1,"")</f>
        <v/>
      </c>
      <c r="GS5" t="str">
        <f>IF('Job Sheet'!Q11="Black Crank Handle 2200mm",1,"")</f>
        <v/>
      </c>
      <c r="GT5" t="str">
        <f>IF('Job Sheet'!Q11="Black Crank Handle 2500mm",1,"")</f>
        <v/>
      </c>
      <c r="GU5" t="str">
        <f>IF('Job Sheet'!Q11="Black Crank Handle 3000mm",1,"")</f>
        <v/>
      </c>
      <c r="GV5" t="str">
        <f>IF('Job Sheet'!Q11="White Crank Handle 1000mm",1,"")</f>
        <v/>
      </c>
      <c r="GW5" t="str">
        <f>IF('Job Sheet'!Q11="White Crank Handle 1200mm",1,"")</f>
        <v/>
      </c>
      <c r="GX5" t="str">
        <f>IF('Job Sheet'!Q11="White Crank Handle 1500mm",1,"")</f>
        <v/>
      </c>
      <c r="GY5" t="str">
        <f>IF('Job Sheet'!Q11="White Crank Handle 1800mm",1,"")</f>
        <v/>
      </c>
      <c r="GZ5" t="str">
        <f>IF('Job Sheet'!Q11="White Crank Handle 2200mm",1,"")</f>
        <v/>
      </c>
      <c r="HA5" t="str">
        <f>IF('Job Sheet'!Q11="White Crank Handle 2500mm",1,"")</f>
        <v/>
      </c>
      <c r="HB5" t="str">
        <f>IF('Job Sheet'!Q11="White Crank Handle 3000mm",1,"")</f>
        <v/>
      </c>
      <c r="IM5" t="str">
        <f>IF(OR('Job Sheet'!V11&lt;&gt;"Pearl White",'Job Sheet'!V11&lt;&gt;"White Satin"),"",2)</f>
        <v/>
      </c>
      <c r="IN5" t="str">
        <f>IF(AND('Job Sheet'!U11="Powder Coated Brackets",(OR('Job Sheet'!V11="Pearl White",'Job Sheet'!V11="White Satin"))),2,"")</f>
        <v/>
      </c>
      <c r="IQ5" t="str">
        <f>IF('Job Sheet'!U11="Stainless Steel Brackets",2,"")</f>
        <v/>
      </c>
      <c r="JN5" t="str">
        <f>IF('Job Sheet'!AA11="25mm x 1",1,IF('Job Sheet'!AA11="25mm x 2",2,""))</f>
        <v/>
      </c>
      <c r="JO5" t="str">
        <f>IF('Job Sheet'!AA11="50mm x 1",1,IF('Job Sheet'!AA11="50mm x 2",2,""))</f>
        <v/>
      </c>
      <c r="JP5" t="str">
        <f>IF('Job Sheet'!AA11="75mm x 1",1,IF('Job Sheet'!AA11="75mm x 2",2,""))</f>
        <v/>
      </c>
      <c r="JQ5" t="str">
        <f>IF('Job Sheet'!AA11="100mm x 1",1,IF('Job Sheet'!AA11="100mm x 2",2,""))</f>
        <v/>
      </c>
      <c r="JR5" t="str">
        <f>IF('Job Sheet'!AA11="125mm x 1",1,IF('Job Sheet'!AA11="125mm x 2",2,""))</f>
        <v/>
      </c>
      <c r="JT5">
        <f>IF('Fabric Cutting'!L11="6mm Black",'Fabric Cutting'!E11,+IF('Fabric Cutting'!M11="6mm Black",'Fabric Cutting'!E11,""))</f>
        <v>3862</v>
      </c>
      <c r="JU5">
        <f>IF('Job Sheet'!K11="1.Verticali",'Fabric Cutting'!E11,"")</f>
        <v>3862</v>
      </c>
      <c r="JV5" t="str">
        <f>IF('Tube Cutting'!G11="Verticali Hooding (Old)",'Tube Cutting'!F11,"")</f>
        <v/>
      </c>
      <c r="JW5" t="str">
        <f>IF('Tube Cutting'!G11="Verticali Hooding (Old)",'Tube Cutting'!F11,"")</f>
        <v/>
      </c>
      <c r="JX5">
        <f>IF('Tube Cutting'!G11="Verticali Square Hooding",'Tube Cutting'!F11,"")</f>
        <v>3965</v>
      </c>
      <c r="JY5">
        <f>IF('Tube Cutting'!G11="Verticali Square Hooding",'Tube Cutting'!F11,"")</f>
        <v>3965</v>
      </c>
      <c r="KA5">
        <f>IF('Tube Cutting'!C11="Verticali",('Job Sheet'!G11-100)*2,"")</f>
        <v>5100</v>
      </c>
      <c r="KB5">
        <f>IF('Tube Cutting'!C11="Verticali",('Job Sheet'!G11-100)*2,"")</f>
        <v>5100</v>
      </c>
      <c r="KC5">
        <f>IF('Tube Cutting'!C11="Verticali",'Tube Cutting'!N11,"")</f>
        <v>3812</v>
      </c>
      <c r="KD5">
        <f>IF('Tube Cutting'!C11="Verticali",('Job Sheet'!G11-100)*2,"")</f>
        <v>5100</v>
      </c>
      <c r="KE5">
        <f>IF(Data!AV11="","",('Fabric Cutting'!F11-200)*2)</f>
        <v>5700</v>
      </c>
      <c r="KF5">
        <f>IF(OR(Data!AV11="",'Fabric Cutting'!C11&lt;&gt;"Verticali"),"",IF('Assembly(a)'!K11="",20,'Assembly(a)'!G11-1980))</f>
        <v>1832</v>
      </c>
      <c r="KG5">
        <f>IF('Tube Cutting'!C11="Verticali",'Tube Cutting'!N11,"")</f>
        <v>3812</v>
      </c>
      <c r="KH5">
        <f>IF(AND('Tube Cutting'!C11="Verticali",'Tube Cutting'!N11&lt;2000),'Tube Cutting'!N11-10,IF(AND('Tube Cutting'!C11="Verticali",'Tube Cutting'!N11&gt;2000),2000,""))</f>
        <v>2000</v>
      </c>
      <c r="KI5" t="str">
        <f>IF('Tube Cutting'!G11="Verticali Hooding (Old)",1,"")</f>
        <v/>
      </c>
      <c r="KJ5">
        <f>IF('Tube Cutting'!G11="Verticali Square Hooding",1,"")</f>
        <v>1</v>
      </c>
      <c r="KL5" t="str">
        <f>IF('Tube Cutting'!G11="Verticali Colourbond Hooding",1,"")</f>
        <v/>
      </c>
      <c r="KM5">
        <f>IF(AND('Tube Cutting'!C11="Verticali",'Tube Cutting'!P11="78mm"),2,"")</f>
        <v>2</v>
      </c>
      <c r="KN5" t="str">
        <f>IF(AND('Tube Cutting'!C11="Verticali",'Tube Cutting'!P11="85mm Tube"),2,"")</f>
        <v/>
      </c>
      <c r="KP5" t="str">
        <f>IF(AND('Tube Cutting'!C11="Verticali",'Job Sheet'!M11="Gearbox"),1,"")</f>
        <v/>
      </c>
      <c r="KQ5">
        <f>IF('Tube Cutting'!C11="Verticali",1,"")</f>
        <v>1</v>
      </c>
      <c r="KS5" t="str">
        <f>IF(OR('Job Sheet'!AB11="Foot 1 Side",'Job Sheet'!AB11="Leg &amp; Foot 1 Side",'Job Sheet'!AB11="End Cap 1 Side"),1,IF(OR('Job Sheet'!AB11="Foot Both Sides",'Job Sheet'!AB11="Leg &amp; Foot Both Sides",'Job Sheet'!AB11="End Cap Both Sides"),2,""))</f>
        <v/>
      </c>
      <c r="KT5" t="str">
        <f>IF(OR('Job Sheet'!AB11="Leg 1 Side",'Job Sheet'!AB11="Leg &amp; Foot 1 Side"),1,IF(OR('Job Sheet'!AB11="Leg Both Sides",'Job Sheet'!AB11="Leg &amp; Foot Both Sides",),2,""))</f>
        <v/>
      </c>
      <c r="KU5">
        <f>IF('Tube Cutting'!C11="Verticali",2,"")</f>
        <v>2</v>
      </c>
      <c r="KW5">
        <f>IF('Tube Cutting'!C11="Verticali",2,"")</f>
        <v>2</v>
      </c>
      <c r="KX5">
        <f>IF(Packing!L11="1 Pair",1,IF(Packing!L11="2 Pairs",2,""))</f>
        <v>2</v>
      </c>
      <c r="KZ5" t="str">
        <f>IF('Tube Cutting'!G11="Verticali Base Rail",2,"")</f>
        <v/>
      </c>
      <c r="LA5" t="str">
        <f>IF('Tube Cutting'!G11="Zipscreen Hooding",'Tube Cutting'!F11,"")</f>
        <v/>
      </c>
      <c r="LB5" t="str">
        <f>IF('Tube Cutting'!G11="Zipscreen Hooding",'Tube Cutting'!F11,"")</f>
        <v/>
      </c>
      <c r="LD5" t="str">
        <f>IF('Tube Cutting'!G11="Zipscreen Hooding",1,"")</f>
        <v/>
      </c>
      <c r="LE5" t="str">
        <f>IF('Job Sheet'!AO11="Compact",1,"")</f>
        <v/>
      </c>
      <c r="LF5" t="str">
        <f>IF('Job Sheet'!AO11="Light",1,"")</f>
        <v/>
      </c>
      <c r="LG5" t="str">
        <f>IF('Job Sheet'!AO11="Standard",1,"")</f>
        <v/>
      </c>
      <c r="LH5" t="str">
        <f>IF('Job Sheet'!AO11="Heavy Duty",1,"")</f>
        <v/>
      </c>
      <c r="LI5" t="str">
        <f>IF('Job Sheet'!AO11="Extra Heavy Duty",1,"")</f>
        <v/>
      </c>
      <c r="LJ5" t="str">
        <f>IF('Job Sheet'!AO11="Ultra Heavy Duty",1,"")</f>
        <v/>
      </c>
      <c r="LK5" t="str">
        <f>IF('Tube Cutting'!C11="Zipscreen",2,"")</f>
        <v/>
      </c>
      <c r="LM5" t="str">
        <f>IF(AND('Job Sheet'!K11="2.Zipscreen",'Job Sheet'!M11="Spring"),1,"")</f>
        <v/>
      </c>
      <c r="LN5" t="str">
        <f>IF(AND('Job Sheet'!K11="2.Zipscreen",'Job Sheet'!M11="Spring"),2,IF(AND('Job Sheet'!K11="2.Zipscreen",'Job Sheet'!M11&lt;&gt;"Spring"),1,""))</f>
        <v/>
      </c>
      <c r="LO5" t="str">
        <f>IF(Data!BO11="PVC",'Fabric Cutting'!E11,"")</f>
        <v/>
      </c>
      <c r="LP5" t="str">
        <f>IF('Tube Cutting'!C11="Zipscreen",'Tube Cutting'!N11,"")</f>
        <v/>
      </c>
      <c r="LQ5" t="str">
        <f>IF('Tube Cutting'!C11="Zipscreen",2,"")</f>
        <v/>
      </c>
      <c r="LR5" t="str">
        <f>IF('Tube Cutting'!C11="Zipscreen",'Tube Cutting'!N11,"")</f>
        <v/>
      </c>
      <c r="LT5" t="str">
        <f>IF('Tube Cutting'!C11="Zipscreen",('Tube Cutting'!N11-100)*2,"")</f>
        <v/>
      </c>
      <c r="LU5" t="str">
        <f>IF(AND('Job Sheet'!K11="2.Zipscreen",'Job Sheet'!M11="Spring"),1,"")</f>
        <v/>
      </c>
      <c r="LV5" t="str">
        <f>IF(AND('Job Sheet'!K11="2.Zipscreen",'Job Sheet'!M11="Spring"),1,"")</f>
        <v/>
      </c>
      <c r="LW5" t="str">
        <f>IF('Tube Cutting'!C11="Zipscreen",('Job Sheet'!G11-100)*2,"")</f>
        <v/>
      </c>
      <c r="LX5" t="str">
        <f>IF('Tube Cutting'!C11="Zipscreen",('Job Sheet'!G11-82)*2,"")</f>
        <v/>
      </c>
      <c r="LY5" t="str">
        <f>IF('Tube Cutting'!K11="","",('Job Sheet'!G11-100)*2)</f>
        <v/>
      </c>
      <c r="LZ5" t="str">
        <f>IF('Tube Cutting'!C11="Zipscreen",2,"")</f>
        <v/>
      </c>
      <c r="MA5" t="str">
        <f>IF('Tube Cutting'!C11="Zipscreen",2,"")</f>
        <v/>
      </c>
      <c r="MB5" t="str">
        <f>IF('Job Sheet'!M11="Acmeda Remote Motor",1,"")</f>
        <v/>
      </c>
      <c r="ME5" t="str">
        <f>IF(AND('Tube Cutting'!P11="78mm",'Job Sheet'!M11="Acmeda Remote Motor"),1,"")</f>
        <v/>
      </c>
      <c r="MG5" t="str">
        <f>IF('Job Sheet'!M11="Acmeda 12v Remote Motor",1,"")</f>
        <v/>
      </c>
      <c r="MH5" t="str">
        <f>IF(OR('Job Sheet'!R11="External Battery",'Job Sheet'!R11="External Battery and Charging Cable"),1,"")</f>
        <v/>
      </c>
      <c r="MI5" t="str">
        <f>IF('Job Sheet'!R11="External Battery and Charging Cable",1,"")</f>
        <v/>
      </c>
      <c r="MJ5" t="str">
        <f>IF(OR('Job Sheet'!R11="Pulse Pro Automation Hub",'Job Sheet'!R11="Pulse 2.0 Automation Hub"),1,"")</f>
        <v/>
      </c>
      <c r="MK5" t="str">
        <f>IF('Job Sheet'!R11="USB Repeater",1,"")</f>
        <v/>
      </c>
      <c r="ML5" t="str">
        <f>IF('Job Sheet'!Q11="Acmeda 1 Channel White Remote",1,"")</f>
        <v/>
      </c>
      <c r="MM5" t="str">
        <f>IF('Job Sheet'!Q11="Acmeda 1 Channel Black Remote",1,"")</f>
        <v/>
      </c>
      <c r="MN5" t="str">
        <f>IF('Job Sheet'!Q11="Acmeda 5 Channel White Remote",1,"")</f>
        <v/>
      </c>
      <c r="MO5" t="str">
        <f>IF('Job Sheet'!Q11="Acmeda 5 Channel Black Remote",1,"")</f>
        <v/>
      </c>
      <c r="MP5" t="str">
        <f>IF('Job Sheet'!Q11="Acmeda 15 Channel White Remote",1,"")</f>
        <v/>
      </c>
      <c r="MQ5" t="str">
        <f>IF('Job Sheet'!Q11="Acmeda 15 Channel Black Remote",1,"")</f>
        <v/>
      </c>
      <c r="MR5" t="str">
        <f>IF('Job Sheet'!Q11="Acmeda Wall Mounted 5 Channel White Remote",1,"")</f>
        <v/>
      </c>
      <c r="MS5" t="str">
        <f>IF('Job Sheet'!Q11="Acmeda Wall Mounted Single Channel White Remote",1,"")</f>
        <v/>
      </c>
      <c r="MT5" t="str">
        <f>IF('Job Sheet'!Q11="Acmeda 2 Channel White Remote",1,"")</f>
        <v/>
      </c>
      <c r="MU5" t="str">
        <f>IF('Job Sheet'!Q11="Acmeda 15 Channel White Remote",1,"")</f>
        <v/>
      </c>
      <c r="MV5" t="str">
        <f>IF('Job Sheet'!Q11="Acmeda Push Pro White Remote with Charger",1,"")</f>
        <v/>
      </c>
      <c r="MW5" t="str">
        <f>IF('Job Sheet'!Q11="Acmeda Push Pro Black Remote with Charger",1,"")</f>
        <v/>
      </c>
      <c r="MX5" t="str">
        <f>IF(OR('Job Sheet'!Q11="Acmeda Push Pro White Remote with Charger",'Job Sheet'!Q11="Acmeda Push Pro Black Remote with Charger"),"1","")</f>
        <v/>
      </c>
      <c r="MY5" t="str">
        <f>MX5</f>
        <v/>
      </c>
      <c r="MZ5" t="str">
        <f>IF('Job Sheet'!S11="Acmeda Wind Sensor",1,"")</f>
        <v/>
      </c>
      <c r="NA5" t="str">
        <f>IF('Job Sheet'!R11="1 Channel Dry Contact Relay Module",1,"")</f>
        <v/>
      </c>
      <c r="NE5">
        <f>IF('Job Sheet'!M11="Becker Remote Operated",1,"")</f>
        <v>1</v>
      </c>
      <c r="NF5" t="str">
        <f>IF('Job Sheet'!M11="Becker Switch Operated",1,"")</f>
        <v/>
      </c>
      <c r="NG5">
        <f>IF(OR('Job Sheet'!M11="Acmeda Remote Motor",'Job Sheet'!M11="Becker Remote Operated",'Job Sheet'!M11="Becker Switch Operated"),1,"")</f>
        <v>1</v>
      </c>
      <c r="NI5">
        <f>IF(OR('Job Sheet'!M11="Becker Remote Operated",'Job Sheet'!M11="Becker Switch Operated"),1,"")</f>
        <v>1</v>
      </c>
      <c r="NL5">
        <f>IF(AND('Tube Cutting'!P11="78mm",(OR('Job Sheet'!M11="Becker Remote Operated",'Job Sheet'!M11="Becker Switch Operated"))),1,"")</f>
        <v>1</v>
      </c>
      <c r="NM5" t="str">
        <f>IF('Job Sheet'!Q11="Becker Single Channel White Remote",1,"")</f>
        <v/>
      </c>
      <c r="NN5" t="str">
        <f>IF('Job Sheet'!Q11="Becker Single Channel Black Remote",1,"")</f>
        <v/>
      </c>
      <c r="NO5">
        <f>IF('Job Sheet'!Q11="Becker 5 Channel White Remote",1,"")</f>
        <v>1</v>
      </c>
      <c r="NP5" t="str">
        <f>IF('Job Sheet'!Q11="Becker 5 Channel Black Remote",1,"")</f>
        <v/>
      </c>
      <c r="NQ5" t="str">
        <f>IF('Job Sheet'!Q11="Becker 10 Channel White Remote",1,"")</f>
        <v/>
      </c>
      <c r="NR5" t="str">
        <f>IF('Job Sheet'!Q11="Becker 10 Channel Black Remote",1,"")</f>
        <v/>
      </c>
      <c r="NS5" t="str">
        <f>IF('Job Sheet'!S11="Becker Wind Sensor",1,"")</f>
        <v/>
      </c>
      <c r="NT5" t="str">
        <f>IF('Job Sheet'!M11="Somfy Remote Operated",1,"")</f>
        <v/>
      </c>
      <c r="NV5" t="str">
        <f>IF('Job Sheet'!M11="Somfy Remote Operated",1,"")</f>
        <v/>
      </c>
      <c r="NW5" t="str">
        <f>IF('Job Sheet'!M11="Somfy Remote Operated",1,"")</f>
        <v/>
      </c>
      <c r="NZ5" t="str">
        <f>IF(AND('Tube Cutting'!P11="78mm",'Job Sheet'!M11="Somfy Remote Operated"),1,"")</f>
        <v/>
      </c>
      <c r="OA5" t="str">
        <f>IF('Job Sheet'!R11="Connexoon App Connector",1,"")</f>
        <v/>
      </c>
      <c r="OB5" t="str">
        <f>IF('Job Sheet'!R11="Tahoma Switch",1,"")</f>
        <v/>
      </c>
      <c r="OC5" t="str">
        <f>IF('Job Sheet'!Q11="Somfy 15 Channel Silver Remote",1,"")</f>
        <v/>
      </c>
      <c r="OD5" t="str">
        <f>IF('Job Sheet'!Q11="Somfy 15 Channel White Remote",1,"")</f>
        <v/>
      </c>
      <c r="OE5" t="str">
        <f>IF('Job Sheet'!Q11="Somfy 2 Channel Silver Remote",1,"")</f>
        <v/>
      </c>
      <c r="OF5" t="str">
        <f>IF('Job Sheet'!Q11="Somfy 2 Channel Wall Mounted Smoove Remote White with Black Cover Plate",1,"")</f>
        <v/>
      </c>
      <c r="OG5" t="str">
        <f>IF('Job Sheet'!Q11="Somfy 2 Channel Wall Mounted Smoove Remote White with Silver Cover Plate",1,"")</f>
        <v/>
      </c>
      <c r="OH5" t="str">
        <f>IF('Job Sheet'!Q11="Somfy 2 Channel Wall Mounted Smoove Remote White",1,"")</f>
        <v/>
      </c>
      <c r="OI5" t="str">
        <f>IF('Job Sheet'!Q11="Somfy 2 Channel White Remote",1,"")</f>
        <v/>
      </c>
      <c r="OJ5" t="str">
        <f>IF('Job Sheet'!Q11="Somfy 2 Channel Silver Remote",1,"")</f>
        <v/>
      </c>
      <c r="OK5" t="str">
        <f>IF('Job Sheet'!Q11="Somfy 5 Channel Wall Mounted Smoove Remote White with Black Cover Plate",1,"")</f>
        <v/>
      </c>
      <c r="OL5" t="str">
        <f>IF('Job Sheet'!Q11="Somfy 5 Channel Wall Mounted Smoove Remote White with Silver Cover Plate",1,"")</f>
        <v/>
      </c>
      <c r="OM5" t="str">
        <f>IF('Job Sheet'!Q11="Somfy 5 Channel Wall Mounted Smoove Remote White",1,"")</f>
        <v/>
      </c>
      <c r="ON5" t="str">
        <f>IF('Job Sheet'!Q11="Somfy 5 Channel White Remote",1,"")</f>
        <v/>
      </c>
      <c r="OO5" t="str">
        <f>IF('Job Sheet'!Q11="Somfy Single Channel Silver Remote",1,"")</f>
        <v/>
      </c>
      <c r="OP5" t="str">
        <f>IF('Job Sheet'!Q11="Somfy Single Channel Wall Mounted Smoove Remote White with Black Cover Plate",1,"")</f>
        <v/>
      </c>
      <c r="OQ5" t="str">
        <f>IF('Job Sheet'!Q11="Somfy Single Channel Wall Mounted Smoove Remote White with Silver Cover Plate",1,"")</f>
        <v/>
      </c>
      <c r="OR5" t="str">
        <f>IF('Job Sheet'!Q11="Somfy Single Channel Wall Mounted Smoove Remote White",1,"")</f>
        <v/>
      </c>
      <c r="OS5" t="str">
        <f>IF('Job Sheet'!Q11="Somfy Single Channel White Remote",1,"")</f>
        <v/>
      </c>
    </row>
    <row r="6" spans="4:409" ht="13.2" customHeight="1">
      <c r="D6" t="str">
        <f>IF('Tube Cutting'!C12="","",CONCATENATE(Data!BC$5,".",Data!BD$5))</f>
        <v/>
      </c>
      <c r="E6" t="str">
        <f>IF(D6="","",Data!AW12)</f>
        <v/>
      </c>
      <c r="F6" t="str">
        <f>IF(D6="","",Data!AV12)</f>
        <v/>
      </c>
      <c r="G6" t="str">
        <f>IF(D6="","",'Tube Cutting'!C12)</f>
        <v/>
      </c>
      <c r="H6" t="str">
        <f>IF(D6="","",Data!BF$5)</f>
        <v/>
      </c>
      <c r="I6" t="str">
        <f>IF(D6="","",Data!AX$5)</f>
        <v/>
      </c>
      <c r="J6" s="116" t="str">
        <f>'Job Sheet'!L12</f>
        <v/>
      </c>
      <c r="K6" t="str">
        <f t="shared" si="0" ref="K6:K14">IF(D6="","",L6*M6/1000000)</f>
        <v/>
      </c>
      <c r="L6" s="115" t="str">
        <f>'Fabric Cutting'!E12</f>
        <v/>
      </c>
      <c r="M6" s="115" t="str">
        <f>'Fabric Cutting'!F12</f>
        <v/>
      </c>
      <c r="N6" t="str">
        <f>IF(AND('Tube Cutting'!G12="Colourbond Under-Roll Hooding",'Tube Cutting'!H12="Custom Powdercoat"),'Tube Cutting'!D12,"")</f>
        <v/>
      </c>
      <c r="O6" t="str">
        <f>IF(AND('Tube Cutting'!G12="Colourbond Under-Roll Hooding",'Tube Cutting'!H12="Ebony (Black)"),'Tube Cutting'!D12,"")</f>
        <v/>
      </c>
      <c r="P6" t="str">
        <f>IF(AND('Tube Cutting'!G12="Colourbond Under-Roll Hooding",'Tube Cutting'!H12="Caulfield Green"),'Tube Cutting'!D12,"")</f>
        <v/>
      </c>
      <c r="Q6" t="str">
        <f>IF(AND('Tube Cutting'!G12="Colourbond Under-Roll Hooding",'Tube Cutting'!H12="Charcoal (Monument)"),'Tube Cutting'!D12,"")</f>
        <v/>
      </c>
      <c r="R6" t="str">
        <f>IF(AND('Tube Cutting'!G12="Colourbond Under-Roll Hooding",'Tube Cutting'!H12="Dune"),'Tube Cutting'!D12,"")</f>
        <v/>
      </c>
      <c r="S6" t="str">
        <f>IF(AND('Tube Cutting'!G12="Colourbond Under-Roll Hooding",'Tube Cutting'!H12="Heritage Red (Manor Red)"),'Tube Cutting'!D12,"")</f>
        <v/>
      </c>
      <c r="T6" t="str">
        <f>IF(AND('Tube Cutting'!G12="Colourbond Under-Roll Hooding",'Tube Cutting'!H12="Ironstone"),'Tube Cutting'!D12,"")</f>
        <v/>
      </c>
      <c r="U6" t="str">
        <f>IF(AND('Tube Cutting'!G12="Colourbond Under-Roll Hooding",'Tube Cutting'!H12="Jasper"),'Tube Cutting'!D12,"")</f>
        <v/>
      </c>
      <c r="V6" t="str">
        <f>IF(AND('Tube Cutting'!G12="Colourbond Under-Roll Hooding",'Tube Cutting'!H12="Merino (Paperbark)"),'Tube Cutting'!D12,"")</f>
        <v/>
      </c>
      <c r="W6" t="str">
        <f>IF(AND('Tube Cutting'!G12="Colourbond Under-Roll Hooding",'Tube Cutting'!H12="Mist Green"),'Tube Cutting'!D12,"")</f>
        <v/>
      </c>
      <c r="X6" t="str">
        <f>IF(AND('Tube Cutting'!G12="Colourbond Under-Roll Hooding",'Tube Cutting'!H12="Mountain Blue"),'Tube Cutting'!D12,"")</f>
        <v/>
      </c>
      <c r="Y6" t="str">
        <f>IF(AND('Tube Cutting'!G12="Colourbond Under-Roll Hooding",'Tube Cutting'!H12="Smooth Cream (Classic Cream)"),'Tube Cutting'!D12,"")</f>
        <v/>
      </c>
      <c r="Z6" t="str">
        <f>IF(AND('Tube Cutting'!G12="Colourbond Under-Roll Hooding",'Tube Cutting'!H12="Shale Grey"),'Tube Cutting'!D12,"")</f>
        <v/>
      </c>
      <c r="AA6" t="str">
        <f>IF(AND('Tube Cutting'!G12="Colourbond Under-Roll Hooding",'Tube Cutting'!H12="Slate Grey (Woodland Grey)"),'Tube Cutting'!D12,"")</f>
        <v/>
      </c>
      <c r="AB6" t="str">
        <f>IF(AND('Tube Cutting'!G12="Colourbond Under-Roll Hooding",'Tube Cutting'!H12="Surfmist"),'Tube Cutting'!D12,"")</f>
        <v/>
      </c>
      <c r="AC6" t="str">
        <f>IF(AND('Tube Cutting'!G12="Colourbond Under-Roll Hooding",'Tube Cutting'!H12="White"),'Tube Cutting'!D12,"")</f>
        <v/>
      </c>
      <c r="AT6" t="str">
        <f>IF(AND('Tube Cutting'!G12="Colourbond Under-Roll Hooding",'Tube Cutting'!H12="Custom Powdercoat"),1,"")</f>
        <v/>
      </c>
      <c r="AU6" t="str">
        <f>IF(AND('Tube Cutting'!G12="Colourbond Under-Roll Hooding",'Tube Cutting'!H12="Ebony (Black)"),1,"")</f>
        <v/>
      </c>
      <c r="AV6" t="str">
        <f>IF(AND('Tube Cutting'!G12="Colourbond Under-Roll Hooding",'Tube Cutting'!H12="Caulfield Green"),1,"")</f>
        <v/>
      </c>
      <c r="AW6" t="str">
        <f>IF(AND('Tube Cutting'!G12="Colourbond Under-Roll Hooding",'Tube Cutting'!H12="Charcoal (Monument)"),1,"")</f>
        <v/>
      </c>
      <c r="AX6" t="str">
        <f>IF(AND('Tube Cutting'!G12="Colourbond Under-Roll Hooding",'Tube Cutting'!H12="Dune"),1,"")</f>
        <v/>
      </c>
      <c r="AY6" t="str">
        <f>IF(AND('Tube Cutting'!G12="Colourbond Under-Roll Hooding",'Tube Cutting'!H12="Heritage Red (Manor Red)"),1,"")</f>
        <v/>
      </c>
      <c r="AZ6" t="str">
        <f>IF(AND('Tube Cutting'!G12="Colourbond Under-Roll Hooding",'Tube Cutting'!H12="Ironstone"),1,"")</f>
        <v/>
      </c>
      <c r="BA6" t="str">
        <f>IF(AND('Tube Cutting'!G12="Colourbond Under-Roll Hooding",'Tube Cutting'!H12="Jasper"),1,"")</f>
        <v/>
      </c>
      <c r="BB6" t="str">
        <f>IF(AND('Tube Cutting'!G12="Colourbond Under-Roll Hooding",'Tube Cutting'!H12="Merino (Paperbark)"),1,"")</f>
        <v/>
      </c>
      <c r="BC6" t="str">
        <f>IF(AND('Tube Cutting'!G12="Colourbond Under-Roll Hooding",'Tube Cutting'!H12="Mist Green"),1,"")</f>
        <v/>
      </c>
      <c r="BD6" t="str">
        <f>IF(AND('Tube Cutting'!G12="Colourbond Under-Roll Hooding",'Tube Cutting'!H12="Mountain Blue"),1,"")</f>
        <v/>
      </c>
      <c r="BE6" t="str">
        <f>IF(AND('Tube Cutting'!G12="Colourbond Under-Roll Hooding",'Tube Cutting'!H12="Smooth Cream (Classic Cream)"),1,"")</f>
        <v/>
      </c>
      <c r="BF6" t="str">
        <f>IF(AND('Tube Cutting'!G12="Colourbond Under-Roll Hooding",'Tube Cutting'!H12="Shale Grey"),1,"")</f>
        <v/>
      </c>
      <c r="BG6" t="str">
        <f>IF(AND('Tube Cutting'!G12="Colourbond Under-Roll Hooding",'Tube Cutting'!H12="Slate Grey (Woodland Grey)"),1,"")</f>
        <v/>
      </c>
      <c r="BH6" t="str">
        <f>IF(AND('Tube Cutting'!G12="Colourbond Under-Roll Hooding",'Tube Cutting'!H12="Surfmist"),1,"")</f>
        <v/>
      </c>
      <c r="BI6" t="str">
        <f>IF(AND('Tube Cutting'!G12="Colourbond Under-Roll Hooding",'Tube Cutting'!H12="White"),1,"")</f>
        <v/>
      </c>
      <c r="BJ6" t="str">
        <f>IF(AND('Tube Cutting'!G12="Colourbond Over-Roll Hooding",'Tube Cutting'!H12="Custom Powdercoat"),'Tube Cutting'!D12,"")</f>
        <v/>
      </c>
      <c r="BK6" t="str">
        <f>IF(AND('Tube Cutting'!G12="Colourbond Over-Roll Hooding",'Tube Cutting'!H12="Ebony (Black)"),'Tube Cutting'!D12,"")</f>
        <v/>
      </c>
      <c r="BL6" t="str">
        <f>IF(AND('Tube Cutting'!G12="Colourbond Over-Roll Hooding",'Tube Cutting'!H12="Caulfield Green"),'Tube Cutting'!D12,"")</f>
        <v/>
      </c>
      <c r="BM6" t="str">
        <f>IF(AND('Tube Cutting'!G12="Colourbond Over-Roll Hooding",'Tube Cutting'!H12="Charcoal (Monument)"),'Tube Cutting'!D12,"")</f>
        <v/>
      </c>
      <c r="BN6" t="str">
        <f>IF(AND('Tube Cutting'!G12="Colourbond Over-Roll Hooding",'Tube Cutting'!H12="Dune"),'Tube Cutting'!D12,"")</f>
        <v/>
      </c>
      <c r="BO6" t="str">
        <f>IF(AND('Tube Cutting'!G12="Colourbond Over-Roll Hooding",'Tube Cutting'!H12="Heritage Red (Manor Red)"),'Tube Cutting'!D12,"")</f>
        <v/>
      </c>
      <c r="BP6" t="str">
        <f>IF(AND('Tube Cutting'!G12="Colourbond Over-Roll Hooding",'Tube Cutting'!H12="Ironstone"),'Tube Cutting'!D12,"")</f>
        <v/>
      </c>
      <c r="BQ6" t="str">
        <f>IF(AND('Tube Cutting'!G12="Colourbond Over-Roll Hooding",'Tube Cutting'!H12="Jasper"),'Tube Cutting'!D12,"")</f>
        <v/>
      </c>
      <c r="BR6" t="str">
        <f>IF(AND('Tube Cutting'!G12="Colourbond Over-Roll Hooding",'Tube Cutting'!H12="Merino (Paperbark)"),'Tube Cutting'!D12,"")</f>
        <v/>
      </c>
      <c r="BS6" t="str">
        <f>IF(AND('Tube Cutting'!G12="Colourbond Over-Roll Hooding",'Tube Cutting'!H12="Mist Green"),'Tube Cutting'!D12,"")</f>
        <v/>
      </c>
      <c r="BT6" t="str">
        <f>IF(AND('Tube Cutting'!G12="Colourbond Over-Roll Hooding",'Tube Cutting'!H12="Mountain Blue"),'Tube Cutting'!D12,"")</f>
        <v/>
      </c>
      <c r="BU6" t="str">
        <f>IF(AND('Tube Cutting'!G12="Colourbond Over-Roll Hooding",'Tube Cutting'!H12="Smooth Cream (Classic Cream)"),'Tube Cutting'!D12,"")</f>
        <v/>
      </c>
      <c r="BV6" t="str">
        <f>IF(AND('Tube Cutting'!G12="Colourbond Over-Roll Hooding",'Tube Cutting'!H12="Shale Grey"),'Tube Cutting'!D12,"")</f>
        <v/>
      </c>
      <c r="BW6" t="str">
        <f>IF(AND('Tube Cutting'!G12="Colourbond Over-Roll Hooding",'Tube Cutting'!H12="Slate Grey (Woodland Grey)"),'Tube Cutting'!D12,"")</f>
        <v/>
      </c>
      <c r="BX6" t="str">
        <f>IF(AND('Tube Cutting'!G12="Colourbond Over-Roll Hooding",'Tube Cutting'!H12="Surfmist"),'Tube Cutting'!D12,"")</f>
        <v/>
      </c>
      <c r="BY6" t="str">
        <f>IF(AND('Tube Cutting'!G12="Colourbond Over-Roll Hooding",'Tube Cutting'!H12="Mist"),'Tube Cutting'!D12,"")</f>
        <v/>
      </c>
      <c r="CP6" t="str">
        <f>IF(AND('Tube Cutting'!G12="Colourbond Over-Roll Hooding",'Tube Cutting'!H12="Custom Powdercoat"),1,"")</f>
        <v/>
      </c>
      <c r="CQ6" t="str">
        <f>IF(AND('Tube Cutting'!G12="Colourbond Over-Roll Hooding",'Tube Cutting'!H12="Ebony (Black)"),1,"")</f>
        <v/>
      </c>
      <c r="CR6" t="str">
        <f>IF(AND('Tube Cutting'!G12="Colourbond Over-Roll Hooding",'Tube Cutting'!H12="Caulfield Green"),1,"")</f>
        <v/>
      </c>
      <c r="CS6" t="str">
        <f>IF(AND('Tube Cutting'!G12="Colourbond Over-Roll Hooding",'Tube Cutting'!H12="Charcoal (Monument)"),1,"")</f>
        <v/>
      </c>
      <c r="CT6" t="str">
        <f>IF(AND('Tube Cutting'!G12="Colourbond Over-Roll Hooding",'Tube Cutting'!H12="Dune"),1,"")</f>
        <v/>
      </c>
      <c r="CU6" t="str">
        <f>IF(AND('Tube Cutting'!G12="Colourbond Over-Roll Hooding",'Tube Cutting'!H12="Heritage Red (Manor Red)"),1,"")</f>
        <v/>
      </c>
      <c r="CV6" t="str">
        <f>IF(AND('Tube Cutting'!G12="Colourbond Over-Roll Hooding",'Tube Cutting'!H12="Ironstone"),1,"")</f>
        <v/>
      </c>
      <c r="CW6" t="str">
        <f>IF(AND('Tube Cutting'!G12="Colourbond Over-Roll Hooding",'Tube Cutting'!H12="Jasper"),1,"")</f>
        <v/>
      </c>
      <c r="CX6" t="str">
        <f>IF(AND('Tube Cutting'!G12="Colourbond Over-Roll Hooding",'Tube Cutting'!H12="Merino (Paperbark)"),1,"")</f>
        <v/>
      </c>
      <c r="CY6" t="str">
        <f>IF(AND('Tube Cutting'!G12="Colourbond Over-Roll Hooding",'Tube Cutting'!H12="Mist Green"),1,"")</f>
        <v/>
      </c>
      <c r="CZ6" t="str">
        <f>IF(AND('Tube Cutting'!G12="Colourbond Over-Roll Hooding",'Tube Cutting'!H12="Mountain Blue"),1,"")</f>
        <v/>
      </c>
      <c r="DA6" t="str">
        <f>IF(AND('Tube Cutting'!G12="Colourbond Over-Roll Hooding",'Tube Cutting'!H12="Smooth Cream (Classic Cream)"),1,"")</f>
        <v/>
      </c>
      <c r="DB6" t="str">
        <f>IF(AND('Tube Cutting'!G12="Colourbond Over-Roll Hooding",'Tube Cutting'!H12="Shale Grey"),1,"")</f>
        <v/>
      </c>
      <c r="DC6" t="str">
        <f>IF(AND('Tube Cutting'!G12="Colourbond Over-Roll Hooding",'Tube Cutting'!H12="Slate Grey (Woodland Grey)"),1,"")</f>
        <v/>
      </c>
      <c r="DD6" t="str">
        <f>IF(AND('Tube Cutting'!G12="Colourbond Over-Roll Hooding",'Tube Cutting'!H12="Surfmist"),1,"")</f>
        <v/>
      </c>
      <c r="DE6" t="str">
        <f>IF(AND('Tube Cutting'!G12="Colourbond Over-Roll Hooding",'Tube Cutting'!H12="Mist"),1,"")</f>
        <v/>
      </c>
      <c r="DI6" t="str">
        <f>IF('Tube Cutting'!P12="78mm",'Tube Cutting'!Q12,"")</f>
        <v/>
      </c>
      <c r="DJ6" t="str">
        <f>IF('Tube Cutting'!P12="85mm",'Tube Cutting'!Q12,"")</f>
        <v/>
      </c>
      <c r="DM6" t="str">
        <f>IF(AND('Tube Cutting'!C12="Zipscreen",'Job Sheet'!M12="Gearbox"),1,"")</f>
        <v/>
      </c>
      <c r="DN6" t="str">
        <f>IF('Tube Cutting'!C12="Zipscreen",1,"")</f>
        <v/>
      </c>
      <c r="EK6" t="str">
        <f t="shared" si="1" ref="EK6:EK14">IF(D6="","",1)</f>
        <v/>
      </c>
      <c r="GM6" t="str">
        <f>IF(AND('Job Sheet'!M12="Gearbox",'Job Sheet'!N12="Black"),1,"")</f>
        <v/>
      </c>
      <c r="GN6" t="str">
        <f>IF(AND('Job Sheet'!M12="Gearbox",'Job Sheet'!N12="White"),1,"")</f>
        <v/>
      </c>
      <c r="GO6" t="str">
        <f>IF('Job Sheet'!Q12="Black Crank Handle 1000mm",1,"")</f>
        <v/>
      </c>
      <c r="GP6" t="str">
        <f>IF('Job Sheet'!Q12="Black Crank Handle 1200mm",1,"")</f>
        <v/>
      </c>
      <c r="GQ6" t="str">
        <f>IF('Job Sheet'!Q12="Black Crank Handle 1500mm",1,"")</f>
        <v/>
      </c>
      <c r="GR6" t="str">
        <f>IF('Job Sheet'!Q12="Black Crank Handle 1800mm",1,"")</f>
        <v/>
      </c>
      <c r="GS6" t="str">
        <f>IF('Job Sheet'!Q12="Black Crank Handle 2200mm",1,"")</f>
        <v/>
      </c>
      <c r="GT6" t="str">
        <f>IF('Job Sheet'!Q12="Black Crank Handle 2500mm",1,"")</f>
        <v/>
      </c>
      <c r="GU6" t="str">
        <f>IF('Job Sheet'!Q12="Black Crank Handle 3000mm",1,"")</f>
        <v/>
      </c>
      <c r="GV6" t="str">
        <f>IF('Job Sheet'!Q12="White Crank Handle 1000mm",1,"")</f>
        <v/>
      </c>
      <c r="GW6" t="str">
        <f>IF('Job Sheet'!Q12="White Crank Handle 1200mm",1,"")</f>
        <v/>
      </c>
      <c r="GX6" t="str">
        <f>IF('Job Sheet'!Q12="White Crank Handle 1500mm",1,"")</f>
        <v/>
      </c>
      <c r="GY6" t="str">
        <f>IF('Job Sheet'!Q12="White Crank Handle 1800mm",1,"")</f>
        <v/>
      </c>
      <c r="GZ6" t="str">
        <f>IF('Job Sheet'!Q12="White Crank Handle 2200mm",1,"")</f>
        <v/>
      </c>
      <c r="HA6" t="str">
        <f>IF('Job Sheet'!Q12="White Crank Handle 2500mm",1,"")</f>
        <v/>
      </c>
      <c r="HB6" t="str">
        <f>IF('Job Sheet'!Q12="White Crank Handle 3000mm",1,"")</f>
        <v/>
      </c>
      <c r="IM6" t="str">
        <f>IF(OR('Job Sheet'!V12&lt;&gt;"Pearl White",'Job Sheet'!V12&lt;&gt;"White Satin"),"",2)</f>
        <v/>
      </c>
      <c r="IN6" t="str">
        <f>IF(AND('Job Sheet'!U12="Powder Coated Brackets",(OR('Job Sheet'!V12="Pearl White",'Job Sheet'!V12="White Satin"))),2,"")</f>
        <v/>
      </c>
      <c r="IQ6" t="str">
        <f>IF('Job Sheet'!U12="Stainless Steel Brackets",2,"")</f>
        <v/>
      </c>
      <c r="JN6" t="str">
        <f>IF('Job Sheet'!AA12="25mm x 1",1,IF('Job Sheet'!AA12="25mm x 2",2,""))</f>
        <v/>
      </c>
      <c r="JO6" t="str">
        <f>IF('Job Sheet'!AA12="50mm x 1",1,IF('Job Sheet'!AA12="50mm x 2",2,""))</f>
        <v/>
      </c>
      <c r="JP6" t="str">
        <f>IF('Job Sheet'!AA12="75mm x 1",1,IF('Job Sheet'!AA12="75mm x 2",2,""))</f>
        <v/>
      </c>
      <c r="JQ6" t="str">
        <f>IF('Job Sheet'!AA12="100mm x 1",1,IF('Job Sheet'!AA12="100mm x 2",2,""))</f>
        <v/>
      </c>
      <c r="JR6" t="str">
        <f>IF('Job Sheet'!AA12="125mm x 1",1,IF('Job Sheet'!AA12="125mm x 2",2,""))</f>
        <v/>
      </c>
      <c r="JT6" t="str">
        <f>IF('Fabric Cutting'!L12="6mm Black",'Fabric Cutting'!E12,+IF('Fabric Cutting'!M12="6mm Black",'Fabric Cutting'!E12,""))</f>
        <v/>
      </c>
      <c r="JU6" t="str">
        <f>IF('Job Sheet'!K12="1.Verticali",'Fabric Cutting'!E12,"")</f>
        <v/>
      </c>
      <c r="JV6" t="str">
        <f>IF('Tube Cutting'!G12="Verticali Hooding (Old)",'Tube Cutting'!F12,"")</f>
        <v/>
      </c>
      <c r="JW6" t="str">
        <f>IF('Tube Cutting'!G12="Verticali Hooding (Old)",'Tube Cutting'!F12,"")</f>
        <v/>
      </c>
      <c r="JX6" t="str">
        <f>IF('Tube Cutting'!G12="Verticali Square Hooding",'Tube Cutting'!F12,"")</f>
        <v/>
      </c>
      <c r="JY6" t="str">
        <f>IF('Tube Cutting'!G12="Verticali Square Hooding",'Tube Cutting'!F12,"")</f>
        <v/>
      </c>
      <c r="KA6" t="str">
        <f>IF('Tube Cutting'!C12="Verticali",('Job Sheet'!G12-100)*2,"")</f>
        <v/>
      </c>
      <c r="KB6" t="str">
        <f>IF('Tube Cutting'!C12="Verticali",('Job Sheet'!G12-100)*2,"")</f>
        <v/>
      </c>
      <c r="KC6" t="str">
        <f>IF('Tube Cutting'!C12="Verticali",'Tube Cutting'!N12,"")</f>
        <v/>
      </c>
      <c r="KD6" t="str">
        <f>IF('Tube Cutting'!C12="Verticali",('Job Sheet'!G12-100)*2,"")</f>
        <v/>
      </c>
      <c r="KE6" t="str">
        <f>IF(Data!AV12="","",('Fabric Cutting'!F12-200)*2)</f>
        <v/>
      </c>
      <c r="KF6" t="str">
        <f>IF(OR(Data!AV12="",'Fabric Cutting'!C12&lt;&gt;"Verticali"),"",IF('Assembly(a)'!K12="",20,'Assembly(a)'!G12-1980))</f>
        <v/>
      </c>
      <c r="KG6" t="str">
        <f>IF('Tube Cutting'!C12="Verticali",'Tube Cutting'!N12,"")</f>
        <v/>
      </c>
      <c r="KH6" t="str">
        <f>IF(AND('Tube Cutting'!C12="Verticali",'Tube Cutting'!N12&lt;2000),'Tube Cutting'!N12-10,IF(AND('Tube Cutting'!C12="Verticali",'Tube Cutting'!N12&gt;2000),2000,""))</f>
        <v/>
      </c>
      <c r="KI6" t="str">
        <f>IF('Tube Cutting'!G12="Verticali Hooding (Old)",1,"")</f>
        <v/>
      </c>
      <c r="KJ6" t="str">
        <f>IF('Tube Cutting'!G12="Verticali Square Hooding",1,"")</f>
        <v/>
      </c>
      <c r="KL6" t="str">
        <f>IF('Tube Cutting'!G12="Verticali Colourbond Hooding",1,"")</f>
        <v/>
      </c>
      <c r="KM6" t="str">
        <f>IF(AND('Tube Cutting'!C12="Verticali",'Tube Cutting'!P12="78mm"),2,"")</f>
        <v/>
      </c>
      <c r="KN6" t="str">
        <f>IF(AND('Tube Cutting'!C12="Verticali",'Tube Cutting'!P12="85mm"),2,"")</f>
        <v/>
      </c>
      <c r="KP6" t="str">
        <f>IF(AND('Tube Cutting'!C12="Verticali",'Job Sheet'!M12="Gearbox"),1,"")</f>
        <v/>
      </c>
      <c r="KQ6" t="str">
        <f>IF('Tube Cutting'!C12="Verticali",1,"")</f>
        <v/>
      </c>
      <c r="KS6" t="str">
        <f>IF(OR('Job Sheet'!AB12="Foot 1 Side",'Job Sheet'!AB12="Leg &amp; Foot 1 Side",'Job Sheet'!AB12="End Cap 1 Side"),1,IF(OR('Job Sheet'!AB12="Foot Both Sides",'Job Sheet'!AB12="Leg &amp; Foot Both Sides",'Job Sheet'!AB12="End Cap Both Sides"),2,""))</f>
        <v/>
      </c>
      <c r="KT6" t="str">
        <f>IF(OR('Job Sheet'!AB12="Leg 1 Side",'Job Sheet'!AB12="Leg &amp; Foot 1 Side"),1,IF(OR('Job Sheet'!AB12="Leg Both Sides",'Job Sheet'!AB12="Leg &amp; Foot Both Sides",),2,""))</f>
        <v/>
      </c>
      <c r="KU6" t="str">
        <f>IF('Tube Cutting'!C12="Verticali",2,"")</f>
        <v/>
      </c>
      <c r="KW6" t="str">
        <f>IF('Tube Cutting'!C12="Verticali",2,"")</f>
        <v/>
      </c>
      <c r="KX6" t="str">
        <f>IF(Packing!L12="1 Pair",1,IF(Packing!L12="2 Pairs",2,""))</f>
        <v/>
      </c>
      <c r="KZ6" t="str">
        <f>IF('Tube Cutting'!G12="Verticali Base Rail",2,"")</f>
        <v/>
      </c>
      <c r="LA6" t="str">
        <f>IF('Tube Cutting'!G12="Zipscreen Hooding",'Tube Cutting'!F12,"")</f>
        <v/>
      </c>
      <c r="LB6" t="str">
        <f>IF('Tube Cutting'!G12="Zipscreen Hooding",'Tube Cutting'!F12,"")</f>
        <v/>
      </c>
      <c r="LD6" t="str">
        <f>IF('Tube Cutting'!G12="Zipscreen Hooding",1,"")</f>
        <v/>
      </c>
      <c r="LE6" t="str">
        <f>IF('Job Sheet'!AO12="Compact",1,"")</f>
        <v/>
      </c>
      <c r="LF6" t="str">
        <f>IF('Job Sheet'!AO12="Light",1,"")</f>
        <v/>
      </c>
      <c r="LG6" t="str">
        <f>IF('Job Sheet'!AO12="Standard",1,"")</f>
        <v/>
      </c>
      <c r="LH6" t="str">
        <f>IF('Job Sheet'!AO12="Heavy Duty",1,"")</f>
        <v/>
      </c>
      <c r="LI6" t="str">
        <f>IF('Job Sheet'!AO12="Extra Heavy Duty",1,"")</f>
        <v/>
      </c>
      <c r="LJ6" t="str">
        <f>IF('Job Sheet'!AO12="Ultra Heavy Duty",1,"")</f>
        <v/>
      </c>
      <c r="LK6" t="str">
        <f>IF('Tube Cutting'!C12="Zipscreen",2,"")</f>
        <v/>
      </c>
      <c r="LM6" t="str">
        <f>IF(AND('Job Sheet'!K12="2.Zipscreen",'Job Sheet'!M12="Spring"),1,"")</f>
        <v/>
      </c>
      <c r="LN6" t="str">
        <f>IF(AND('Job Sheet'!K12="2.Zipscreen",'Job Sheet'!M12="Spring"),2,IF(AND('Job Sheet'!K12="2.Zipscreen",'Job Sheet'!M12&lt;&gt;"Spring"),1,""))</f>
        <v/>
      </c>
      <c r="LO6" t="str">
        <f>IF(Data!BO12="PVC",'Fabric Cutting'!E12,"")</f>
        <v/>
      </c>
      <c r="LP6" t="str">
        <f>IF('Tube Cutting'!C12="Zipscreen",'Tube Cutting'!N12,"")</f>
        <v/>
      </c>
      <c r="LQ6" t="str">
        <f>IF('Tube Cutting'!C12="Zipscreen",2,"")</f>
        <v/>
      </c>
      <c r="LR6" t="str">
        <f>IF('Tube Cutting'!C12="Zipscreen",'Tube Cutting'!N12,"")</f>
        <v/>
      </c>
      <c r="LT6" t="str">
        <f>IF('Tube Cutting'!C12="Zipscreen",('Tube Cutting'!N12-100)*2,"")</f>
        <v/>
      </c>
      <c r="LU6" t="str">
        <f>IF(AND('Job Sheet'!K12="2.Zipscreen",'Job Sheet'!M12="Spring"),1,"")</f>
        <v/>
      </c>
      <c r="LV6" t="str">
        <f>IF(AND('Job Sheet'!K12="2.Zipscreen",'Job Sheet'!M12="Spring"),1,"")</f>
        <v/>
      </c>
      <c r="LW6" t="str">
        <f>IF('Tube Cutting'!C12="Zipscreen",('Job Sheet'!G12-100)*2,"")</f>
        <v/>
      </c>
      <c r="LX6" t="str">
        <f>IF('Tube Cutting'!C12="Zipscreen",('Job Sheet'!G12-82)*2,"")</f>
        <v/>
      </c>
      <c r="LY6" t="str">
        <f>IF('Tube Cutting'!K12="","",('Job Sheet'!G12-100)*2)</f>
        <v/>
      </c>
      <c r="LZ6" t="str">
        <f>IF('Tube Cutting'!C12="Zipscreen",2,"")</f>
        <v/>
      </c>
      <c r="MA6" t="str">
        <f>IF('Tube Cutting'!C12="Zipscreen",2,"")</f>
        <v/>
      </c>
      <c r="MB6" t="str">
        <f>IF('Job Sheet'!M12="Acmeda Remote Motor",1,"")</f>
        <v/>
      </c>
      <c r="ME6" t="str">
        <f>IF(AND('Tube Cutting'!P12="78mm",'Job Sheet'!M12="Acmeda Remote Motor"),1,"")</f>
        <v/>
      </c>
      <c r="MG6" t="str">
        <f>IF('Job Sheet'!M12="Acmeda 12v Remote Motor",1,"")</f>
        <v/>
      </c>
      <c r="MH6" t="str">
        <f>IF(OR('Job Sheet'!R12="External Battery",'Job Sheet'!R12="External Battery and Charging Cable"),1,"")</f>
        <v/>
      </c>
      <c r="MI6" t="str">
        <f>IF('Job Sheet'!R12="External Battery and Charging Cable",1,"")</f>
        <v/>
      </c>
      <c r="MJ6" t="str">
        <f>IF(OR('Job Sheet'!R12="Pulse Pro Automation Hub",'Job Sheet'!R12="Pulse 2.0 Automation Hub"),1,"")</f>
        <v/>
      </c>
      <c r="MK6" t="str">
        <f>IF('Job Sheet'!R12="USB Repeater",1,"")</f>
        <v/>
      </c>
      <c r="ML6" t="str">
        <f>IF('Job Sheet'!Q12="Acmeda 1 Channel White Remote",1,"")</f>
        <v/>
      </c>
      <c r="MM6" t="str">
        <f>IF('Job Sheet'!Q12="Acmeda 1 Channel Black Remote",1,"")</f>
        <v/>
      </c>
      <c r="MN6" t="str">
        <f>IF('Job Sheet'!Q12="Acmeda 5 Channel White Remote",1,"")</f>
        <v/>
      </c>
      <c r="MO6" t="str">
        <f>IF('Job Sheet'!Q12="Acmeda 5 Channel Black Remote",1,"")</f>
        <v/>
      </c>
      <c r="MP6" t="str">
        <f>IF('Job Sheet'!Q12="Acmeda 15 Channel White Remote",1,"")</f>
        <v/>
      </c>
      <c r="MQ6" t="str">
        <f>IF('Job Sheet'!Q12="Acmeda 15 Channel Black Remote",1,"")</f>
        <v/>
      </c>
      <c r="MR6" t="str">
        <f>IF('Job Sheet'!Q12="Acmeda Wall Mounted 5 Channel White Remote",1,"")</f>
        <v/>
      </c>
      <c r="MS6" t="str">
        <f>IF('Job Sheet'!Q12="Acmeda Wall Mounted Single Channel White Remote",1,"")</f>
        <v/>
      </c>
      <c r="MT6" t="str">
        <f>IF('Job Sheet'!Q12="Acmeda 2 Channel White Remote",1,"")</f>
        <v/>
      </c>
      <c r="MU6" t="str">
        <f>IF('Job Sheet'!Q12="Acmeda 15 Channel White Remote",1,"")</f>
        <v/>
      </c>
      <c r="MV6" t="str">
        <f>IF('Job Sheet'!Q12="Acmeda Push Pro White Remote with Charger",1,"")</f>
        <v/>
      </c>
      <c r="MW6" t="str">
        <f>IF('Job Sheet'!Q12="Acmeda Push Pro Black Remote with Charger",1,"")</f>
        <v/>
      </c>
      <c r="MX6" t="str">
        <f>IF(OR('Job Sheet'!Q12="Acmeda Push Pro White Remote with Charger",'Job Sheet'!Q12="Acmeda Push Pro Black Remote with Charger"),"1","")</f>
        <v/>
      </c>
      <c r="MY6" t="str">
        <f t="shared" si="2" ref="MY6:MY14">MX6</f>
        <v/>
      </c>
      <c r="MZ6" t="str">
        <f>IF('Job Sheet'!S12="Acmeda Wind Sensor",1,"")</f>
        <v/>
      </c>
      <c r="NA6" t="str">
        <f>IF('Job Sheet'!R12="1 Channel Dry Contact Relay Module",1,"")</f>
        <v/>
      </c>
      <c r="NE6" t="str">
        <f>IF('Job Sheet'!M12="Becker Remote Operated",1,"")</f>
        <v/>
      </c>
      <c r="NF6" t="str">
        <f>IF('Job Sheet'!M12="Becker Switch Operated",1,"")</f>
        <v/>
      </c>
      <c r="NG6" t="str">
        <f>IF(OR('Job Sheet'!M12="Acmeda Remote Motor",'Job Sheet'!M12="Becker Remote Operated",'Job Sheet'!M12="Becker Switch Operated"),1,"")</f>
        <v/>
      </c>
      <c r="NI6" t="str">
        <f>IF(OR('Job Sheet'!M12="Becker Remote Operated",'Job Sheet'!M12="Becker Switch Operated"),1,"")</f>
        <v/>
      </c>
      <c r="NL6" t="str">
        <f>IF(AND('Tube Cutting'!P12="78mm",(OR('Job Sheet'!M12="Becker Remote Operated",'Job Sheet'!M12="Becker Switch Operated"))),1,"")</f>
        <v/>
      </c>
      <c r="NM6" t="str">
        <f>IF('Job Sheet'!Q12="Becker Single Channel White Remote",1,"")</f>
        <v/>
      </c>
      <c r="NN6" t="str">
        <f>IF('Job Sheet'!Q12="Becker Single Channel Black Remote",1,"")</f>
        <v/>
      </c>
      <c r="NO6" t="str">
        <f>IF('Job Sheet'!Q12="Becker 5 Channel White Remote",1,"")</f>
        <v/>
      </c>
      <c r="NP6" t="str">
        <f>IF('Job Sheet'!Q12="Becker 5 Channel Black Remote",1,"")</f>
        <v/>
      </c>
      <c r="NQ6" t="str">
        <f>IF('Job Sheet'!Q12="Becker 10 Channel White Remote",1,"")</f>
        <v/>
      </c>
      <c r="NR6" t="str">
        <f>IF('Job Sheet'!Q12="Becker 10 Channel Black Remote",1,"")</f>
        <v/>
      </c>
      <c r="NS6" t="str">
        <f>IF('Job Sheet'!S12="Becker Wind Sensor",1,"")</f>
        <v/>
      </c>
      <c r="NT6" t="str">
        <f>IF('Job Sheet'!M12="Somfy Remote Operated",1,"")</f>
        <v/>
      </c>
      <c r="NV6" t="str">
        <f>IF('Job Sheet'!M12="Somfy Remote Operated",1,"")</f>
        <v/>
      </c>
      <c r="NW6" t="str">
        <f>IF('Job Sheet'!M12="Somfy Remote Operated",1,"")</f>
        <v/>
      </c>
      <c r="NZ6" t="str">
        <f>IF(AND('Tube Cutting'!P12="78mm",'Job Sheet'!M12="Somfy Remote Operated"),1,"")</f>
        <v/>
      </c>
      <c r="OA6" t="str">
        <f>IF('Job Sheet'!R12="Connexoon App Connector",1,"")</f>
        <v/>
      </c>
      <c r="OB6" t="str">
        <f>IF('Job Sheet'!R12="Tahoma Switch",1,"")</f>
        <v/>
      </c>
      <c r="OC6" t="str">
        <f>IF('Job Sheet'!Q12="Somfy 15 Channel Silver Remote",1,"")</f>
        <v/>
      </c>
      <c r="OD6" t="str">
        <f>IF('Job Sheet'!Q12="Somfy 15 Channel White Remote",1,"")</f>
        <v/>
      </c>
      <c r="OE6" t="str">
        <f>IF('Job Sheet'!Q12="Somfy 2 Channel Silver Remote",1,"")</f>
        <v/>
      </c>
      <c r="OF6" t="str">
        <f>IF('Job Sheet'!Q12="Somfy 2 Channel Wall Mounted Smoove Remote White with Black Cover Plate",1,"")</f>
        <v/>
      </c>
      <c r="OG6" t="str">
        <f>IF('Job Sheet'!Q12="Somfy 2 Channel Wall Mounted Smoove Remote White with Silver Cover Plate",1,"")</f>
        <v/>
      </c>
      <c r="OH6" t="str">
        <f>IF('Job Sheet'!Q12="Somfy 2 Channel Wall Mounted Smoove Remote White",1,"")</f>
        <v/>
      </c>
      <c r="OI6" t="str">
        <f>IF('Job Sheet'!Q12="Somfy 2 Channel White Remote",1,"")</f>
        <v/>
      </c>
      <c r="OJ6" t="str">
        <f>IF('Job Sheet'!Q12="Somfy 2 Channel Silver Remote",1,"")</f>
        <v/>
      </c>
      <c r="OK6" t="str">
        <f>IF('Job Sheet'!Q12="Somfy 5 Channel Wall Mounted Smoove Remote White with Black Cover Plate",1,"")</f>
        <v/>
      </c>
      <c r="OL6" t="str">
        <f>IF('Job Sheet'!Q12="Somfy 5 Channel Wall Mounted Smoove Remote White with Silver Cover Plate",1,"")</f>
        <v/>
      </c>
      <c r="OM6" t="str">
        <f>IF('Job Sheet'!Q12="Somfy 5 Channel Wall Mounted Smoove Remote White",1,"")</f>
        <v/>
      </c>
      <c r="ON6" t="str">
        <f>IF('Job Sheet'!Q12="Somfy 5 Channel White Remote",1,"")</f>
        <v/>
      </c>
      <c r="OO6" t="str">
        <f>IF('Job Sheet'!Q12="Somfy Single Channel Silver Remote",1,"")</f>
        <v/>
      </c>
      <c r="OP6" t="str">
        <f>IF('Job Sheet'!Q12="Somfy Single Channel Wall Mounted Smoove Remote White with Black Cover Plate",1,"")</f>
        <v/>
      </c>
      <c r="OQ6" t="str">
        <f>IF('Job Sheet'!Q12="Somfy Single Channel Wall Mounted Smoove Remote White with Silver Cover Plate",1,"")</f>
        <v/>
      </c>
      <c r="OR6" t="str">
        <f>IF('Job Sheet'!Q12="Somfy Single Channel Wall Mounted Smoove Remote White",1,"")</f>
        <v/>
      </c>
      <c r="OS6" t="str">
        <f>IF('Job Sheet'!Q12="Somfy Single Channel White Remote",1,"")</f>
        <v/>
      </c>
    </row>
    <row r="7" spans="4:409" ht="13.2" customHeight="1">
      <c r="D7" t="str">
        <f>IF('Tube Cutting'!C13="","",CONCATENATE(Data!BC$5,".",Data!BD$5))</f>
        <v/>
      </c>
      <c r="E7" t="str">
        <f>IF(D7="","",Data!AW13)</f>
        <v/>
      </c>
      <c r="F7" t="str">
        <f>IF(D7="","",Data!AV13)</f>
        <v/>
      </c>
      <c r="G7" t="str">
        <f>IF(D7="","",'Tube Cutting'!C13)</f>
        <v/>
      </c>
      <c r="H7" t="str">
        <f>IF(D7="","",Data!BF$5)</f>
        <v/>
      </c>
      <c r="I7" t="str">
        <f>IF(D7="","",Data!AX$5)</f>
        <v/>
      </c>
      <c r="J7" s="116" t="str">
        <f>'Job Sheet'!L13</f>
        <v/>
      </c>
      <c r="K7" t="str">
        <f t="shared" si="0"/>
        <v/>
      </c>
      <c r="L7" s="115" t="str">
        <f>'Fabric Cutting'!E13</f>
        <v/>
      </c>
      <c r="M7" s="115" t="str">
        <f>'Fabric Cutting'!F13</f>
        <v/>
      </c>
      <c r="N7" t="str">
        <f>IF(AND('Tube Cutting'!G13="Colourbond Under-Roll Hooding",'Tube Cutting'!H13="Custom Powdercoat"),'Tube Cutting'!D13,"")</f>
        <v/>
      </c>
      <c r="O7" t="str">
        <f>IF(AND('Tube Cutting'!G13="Colourbond Under-Roll Hooding",'Tube Cutting'!H13="Ebony (Black)"),'Tube Cutting'!D13,"")</f>
        <v/>
      </c>
      <c r="P7" t="str">
        <f>IF(AND('Tube Cutting'!G13="Colourbond Under-Roll Hooding",'Tube Cutting'!H13="Caulfield Green"),'Tube Cutting'!D13,"")</f>
        <v/>
      </c>
      <c r="Q7" t="str">
        <f>IF(AND('Tube Cutting'!G13="Colourbond Under-Roll Hooding",'Tube Cutting'!H13="Charcoal (Monument)"),'Tube Cutting'!D13,"")</f>
        <v/>
      </c>
      <c r="R7" t="str">
        <f>IF(AND('Tube Cutting'!G13="Colourbond Under-Roll Hooding",'Tube Cutting'!H13="Dune"),'Tube Cutting'!D13,"")</f>
        <v/>
      </c>
      <c r="S7" t="str">
        <f>IF(AND('Tube Cutting'!G13="Colourbond Under-Roll Hooding",'Tube Cutting'!H13="Heritage Red (Manor Red)"),'Tube Cutting'!D13,"")</f>
        <v/>
      </c>
      <c r="T7" t="str">
        <f>IF(AND('Tube Cutting'!G13="Colourbond Under-Roll Hooding",'Tube Cutting'!H13="Ironstone"),'Tube Cutting'!D13,"")</f>
        <v/>
      </c>
      <c r="U7" t="str">
        <f>IF(AND('Tube Cutting'!G13="Colourbond Under-Roll Hooding",'Tube Cutting'!H13="Jasper"),'Tube Cutting'!D13,"")</f>
        <v/>
      </c>
      <c r="V7" t="str">
        <f>IF(AND('Tube Cutting'!G13="Colourbond Under-Roll Hooding",'Tube Cutting'!H13="Merino (Paperbark)"),'Tube Cutting'!D13,"")</f>
        <v/>
      </c>
      <c r="W7" t="str">
        <f>IF(AND('Tube Cutting'!G13="Colourbond Under-Roll Hooding",'Tube Cutting'!H13="Mist Green"),'Tube Cutting'!D13,"")</f>
        <v/>
      </c>
      <c r="X7" t="str">
        <f>IF(AND('Tube Cutting'!G13="Colourbond Under-Roll Hooding",'Tube Cutting'!H13="Mountain Blue"),'Tube Cutting'!D13,"")</f>
        <v/>
      </c>
      <c r="Y7" t="str">
        <f>IF(AND('Tube Cutting'!G13="Colourbond Under-Roll Hooding",'Tube Cutting'!H13="Smooth Cream (Classic Cream)"),'Tube Cutting'!D13,"")</f>
        <v/>
      </c>
      <c r="Z7" t="str">
        <f>IF(AND('Tube Cutting'!G13="Colourbond Under-Roll Hooding",'Tube Cutting'!H13="Shale Grey"),'Tube Cutting'!D13,"")</f>
        <v/>
      </c>
      <c r="AA7" t="str">
        <f>IF(AND('Tube Cutting'!G13="Colourbond Under-Roll Hooding",'Tube Cutting'!H13="Slate Grey (Woodland Grey)"),'Tube Cutting'!D13,"")</f>
        <v/>
      </c>
      <c r="AB7" t="str">
        <f>IF(AND('Tube Cutting'!G13="Colourbond Under-Roll Hooding",'Tube Cutting'!H13="Surfmist"),'Tube Cutting'!D13,"")</f>
        <v/>
      </c>
      <c r="AC7" t="str">
        <f>IF(AND('Tube Cutting'!G13="Colourbond Under-Roll Hooding",'Tube Cutting'!H13="White"),'Tube Cutting'!D13,"")</f>
        <v/>
      </c>
      <c r="AT7" t="str">
        <f>IF(AND('Tube Cutting'!G13="Colourbond Under-Roll Hooding",'Tube Cutting'!H13="Custom Powdercoat"),1,"")</f>
        <v/>
      </c>
      <c r="AU7" t="str">
        <f>IF(AND('Tube Cutting'!G13="Colourbond Under-Roll Hooding",'Tube Cutting'!H13="Ebony (Black)"),1,"")</f>
        <v/>
      </c>
      <c r="AV7" t="str">
        <f>IF(AND('Tube Cutting'!G13="Colourbond Under-Roll Hooding",'Tube Cutting'!H13="Caulfield Green"),1,"")</f>
        <v/>
      </c>
      <c r="AW7" t="str">
        <f>IF(AND('Tube Cutting'!G13="Colourbond Under-Roll Hooding",'Tube Cutting'!H13="Charcoal (Monument)"),1,"")</f>
        <v/>
      </c>
      <c r="AX7" t="str">
        <f>IF(AND('Tube Cutting'!G13="Colourbond Under-Roll Hooding",'Tube Cutting'!H13="Dune"),1,"")</f>
        <v/>
      </c>
      <c r="AY7" t="str">
        <f>IF(AND('Tube Cutting'!G13="Colourbond Under-Roll Hooding",'Tube Cutting'!H13="Heritage Red (Manor Red)"),1,"")</f>
        <v/>
      </c>
      <c r="AZ7" t="str">
        <f>IF(AND('Tube Cutting'!G13="Colourbond Under-Roll Hooding",'Tube Cutting'!H13="Ironstone"),1,"")</f>
        <v/>
      </c>
      <c r="BA7" t="str">
        <f>IF(AND('Tube Cutting'!G13="Colourbond Under-Roll Hooding",'Tube Cutting'!H13="Jasper"),1,"")</f>
        <v/>
      </c>
      <c r="BB7" t="str">
        <f>IF(AND('Tube Cutting'!G13="Colourbond Under-Roll Hooding",'Tube Cutting'!H13="Merino (Paperbark)"),1,"")</f>
        <v/>
      </c>
      <c r="BC7" t="str">
        <f>IF(AND('Tube Cutting'!G13="Colourbond Under-Roll Hooding",'Tube Cutting'!H13="Mist Green"),1,"")</f>
        <v/>
      </c>
      <c r="BD7" t="str">
        <f>IF(AND('Tube Cutting'!G13="Colourbond Under-Roll Hooding",'Tube Cutting'!H13="Mountain Blue"),1,"")</f>
        <v/>
      </c>
      <c r="BE7" t="str">
        <f>IF(AND('Tube Cutting'!G13="Colourbond Under-Roll Hooding",'Tube Cutting'!H13="Smooth Cream (Classic Cream)"),1,"")</f>
        <v/>
      </c>
      <c r="BF7" t="str">
        <f>IF(AND('Tube Cutting'!G13="Colourbond Under-Roll Hooding",'Tube Cutting'!H13="Shale Grey"),1,"")</f>
        <v/>
      </c>
      <c r="BG7" t="str">
        <f>IF(AND('Tube Cutting'!G13="Colourbond Under-Roll Hooding",'Tube Cutting'!H13="Slate Grey (Woodland Grey)"),1,"")</f>
        <v/>
      </c>
      <c r="BH7" t="str">
        <f>IF(AND('Tube Cutting'!G13="Colourbond Under-Roll Hooding",'Tube Cutting'!H13="Surfmist"),1,"")</f>
        <v/>
      </c>
      <c r="BI7" t="str">
        <f>IF(AND('Tube Cutting'!G13="Colourbond Under-Roll Hooding",'Tube Cutting'!H13="White"),1,"")</f>
        <v/>
      </c>
      <c r="BJ7" t="str">
        <f>IF(AND('Tube Cutting'!G13="Colourbond Over-Roll Hooding",'Tube Cutting'!H13="Custom Powdercoat"),'Tube Cutting'!D13,"")</f>
        <v/>
      </c>
      <c r="BK7" t="str">
        <f>IF(AND('Tube Cutting'!G13="Colourbond Over-Roll Hooding",'Tube Cutting'!H13="Ebony (Black)"),'Tube Cutting'!D13,"")</f>
        <v/>
      </c>
      <c r="BL7" t="str">
        <f>IF(AND('Tube Cutting'!G13="Colourbond Over-Roll Hooding",'Tube Cutting'!H13="Caulfield Green"),'Tube Cutting'!D13,"")</f>
        <v/>
      </c>
      <c r="BM7" t="str">
        <f>IF(AND('Tube Cutting'!G13="Colourbond Over-Roll Hooding",'Tube Cutting'!H13="Charcoal (Monument)"),'Tube Cutting'!D13,"")</f>
        <v/>
      </c>
      <c r="BN7" t="str">
        <f>IF(AND('Tube Cutting'!G13="Colourbond Over-Roll Hooding",'Tube Cutting'!H13="Dune"),'Tube Cutting'!D13,"")</f>
        <v/>
      </c>
      <c r="BO7" t="str">
        <f>IF(AND('Tube Cutting'!G13="Colourbond Over-Roll Hooding",'Tube Cutting'!H13="Heritage Red (Manor Red)"),'Tube Cutting'!D13,"")</f>
        <v/>
      </c>
      <c r="BP7" t="str">
        <f>IF(AND('Tube Cutting'!G13="Colourbond Over-Roll Hooding",'Tube Cutting'!H13="Ironstone"),'Tube Cutting'!D13,"")</f>
        <v/>
      </c>
      <c r="BQ7" t="str">
        <f>IF(AND('Tube Cutting'!G13="Colourbond Over-Roll Hooding",'Tube Cutting'!H13="Jasper"),'Tube Cutting'!D13,"")</f>
        <v/>
      </c>
      <c r="BR7" t="str">
        <f>IF(AND('Tube Cutting'!G13="Colourbond Over-Roll Hooding",'Tube Cutting'!H13="Merino (Paperbark)"),'Tube Cutting'!D13,"")</f>
        <v/>
      </c>
      <c r="BS7" t="str">
        <f>IF(AND('Tube Cutting'!G13="Colourbond Over-Roll Hooding",'Tube Cutting'!H13="Mist Green"),'Tube Cutting'!D13,"")</f>
        <v/>
      </c>
      <c r="BT7" t="str">
        <f>IF(AND('Tube Cutting'!G13="Colourbond Over-Roll Hooding",'Tube Cutting'!H13="Mountain Blue"),'Tube Cutting'!D13,"")</f>
        <v/>
      </c>
      <c r="BU7" t="str">
        <f>IF(AND('Tube Cutting'!G13="Colourbond Over-Roll Hooding",'Tube Cutting'!H13="Smooth Cream (Classic Cream)"),'Tube Cutting'!D13,"")</f>
        <v/>
      </c>
      <c r="BV7" t="str">
        <f>IF(AND('Tube Cutting'!G13="Colourbond Over-Roll Hooding",'Tube Cutting'!H13="Shale Grey"),'Tube Cutting'!D13,"")</f>
        <v/>
      </c>
      <c r="BW7" t="str">
        <f>IF(AND('Tube Cutting'!G13="Colourbond Over-Roll Hooding",'Tube Cutting'!H13="Slate Grey (Woodland Grey)"),'Tube Cutting'!D13,"")</f>
        <v/>
      </c>
      <c r="BX7" t="str">
        <f>IF(AND('Tube Cutting'!G13="Colourbond Over-Roll Hooding",'Tube Cutting'!H13="Surfmist"),'Tube Cutting'!D13,"")</f>
        <v/>
      </c>
      <c r="BY7" t="str">
        <f>IF(AND('Tube Cutting'!G13="Colourbond Over-Roll Hooding",'Tube Cutting'!H13="Mist"),'Tube Cutting'!D13,"")</f>
        <v/>
      </c>
      <c r="CP7" t="str">
        <f>IF(AND('Tube Cutting'!G13="Colourbond Over-Roll Hooding",'Tube Cutting'!H13="Custom Powdercoat"),1,"")</f>
        <v/>
      </c>
      <c r="CQ7" t="str">
        <f>IF(AND('Tube Cutting'!G13="Colourbond Over-Roll Hooding",'Tube Cutting'!H13="Ebony (Black)"),1,"")</f>
        <v/>
      </c>
      <c r="CR7" t="str">
        <f>IF(AND('Tube Cutting'!G13="Colourbond Over-Roll Hooding",'Tube Cutting'!H13="Caulfield Green"),1,"")</f>
        <v/>
      </c>
      <c r="CS7" t="str">
        <f>IF(AND('Tube Cutting'!G13="Colourbond Over-Roll Hooding",'Tube Cutting'!H13="Charcoal (Monument)"),1,"")</f>
        <v/>
      </c>
      <c r="CT7" t="str">
        <f>IF(AND('Tube Cutting'!G13="Colourbond Over-Roll Hooding",'Tube Cutting'!H13="Dune"),1,"")</f>
        <v/>
      </c>
      <c r="CU7" t="str">
        <f>IF(AND('Tube Cutting'!G13="Colourbond Over-Roll Hooding",'Tube Cutting'!H13="Heritage Red (Manor Red)"),1,"")</f>
        <v/>
      </c>
      <c r="CV7" t="str">
        <f>IF(AND('Tube Cutting'!G13="Colourbond Over-Roll Hooding",'Tube Cutting'!H13="Ironstone"),1,"")</f>
        <v/>
      </c>
      <c r="CW7" t="str">
        <f>IF(AND('Tube Cutting'!G13="Colourbond Over-Roll Hooding",'Tube Cutting'!H13="Jasper"),1,"")</f>
        <v/>
      </c>
      <c r="CX7" t="str">
        <f>IF(AND('Tube Cutting'!G13="Colourbond Over-Roll Hooding",'Tube Cutting'!H13="Merino (Paperbark)"),1,"")</f>
        <v/>
      </c>
      <c r="CY7" t="str">
        <f>IF(AND('Tube Cutting'!G13="Colourbond Over-Roll Hooding",'Tube Cutting'!H13="Mist Green"),1,"")</f>
        <v/>
      </c>
      <c r="CZ7" t="str">
        <f>IF(AND('Tube Cutting'!G13="Colourbond Over-Roll Hooding",'Tube Cutting'!H13="Mountain Blue"),1,"")</f>
        <v/>
      </c>
      <c r="DA7" t="str">
        <f>IF(AND('Tube Cutting'!G13="Colourbond Over-Roll Hooding",'Tube Cutting'!H13="Smooth Cream (Classic Cream)"),1,"")</f>
        <v/>
      </c>
      <c r="DB7" t="str">
        <f>IF(AND('Tube Cutting'!G13="Colourbond Over-Roll Hooding",'Tube Cutting'!H13="Shale Grey"),1,"")</f>
        <v/>
      </c>
      <c r="DC7" t="str">
        <f>IF(AND('Tube Cutting'!G13="Colourbond Over-Roll Hooding",'Tube Cutting'!H13="Slate Grey (Woodland Grey)"),1,"")</f>
        <v/>
      </c>
      <c r="DD7" t="str">
        <f>IF(AND('Tube Cutting'!G13="Colourbond Over-Roll Hooding",'Tube Cutting'!H13="Surfmist"),1,"")</f>
        <v/>
      </c>
      <c r="DE7" t="str">
        <f>IF(AND('Tube Cutting'!G13="Colourbond Over-Roll Hooding",'Tube Cutting'!H13="Mist"),1,"")</f>
        <v/>
      </c>
      <c r="DI7" t="str">
        <f>IF('Tube Cutting'!P13="78mm",'Tube Cutting'!Q13,"")</f>
        <v/>
      </c>
      <c r="DJ7" t="str">
        <f>IF('Tube Cutting'!P13="85mm",'Tube Cutting'!Q13,"")</f>
        <v/>
      </c>
      <c r="DM7" t="str">
        <f>IF(AND('Tube Cutting'!C13="Zipscreen",'Job Sheet'!M13="Gearbox"),1,"")</f>
        <v/>
      </c>
      <c r="DN7" t="str">
        <f>IF('Tube Cutting'!C13="Zipscreen",1,"")</f>
        <v/>
      </c>
      <c r="EK7" t="str">
        <f t="shared" si="1"/>
        <v/>
      </c>
      <c r="GM7" t="str">
        <f>IF(AND('Job Sheet'!M13="Gearbox",'Job Sheet'!N13="Black"),1,"")</f>
        <v/>
      </c>
      <c r="GN7" t="str">
        <f>IF(AND('Job Sheet'!M13="Gearbox",'Job Sheet'!N13="White"),1,"")</f>
        <v/>
      </c>
      <c r="GO7" t="str">
        <f>IF('Job Sheet'!Q13="Black Crank Handle 1000mm",1,"")</f>
        <v/>
      </c>
      <c r="GP7" t="str">
        <f>IF('Job Sheet'!Q13="Black Crank Handle 1200mm",1,"")</f>
        <v/>
      </c>
      <c r="GQ7" t="str">
        <f>IF('Job Sheet'!Q13="Black Crank Handle 1500mm",1,"")</f>
        <v/>
      </c>
      <c r="GR7" t="str">
        <f>IF('Job Sheet'!Q13="Black Crank Handle 1800mm",1,"")</f>
        <v/>
      </c>
      <c r="GS7" t="str">
        <f>IF('Job Sheet'!Q13="Black Crank Handle 2200mm",1,"")</f>
        <v/>
      </c>
      <c r="GT7" t="str">
        <f>IF('Job Sheet'!Q13="Black Crank Handle 2500mm",1,"")</f>
        <v/>
      </c>
      <c r="GU7" t="str">
        <f>IF('Job Sheet'!Q13="Black Crank Handle 3000mm",1,"")</f>
        <v/>
      </c>
      <c r="GV7" t="str">
        <f>IF('Job Sheet'!Q13="White Crank Handle 1000mm",1,"")</f>
        <v/>
      </c>
      <c r="GW7" t="str">
        <f>IF('Job Sheet'!Q13="White Crank Handle 1200mm",1,"")</f>
        <v/>
      </c>
      <c r="GX7" t="str">
        <f>IF('Job Sheet'!Q13="White Crank Handle 1500mm",1,"")</f>
        <v/>
      </c>
      <c r="GY7" t="str">
        <f>IF('Job Sheet'!Q13="White Crank Handle 1800mm",1,"")</f>
        <v/>
      </c>
      <c r="GZ7" t="str">
        <f>IF('Job Sheet'!Q13="White Crank Handle 2200mm",1,"")</f>
        <v/>
      </c>
      <c r="HA7" t="str">
        <f>IF('Job Sheet'!Q13="White Crank Handle 2500mm",1,"")</f>
        <v/>
      </c>
      <c r="HB7" t="str">
        <f>IF('Job Sheet'!Q13="White Crank Handle 3000mm",1,"")</f>
        <v/>
      </c>
      <c r="IM7" t="str">
        <f>IF(OR('Job Sheet'!V13&lt;&gt;"Pearl White",'Job Sheet'!V13&lt;&gt;"White Satin"),"",2)</f>
        <v/>
      </c>
      <c r="IN7" t="str">
        <f>IF(AND('Job Sheet'!U13="Powder Coated Brackets",(OR('Job Sheet'!V13="Pearl White",'Job Sheet'!V13="White Satin"))),2,"")</f>
        <v/>
      </c>
      <c r="IQ7" t="str">
        <f>IF('Job Sheet'!U13="Stainless Steel Brackets",2,"")</f>
        <v/>
      </c>
      <c r="JN7" t="str">
        <f>IF('Job Sheet'!AA13="25mm x 1",1,IF('Job Sheet'!AA13="25mm x 2",2,""))</f>
        <v/>
      </c>
      <c r="JO7" t="str">
        <f>IF('Job Sheet'!AA13="50mm x 1",1,IF('Job Sheet'!AA13="50mm x 2",2,""))</f>
        <v/>
      </c>
      <c r="JP7" t="str">
        <f>IF('Job Sheet'!AA13="75mm x 1",1,IF('Job Sheet'!AA13="75mm x 2",2,""))</f>
        <v/>
      </c>
      <c r="JQ7" t="str">
        <f>IF('Job Sheet'!AA13="100mm x 1",1,IF('Job Sheet'!AA13="100mm x 2",2,""))</f>
        <v/>
      </c>
      <c r="JR7" t="str">
        <f>IF('Job Sheet'!AA13="125mm x 1",1,IF('Job Sheet'!AA13="125mm x 2",2,""))</f>
        <v/>
      </c>
      <c r="JT7" t="str">
        <f>IF('Fabric Cutting'!L13="6mm Black",'Fabric Cutting'!E13,+IF('Fabric Cutting'!M13="6mm Black",'Fabric Cutting'!E13,""))</f>
        <v/>
      </c>
      <c r="JU7" t="str">
        <f>IF('Job Sheet'!K13="1.Verticali",'Fabric Cutting'!E13,"")</f>
        <v/>
      </c>
      <c r="JV7" t="str">
        <f>IF('Tube Cutting'!G13="Verticali Hooding (Old)",'Tube Cutting'!F13,"")</f>
        <v/>
      </c>
      <c r="JW7" t="str">
        <f>IF('Tube Cutting'!G13="Verticali Hooding (Old)",'Tube Cutting'!F13,"")</f>
        <v/>
      </c>
      <c r="JX7" t="str">
        <f>IF('Tube Cutting'!G13="Verticali Square Hooding",'Tube Cutting'!F13,"")</f>
        <v/>
      </c>
      <c r="JY7" t="str">
        <f>IF('Tube Cutting'!G13="Verticali Square Hooding",'Tube Cutting'!F13,"")</f>
        <v/>
      </c>
      <c r="KA7" t="str">
        <f>IF('Tube Cutting'!C13="Verticali",('Job Sheet'!G13-100)*2,"")</f>
        <v/>
      </c>
      <c r="KB7" t="str">
        <f>IF('Tube Cutting'!C13="Verticali",('Job Sheet'!G13-100)*2,"")</f>
        <v/>
      </c>
      <c r="KC7" t="str">
        <f>IF('Tube Cutting'!C13="Verticali",'Tube Cutting'!N13,"")</f>
        <v/>
      </c>
      <c r="KD7" t="str">
        <f>IF('Tube Cutting'!C13="Verticali",('Job Sheet'!G13-100)*2,"")</f>
        <v/>
      </c>
      <c r="KE7" t="str">
        <f>IF(Data!AV13="","",('Fabric Cutting'!F13-200)*2)</f>
        <v/>
      </c>
      <c r="KF7" t="str">
        <f>IF(OR(Data!AV13="",'Fabric Cutting'!C13&lt;&gt;"Verticali"),"",IF('Assembly(a)'!K13="",20,'Assembly(a)'!G13-1980))</f>
        <v/>
      </c>
      <c r="KG7" t="str">
        <f>IF('Tube Cutting'!C13="Verticali",'Tube Cutting'!N13,"")</f>
        <v/>
      </c>
      <c r="KH7" t="str">
        <f>IF(AND('Tube Cutting'!C13="Verticali",'Tube Cutting'!N13&lt;2000),'Tube Cutting'!N13-10,IF(AND('Tube Cutting'!C13="Verticali",'Tube Cutting'!N13&gt;2000),2000,""))</f>
        <v/>
      </c>
      <c r="KI7" t="str">
        <f>IF('Tube Cutting'!G13="Verticali Hooding (Old)",1,"")</f>
        <v/>
      </c>
      <c r="KJ7" t="str">
        <f>IF('Tube Cutting'!G13="Verticali Square Hooding",1,"")</f>
        <v/>
      </c>
      <c r="KL7" t="str">
        <f>IF('Tube Cutting'!G13="Verticali Colourbond Hooding",1,"")</f>
        <v/>
      </c>
      <c r="KM7" t="str">
        <f>IF(AND('Tube Cutting'!C13="Verticali",'Tube Cutting'!P13="78mm"),2,"")</f>
        <v/>
      </c>
      <c r="KN7" t="str">
        <f>IF(AND('Tube Cutting'!C13="Verticali",'Tube Cutting'!P13="85mm"),2,"")</f>
        <v/>
      </c>
      <c r="KP7" t="str">
        <f>IF(AND('Tube Cutting'!C13="Verticali",'Job Sheet'!M13="Gearbox"),1,"")</f>
        <v/>
      </c>
      <c r="KQ7" t="str">
        <f>IF('Tube Cutting'!C13="Verticali",1,"")</f>
        <v/>
      </c>
      <c r="KS7" t="str">
        <f>IF(OR('Job Sheet'!AB13="Foot 1 Side",'Job Sheet'!AB13="Leg &amp; Foot 1 Side",'Job Sheet'!AB13="End Cap 1 Side"),1,IF(OR('Job Sheet'!AB13="Foot Both Sides",'Job Sheet'!AB13="Leg &amp; Foot Both Sides",'Job Sheet'!AB13="End Cap Both Sides"),2,""))</f>
        <v/>
      </c>
      <c r="KT7" t="str">
        <f>IF(OR('Job Sheet'!AB13="Leg 1 Side",'Job Sheet'!AB13="Leg &amp; Foot 1 Side"),1,IF(OR('Job Sheet'!AB13="Leg Both Sides",'Job Sheet'!AB13="Leg &amp; Foot Both Sides",),2,""))</f>
        <v/>
      </c>
      <c r="KU7" t="str">
        <f>IF('Tube Cutting'!C13="Verticali",2,"")</f>
        <v/>
      </c>
      <c r="KW7" t="str">
        <f>IF('Tube Cutting'!C13="Verticali",2,"")</f>
        <v/>
      </c>
      <c r="KX7" t="str">
        <f>IF(Packing!L13="1 Pair",1,IF(Packing!L13="2 Pairs",2,""))</f>
        <v/>
      </c>
      <c r="KZ7" t="str">
        <f>IF('Tube Cutting'!G13="Verticali Base Rail",2,"")</f>
        <v/>
      </c>
      <c r="LA7" t="str">
        <f>IF('Tube Cutting'!G13="Zipscreen Hooding",'Tube Cutting'!F13,"")</f>
        <v/>
      </c>
      <c r="LB7" t="str">
        <f>IF('Tube Cutting'!G13="Zipscreen Hooding",'Tube Cutting'!F13,"")</f>
        <v/>
      </c>
      <c r="LD7" t="str">
        <f>IF('Tube Cutting'!G13="Zipscreen Hooding",1,"")</f>
        <v/>
      </c>
      <c r="LE7" t="str">
        <f>IF('Job Sheet'!AO13="Compact",1,"")</f>
        <v/>
      </c>
      <c r="LF7" t="str">
        <f>IF('Job Sheet'!AO13="Light",1,"")</f>
        <v/>
      </c>
      <c r="LG7" t="str">
        <f>IF('Job Sheet'!AO13="Standard",1,"")</f>
        <v/>
      </c>
      <c r="LH7" t="str">
        <f>IF('Job Sheet'!AO13="Heavy Duty",1,"")</f>
        <v/>
      </c>
      <c r="LI7" t="str">
        <f>IF('Job Sheet'!AO13="Extra Heavy Duty",1,"")</f>
        <v/>
      </c>
      <c r="LJ7" t="str">
        <f>IF('Job Sheet'!AO13="Ultra Heavy Duty",1,"")</f>
        <v/>
      </c>
      <c r="LK7" t="str">
        <f>IF('Tube Cutting'!C13="Zipscreen",2,"")</f>
        <v/>
      </c>
      <c r="LM7" t="str">
        <f>IF(AND('Job Sheet'!K13="2.Zipscreen",'Job Sheet'!M13="Spring"),1,"")</f>
        <v/>
      </c>
      <c r="LN7" t="str">
        <f>IF(AND('Job Sheet'!K13="2.Zipscreen",'Job Sheet'!M13="Spring"),2,IF(AND('Job Sheet'!K13="2.Zipscreen",'Job Sheet'!M13&lt;&gt;"Spring"),1,""))</f>
        <v/>
      </c>
      <c r="LO7" t="str">
        <f>IF(Data!BO13="PVC",'Fabric Cutting'!E13,"")</f>
        <v/>
      </c>
      <c r="LP7" t="str">
        <f>IF('Tube Cutting'!C13="Zipscreen",'Tube Cutting'!N13,"")</f>
        <v/>
      </c>
      <c r="LQ7" t="str">
        <f>IF('Tube Cutting'!C13="Zipscreen",2,"")</f>
        <v/>
      </c>
      <c r="LR7" t="str">
        <f>IF('Tube Cutting'!C13="Zipscreen",'Tube Cutting'!N13,"")</f>
        <v/>
      </c>
      <c r="LT7" t="str">
        <f>IF('Tube Cutting'!C13="Zipscreen",('Tube Cutting'!N13-100)*2,"")</f>
        <v/>
      </c>
      <c r="LU7" t="str">
        <f>IF(AND('Job Sheet'!K13="2.Zipscreen",'Job Sheet'!M13="Spring"),1,"")</f>
        <v/>
      </c>
      <c r="LV7" t="str">
        <f>IF(AND('Job Sheet'!K13="2.Zipscreen",'Job Sheet'!M13="Spring"),1,"")</f>
        <v/>
      </c>
      <c r="LW7" t="str">
        <f>IF('Tube Cutting'!C13="Zipscreen",('Job Sheet'!G13-100)*2,"")</f>
        <v/>
      </c>
      <c r="LX7" t="str">
        <f>IF('Tube Cutting'!C13="Zipscreen",('Job Sheet'!G13-82)*2,"")</f>
        <v/>
      </c>
      <c r="LY7" t="str">
        <f>IF('Tube Cutting'!K13="","",('Job Sheet'!G13-100)*2)</f>
        <v/>
      </c>
      <c r="LZ7" t="str">
        <f>IF('Tube Cutting'!C13="Zipscreen",2,"")</f>
        <v/>
      </c>
      <c r="MA7" t="str">
        <f>IF('Tube Cutting'!C13="Zipscreen",2,"")</f>
        <v/>
      </c>
      <c r="MB7" t="str">
        <f>IF('Job Sheet'!M13="Acmeda Remote Motor",1,"")</f>
        <v/>
      </c>
      <c r="ME7" t="str">
        <f>IF(AND('Tube Cutting'!P13="78mm",'Job Sheet'!M13="Acmeda Remote Motor"),1,"")</f>
        <v/>
      </c>
      <c r="MG7" t="str">
        <f>IF('Job Sheet'!M13="Acmeda 12v Remote Motor",1,"")</f>
        <v/>
      </c>
      <c r="MH7" t="str">
        <f>IF(OR('Job Sheet'!R13="External Battery",'Job Sheet'!R13="External Battery and Charging Cable"),1,"")</f>
        <v/>
      </c>
      <c r="MI7" t="str">
        <f>IF('Job Sheet'!R13="External Battery and Charging Cable",1,"")</f>
        <v/>
      </c>
      <c r="MJ7" t="str">
        <f>IF(OR('Job Sheet'!R13="Pulse Pro Automation Hub",'Job Sheet'!R13="Pulse 2.0 Automation Hub"),1,"")</f>
        <v/>
      </c>
      <c r="MK7" t="str">
        <f>IF('Job Sheet'!R13="USB Repeater",1,"")</f>
        <v/>
      </c>
      <c r="ML7" t="str">
        <f>IF('Job Sheet'!Q13="Acmeda 1 Channel White Remote",1,"")</f>
        <v/>
      </c>
      <c r="MM7" t="str">
        <f>IF('Job Sheet'!Q13="Acmeda 1 Channel Black Remote",1,"")</f>
        <v/>
      </c>
      <c r="MN7" t="str">
        <f>IF('Job Sheet'!Q13="Acmeda 5 Channel White Remote",1,"")</f>
        <v/>
      </c>
      <c r="MO7" t="str">
        <f>IF('Job Sheet'!Q13="Acmeda 5 Channel Black Remote",1,"")</f>
        <v/>
      </c>
      <c r="MP7" t="str">
        <f>IF('Job Sheet'!Q13="Acmeda 15 Channel White Remote",1,"")</f>
        <v/>
      </c>
      <c r="MQ7" t="str">
        <f>IF('Job Sheet'!Q13="Acmeda 15 Channel Black Remote",1,"")</f>
        <v/>
      </c>
      <c r="MR7" t="str">
        <f>IF('Job Sheet'!Q13="Acmeda Wall Mounted 5 Channel White Remote",1,"")</f>
        <v/>
      </c>
      <c r="MS7" t="str">
        <f>IF('Job Sheet'!Q13="Acmeda Wall Mounted Single Channel White Remote",1,"")</f>
        <v/>
      </c>
      <c r="MT7" t="str">
        <f>IF('Job Sheet'!Q13="Acmeda 2 Channel White Remote",1,"")</f>
        <v/>
      </c>
      <c r="MU7" t="str">
        <f>IF('Job Sheet'!Q13="Acmeda 15 Channel White Remote",1,"")</f>
        <v/>
      </c>
      <c r="MV7" t="str">
        <f>IF('Job Sheet'!Q13="Acmeda Push Pro White Remote with Charger",1,"")</f>
        <v/>
      </c>
      <c r="MW7" t="str">
        <f>IF('Job Sheet'!Q13="Acmeda Push Pro Black Remote with Charger",1,"")</f>
        <v/>
      </c>
      <c r="MX7" t="str">
        <f>IF(OR('Job Sheet'!Q13="Acmeda Push Pro White Remote with Charger",'Job Sheet'!Q13="Acmeda Push Pro Black Remote with Charger"),"1","")</f>
        <v/>
      </c>
      <c r="MY7" t="str">
        <f t="shared" si="2"/>
        <v/>
      </c>
      <c r="MZ7" t="str">
        <f>IF('Job Sheet'!S13="Acmeda Wind Sensor",1,"")</f>
        <v/>
      </c>
      <c r="NA7" t="str">
        <f>IF('Job Sheet'!R13="1 Channel Dry Contact Relay Module",1,"")</f>
        <v/>
      </c>
      <c r="NE7" t="str">
        <f>IF('Job Sheet'!M13="Becker Remote Operated",1,"")</f>
        <v/>
      </c>
      <c r="NF7" t="str">
        <f>IF('Job Sheet'!M13="Becker Switch Operated",1,"")</f>
        <v/>
      </c>
      <c r="NG7" t="str">
        <f>IF(OR('Job Sheet'!M13="Acmeda Remote Motor",'Job Sheet'!M13="Becker Remote Operated",'Job Sheet'!M13="Becker Switch Operated"),1,"")</f>
        <v/>
      </c>
      <c r="NI7" t="str">
        <f>IF(OR('Job Sheet'!M13="Becker Remote Operated",'Job Sheet'!M13="Becker Switch Operated"),1,"")</f>
        <v/>
      </c>
      <c r="NL7" t="str">
        <f>IF(AND('Tube Cutting'!P13="78mm",(OR('Job Sheet'!M13="Becker Remote Operated",'Job Sheet'!M13="Becker Switch Operated"))),1,"")</f>
        <v/>
      </c>
      <c r="NM7" t="str">
        <f>IF('Job Sheet'!Q13="Becker Single Channel White Remote",1,"")</f>
        <v/>
      </c>
      <c r="NN7" t="str">
        <f>IF('Job Sheet'!Q13="Becker Single Channel Black Remote",1,"")</f>
        <v/>
      </c>
      <c r="NO7" t="str">
        <f>IF('Job Sheet'!Q13="Becker 5 Channel White Remote",1,"")</f>
        <v/>
      </c>
      <c r="NP7" t="str">
        <f>IF('Job Sheet'!Q13="Becker 5 Channel Black Remote",1,"")</f>
        <v/>
      </c>
      <c r="NQ7" t="str">
        <f>IF('Job Sheet'!Q13="Becker 10 Channel White Remote",1,"")</f>
        <v/>
      </c>
      <c r="NR7" t="str">
        <f>IF('Job Sheet'!Q13="Becker 10 Channel Black Remote",1,"")</f>
        <v/>
      </c>
      <c r="NS7" t="str">
        <f>IF('Job Sheet'!S13="Becker Wind Sensor",1,"")</f>
        <v/>
      </c>
      <c r="NT7" t="str">
        <f>IF('Job Sheet'!M13="Somfy Remote Operated",1,"")</f>
        <v/>
      </c>
      <c r="NV7" t="str">
        <f>IF('Job Sheet'!M13="Somfy Remote Operated",1,"")</f>
        <v/>
      </c>
      <c r="NW7" t="str">
        <f>IF('Job Sheet'!M13="Somfy Remote Operated",1,"")</f>
        <v/>
      </c>
      <c r="NZ7" t="str">
        <f>IF(AND('Tube Cutting'!P13="78mm",'Job Sheet'!M13="Somfy Remote Operated"),1,"")</f>
        <v/>
      </c>
      <c r="OA7" t="str">
        <f>IF('Job Sheet'!R13="Connexoon App Connector",1,"")</f>
        <v/>
      </c>
      <c r="OB7" t="str">
        <f>IF('Job Sheet'!R13="Tahoma Switch",1,"")</f>
        <v/>
      </c>
      <c r="OC7" t="str">
        <f>IF('Job Sheet'!Q13="Somfy 15 Channel Silver Remote",1,"")</f>
        <v/>
      </c>
      <c r="OD7" t="str">
        <f>IF('Job Sheet'!Q13="Somfy 15 Channel White Remote",1,"")</f>
        <v/>
      </c>
      <c r="OE7" t="str">
        <f>IF('Job Sheet'!Q13="Somfy 2 Channel Silver Remote",1,"")</f>
        <v/>
      </c>
      <c r="OF7" t="str">
        <f>IF('Job Sheet'!Q13="Somfy 2 Channel Wall Mounted Smoove Remote White with Black Cover Plate",1,"")</f>
        <v/>
      </c>
      <c r="OG7" t="str">
        <f>IF('Job Sheet'!Q13="Somfy 2 Channel Wall Mounted Smoove Remote White with Silver Cover Plate",1,"")</f>
        <v/>
      </c>
      <c r="OH7" t="str">
        <f>IF('Job Sheet'!Q13="Somfy 2 Channel Wall Mounted Smoove Remote White",1,"")</f>
        <v/>
      </c>
      <c r="OI7" t="str">
        <f>IF('Job Sheet'!Q13="Somfy 2 Channel White Remote",1,"")</f>
        <v/>
      </c>
      <c r="OJ7" t="str">
        <f>IF('Job Sheet'!Q13="Somfy 2 Channel Silver Remote",1,"")</f>
        <v/>
      </c>
      <c r="OK7" t="str">
        <f>IF('Job Sheet'!Q13="Somfy 5 Channel Wall Mounted Smoove Remote White with Black Cover Plate",1,"")</f>
        <v/>
      </c>
      <c r="OL7" t="str">
        <f>IF('Job Sheet'!Q13="Somfy 5 Channel Wall Mounted Smoove Remote White with Silver Cover Plate",1,"")</f>
        <v/>
      </c>
      <c r="OM7" t="str">
        <f>IF('Job Sheet'!Q13="Somfy 5 Channel Wall Mounted Smoove Remote White",1,"")</f>
        <v/>
      </c>
      <c r="ON7" t="str">
        <f>IF('Job Sheet'!Q13="Somfy 5 Channel White Remote",1,"")</f>
        <v/>
      </c>
      <c r="OO7" t="str">
        <f>IF('Job Sheet'!Q13="Somfy Single Channel Silver Remote",1,"")</f>
        <v/>
      </c>
      <c r="OP7" t="str">
        <f>IF('Job Sheet'!Q13="Somfy Single Channel Wall Mounted Smoove Remote White with Black Cover Plate",1,"")</f>
        <v/>
      </c>
      <c r="OQ7" t="str">
        <f>IF('Job Sheet'!Q13="Somfy Single Channel Wall Mounted Smoove Remote White with Silver Cover Plate",1,"")</f>
        <v/>
      </c>
      <c r="OR7" t="str">
        <f>IF('Job Sheet'!Q13="Somfy Single Channel Wall Mounted Smoove Remote White",1,"")</f>
        <v/>
      </c>
      <c r="OS7" t="str">
        <f>IF('Job Sheet'!Q13="Somfy Single Channel White Remote",1,"")</f>
        <v/>
      </c>
    </row>
    <row r="8" spans="4:409" ht="13.2" customHeight="1">
      <c r="D8" t="str">
        <f>IF('Tube Cutting'!C14="","",CONCATENATE(Data!BC$5,".",Data!BD$5))</f>
        <v/>
      </c>
      <c r="E8" t="str">
        <f>IF(D8="","",Data!AW14)</f>
        <v/>
      </c>
      <c r="F8" t="str">
        <f>IF(D8="","",Data!AV14)</f>
        <v/>
      </c>
      <c r="G8" t="str">
        <f>IF(D8="","",'Tube Cutting'!C14)</f>
        <v/>
      </c>
      <c r="H8" t="str">
        <f>IF(D8="","",Data!BF$5)</f>
        <v/>
      </c>
      <c r="I8" t="str">
        <f>IF(D8="","",Data!AX$5)</f>
        <v/>
      </c>
      <c r="J8" s="116" t="str">
        <f>'Job Sheet'!L14</f>
        <v/>
      </c>
      <c r="K8" t="str">
        <f t="shared" si="0"/>
        <v/>
      </c>
      <c r="L8" s="115" t="str">
        <f>'Fabric Cutting'!E14</f>
        <v/>
      </c>
      <c r="M8" s="115" t="str">
        <f>'Fabric Cutting'!F14</f>
        <v/>
      </c>
      <c r="N8" t="str">
        <f>IF(AND('Tube Cutting'!G14="Colourbond Under-Roll Hooding",'Tube Cutting'!H14="Custom Powdercoat"),'Tube Cutting'!D14,"")</f>
        <v/>
      </c>
      <c r="O8" t="str">
        <f>IF(AND('Tube Cutting'!G14="Colourbond Under-Roll Hooding",'Tube Cutting'!H14="Ebony (Black)"),'Tube Cutting'!D14,"")</f>
        <v/>
      </c>
      <c r="P8" t="str">
        <f>IF(AND('Tube Cutting'!G14="Colourbond Under-Roll Hooding",'Tube Cutting'!H14="Caulfield Green"),'Tube Cutting'!D14,"")</f>
        <v/>
      </c>
      <c r="Q8" t="str">
        <f>IF(AND('Tube Cutting'!G14="Colourbond Under-Roll Hooding",'Tube Cutting'!H14="Charcoal (Monument)"),'Tube Cutting'!D14,"")</f>
        <v/>
      </c>
      <c r="R8" t="str">
        <f>IF(AND('Tube Cutting'!G14="Colourbond Under-Roll Hooding",'Tube Cutting'!H14="Dune"),'Tube Cutting'!D14,"")</f>
        <v/>
      </c>
      <c r="S8" t="str">
        <f>IF(AND('Tube Cutting'!G14="Colourbond Under-Roll Hooding",'Tube Cutting'!H14="Heritage Red (Manor Red)"),'Tube Cutting'!D14,"")</f>
        <v/>
      </c>
      <c r="T8" t="str">
        <f>IF(AND('Tube Cutting'!G14="Colourbond Under-Roll Hooding",'Tube Cutting'!H14="Ironstone"),'Tube Cutting'!D14,"")</f>
        <v/>
      </c>
      <c r="U8" t="str">
        <f>IF(AND('Tube Cutting'!G14="Colourbond Under-Roll Hooding",'Tube Cutting'!H14="Jasper"),'Tube Cutting'!D14,"")</f>
        <v/>
      </c>
      <c r="V8" t="str">
        <f>IF(AND('Tube Cutting'!G14="Colourbond Under-Roll Hooding",'Tube Cutting'!H14="Merino (Paperbark)"),'Tube Cutting'!D14,"")</f>
        <v/>
      </c>
      <c r="W8" t="str">
        <f>IF(AND('Tube Cutting'!G14="Colourbond Under-Roll Hooding",'Tube Cutting'!H14="Mist Green"),'Tube Cutting'!D14,"")</f>
        <v/>
      </c>
      <c r="X8" t="str">
        <f>IF(AND('Tube Cutting'!G14="Colourbond Under-Roll Hooding",'Tube Cutting'!H14="Mountain Blue"),'Tube Cutting'!D14,"")</f>
        <v/>
      </c>
      <c r="Y8" t="str">
        <f>IF(AND('Tube Cutting'!G14="Colourbond Under-Roll Hooding",'Tube Cutting'!H14="Smooth Cream (Classic Cream)"),'Tube Cutting'!D14,"")</f>
        <v/>
      </c>
      <c r="Z8" t="str">
        <f>IF(AND('Tube Cutting'!G14="Colourbond Under-Roll Hooding",'Tube Cutting'!H14="Shale Grey"),'Tube Cutting'!D14,"")</f>
        <v/>
      </c>
      <c r="AA8" t="str">
        <f>IF(AND('Tube Cutting'!G14="Colourbond Under-Roll Hooding",'Tube Cutting'!H14="Slate Grey (Woodland Grey)"),'Tube Cutting'!D14,"")</f>
        <v/>
      </c>
      <c r="AB8" t="str">
        <f>IF(AND('Tube Cutting'!G14="Colourbond Under-Roll Hooding",'Tube Cutting'!H14="Surfmist"),'Tube Cutting'!D14,"")</f>
        <v/>
      </c>
      <c r="AC8" t="str">
        <f>IF(AND('Tube Cutting'!G14="Colourbond Under-Roll Hooding",'Tube Cutting'!H14="White"),'Tube Cutting'!D14,"")</f>
        <v/>
      </c>
      <c r="AT8" t="str">
        <f>IF(AND('Tube Cutting'!G14="Colourbond Under-Roll Hooding",'Tube Cutting'!H14="Custom Powdercoat"),1,"")</f>
        <v/>
      </c>
      <c r="AU8" t="str">
        <f>IF(AND('Tube Cutting'!G14="Colourbond Under-Roll Hooding",'Tube Cutting'!H14="Ebony (Black)"),1,"")</f>
        <v/>
      </c>
      <c r="AV8" t="str">
        <f>IF(AND('Tube Cutting'!G14="Colourbond Under-Roll Hooding",'Tube Cutting'!H14="Caulfield Green"),1,"")</f>
        <v/>
      </c>
      <c r="AW8" t="str">
        <f>IF(AND('Tube Cutting'!G14="Colourbond Under-Roll Hooding",'Tube Cutting'!H14="Charcoal (Monument)"),1,"")</f>
        <v/>
      </c>
      <c r="AX8" t="str">
        <f>IF(AND('Tube Cutting'!G14="Colourbond Under-Roll Hooding",'Tube Cutting'!H14="Dune"),1,"")</f>
        <v/>
      </c>
      <c r="AY8" t="str">
        <f>IF(AND('Tube Cutting'!G14="Colourbond Under-Roll Hooding",'Tube Cutting'!H14="Heritage Red (Manor Red)"),1,"")</f>
        <v/>
      </c>
      <c r="AZ8" t="str">
        <f>IF(AND('Tube Cutting'!G14="Colourbond Under-Roll Hooding",'Tube Cutting'!H14="Ironstone"),1,"")</f>
        <v/>
      </c>
      <c r="BA8" t="str">
        <f>IF(AND('Tube Cutting'!G14="Colourbond Under-Roll Hooding",'Tube Cutting'!H14="Jasper"),1,"")</f>
        <v/>
      </c>
      <c r="BB8" t="str">
        <f>IF(AND('Tube Cutting'!G14="Colourbond Under-Roll Hooding",'Tube Cutting'!H14="Merino (Paperbark)"),1,"")</f>
        <v/>
      </c>
      <c r="BC8" t="str">
        <f>IF(AND('Tube Cutting'!G14="Colourbond Under-Roll Hooding",'Tube Cutting'!H14="Mist Green"),1,"")</f>
        <v/>
      </c>
      <c r="BD8" t="str">
        <f>IF(AND('Tube Cutting'!G14="Colourbond Under-Roll Hooding",'Tube Cutting'!H14="Mountain Blue"),1,"")</f>
        <v/>
      </c>
      <c r="BE8" t="str">
        <f>IF(AND('Tube Cutting'!G14="Colourbond Under-Roll Hooding",'Tube Cutting'!H14="Smooth Cream (Classic Cream)"),1,"")</f>
        <v/>
      </c>
      <c r="BF8" t="str">
        <f>IF(AND('Tube Cutting'!G14="Colourbond Under-Roll Hooding",'Tube Cutting'!H14="Shale Grey"),1,"")</f>
        <v/>
      </c>
      <c r="BG8" t="str">
        <f>IF(AND('Tube Cutting'!G14="Colourbond Under-Roll Hooding",'Tube Cutting'!H14="Slate Grey (Woodland Grey)"),1,"")</f>
        <v/>
      </c>
      <c r="BH8" t="str">
        <f>IF(AND('Tube Cutting'!G14="Colourbond Under-Roll Hooding",'Tube Cutting'!H14="Surfmist"),1,"")</f>
        <v/>
      </c>
      <c r="BI8" t="str">
        <f>IF(AND('Tube Cutting'!G14="Colourbond Under-Roll Hooding",'Tube Cutting'!H14="White"),1,"")</f>
        <v/>
      </c>
      <c r="BJ8" t="str">
        <f>IF(AND('Tube Cutting'!G14="Colourbond Over-Roll Hooding",'Tube Cutting'!H14="Custom Powdercoat"),'Tube Cutting'!D14,"")</f>
        <v/>
      </c>
      <c r="BK8" t="str">
        <f>IF(AND('Tube Cutting'!G14="Colourbond Over-Roll Hooding",'Tube Cutting'!H14="Ebony (Black)"),'Tube Cutting'!D14,"")</f>
        <v/>
      </c>
      <c r="BL8" t="str">
        <f>IF(AND('Tube Cutting'!G14="Colourbond Over-Roll Hooding",'Tube Cutting'!H14="Caulfield Green"),'Tube Cutting'!D14,"")</f>
        <v/>
      </c>
      <c r="BM8" t="str">
        <f>IF(AND('Tube Cutting'!G14="Colourbond Over-Roll Hooding",'Tube Cutting'!H14="Charcoal (Monument)"),'Tube Cutting'!D14,"")</f>
        <v/>
      </c>
      <c r="BN8" t="str">
        <f>IF(AND('Tube Cutting'!G14="Colourbond Over-Roll Hooding",'Tube Cutting'!H14="Dune"),'Tube Cutting'!D14,"")</f>
        <v/>
      </c>
      <c r="BO8" t="str">
        <f>IF(AND('Tube Cutting'!G14="Colourbond Over-Roll Hooding",'Tube Cutting'!H14="Heritage Red (Manor Red)"),'Tube Cutting'!D14,"")</f>
        <v/>
      </c>
      <c r="BP8" t="str">
        <f>IF(AND('Tube Cutting'!G14="Colourbond Over-Roll Hooding",'Tube Cutting'!H14="Ironstone"),'Tube Cutting'!D14,"")</f>
        <v/>
      </c>
      <c r="BQ8" t="str">
        <f>IF(AND('Tube Cutting'!G14="Colourbond Over-Roll Hooding",'Tube Cutting'!H14="Jasper"),'Tube Cutting'!D14,"")</f>
        <v/>
      </c>
      <c r="BR8" t="str">
        <f>IF(AND('Tube Cutting'!G14="Colourbond Over-Roll Hooding",'Tube Cutting'!H14="Merino (Paperbark)"),'Tube Cutting'!D14,"")</f>
        <v/>
      </c>
      <c r="BS8" t="str">
        <f>IF(AND('Tube Cutting'!G14="Colourbond Over-Roll Hooding",'Tube Cutting'!H14="Mist Green"),'Tube Cutting'!D14,"")</f>
        <v/>
      </c>
      <c r="BT8" t="str">
        <f>IF(AND('Tube Cutting'!G14="Colourbond Over-Roll Hooding",'Tube Cutting'!H14="Mountain Blue"),'Tube Cutting'!D14,"")</f>
        <v/>
      </c>
      <c r="BU8" t="str">
        <f>IF(AND('Tube Cutting'!G14="Colourbond Over-Roll Hooding",'Tube Cutting'!H14="Smooth Cream (Classic Cream)"),'Tube Cutting'!D14,"")</f>
        <v/>
      </c>
      <c r="BV8" t="str">
        <f>IF(AND('Tube Cutting'!G14="Colourbond Over-Roll Hooding",'Tube Cutting'!H14="Shale Grey"),'Tube Cutting'!D14,"")</f>
        <v/>
      </c>
      <c r="BW8" t="str">
        <f>IF(AND('Tube Cutting'!G14="Colourbond Over-Roll Hooding",'Tube Cutting'!H14="Slate Grey (Woodland Grey)"),'Tube Cutting'!D14,"")</f>
        <v/>
      </c>
      <c r="BX8" t="str">
        <f>IF(AND('Tube Cutting'!G14="Colourbond Over-Roll Hooding",'Tube Cutting'!H14="Surfmist"),'Tube Cutting'!D14,"")</f>
        <v/>
      </c>
      <c r="BY8" t="str">
        <f>IF(AND('Tube Cutting'!G14="Colourbond Over-Roll Hooding",'Tube Cutting'!H14="Mist"),'Tube Cutting'!D14,"")</f>
        <v/>
      </c>
      <c r="CP8" t="str">
        <f>IF(AND('Tube Cutting'!G14="Colourbond Over-Roll Hooding",'Tube Cutting'!H14="Custom Powdercoat"),1,"")</f>
        <v/>
      </c>
      <c r="CQ8" t="str">
        <f>IF(AND('Tube Cutting'!G14="Colourbond Over-Roll Hooding",'Tube Cutting'!H14="Ebony (Black)"),1,"")</f>
        <v/>
      </c>
      <c r="CR8" t="str">
        <f>IF(AND('Tube Cutting'!G14="Colourbond Over-Roll Hooding",'Tube Cutting'!H14="Caulfield Green"),1,"")</f>
        <v/>
      </c>
      <c r="CS8" t="str">
        <f>IF(AND('Tube Cutting'!G14="Colourbond Over-Roll Hooding",'Tube Cutting'!H14="Charcoal (Monument)"),1,"")</f>
        <v/>
      </c>
      <c r="CT8" t="str">
        <f>IF(AND('Tube Cutting'!G14="Colourbond Over-Roll Hooding",'Tube Cutting'!H14="Dune"),1,"")</f>
        <v/>
      </c>
      <c r="CU8" t="str">
        <f>IF(AND('Tube Cutting'!G14="Colourbond Over-Roll Hooding",'Tube Cutting'!H14="Heritage Red (Manor Red)"),1,"")</f>
        <v/>
      </c>
      <c r="CV8" t="str">
        <f>IF(AND('Tube Cutting'!G14="Colourbond Over-Roll Hooding",'Tube Cutting'!H14="Ironstone"),1,"")</f>
        <v/>
      </c>
      <c r="CW8" t="str">
        <f>IF(AND('Tube Cutting'!G14="Colourbond Over-Roll Hooding",'Tube Cutting'!H14="Jasper"),1,"")</f>
        <v/>
      </c>
      <c r="CX8" t="str">
        <f>IF(AND('Tube Cutting'!G14="Colourbond Over-Roll Hooding",'Tube Cutting'!H14="Merino (Paperbark)"),1,"")</f>
        <v/>
      </c>
      <c r="CY8" t="str">
        <f>IF(AND('Tube Cutting'!G14="Colourbond Over-Roll Hooding",'Tube Cutting'!H14="Mist Green"),1,"")</f>
        <v/>
      </c>
      <c r="CZ8" t="str">
        <f>IF(AND('Tube Cutting'!G14="Colourbond Over-Roll Hooding",'Tube Cutting'!H14="Mountain Blue"),1,"")</f>
        <v/>
      </c>
      <c r="DA8" t="str">
        <f>IF(AND('Tube Cutting'!G14="Colourbond Over-Roll Hooding",'Tube Cutting'!H14="Smooth Cream (Classic Cream)"),1,"")</f>
        <v/>
      </c>
      <c r="DB8" t="str">
        <f>IF(AND('Tube Cutting'!G14="Colourbond Over-Roll Hooding",'Tube Cutting'!H14="Shale Grey"),1,"")</f>
        <v/>
      </c>
      <c r="DC8" t="str">
        <f>IF(AND('Tube Cutting'!G14="Colourbond Over-Roll Hooding",'Tube Cutting'!H14="Slate Grey (Woodland Grey)"),1,"")</f>
        <v/>
      </c>
      <c r="DD8" t="str">
        <f>IF(AND('Tube Cutting'!G14="Colourbond Over-Roll Hooding",'Tube Cutting'!H14="Surfmist"),1,"")</f>
        <v/>
      </c>
      <c r="DE8" t="str">
        <f>IF(AND('Tube Cutting'!G14="Colourbond Over-Roll Hooding",'Tube Cutting'!H14="Mist"),1,"")</f>
        <v/>
      </c>
      <c r="DI8" t="str">
        <f>IF('Tube Cutting'!P14="78mm",'Tube Cutting'!Q14,"")</f>
        <v/>
      </c>
      <c r="DJ8" t="str">
        <f>IF('Tube Cutting'!P14="85mm",'Tube Cutting'!Q14,"")</f>
        <v/>
      </c>
      <c r="DM8" t="str">
        <f>IF(AND('Tube Cutting'!C14="Zipscreen",'Job Sheet'!M14="Gearbox"),1,"")</f>
        <v/>
      </c>
      <c r="DN8" t="str">
        <f>IF('Tube Cutting'!C14="Zipscreen",1,"")</f>
        <v/>
      </c>
      <c r="EK8" t="str">
        <f t="shared" si="1"/>
        <v/>
      </c>
      <c r="GM8" t="str">
        <f>IF(AND('Job Sheet'!M14="Gearbox",'Job Sheet'!N14="Black"),1,"")</f>
        <v/>
      </c>
      <c r="GN8" t="str">
        <f>IF(AND('Job Sheet'!M14="Gearbox",'Job Sheet'!N14="White"),1,"")</f>
        <v/>
      </c>
      <c r="GO8" t="str">
        <f>IF('Job Sheet'!Q14="Black Crank Handle 1000mm",1,"")</f>
        <v/>
      </c>
      <c r="GP8" t="str">
        <f>IF('Job Sheet'!Q14="Black Crank Handle 1200mm",1,"")</f>
        <v/>
      </c>
      <c r="GQ8" t="str">
        <f>IF('Job Sheet'!Q14="Black Crank Handle 1500mm",1,"")</f>
        <v/>
      </c>
      <c r="GR8" t="str">
        <f>IF('Job Sheet'!Q14="Black Crank Handle 1800mm",1,"")</f>
        <v/>
      </c>
      <c r="GS8" t="str">
        <f>IF('Job Sheet'!Q14="Black Crank Handle 2200mm",1,"")</f>
        <v/>
      </c>
      <c r="GT8" t="str">
        <f>IF('Job Sheet'!Q14="Black Crank Handle 2500mm",1,"")</f>
        <v/>
      </c>
      <c r="GU8" t="str">
        <f>IF('Job Sheet'!Q14="Black Crank Handle 3000mm",1,"")</f>
        <v/>
      </c>
      <c r="GV8" t="str">
        <f>IF('Job Sheet'!Q14="White Crank Handle 1000mm",1,"")</f>
        <v/>
      </c>
      <c r="GW8" t="str">
        <f>IF('Job Sheet'!Q14="White Crank Handle 1200mm",1,"")</f>
        <v/>
      </c>
      <c r="GX8" t="str">
        <f>IF('Job Sheet'!Q14="White Crank Handle 1500mm",1,"")</f>
        <v/>
      </c>
      <c r="GY8" t="str">
        <f>IF('Job Sheet'!Q14="White Crank Handle 1800mm",1,"")</f>
        <v/>
      </c>
      <c r="GZ8" t="str">
        <f>IF('Job Sheet'!Q14="White Crank Handle 2200mm",1,"")</f>
        <v/>
      </c>
      <c r="HA8" t="str">
        <f>IF('Job Sheet'!Q14="White Crank Handle 2500mm",1,"")</f>
        <v/>
      </c>
      <c r="HB8" t="str">
        <f>IF('Job Sheet'!Q14="White Crank Handle 3000mm",1,"")</f>
        <v/>
      </c>
      <c r="IM8" t="str">
        <f>IF(OR('Job Sheet'!V14&lt;&gt;"Pearl White",'Job Sheet'!V14&lt;&gt;"White Satin"),"",2)</f>
        <v/>
      </c>
      <c r="IN8" t="str">
        <f>IF(AND('Job Sheet'!U14="Powder Coated Brackets",(OR('Job Sheet'!V14="Pearl White",'Job Sheet'!V14="White Satin"))),2,"")</f>
        <v/>
      </c>
      <c r="IQ8" t="str">
        <f>IF('Job Sheet'!U14="Stainless Steel Brackets",2,"")</f>
        <v/>
      </c>
      <c r="JN8" t="str">
        <f>IF('Job Sheet'!AA14="25mm x 1",1,IF('Job Sheet'!AA14="25mm x 2",2,""))</f>
        <v/>
      </c>
      <c r="JO8" t="str">
        <f>IF('Job Sheet'!AA14="50mm x 1",1,IF('Job Sheet'!AA14="50mm x 2",2,""))</f>
        <v/>
      </c>
      <c r="JP8" t="str">
        <f>IF('Job Sheet'!AA14="75mm x 1",1,IF('Job Sheet'!AA14="75mm x 2",2,""))</f>
        <v/>
      </c>
      <c r="JQ8" t="str">
        <f>IF('Job Sheet'!AA14="100mm x 1",1,IF('Job Sheet'!AA14="100mm x 2",2,""))</f>
        <v/>
      </c>
      <c r="JR8" t="str">
        <f>IF('Job Sheet'!AA14="125mm x 1",1,IF('Job Sheet'!AA14="125mm x 2",2,""))</f>
        <v/>
      </c>
      <c r="JT8" t="str">
        <f>IF('Fabric Cutting'!L14="6mm Black",'Fabric Cutting'!E14,+IF('Fabric Cutting'!M14="6mm Black",'Fabric Cutting'!E14,""))</f>
        <v/>
      </c>
      <c r="JU8" t="str">
        <f>IF('Job Sheet'!K14="1.Verticali",'Fabric Cutting'!E14,"")</f>
        <v/>
      </c>
      <c r="JV8" t="str">
        <f>IF('Tube Cutting'!G14="Verticali Hooding (Old)",'Tube Cutting'!F14,"")</f>
        <v/>
      </c>
      <c r="JW8" t="str">
        <f>IF('Tube Cutting'!G14="Verticali Hooding (Old)",'Tube Cutting'!F14,"")</f>
        <v/>
      </c>
      <c r="JX8" t="str">
        <f>IF('Tube Cutting'!G14="Verticali Square Hooding",'Tube Cutting'!F14,"")</f>
        <v/>
      </c>
      <c r="JY8" t="str">
        <f>IF('Tube Cutting'!G14="Verticali Square Hooding",'Tube Cutting'!F14,"")</f>
        <v/>
      </c>
      <c r="KA8" t="str">
        <f>IF('Tube Cutting'!C14="Verticali",('Job Sheet'!G14-100)*2,"")</f>
        <v/>
      </c>
      <c r="KB8" t="str">
        <f>IF('Tube Cutting'!C14="Verticali",('Job Sheet'!G14-100)*2,"")</f>
        <v/>
      </c>
      <c r="KC8" t="str">
        <f>IF('Tube Cutting'!C14="Verticali",'Tube Cutting'!N14,"")</f>
        <v/>
      </c>
      <c r="KD8" t="str">
        <f>IF('Tube Cutting'!C14="Verticali",('Job Sheet'!G14-100)*2,"")</f>
        <v/>
      </c>
      <c r="KE8" t="str">
        <f>IF(Data!AV14="","",('Fabric Cutting'!F14-200)*2)</f>
        <v/>
      </c>
      <c r="KF8" t="str">
        <f>IF(OR(Data!AV14="",'Fabric Cutting'!C14&lt;&gt;"Verticali"),"",IF('Assembly(a)'!K14="",20,'Assembly(a)'!G14-1980))</f>
        <v/>
      </c>
      <c r="KG8" t="str">
        <f>IF('Tube Cutting'!C14="Verticali",'Tube Cutting'!N14,"")</f>
        <v/>
      </c>
      <c r="KH8" t="str">
        <f>IF(AND('Tube Cutting'!C14="Verticali",'Tube Cutting'!N14&lt;2000),'Tube Cutting'!N14-10,IF(AND('Tube Cutting'!C14="Verticali",'Tube Cutting'!N14&gt;2000),2000,""))</f>
        <v/>
      </c>
      <c r="KI8" t="str">
        <f>IF('Tube Cutting'!G14="Verticali Hooding (Old)",1,"")</f>
        <v/>
      </c>
      <c r="KJ8" t="str">
        <f>IF('Tube Cutting'!G14="Verticali Square Hooding",1,"")</f>
        <v/>
      </c>
      <c r="KL8" t="str">
        <f>IF('Tube Cutting'!G14="Verticali Colourbond Hooding",1,"")</f>
        <v/>
      </c>
      <c r="KM8" t="str">
        <f>IF(AND('Tube Cutting'!C14="Verticali",'Tube Cutting'!P14="78mm"),2,"")</f>
        <v/>
      </c>
      <c r="KN8" t="str">
        <f>IF(AND('Tube Cutting'!C14="Verticali",'Tube Cutting'!P14="85mm"),2,"")</f>
        <v/>
      </c>
      <c r="KP8" t="str">
        <f>IF(AND('Tube Cutting'!C14="Verticali",'Job Sheet'!M14="Gearbox"),1,"")</f>
        <v/>
      </c>
      <c r="KQ8" t="str">
        <f>IF('Tube Cutting'!C14="Verticali",1,"")</f>
        <v/>
      </c>
      <c r="KS8" t="str">
        <f>IF(OR('Job Sheet'!AB14="Foot 1 Side",'Job Sheet'!AB14="Leg &amp; Foot 1 Side",'Job Sheet'!AB14="End Cap 1 Side"),1,IF(OR('Job Sheet'!AB14="Foot Both Sides",'Job Sheet'!AB14="Leg &amp; Foot Both Sides",'Job Sheet'!AB14="End Cap Both Sides"),2,""))</f>
        <v/>
      </c>
      <c r="KT8" t="str">
        <f>IF(OR('Job Sheet'!AB14="Leg 1 Side",'Job Sheet'!AB14="Leg &amp; Foot 1 Side"),1,IF(OR('Job Sheet'!AB14="Leg Both Sides",'Job Sheet'!AB14="Leg &amp; Foot Both Sides",),2,""))</f>
        <v/>
      </c>
      <c r="KU8" t="str">
        <f>IF('Tube Cutting'!C14="Verticali",2,"")</f>
        <v/>
      </c>
      <c r="KW8" t="str">
        <f>IF('Tube Cutting'!C14="Verticali",2,"")</f>
        <v/>
      </c>
      <c r="KX8" t="str">
        <f>IF(Packing!L14="1 Pair",1,IF(Packing!L14="2 Pairs",2,""))</f>
        <v/>
      </c>
      <c r="KZ8" t="str">
        <f>IF('Tube Cutting'!G14="Verticali Base Rail",2,"")</f>
        <v/>
      </c>
      <c r="LA8" t="str">
        <f>IF('Tube Cutting'!G14="Zipscreen Hooding",'Tube Cutting'!F14,"")</f>
        <v/>
      </c>
      <c r="LB8" t="str">
        <f>IF('Tube Cutting'!G14="Zipscreen Hooding",'Tube Cutting'!F14,"")</f>
        <v/>
      </c>
      <c r="LD8" t="str">
        <f>IF('Tube Cutting'!G14="Zipscreen Hooding",1,"")</f>
        <v/>
      </c>
      <c r="LE8" t="str">
        <f>IF('Job Sheet'!AO14="Compact",1,"")</f>
        <v/>
      </c>
      <c r="LF8" t="str">
        <f>IF('Job Sheet'!AO14="Light",1,"")</f>
        <v/>
      </c>
      <c r="LG8" t="str">
        <f>IF('Job Sheet'!AO14="Standard",1,"")</f>
        <v/>
      </c>
      <c r="LH8" t="str">
        <f>IF('Job Sheet'!AO14="Heavy Duty",1,"")</f>
        <v/>
      </c>
      <c r="LI8" t="str">
        <f>IF('Job Sheet'!AO14="Extra Heavy Duty",1,"")</f>
        <v/>
      </c>
      <c r="LJ8" t="str">
        <f>IF('Job Sheet'!AO14="Ultra Heavy Duty",1,"")</f>
        <v/>
      </c>
      <c r="LK8" t="str">
        <f>IF('Tube Cutting'!C14="Zipscreen",2,"")</f>
        <v/>
      </c>
      <c r="LM8" t="str">
        <f>IF(AND('Job Sheet'!K14="2.Zipscreen",'Job Sheet'!M14="Spring"),1,"")</f>
        <v/>
      </c>
      <c r="LN8" t="str">
        <f>IF(AND('Job Sheet'!K14="2.Zipscreen",'Job Sheet'!M14="Spring"),2,IF(AND('Job Sheet'!K14="2.Zipscreen",'Job Sheet'!M14&lt;&gt;"Spring"),1,""))</f>
        <v/>
      </c>
      <c r="LO8" t="str">
        <f>IF(Data!BO14="PVC",'Fabric Cutting'!E14,"")</f>
        <v/>
      </c>
      <c r="LP8" t="str">
        <f>IF('Tube Cutting'!C14="Zipscreen",'Tube Cutting'!N14,"")</f>
        <v/>
      </c>
      <c r="LQ8" t="str">
        <f>IF('Tube Cutting'!C14="Zipscreen",2,"")</f>
        <v/>
      </c>
      <c r="LR8" t="str">
        <f>IF('Tube Cutting'!C14="Zipscreen",'Tube Cutting'!N14,"")</f>
        <v/>
      </c>
      <c r="LT8" t="str">
        <f>IF('Tube Cutting'!C14="Zipscreen",('Tube Cutting'!N14-100)*2,"")</f>
        <v/>
      </c>
      <c r="LU8" t="str">
        <f>IF(AND('Job Sheet'!K14="2.Zipscreen",'Job Sheet'!M14="Spring"),1,"")</f>
        <v/>
      </c>
      <c r="LV8" t="str">
        <f>IF(AND('Job Sheet'!K14="2.Zipscreen",'Job Sheet'!M14="Spring"),1,"")</f>
        <v/>
      </c>
      <c r="LW8" t="str">
        <f>IF('Tube Cutting'!C14="Zipscreen",('Job Sheet'!G14-100)*2,"")</f>
        <v/>
      </c>
      <c r="LX8" t="str">
        <f>IF('Tube Cutting'!C14="Zipscreen",('Job Sheet'!G14-82)*2,"")</f>
        <v/>
      </c>
      <c r="LY8" t="str">
        <f>IF('Tube Cutting'!K14="","",('Job Sheet'!G14-100)*2)</f>
        <v/>
      </c>
      <c r="LZ8" t="str">
        <f>IF('Tube Cutting'!C14="Zipscreen",2,"")</f>
        <v/>
      </c>
      <c r="MA8" t="str">
        <f>IF('Tube Cutting'!C14="Zipscreen",2,"")</f>
        <v/>
      </c>
      <c r="MB8" t="str">
        <f>IF('Job Sheet'!M14="Acmeda Remote Motor",1,"")</f>
        <v/>
      </c>
      <c r="ME8" t="str">
        <f>IF(AND('Tube Cutting'!P14="78mm",'Job Sheet'!M14="Acmeda Remote Motor"),1,"")</f>
        <v/>
      </c>
      <c r="MG8" t="str">
        <f>IF('Job Sheet'!M14="Acmeda 12v Remote Motor",1,"")</f>
        <v/>
      </c>
      <c r="MH8" t="str">
        <f>IF(OR('Job Sheet'!R14="External Battery",'Job Sheet'!R14="External Battery and Charging Cable"),1,"")</f>
        <v/>
      </c>
      <c r="MI8" t="str">
        <f>IF('Job Sheet'!R14="External Battery and Charging Cable",1,"")</f>
        <v/>
      </c>
      <c r="MJ8" t="str">
        <f>IF(OR('Job Sheet'!R14="Pulse Pro Automation Hub",'Job Sheet'!R14="Pulse 2.0 Automation Hub"),1,"")</f>
        <v/>
      </c>
      <c r="MK8" t="str">
        <f>IF('Job Sheet'!R14="USB Repeater",1,"")</f>
        <v/>
      </c>
      <c r="ML8" t="str">
        <f>IF('Job Sheet'!Q14="Acmeda 1 Channel White Remote",1,"")</f>
        <v/>
      </c>
      <c r="MM8" t="str">
        <f>IF('Job Sheet'!Q14="Acmeda 1 Channel Black Remote",1,"")</f>
        <v/>
      </c>
      <c r="MN8" t="str">
        <f>IF('Job Sheet'!Q14="Acmeda 5 Channel White Remote",1,"")</f>
        <v/>
      </c>
      <c r="MO8" t="str">
        <f>IF('Job Sheet'!Q14="Acmeda 5 Channel Black Remote",1,"")</f>
        <v/>
      </c>
      <c r="MP8" t="str">
        <f>IF('Job Sheet'!Q14="Acmeda 15 Channel White Remote",1,"")</f>
        <v/>
      </c>
      <c r="MQ8" t="str">
        <f>IF('Job Sheet'!Q14="Acmeda 15 Channel Black Remote",1,"")</f>
        <v/>
      </c>
      <c r="MR8" t="str">
        <f>IF('Job Sheet'!Q14="Acmeda Wall Mounted 5 Channel White Remote",1,"")</f>
        <v/>
      </c>
      <c r="MS8" t="str">
        <f>IF('Job Sheet'!Q14="Acmeda Wall Mounted Single Channel White Remote",1,"")</f>
        <v/>
      </c>
      <c r="MT8" t="str">
        <f>IF('Job Sheet'!Q14="Acmeda 2 Channel White Remote",1,"")</f>
        <v/>
      </c>
      <c r="MU8" t="str">
        <f>IF('Job Sheet'!Q14="Acmeda 15 Channel White Remote",1,"")</f>
        <v/>
      </c>
      <c r="MV8" t="str">
        <f>IF('Job Sheet'!Q14="Acmeda Push Pro White Remote with Charger",1,"")</f>
        <v/>
      </c>
      <c r="MW8" t="str">
        <f>IF('Job Sheet'!Q14="Acmeda Push Pro Black Remote with Charger",1,"")</f>
        <v/>
      </c>
      <c r="MX8" t="str">
        <f>IF(OR('Job Sheet'!Q14="Acmeda Push Pro White Remote with Charger",'Job Sheet'!Q14="Acmeda Push Pro Black Remote with Charger"),"1","")</f>
        <v/>
      </c>
      <c r="MY8" t="str">
        <f t="shared" si="2"/>
        <v/>
      </c>
      <c r="MZ8" t="str">
        <f>IF('Job Sheet'!S14="Acmeda Wind Sensor",1,"")</f>
        <v/>
      </c>
      <c r="NA8" t="str">
        <f>IF('Job Sheet'!R14="1 Channel Dry Contact Relay Module",1,"")</f>
        <v/>
      </c>
      <c r="NE8" t="str">
        <f>IF('Job Sheet'!M14="Becker Remote Operated",1,"")</f>
        <v/>
      </c>
      <c r="NF8" t="str">
        <f>IF('Job Sheet'!M14="Becker Switch Operated",1,"")</f>
        <v/>
      </c>
      <c r="NG8" t="str">
        <f>IF(OR('Job Sheet'!M14="Acmeda Remote Motor",'Job Sheet'!M14="Becker Remote Operated",'Job Sheet'!M14="Becker Switch Operated"),1,"")</f>
        <v/>
      </c>
      <c r="NI8" t="str">
        <f>IF(OR('Job Sheet'!M14="Becker Remote Operated",'Job Sheet'!M14="Becker Switch Operated"),1,"")</f>
        <v/>
      </c>
      <c r="NL8" t="str">
        <f>IF(AND('Tube Cutting'!P14="78mm",(OR('Job Sheet'!M14="Becker Remote Operated",'Job Sheet'!M14="Becker Switch Operated"))),1,"")</f>
        <v/>
      </c>
      <c r="NM8" t="str">
        <f>IF('Job Sheet'!Q14="Becker Single Channel White Remote",1,"")</f>
        <v/>
      </c>
      <c r="NN8" t="str">
        <f>IF('Job Sheet'!Q14="Becker Single Channel Black Remote",1,"")</f>
        <v/>
      </c>
      <c r="NO8" t="str">
        <f>IF('Job Sheet'!Q14="Becker 5 Channel White Remote",1,"")</f>
        <v/>
      </c>
      <c r="NP8" t="str">
        <f>IF('Job Sheet'!Q14="Becker 5 Channel Black Remote",1,"")</f>
        <v/>
      </c>
      <c r="NQ8" t="str">
        <f>IF('Job Sheet'!Q14="Becker 10 Channel White Remote",1,"")</f>
        <v/>
      </c>
      <c r="NR8" t="str">
        <f>IF('Job Sheet'!Q14="Becker 10 Channel Black Remote",1,"")</f>
        <v/>
      </c>
      <c r="NS8" t="str">
        <f>IF('Job Sheet'!S14="Becker Wind Sensor",1,"")</f>
        <v/>
      </c>
      <c r="NT8" t="str">
        <f>IF('Job Sheet'!M14="Somfy Remote Operated",1,"")</f>
        <v/>
      </c>
      <c r="NV8" t="str">
        <f>IF('Job Sheet'!M14="Somfy Remote Operated",1,"")</f>
        <v/>
      </c>
      <c r="NW8" t="str">
        <f>IF('Job Sheet'!M14="Somfy Remote Operated",1,"")</f>
        <v/>
      </c>
      <c r="NZ8" t="str">
        <f>IF(AND('Tube Cutting'!P14="78mm",'Job Sheet'!M14="Somfy Remote Operated"),1,"")</f>
        <v/>
      </c>
      <c r="OA8" t="str">
        <f>IF('Job Sheet'!R14="Connexoon App Connector",1,"")</f>
        <v/>
      </c>
      <c r="OB8" t="str">
        <f>IF('Job Sheet'!R14="Tahoma Switch",1,"")</f>
        <v/>
      </c>
      <c r="OC8" t="str">
        <f>IF('Job Sheet'!Q14="Somfy 15 Channel Silver Remote",1,"")</f>
        <v/>
      </c>
      <c r="OD8" t="str">
        <f>IF('Job Sheet'!Q14="Somfy 15 Channel White Remote",1,"")</f>
        <v/>
      </c>
      <c r="OE8" t="str">
        <f>IF('Job Sheet'!Q14="Somfy 2 Channel Silver Remote",1,"")</f>
        <v/>
      </c>
      <c r="OF8" t="str">
        <f>IF('Job Sheet'!Q14="Somfy 2 Channel Wall Mounted Smoove Remote White with Black Cover Plate",1,"")</f>
        <v/>
      </c>
      <c r="OG8" t="str">
        <f>IF('Job Sheet'!Q14="Somfy 2 Channel Wall Mounted Smoove Remote White with Silver Cover Plate",1,"")</f>
        <v/>
      </c>
      <c r="OH8" t="str">
        <f>IF('Job Sheet'!Q14="Somfy 2 Channel Wall Mounted Smoove Remote White",1,"")</f>
        <v/>
      </c>
      <c r="OI8" t="str">
        <f>IF('Job Sheet'!Q14="Somfy 2 Channel White Remote",1,"")</f>
        <v/>
      </c>
      <c r="OJ8" t="str">
        <f>IF('Job Sheet'!Q14="Somfy 2 Channel Silver Remote",1,"")</f>
        <v/>
      </c>
      <c r="OK8" t="str">
        <f>IF('Job Sheet'!Q14="Somfy 5 Channel Wall Mounted Smoove Remote White with Black Cover Plate",1,"")</f>
        <v/>
      </c>
      <c r="OL8" t="str">
        <f>IF('Job Sheet'!Q14="Somfy 5 Channel Wall Mounted Smoove Remote White with Silver Cover Plate",1,"")</f>
        <v/>
      </c>
      <c r="OM8" t="str">
        <f>IF('Job Sheet'!Q14="Somfy 5 Channel Wall Mounted Smoove Remote White",1,"")</f>
        <v/>
      </c>
      <c r="ON8" t="str">
        <f>IF('Job Sheet'!Q14="Somfy 5 Channel White Remote",1,"")</f>
        <v/>
      </c>
      <c r="OO8" t="str">
        <f>IF('Job Sheet'!Q14="Somfy Single Channel Silver Remote",1,"")</f>
        <v/>
      </c>
      <c r="OP8" t="str">
        <f>IF('Job Sheet'!Q14="Somfy Single Channel Wall Mounted Smoove Remote White with Black Cover Plate",1,"")</f>
        <v/>
      </c>
      <c r="OQ8" t="str">
        <f>IF('Job Sheet'!Q14="Somfy Single Channel Wall Mounted Smoove Remote White with Silver Cover Plate",1,"")</f>
        <v/>
      </c>
      <c r="OR8" t="str">
        <f>IF('Job Sheet'!Q14="Somfy Single Channel Wall Mounted Smoove Remote White",1,"")</f>
        <v/>
      </c>
      <c r="OS8" t="str">
        <f>IF('Job Sheet'!Q14="Somfy Single Channel White Remote",1,"")</f>
        <v/>
      </c>
    </row>
    <row r="9" spans="4:409" ht="13.2" customHeight="1">
      <c r="D9" t="str">
        <f>IF('Tube Cutting'!C15="","",CONCATENATE(Data!BC$5,".",Data!BD$5))</f>
        <v/>
      </c>
      <c r="E9" t="str">
        <f>IF(D9="","",Data!AW15)</f>
        <v/>
      </c>
      <c r="F9" t="str">
        <f>IF(D9="","",Data!AV15)</f>
        <v/>
      </c>
      <c r="G9" t="str">
        <f>IF(D9="","",'Tube Cutting'!C15)</f>
        <v/>
      </c>
      <c r="H9" t="str">
        <f>IF(D9="","",Data!BF$5)</f>
        <v/>
      </c>
      <c r="I9" t="str">
        <f>IF(D9="","",Data!AX$5)</f>
        <v/>
      </c>
      <c r="J9" s="116" t="str">
        <f>'Job Sheet'!L15</f>
        <v/>
      </c>
      <c r="K9" t="str">
        <f t="shared" si="0"/>
        <v/>
      </c>
      <c r="L9" s="115" t="str">
        <f>'Fabric Cutting'!E15</f>
        <v/>
      </c>
      <c r="M9" s="115" t="str">
        <f>'Fabric Cutting'!F15</f>
        <v/>
      </c>
      <c r="N9" t="str">
        <f>IF(AND('Tube Cutting'!G15="Colourbond Under-Roll Hooding",'Tube Cutting'!H15="Custom Powdercoat"),'Tube Cutting'!D15,"")</f>
        <v/>
      </c>
      <c r="O9" t="str">
        <f>IF(AND('Tube Cutting'!G15="Colourbond Under-Roll Hooding",'Tube Cutting'!H15="Ebony (Black)"),'Tube Cutting'!D15,"")</f>
        <v/>
      </c>
      <c r="P9" t="str">
        <f>IF(AND('Tube Cutting'!G15="Colourbond Under-Roll Hooding",'Tube Cutting'!H15="Caulfield Green"),'Tube Cutting'!D15,"")</f>
        <v/>
      </c>
      <c r="Q9" t="str">
        <f>IF(AND('Tube Cutting'!G15="Colourbond Under-Roll Hooding",'Tube Cutting'!H15="Charcoal (Monument)"),'Tube Cutting'!D15,"")</f>
        <v/>
      </c>
      <c r="R9" t="str">
        <f>IF(AND('Tube Cutting'!G15="Colourbond Under-Roll Hooding",'Tube Cutting'!H15="Dune"),'Tube Cutting'!D15,"")</f>
        <v/>
      </c>
      <c r="S9" t="str">
        <f>IF(AND('Tube Cutting'!G15="Colourbond Under-Roll Hooding",'Tube Cutting'!H15="Heritage Red (Manor Red)"),'Tube Cutting'!D15,"")</f>
        <v/>
      </c>
      <c r="T9" t="str">
        <f>IF(AND('Tube Cutting'!G15="Colourbond Under-Roll Hooding",'Tube Cutting'!H15="Ironstone"),'Tube Cutting'!D15,"")</f>
        <v/>
      </c>
      <c r="U9" t="str">
        <f>IF(AND('Tube Cutting'!G15="Colourbond Under-Roll Hooding",'Tube Cutting'!H15="Jasper"),'Tube Cutting'!D15,"")</f>
        <v/>
      </c>
      <c r="V9" t="str">
        <f>IF(AND('Tube Cutting'!G15="Colourbond Under-Roll Hooding",'Tube Cutting'!H15="Merino (Paperbark)"),'Tube Cutting'!D15,"")</f>
        <v/>
      </c>
      <c r="W9" t="str">
        <f>IF(AND('Tube Cutting'!G15="Colourbond Under-Roll Hooding",'Tube Cutting'!H15="Mist Green"),'Tube Cutting'!D15,"")</f>
        <v/>
      </c>
      <c r="X9" t="str">
        <f>IF(AND('Tube Cutting'!G15="Colourbond Under-Roll Hooding",'Tube Cutting'!H15="Mountain Blue"),'Tube Cutting'!D15,"")</f>
        <v/>
      </c>
      <c r="Y9" t="str">
        <f>IF(AND('Tube Cutting'!G15="Colourbond Under-Roll Hooding",'Tube Cutting'!H15="Smooth Cream (Classic Cream)"),'Tube Cutting'!D15,"")</f>
        <v/>
      </c>
      <c r="Z9" t="str">
        <f>IF(AND('Tube Cutting'!G15="Colourbond Under-Roll Hooding",'Tube Cutting'!H15="Shale Grey"),'Tube Cutting'!D15,"")</f>
        <v/>
      </c>
      <c r="AA9" t="str">
        <f>IF(AND('Tube Cutting'!G15="Colourbond Under-Roll Hooding",'Tube Cutting'!H15="Slate Grey (Woodland Grey)"),'Tube Cutting'!D15,"")</f>
        <v/>
      </c>
      <c r="AB9" t="str">
        <f>IF(AND('Tube Cutting'!G15="Colourbond Under-Roll Hooding",'Tube Cutting'!H15="Surfmist"),'Tube Cutting'!D15,"")</f>
        <v/>
      </c>
      <c r="AC9" t="str">
        <f>IF(AND('Tube Cutting'!G15="Colourbond Under-Roll Hooding",'Tube Cutting'!H15="White"),'Tube Cutting'!D15,"")</f>
        <v/>
      </c>
      <c r="AT9" t="str">
        <f>IF(AND('Tube Cutting'!G15="Colourbond Under-Roll Hooding",'Tube Cutting'!H15="Custom Powdercoat"),1,"")</f>
        <v/>
      </c>
      <c r="AU9" t="str">
        <f>IF(AND('Tube Cutting'!G15="Colourbond Under-Roll Hooding",'Tube Cutting'!H15="Ebony (Black)"),1,"")</f>
        <v/>
      </c>
      <c r="AV9" t="str">
        <f>IF(AND('Tube Cutting'!G15="Colourbond Under-Roll Hooding",'Tube Cutting'!H15="Caulfield Green"),1,"")</f>
        <v/>
      </c>
      <c r="AW9" t="str">
        <f>IF(AND('Tube Cutting'!G15="Colourbond Under-Roll Hooding",'Tube Cutting'!H15="Charcoal (Monument)"),1,"")</f>
        <v/>
      </c>
      <c r="AX9" t="str">
        <f>IF(AND('Tube Cutting'!G15="Colourbond Under-Roll Hooding",'Tube Cutting'!H15="Dune"),1,"")</f>
        <v/>
      </c>
      <c r="AY9" t="str">
        <f>IF(AND('Tube Cutting'!G15="Colourbond Under-Roll Hooding",'Tube Cutting'!H15="Heritage Red (Manor Red)"),1,"")</f>
        <v/>
      </c>
      <c r="AZ9" t="str">
        <f>IF(AND('Tube Cutting'!G15="Colourbond Under-Roll Hooding",'Tube Cutting'!H15="Ironstone"),1,"")</f>
        <v/>
      </c>
      <c r="BA9" t="str">
        <f>IF(AND('Tube Cutting'!G15="Colourbond Under-Roll Hooding",'Tube Cutting'!H15="Jasper"),1,"")</f>
        <v/>
      </c>
      <c r="BB9" t="str">
        <f>IF(AND('Tube Cutting'!G15="Colourbond Under-Roll Hooding",'Tube Cutting'!H15="Merino (Paperbark)"),1,"")</f>
        <v/>
      </c>
      <c r="BC9" t="str">
        <f>IF(AND('Tube Cutting'!G15="Colourbond Under-Roll Hooding",'Tube Cutting'!H15="Mist Green"),1,"")</f>
        <v/>
      </c>
      <c r="BD9" t="str">
        <f>IF(AND('Tube Cutting'!G15="Colourbond Under-Roll Hooding",'Tube Cutting'!H15="Mountain Blue"),1,"")</f>
        <v/>
      </c>
      <c r="BE9" t="str">
        <f>IF(AND('Tube Cutting'!G15="Colourbond Under-Roll Hooding",'Tube Cutting'!H15="Smooth Cream (Classic Cream)"),1,"")</f>
        <v/>
      </c>
      <c r="BF9" t="str">
        <f>IF(AND('Tube Cutting'!G15="Colourbond Under-Roll Hooding",'Tube Cutting'!H15="Shale Grey"),1,"")</f>
        <v/>
      </c>
      <c r="BG9" t="str">
        <f>IF(AND('Tube Cutting'!G15="Colourbond Under-Roll Hooding",'Tube Cutting'!H15="Slate Grey (Woodland Grey)"),1,"")</f>
        <v/>
      </c>
      <c r="BH9" t="str">
        <f>IF(AND('Tube Cutting'!G15="Colourbond Under-Roll Hooding",'Tube Cutting'!H15="Surfmist"),1,"")</f>
        <v/>
      </c>
      <c r="BI9" t="str">
        <f>IF(AND('Tube Cutting'!G15="Colourbond Under-Roll Hooding",'Tube Cutting'!H15="White"),1,"")</f>
        <v/>
      </c>
      <c r="BJ9" t="str">
        <f>IF(AND('Tube Cutting'!G15="Colourbond Over-Roll Hooding",'Tube Cutting'!H15="Custom Powdercoat"),'Tube Cutting'!D15,"")</f>
        <v/>
      </c>
      <c r="BK9" t="str">
        <f>IF(AND('Tube Cutting'!G15="Colourbond Over-Roll Hooding",'Tube Cutting'!H15="Ebony (Black)"),'Tube Cutting'!D15,"")</f>
        <v/>
      </c>
      <c r="BL9" t="str">
        <f>IF(AND('Tube Cutting'!G15="Colourbond Over-Roll Hooding",'Tube Cutting'!H15="Caulfield Green"),'Tube Cutting'!D15,"")</f>
        <v/>
      </c>
      <c r="BM9" t="str">
        <f>IF(AND('Tube Cutting'!G15="Colourbond Over-Roll Hooding",'Tube Cutting'!H15="Charcoal (Monument)"),'Tube Cutting'!D15,"")</f>
        <v/>
      </c>
      <c r="BN9" t="str">
        <f>IF(AND('Tube Cutting'!G15="Colourbond Over-Roll Hooding",'Tube Cutting'!H15="Dune"),'Tube Cutting'!D15,"")</f>
        <v/>
      </c>
      <c r="BO9" t="str">
        <f>IF(AND('Tube Cutting'!G15="Colourbond Over-Roll Hooding",'Tube Cutting'!H15="Heritage Red (Manor Red)"),'Tube Cutting'!D15,"")</f>
        <v/>
      </c>
      <c r="BP9" t="str">
        <f>IF(AND('Tube Cutting'!G15="Colourbond Over-Roll Hooding",'Tube Cutting'!H15="Ironstone"),'Tube Cutting'!D15,"")</f>
        <v/>
      </c>
      <c r="BQ9" t="str">
        <f>IF(AND('Tube Cutting'!G15="Colourbond Over-Roll Hooding",'Tube Cutting'!H15="Jasper"),'Tube Cutting'!D15,"")</f>
        <v/>
      </c>
      <c r="BR9" t="str">
        <f>IF(AND('Tube Cutting'!G15="Colourbond Over-Roll Hooding",'Tube Cutting'!H15="Merino (Paperbark)"),'Tube Cutting'!D15,"")</f>
        <v/>
      </c>
      <c r="BS9" t="str">
        <f>IF(AND('Tube Cutting'!G15="Colourbond Over-Roll Hooding",'Tube Cutting'!H15="Mist Green"),'Tube Cutting'!D15,"")</f>
        <v/>
      </c>
      <c r="BT9" t="str">
        <f>IF(AND('Tube Cutting'!G15="Colourbond Over-Roll Hooding",'Tube Cutting'!H15="Mountain Blue"),'Tube Cutting'!D15,"")</f>
        <v/>
      </c>
      <c r="BU9" t="str">
        <f>IF(AND('Tube Cutting'!G15="Colourbond Over-Roll Hooding",'Tube Cutting'!H15="Smooth Cream (Classic Cream)"),'Tube Cutting'!D15,"")</f>
        <v/>
      </c>
      <c r="BV9" t="str">
        <f>IF(AND('Tube Cutting'!G15="Colourbond Over-Roll Hooding",'Tube Cutting'!H15="Shale Grey"),'Tube Cutting'!D15,"")</f>
        <v/>
      </c>
      <c r="BW9" t="str">
        <f>IF(AND('Tube Cutting'!G15="Colourbond Over-Roll Hooding",'Tube Cutting'!H15="Slate Grey (Woodland Grey)"),'Tube Cutting'!D15,"")</f>
        <v/>
      </c>
      <c r="BX9" t="str">
        <f>IF(AND('Tube Cutting'!G15="Colourbond Over-Roll Hooding",'Tube Cutting'!H15="Surfmist"),'Tube Cutting'!D15,"")</f>
        <v/>
      </c>
      <c r="BY9" t="str">
        <f>IF(AND('Tube Cutting'!G15="Colourbond Over-Roll Hooding",'Tube Cutting'!H15="Mist"),'Tube Cutting'!D15,"")</f>
        <v/>
      </c>
      <c r="CP9" t="str">
        <f>IF(AND('Tube Cutting'!G15="Colourbond Over-Roll Hooding",'Tube Cutting'!H15="Custom Powdercoat"),1,"")</f>
        <v/>
      </c>
      <c r="CQ9" t="str">
        <f>IF(AND('Tube Cutting'!G15="Colourbond Over-Roll Hooding",'Tube Cutting'!H15="Ebony (Black)"),1,"")</f>
        <v/>
      </c>
      <c r="CR9" t="str">
        <f>IF(AND('Tube Cutting'!G15="Colourbond Over-Roll Hooding",'Tube Cutting'!H15="Caulfield Green"),1,"")</f>
        <v/>
      </c>
      <c r="CS9" t="str">
        <f>IF(AND('Tube Cutting'!G15="Colourbond Over-Roll Hooding",'Tube Cutting'!H15="Charcoal (Monument)"),1,"")</f>
        <v/>
      </c>
      <c r="CT9" t="str">
        <f>IF(AND('Tube Cutting'!G15="Colourbond Over-Roll Hooding",'Tube Cutting'!H15="Dune"),1,"")</f>
        <v/>
      </c>
      <c r="CU9" t="str">
        <f>IF(AND('Tube Cutting'!G15="Colourbond Over-Roll Hooding",'Tube Cutting'!H15="Heritage Red (Manor Red)"),1,"")</f>
        <v/>
      </c>
      <c r="CV9" t="str">
        <f>IF(AND('Tube Cutting'!G15="Colourbond Over-Roll Hooding",'Tube Cutting'!H15="Ironstone"),1,"")</f>
        <v/>
      </c>
      <c r="CW9" t="str">
        <f>IF(AND('Tube Cutting'!G15="Colourbond Over-Roll Hooding",'Tube Cutting'!H15="Jasper"),1,"")</f>
        <v/>
      </c>
      <c r="CX9" t="str">
        <f>IF(AND('Tube Cutting'!G15="Colourbond Over-Roll Hooding",'Tube Cutting'!H15="Merino (Paperbark)"),1,"")</f>
        <v/>
      </c>
      <c r="CY9" t="str">
        <f>IF(AND('Tube Cutting'!G15="Colourbond Over-Roll Hooding",'Tube Cutting'!H15="Mist Green"),1,"")</f>
        <v/>
      </c>
      <c r="CZ9" t="str">
        <f>IF(AND('Tube Cutting'!G15="Colourbond Over-Roll Hooding",'Tube Cutting'!H15="Mountain Blue"),1,"")</f>
        <v/>
      </c>
      <c r="DA9" t="str">
        <f>IF(AND('Tube Cutting'!G15="Colourbond Over-Roll Hooding",'Tube Cutting'!H15="Smooth Cream (Classic Cream)"),1,"")</f>
        <v/>
      </c>
      <c r="DB9" t="str">
        <f>IF(AND('Tube Cutting'!G15="Colourbond Over-Roll Hooding",'Tube Cutting'!H15="Shale Grey"),1,"")</f>
        <v/>
      </c>
      <c r="DC9" t="str">
        <f>IF(AND('Tube Cutting'!G15="Colourbond Over-Roll Hooding",'Tube Cutting'!H15="Slate Grey (Woodland Grey)"),1,"")</f>
        <v/>
      </c>
      <c r="DD9" t="str">
        <f>IF(AND('Tube Cutting'!G15="Colourbond Over-Roll Hooding",'Tube Cutting'!H15="Surfmist"),1,"")</f>
        <v/>
      </c>
      <c r="DE9" t="str">
        <f>IF(AND('Tube Cutting'!G15="Colourbond Over-Roll Hooding",'Tube Cutting'!H15="Mist"),1,"")</f>
        <v/>
      </c>
      <c r="DI9" t="str">
        <f>IF('Tube Cutting'!P15="78mm",'Tube Cutting'!Q15,"")</f>
        <v/>
      </c>
      <c r="DJ9" t="str">
        <f>IF('Tube Cutting'!P15="85mm",'Tube Cutting'!Q15,"")</f>
        <v/>
      </c>
      <c r="DM9" t="str">
        <f>IF(AND('Tube Cutting'!C15="Zipscreen",'Job Sheet'!M15="Gearbox"),1,"")</f>
        <v/>
      </c>
      <c r="DN9" t="str">
        <f>IF('Tube Cutting'!C15="Zipscreen",1,"")</f>
        <v/>
      </c>
      <c r="EK9" t="str">
        <f t="shared" si="1"/>
        <v/>
      </c>
      <c r="GM9" t="str">
        <f>IF(AND('Job Sheet'!M15="Gearbox",'Job Sheet'!N15="Black"),1,"")</f>
        <v/>
      </c>
      <c r="GN9" t="str">
        <f>IF(AND('Job Sheet'!M15="Gearbox",'Job Sheet'!N15="White"),1,"")</f>
        <v/>
      </c>
      <c r="GO9" t="str">
        <f>IF('Job Sheet'!Q15="Black Crank Handle 1000mm",1,"")</f>
        <v/>
      </c>
      <c r="GP9" t="str">
        <f>IF('Job Sheet'!Q15="Black Crank Handle 1200mm",1,"")</f>
        <v/>
      </c>
      <c r="GQ9" t="str">
        <f>IF('Job Sheet'!Q15="Black Crank Handle 1500mm",1,"")</f>
        <v/>
      </c>
      <c r="GR9" t="str">
        <f>IF('Job Sheet'!Q15="Black Crank Handle 1800mm",1,"")</f>
        <v/>
      </c>
      <c r="GS9" t="str">
        <f>IF('Job Sheet'!Q15="Black Crank Handle 2200mm",1,"")</f>
        <v/>
      </c>
      <c r="GT9" t="str">
        <f>IF('Job Sheet'!Q15="Black Crank Handle 2500mm",1,"")</f>
        <v/>
      </c>
      <c r="GU9" t="str">
        <f>IF('Job Sheet'!Q15="Black Crank Handle 3000mm",1,"")</f>
        <v/>
      </c>
      <c r="GV9" t="str">
        <f>IF('Job Sheet'!Q15="White Crank Handle 1000mm",1,"")</f>
        <v/>
      </c>
      <c r="GW9" t="str">
        <f>IF('Job Sheet'!Q15="White Crank Handle 1200mm",1,"")</f>
        <v/>
      </c>
      <c r="GX9" t="str">
        <f>IF('Job Sheet'!Q15="White Crank Handle 1500mm",1,"")</f>
        <v/>
      </c>
      <c r="GY9" t="str">
        <f>IF('Job Sheet'!Q15="White Crank Handle 1800mm",1,"")</f>
        <v/>
      </c>
      <c r="GZ9" t="str">
        <f>IF('Job Sheet'!Q15="White Crank Handle 2200mm",1,"")</f>
        <v/>
      </c>
      <c r="HA9" t="str">
        <f>IF('Job Sheet'!Q15="White Crank Handle 2500mm",1,"")</f>
        <v/>
      </c>
      <c r="HB9" t="str">
        <f>IF('Job Sheet'!Q15="White Crank Handle 3000mm",1,"")</f>
        <v/>
      </c>
      <c r="IM9" t="str">
        <f>IF(OR('Job Sheet'!V15&lt;&gt;"Pearl White",'Job Sheet'!V15&lt;&gt;"White Satin"),"",2)</f>
        <v/>
      </c>
      <c r="IN9" t="str">
        <f>IF(AND('Job Sheet'!U15="Powder Coated Brackets",(OR('Job Sheet'!V15="Pearl White",'Job Sheet'!V15="White Satin"))),2,"")</f>
        <v/>
      </c>
      <c r="IQ9" t="str">
        <f>IF('Job Sheet'!U15="Stainless Steel Brackets",2,"")</f>
        <v/>
      </c>
      <c r="JN9" t="str">
        <f>IF('Job Sheet'!AA15="25mm x 1",1,IF('Job Sheet'!AA15="25mm x 2",2,""))</f>
        <v/>
      </c>
      <c r="JO9" t="str">
        <f>IF('Job Sheet'!AA15="50mm x 1",1,IF('Job Sheet'!AA15="50mm x 2",2,""))</f>
        <v/>
      </c>
      <c r="JP9" t="str">
        <f>IF('Job Sheet'!AA15="75mm x 1",1,IF('Job Sheet'!AA15="75mm x 2",2,""))</f>
        <v/>
      </c>
      <c r="JQ9" t="str">
        <f>IF('Job Sheet'!AA15="100mm x 1",1,IF('Job Sheet'!AA15="100mm x 2",2,""))</f>
        <v/>
      </c>
      <c r="JR9" t="str">
        <f>IF('Job Sheet'!AA15="125mm x 1",1,IF('Job Sheet'!AA15="125mm x 2",2,""))</f>
        <v/>
      </c>
      <c r="JT9" t="str">
        <f>IF('Fabric Cutting'!L15="6mm Black",'Fabric Cutting'!E15,+IF('Fabric Cutting'!M15="6mm Black",'Fabric Cutting'!E15,""))</f>
        <v/>
      </c>
      <c r="JU9" t="str">
        <f>IF('Job Sheet'!K15="1.Verticali",'Fabric Cutting'!E15,"")</f>
        <v/>
      </c>
      <c r="JV9" t="str">
        <f>IF('Tube Cutting'!G15="Verticali Hooding (Old)",'Tube Cutting'!F15,"")</f>
        <v/>
      </c>
      <c r="JW9" t="str">
        <f>IF('Tube Cutting'!G15="Verticali Hooding (Old)",'Tube Cutting'!F15,"")</f>
        <v/>
      </c>
      <c r="JX9" t="str">
        <f>IF('Tube Cutting'!G15="Verticali Square Hooding",'Tube Cutting'!F15,"")</f>
        <v/>
      </c>
      <c r="JY9" t="str">
        <f>IF('Tube Cutting'!G15="Verticali Square Hooding",'Tube Cutting'!F15,"")</f>
        <v/>
      </c>
      <c r="KA9" t="str">
        <f>IF('Tube Cutting'!C15="Verticali",('Job Sheet'!G15-100)*2,"")</f>
        <v/>
      </c>
      <c r="KB9" t="str">
        <f>IF('Tube Cutting'!C15="Verticali",('Job Sheet'!G15-100)*2,"")</f>
        <v/>
      </c>
      <c r="KC9" t="str">
        <f>IF('Tube Cutting'!C15="Verticali",'Tube Cutting'!N15,"")</f>
        <v/>
      </c>
      <c r="KD9" t="str">
        <f>IF('Tube Cutting'!C15="Verticali",('Job Sheet'!G15-100)*2,"")</f>
        <v/>
      </c>
      <c r="KE9" t="str">
        <f>IF(Data!AV15="","",('Fabric Cutting'!F15-200)*2)</f>
        <v/>
      </c>
      <c r="KF9" t="str">
        <f>IF(OR(Data!AV15="",'Fabric Cutting'!C15&lt;&gt;"Verticali"),"",IF('Assembly(a)'!K15="",20,'Assembly(a)'!G15-1980))</f>
        <v/>
      </c>
      <c r="KG9" t="str">
        <f>IF('Tube Cutting'!C15="Verticali",'Tube Cutting'!N15,"")</f>
        <v/>
      </c>
      <c r="KH9" t="str">
        <f>IF(AND('Tube Cutting'!C15="Verticali",'Tube Cutting'!N15&lt;2000),'Tube Cutting'!N15-10,IF(AND('Tube Cutting'!C15="Verticali",'Tube Cutting'!N15&gt;2000),2000,""))</f>
        <v/>
      </c>
      <c r="KI9" t="str">
        <f>IF('Tube Cutting'!G15="Verticali Hooding (Old)",1,"")</f>
        <v/>
      </c>
      <c r="KJ9" t="str">
        <f>IF('Tube Cutting'!G15="Verticali Square Hooding",1,"")</f>
        <v/>
      </c>
      <c r="KL9" t="str">
        <f>IF('Tube Cutting'!G15="Verticali Colourbond Hooding",1,"")</f>
        <v/>
      </c>
      <c r="KM9" t="str">
        <f>IF(AND('Tube Cutting'!C15="Verticali",'Tube Cutting'!P15="78mm"),2,"")</f>
        <v/>
      </c>
      <c r="KN9" t="str">
        <f>IF(AND('Tube Cutting'!C15="Verticali",'Tube Cutting'!P15="85mm"),2,"")</f>
        <v/>
      </c>
      <c r="KP9" t="str">
        <f>IF(AND('Tube Cutting'!C15="Verticali",'Job Sheet'!M15="Gearbox"),1,"")</f>
        <v/>
      </c>
      <c r="KQ9" t="str">
        <f>IF('Tube Cutting'!C15="Verticali",1,"")</f>
        <v/>
      </c>
      <c r="KS9" t="str">
        <f>IF(OR('Job Sheet'!AB15="Foot 1 Side",'Job Sheet'!AB15="Leg &amp; Foot 1 Side",'Job Sheet'!AB15="End Cap 1 Side"),1,IF(OR('Job Sheet'!AB15="Foot Both Sides",'Job Sheet'!AB15="Leg &amp; Foot Both Sides",'Job Sheet'!AB15="End Cap Both Sides"),2,""))</f>
        <v/>
      </c>
      <c r="KT9" t="str">
        <f>IF(OR('Job Sheet'!AB15="Leg 1 Side",'Job Sheet'!AB15="Leg &amp; Foot 1 Side"),1,IF(OR('Job Sheet'!AB15="Leg Both Sides",'Job Sheet'!AB15="Leg &amp; Foot Both Sides",),2,""))</f>
        <v/>
      </c>
      <c r="KU9" t="str">
        <f>IF('Tube Cutting'!C15="Verticali",2,"")</f>
        <v/>
      </c>
      <c r="KW9" t="str">
        <f>IF('Tube Cutting'!C15="Verticali",2,"")</f>
        <v/>
      </c>
      <c r="KX9" t="str">
        <f>IF(Packing!L15="1 Pair",1,IF(Packing!L15="2 Pairs",2,""))</f>
        <v/>
      </c>
      <c r="KZ9" t="str">
        <f>IF('Tube Cutting'!G15="Verticali Base Rail",2,"")</f>
        <v/>
      </c>
      <c r="LA9" t="str">
        <f>IF('Tube Cutting'!G15="Zipscreen Hooding",'Tube Cutting'!F15,"")</f>
        <v/>
      </c>
      <c r="LB9" t="str">
        <f>IF('Tube Cutting'!G15="Zipscreen Hooding",'Tube Cutting'!F15,"")</f>
        <v/>
      </c>
      <c r="LD9" t="str">
        <f>IF('Tube Cutting'!G15="Zipscreen Hooding",1,"")</f>
        <v/>
      </c>
      <c r="LE9" t="str">
        <f>IF('Job Sheet'!AO15="Compact",1,"")</f>
        <v/>
      </c>
      <c r="LF9" t="str">
        <f>IF('Job Sheet'!AO15="Light",1,"")</f>
        <v/>
      </c>
      <c r="LG9" t="str">
        <f>IF('Job Sheet'!AO15="Standard",1,"")</f>
        <v/>
      </c>
      <c r="LH9" t="str">
        <f>IF('Job Sheet'!AO15="Heavy Duty",1,"")</f>
        <v/>
      </c>
      <c r="LI9" t="str">
        <f>IF('Job Sheet'!AO15="Extra Heavy Duty",1,"")</f>
        <v/>
      </c>
      <c r="LJ9" t="str">
        <f>IF('Job Sheet'!AO15="Ultra Heavy Duty",1,"")</f>
        <v/>
      </c>
      <c r="LK9" t="str">
        <f>IF('Tube Cutting'!C15="Zipscreen",2,"")</f>
        <v/>
      </c>
      <c r="LM9" t="str">
        <f>IF(AND('Job Sheet'!K15="2.Zipscreen",'Job Sheet'!M15="Spring"),1,"")</f>
        <v/>
      </c>
      <c r="LN9" t="str">
        <f>IF(AND('Job Sheet'!K15="2.Zipscreen",'Job Sheet'!M15="Spring"),2,IF(AND('Job Sheet'!K15="2.Zipscreen",'Job Sheet'!M15&lt;&gt;"Spring"),1,""))</f>
        <v/>
      </c>
      <c r="LO9" t="str">
        <f>IF(Data!BO15="PVC",'Fabric Cutting'!E15,"")</f>
        <v/>
      </c>
      <c r="LP9" t="str">
        <f>IF('Tube Cutting'!C15="Zipscreen",'Tube Cutting'!N15,"")</f>
        <v/>
      </c>
      <c r="LQ9" t="str">
        <f>IF('Tube Cutting'!C15="Zipscreen",2,"")</f>
        <v/>
      </c>
      <c r="LR9" t="str">
        <f>IF('Tube Cutting'!C15="Zipscreen",'Tube Cutting'!N15,"")</f>
        <v/>
      </c>
      <c r="LT9" t="str">
        <f>IF('Tube Cutting'!C15="Zipscreen",('Tube Cutting'!N15-100)*2,"")</f>
        <v/>
      </c>
      <c r="LU9" t="str">
        <f>IF(AND('Job Sheet'!K15="2.Zipscreen",'Job Sheet'!M15="Spring"),1,"")</f>
        <v/>
      </c>
      <c r="LV9" t="str">
        <f>IF(AND('Job Sheet'!K15="2.Zipscreen",'Job Sheet'!M15="Spring"),1,"")</f>
        <v/>
      </c>
      <c r="LW9" t="str">
        <f>IF('Tube Cutting'!C15="Zipscreen",('Job Sheet'!G15-100)*2,"")</f>
        <v/>
      </c>
      <c r="LX9" t="str">
        <f>IF('Tube Cutting'!C15="Zipscreen",('Job Sheet'!G15-82)*2,"")</f>
        <v/>
      </c>
      <c r="LY9" t="str">
        <f>IF('Tube Cutting'!K15="","",('Job Sheet'!G15-100)*2)</f>
        <v/>
      </c>
      <c r="LZ9" t="str">
        <f>IF('Tube Cutting'!C15="Zipscreen",2,"")</f>
        <v/>
      </c>
      <c r="MA9" t="str">
        <f>IF('Tube Cutting'!C15="Zipscreen",2,"")</f>
        <v/>
      </c>
      <c r="MB9" t="str">
        <f>IF('Job Sheet'!M15="Acmeda Remote Motor",1,"")</f>
        <v/>
      </c>
      <c r="ME9" t="str">
        <f>IF(AND('Tube Cutting'!P15="78mm",'Job Sheet'!M15="Acmeda Remote Motor"),1,"")</f>
        <v/>
      </c>
      <c r="MG9" t="str">
        <f>IF('Job Sheet'!M15="Acmeda 12v Remote Motor",1,"")</f>
        <v/>
      </c>
      <c r="MH9" t="str">
        <f>IF(OR('Job Sheet'!R15="External Battery",'Job Sheet'!R15="External Battery and Charging Cable"),1,"")</f>
        <v/>
      </c>
      <c r="MI9" t="str">
        <f>IF('Job Sheet'!R15="External Battery and Charging Cable",1,"")</f>
        <v/>
      </c>
      <c r="MJ9" t="str">
        <f>IF(OR('Job Sheet'!R15="Pulse Pro Automation Hub",'Job Sheet'!R15="Pulse 2.0 Automation Hub"),1,"")</f>
        <v/>
      </c>
      <c r="MK9" t="str">
        <f>IF('Job Sheet'!R15="USB Repeater",1,"")</f>
        <v/>
      </c>
      <c r="ML9" t="str">
        <f>IF('Job Sheet'!Q15="Acmeda 1 Channel White Remote",1,"")</f>
        <v/>
      </c>
      <c r="MM9" t="str">
        <f>IF('Job Sheet'!Q15="Acmeda 1 Channel Black Remote",1,"")</f>
        <v/>
      </c>
      <c r="MN9" t="str">
        <f>IF('Job Sheet'!Q15="Acmeda 5 Channel White Remote",1,"")</f>
        <v/>
      </c>
      <c r="MO9" t="str">
        <f>IF('Job Sheet'!Q15="Acmeda 5 Channel Black Remote",1,"")</f>
        <v/>
      </c>
      <c r="MP9" t="str">
        <f>IF('Job Sheet'!Q15="Acmeda 15 Channel White Remote",1,"")</f>
        <v/>
      </c>
      <c r="MQ9" t="str">
        <f>IF('Job Sheet'!Q15="Acmeda 15 Channel Black Remote",1,"")</f>
        <v/>
      </c>
      <c r="MR9" t="str">
        <f>IF('Job Sheet'!Q15="Acmeda Wall Mounted 5 Channel White Remote",1,"")</f>
        <v/>
      </c>
      <c r="MS9" t="str">
        <f>IF('Job Sheet'!Q15="Acmeda Wall Mounted Single Channel White Remote",1,"")</f>
        <v/>
      </c>
      <c r="MT9" t="str">
        <f>IF('Job Sheet'!Q15="Acmeda 2 Channel White Remote",1,"")</f>
        <v/>
      </c>
      <c r="MU9" t="str">
        <f>IF('Job Sheet'!Q15="Acmeda 15 Channel White Remote",1,"")</f>
        <v/>
      </c>
      <c r="MV9" t="str">
        <f>IF('Job Sheet'!Q15="Acmeda Push Pro White Remote with Charger",1,"")</f>
        <v/>
      </c>
      <c r="MW9" t="str">
        <f>IF('Job Sheet'!Q15="Acmeda Push Pro Black Remote with Charger",1,"")</f>
        <v/>
      </c>
      <c r="MX9" t="str">
        <f>IF(OR('Job Sheet'!Q15="Acmeda Push Pro White Remote with Charger",'Job Sheet'!Q15="Acmeda Push Pro Black Remote with Charger"),"1","")</f>
        <v/>
      </c>
      <c r="MY9" t="str">
        <f t="shared" si="2"/>
        <v/>
      </c>
      <c r="MZ9" t="str">
        <f>IF('Job Sheet'!S15="Acmeda Wind Sensor",1,"")</f>
        <v/>
      </c>
      <c r="NA9" t="str">
        <f>IF('Job Sheet'!R15="1 Channel Dry Contact Relay Module",1,"")</f>
        <v/>
      </c>
      <c r="NE9" t="str">
        <f>IF('Job Sheet'!M15="Becker Remote Operated",1,"")</f>
        <v/>
      </c>
      <c r="NF9" t="str">
        <f>IF('Job Sheet'!M15="Becker Switch Operated",1,"")</f>
        <v/>
      </c>
      <c r="NG9" t="str">
        <f>IF(OR('Job Sheet'!M15="Acmeda Remote Motor",'Job Sheet'!M15="Becker Remote Operated",'Job Sheet'!M15="Becker Switch Operated"),1,"")</f>
        <v/>
      </c>
      <c r="NI9" t="str">
        <f>IF(OR('Job Sheet'!M15="Becker Remote Operated",'Job Sheet'!M15="Becker Switch Operated"),1,"")</f>
        <v/>
      </c>
      <c r="NL9" t="str">
        <f>IF(AND('Tube Cutting'!P15="78mm",(OR('Job Sheet'!M15="Becker Remote Operated",'Job Sheet'!M15="Becker Switch Operated"))),1,"")</f>
        <v/>
      </c>
      <c r="NM9" t="str">
        <f>IF('Job Sheet'!Q15="Becker Single Channel White Remote",1,"")</f>
        <v/>
      </c>
      <c r="NN9" t="str">
        <f>IF('Job Sheet'!Q15="Becker Single Channel Black Remote",1,"")</f>
        <v/>
      </c>
      <c r="NO9" t="str">
        <f>IF('Job Sheet'!Q15="Becker 5 Channel White Remote",1,"")</f>
        <v/>
      </c>
      <c r="NP9" t="str">
        <f>IF('Job Sheet'!Q15="Becker 5 Channel Black Remote",1,"")</f>
        <v/>
      </c>
      <c r="NQ9" t="str">
        <f>IF('Job Sheet'!Q15="Becker 10 Channel White Remote",1,"")</f>
        <v/>
      </c>
      <c r="NR9" t="str">
        <f>IF('Job Sheet'!Q15="Becker 10 Channel Black Remote",1,"")</f>
        <v/>
      </c>
      <c r="NS9" t="str">
        <f>IF('Job Sheet'!S15="Becker Wind Sensor",1,"")</f>
        <v/>
      </c>
      <c r="NT9" t="str">
        <f>IF('Job Sheet'!M15="Somfy Remote Operated",1,"")</f>
        <v/>
      </c>
      <c r="NV9" t="str">
        <f>IF('Job Sheet'!M15="Somfy Remote Operated",1,"")</f>
        <v/>
      </c>
      <c r="NW9" t="str">
        <f>IF('Job Sheet'!M15="Somfy Remote Operated",1,"")</f>
        <v/>
      </c>
      <c r="NZ9" t="str">
        <f>IF(AND('Tube Cutting'!P15="78mm",'Job Sheet'!M15="Somfy Remote Operated"),1,"")</f>
        <v/>
      </c>
      <c r="OA9" t="str">
        <f>IF('Job Sheet'!R15="Connexoon App Connector",1,"")</f>
        <v/>
      </c>
      <c r="OB9" t="str">
        <f>IF('Job Sheet'!R15="Tahoma Switch",1,"")</f>
        <v/>
      </c>
      <c r="OC9" t="str">
        <f>IF('Job Sheet'!Q15="Somfy 15 Channel Silver Remote",1,"")</f>
        <v/>
      </c>
      <c r="OD9" t="str">
        <f>IF('Job Sheet'!Q15="Somfy 15 Channel White Remote",1,"")</f>
        <v/>
      </c>
      <c r="OE9" t="str">
        <f>IF('Job Sheet'!Q15="Somfy 2 Channel Silver Remote",1,"")</f>
        <v/>
      </c>
      <c r="OF9" t="str">
        <f>IF('Job Sheet'!Q15="Somfy 2 Channel Wall Mounted Smoove Remote White with Black Cover Plate",1,"")</f>
        <v/>
      </c>
      <c r="OG9" t="str">
        <f>IF('Job Sheet'!Q15="Somfy 2 Channel Wall Mounted Smoove Remote White with Silver Cover Plate",1,"")</f>
        <v/>
      </c>
      <c r="OH9" t="str">
        <f>IF('Job Sheet'!Q15="Somfy 2 Channel Wall Mounted Smoove Remote White",1,"")</f>
        <v/>
      </c>
      <c r="OI9" t="str">
        <f>IF('Job Sheet'!Q15="Somfy 2 Channel White Remote",1,"")</f>
        <v/>
      </c>
      <c r="OJ9" t="str">
        <f>IF('Job Sheet'!Q15="Somfy 2 Channel Silver Remote",1,"")</f>
        <v/>
      </c>
      <c r="OK9" t="str">
        <f>IF('Job Sheet'!Q15="Somfy 5 Channel Wall Mounted Smoove Remote White with Black Cover Plate",1,"")</f>
        <v/>
      </c>
      <c r="OL9" t="str">
        <f>IF('Job Sheet'!Q15="Somfy 5 Channel Wall Mounted Smoove Remote White with Silver Cover Plate",1,"")</f>
        <v/>
      </c>
      <c r="OM9" t="str">
        <f>IF('Job Sheet'!Q15="Somfy 5 Channel Wall Mounted Smoove Remote White",1,"")</f>
        <v/>
      </c>
      <c r="ON9" t="str">
        <f>IF('Job Sheet'!Q15="Somfy 5 Channel White Remote",1,"")</f>
        <v/>
      </c>
      <c r="OO9" t="str">
        <f>IF('Job Sheet'!Q15="Somfy Single Channel Silver Remote",1,"")</f>
        <v/>
      </c>
      <c r="OP9" t="str">
        <f>IF('Job Sheet'!Q15="Somfy Single Channel Wall Mounted Smoove Remote White with Black Cover Plate",1,"")</f>
        <v/>
      </c>
      <c r="OQ9" t="str">
        <f>IF('Job Sheet'!Q15="Somfy Single Channel Wall Mounted Smoove Remote White with Silver Cover Plate",1,"")</f>
        <v/>
      </c>
      <c r="OR9" t="str">
        <f>IF('Job Sheet'!Q15="Somfy Single Channel Wall Mounted Smoove Remote White",1,"")</f>
        <v/>
      </c>
      <c r="OS9" t="str">
        <f>IF('Job Sheet'!Q15="Somfy Single Channel White Remote",1,"")</f>
        <v/>
      </c>
    </row>
    <row r="10" spans="4:409" ht="13.2" customHeight="1">
      <c r="D10" t="str">
        <f>IF('Tube Cutting'!C16="","",CONCATENATE(Data!BC$5,".",Data!BD$5))</f>
        <v/>
      </c>
      <c r="E10" t="str">
        <f>IF(D10="","",Data!AW16)</f>
        <v/>
      </c>
      <c r="F10" t="str">
        <f>IF(D10="","",Data!AV16)</f>
        <v/>
      </c>
      <c r="G10" t="str">
        <f>IF(D10="","",'Tube Cutting'!C16)</f>
        <v/>
      </c>
      <c r="H10" t="str">
        <f>IF(D10="","",Data!BF$5)</f>
        <v/>
      </c>
      <c r="I10" t="str">
        <f>IF(D10="","",Data!AX$5)</f>
        <v/>
      </c>
      <c r="J10" s="116" t="str">
        <f>'Job Sheet'!L16</f>
        <v/>
      </c>
      <c r="K10" t="str">
        <f t="shared" si="0"/>
        <v/>
      </c>
      <c r="L10" s="115" t="str">
        <f>'Fabric Cutting'!E16</f>
        <v/>
      </c>
      <c r="M10" s="115" t="str">
        <f>'Fabric Cutting'!F16</f>
        <v/>
      </c>
      <c r="N10" t="str">
        <f>IF(AND('Tube Cutting'!G16="Colourbond Under-Roll Hooding",'Tube Cutting'!H16="Custom Powdercoat"),'Tube Cutting'!D16,"")</f>
        <v/>
      </c>
      <c r="O10" t="str">
        <f>IF(AND('Tube Cutting'!G16="Colourbond Under-Roll Hooding",'Tube Cutting'!H16="Ebony (Black)"),'Tube Cutting'!D16,"")</f>
        <v/>
      </c>
      <c r="P10" t="str">
        <f>IF(AND('Tube Cutting'!G16="Colourbond Under-Roll Hooding",'Tube Cutting'!H16="Caulfield Green"),'Tube Cutting'!D16,"")</f>
        <v/>
      </c>
      <c r="Q10" t="str">
        <f>IF(AND('Tube Cutting'!G16="Colourbond Under-Roll Hooding",'Tube Cutting'!H16="Charcoal (Monument)"),'Tube Cutting'!D16,"")</f>
        <v/>
      </c>
      <c r="R10" t="str">
        <f>IF(AND('Tube Cutting'!G16="Colourbond Under-Roll Hooding",'Tube Cutting'!H16="Dune"),'Tube Cutting'!D16,"")</f>
        <v/>
      </c>
      <c r="S10" t="str">
        <f>IF(AND('Tube Cutting'!G16="Colourbond Under-Roll Hooding",'Tube Cutting'!H16="Heritage Red (Manor Red)"),'Tube Cutting'!D16,"")</f>
        <v/>
      </c>
      <c r="T10" t="str">
        <f>IF(AND('Tube Cutting'!G16="Colourbond Under-Roll Hooding",'Tube Cutting'!H16="Ironstone"),'Tube Cutting'!D16,"")</f>
        <v/>
      </c>
      <c r="U10" t="str">
        <f>IF(AND('Tube Cutting'!G16="Colourbond Under-Roll Hooding",'Tube Cutting'!H16="Jasper"),'Tube Cutting'!D16,"")</f>
        <v/>
      </c>
      <c r="V10" t="str">
        <f>IF(AND('Tube Cutting'!G16="Colourbond Under-Roll Hooding",'Tube Cutting'!H16="Merino (Paperbark)"),'Tube Cutting'!D16,"")</f>
        <v/>
      </c>
      <c r="W10" t="str">
        <f>IF(AND('Tube Cutting'!G16="Colourbond Under-Roll Hooding",'Tube Cutting'!H16="Mist Green"),'Tube Cutting'!D16,"")</f>
        <v/>
      </c>
      <c r="X10" t="str">
        <f>IF(AND('Tube Cutting'!G16="Colourbond Under-Roll Hooding",'Tube Cutting'!H16="Mountain Blue"),'Tube Cutting'!D16,"")</f>
        <v/>
      </c>
      <c r="Y10" t="str">
        <f>IF(AND('Tube Cutting'!G16="Colourbond Under-Roll Hooding",'Tube Cutting'!H16="Smooth Cream (Classic Cream)"),'Tube Cutting'!D16,"")</f>
        <v/>
      </c>
      <c r="Z10" t="str">
        <f>IF(AND('Tube Cutting'!G16="Colourbond Under-Roll Hooding",'Tube Cutting'!H16="Shale Grey"),'Tube Cutting'!D16,"")</f>
        <v/>
      </c>
      <c r="AA10" t="str">
        <f>IF(AND('Tube Cutting'!G16="Colourbond Under-Roll Hooding",'Tube Cutting'!H16="Slate Grey (Woodland Grey)"),'Tube Cutting'!D16,"")</f>
        <v/>
      </c>
      <c r="AB10" t="str">
        <f>IF(AND('Tube Cutting'!G16="Colourbond Under-Roll Hooding",'Tube Cutting'!H16="Surfmist"),'Tube Cutting'!D16,"")</f>
        <v/>
      </c>
      <c r="AC10" t="str">
        <f>IF(AND('Tube Cutting'!G16="Colourbond Under-Roll Hooding",'Tube Cutting'!H16="White"),'Tube Cutting'!D16,"")</f>
        <v/>
      </c>
      <c r="AT10" t="str">
        <f>IF(AND('Tube Cutting'!G16="Colourbond Under-Roll Hooding",'Tube Cutting'!H16="Custom Powdercoat"),1,"")</f>
        <v/>
      </c>
      <c r="AU10" t="str">
        <f>IF(AND('Tube Cutting'!G16="Colourbond Under-Roll Hooding",'Tube Cutting'!H16="Ebony (Black)"),1,"")</f>
        <v/>
      </c>
      <c r="AV10" t="str">
        <f>IF(AND('Tube Cutting'!G16="Colourbond Under-Roll Hooding",'Tube Cutting'!H16="Caulfield Green"),1,"")</f>
        <v/>
      </c>
      <c r="AW10" t="str">
        <f>IF(AND('Tube Cutting'!G16="Colourbond Under-Roll Hooding",'Tube Cutting'!H16="Charcoal (Monument)"),1,"")</f>
        <v/>
      </c>
      <c r="AX10" t="str">
        <f>IF(AND('Tube Cutting'!G16="Colourbond Under-Roll Hooding",'Tube Cutting'!H16="Dune"),1,"")</f>
        <v/>
      </c>
      <c r="AY10" t="str">
        <f>IF(AND('Tube Cutting'!G16="Colourbond Under-Roll Hooding",'Tube Cutting'!H16="Heritage Red (Manor Red)"),1,"")</f>
        <v/>
      </c>
      <c r="AZ10" t="str">
        <f>IF(AND('Tube Cutting'!G16="Colourbond Under-Roll Hooding",'Tube Cutting'!H16="Ironstone"),1,"")</f>
        <v/>
      </c>
      <c r="BA10" t="str">
        <f>IF(AND('Tube Cutting'!G16="Colourbond Under-Roll Hooding",'Tube Cutting'!H16="Jasper"),1,"")</f>
        <v/>
      </c>
      <c r="BB10" t="str">
        <f>IF(AND('Tube Cutting'!G16="Colourbond Under-Roll Hooding",'Tube Cutting'!H16="Merino (Paperbark)"),1,"")</f>
        <v/>
      </c>
      <c r="BC10" t="str">
        <f>IF(AND('Tube Cutting'!G16="Colourbond Under-Roll Hooding",'Tube Cutting'!H16="Mist Green"),1,"")</f>
        <v/>
      </c>
      <c r="BD10" t="str">
        <f>IF(AND('Tube Cutting'!G16="Colourbond Under-Roll Hooding",'Tube Cutting'!H16="Mountain Blue"),1,"")</f>
        <v/>
      </c>
      <c r="BE10" t="str">
        <f>IF(AND('Tube Cutting'!G16="Colourbond Under-Roll Hooding",'Tube Cutting'!H16="Smooth Cream (Classic Cream)"),1,"")</f>
        <v/>
      </c>
      <c r="BF10" t="str">
        <f>IF(AND('Tube Cutting'!G16="Colourbond Under-Roll Hooding",'Tube Cutting'!H16="Shale Grey"),1,"")</f>
        <v/>
      </c>
      <c r="BG10" t="str">
        <f>IF(AND('Tube Cutting'!G16="Colourbond Under-Roll Hooding",'Tube Cutting'!H16="Slate Grey (Woodland Grey)"),1,"")</f>
        <v/>
      </c>
      <c r="BH10" t="str">
        <f>IF(AND('Tube Cutting'!G16="Colourbond Under-Roll Hooding",'Tube Cutting'!H16="Surfmist"),1,"")</f>
        <v/>
      </c>
      <c r="BI10" t="str">
        <f>IF(AND('Tube Cutting'!G16="Colourbond Under-Roll Hooding",'Tube Cutting'!H16="White"),1,"")</f>
        <v/>
      </c>
      <c r="BJ10" t="str">
        <f>IF(AND('Tube Cutting'!G16="Colourbond Over-Roll Hooding",'Tube Cutting'!H16="Custom Powdercoat"),'Tube Cutting'!D16,"")</f>
        <v/>
      </c>
      <c r="BK10" t="str">
        <f>IF(AND('Tube Cutting'!G16="Colourbond Over-Roll Hooding",'Tube Cutting'!H16="Ebony (Black)"),'Tube Cutting'!D16,"")</f>
        <v/>
      </c>
      <c r="BL10" t="str">
        <f>IF(AND('Tube Cutting'!G16="Colourbond Over-Roll Hooding",'Tube Cutting'!H16="Caulfield Green"),'Tube Cutting'!D16,"")</f>
        <v/>
      </c>
      <c r="BM10" t="str">
        <f>IF(AND('Tube Cutting'!G16="Colourbond Over-Roll Hooding",'Tube Cutting'!H16="Charcoal (Monument)"),'Tube Cutting'!D16,"")</f>
        <v/>
      </c>
      <c r="BN10" t="str">
        <f>IF(AND('Tube Cutting'!G16="Colourbond Over-Roll Hooding",'Tube Cutting'!H16="Dune"),'Tube Cutting'!D16,"")</f>
        <v/>
      </c>
      <c r="BO10" t="str">
        <f>IF(AND('Tube Cutting'!G16="Colourbond Over-Roll Hooding",'Tube Cutting'!H16="Heritage Red (Manor Red)"),'Tube Cutting'!D16,"")</f>
        <v/>
      </c>
      <c r="BP10" t="str">
        <f>IF(AND('Tube Cutting'!G16="Colourbond Over-Roll Hooding",'Tube Cutting'!H16="Ironstone"),'Tube Cutting'!D16,"")</f>
        <v/>
      </c>
      <c r="BQ10" t="str">
        <f>IF(AND('Tube Cutting'!G16="Colourbond Over-Roll Hooding",'Tube Cutting'!H16="Jasper"),'Tube Cutting'!D16,"")</f>
        <v/>
      </c>
      <c r="BR10" t="str">
        <f>IF(AND('Tube Cutting'!G16="Colourbond Over-Roll Hooding",'Tube Cutting'!H16="Merino (Paperbark)"),'Tube Cutting'!D16,"")</f>
        <v/>
      </c>
      <c r="BS10" t="str">
        <f>IF(AND('Tube Cutting'!G16="Colourbond Over-Roll Hooding",'Tube Cutting'!H16="Mist Green"),'Tube Cutting'!D16,"")</f>
        <v/>
      </c>
      <c r="BT10" t="str">
        <f>IF(AND('Tube Cutting'!G16="Colourbond Over-Roll Hooding",'Tube Cutting'!H16="Mountain Blue"),'Tube Cutting'!D16,"")</f>
        <v/>
      </c>
      <c r="BU10" t="str">
        <f>IF(AND('Tube Cutting'!G16="Colourbond Over-Roll Hooding",'Tube Cutting'!H16="Smooth Cream (Classic Cream)"),'Tube Cutting'!D16,"")</f>
        <v/>
      </c>
      <c r="BV10" t="str">
        <f>IF(AND('Tube Cutting'!G16="Colourbond Over-Roll Hooding",'Tube Cutting'!H16="Shale Grey"),'Tube Cutting'!D16,"")</f>
        <v/>
      </c>
      <c r="BW10" t="str">
        <f>IF(AND('Tube Cutting'!G16="Colourbond Over-Roll Hooding",'Tube Cutting'!H16="Slate Grey (Woodland Grey)"),'Tube Cutting'!D16,"")</f>
        <v/>
      </c>
      <c r="BX10" t="str">
        <f>IF(AND('Tube Cutting'!G16="Colourbond Over-Roll Hooding",'Tube Cutting'!H16="Surfmist"),'Tube Cutting'!D16,"")</f>
        <v/>
      </c>
      <c r="BY10" t="str">
        <f>IF(AND('Tube Cutting'!G16="Colourbond Over-Roll Hooding",'Tube Cutting'!H16="Mist"),'Tube Cutting'!D16,"")</f>
        <v/>
      </c>
      <c r="CP10" t="str">
        <f>IF(AND('Tube Cutting'!G16="Colourbond Over-Roll Hooding",'Tube Cutting'!H16="Custom Powdercoat"),1,"")</f>
        <v/>
      </c>
      <c r="CQ10" t="str">
        <f>IF(AND('Tube Cutting'!G16="Colourbond Over-Roll Hooding",'Tube Cutting'!H16="Ebony (Black)"),1,"")</f>
        <v/>
      </c>
      <c r="CR10" t="str">
        <f>IF(AND('Tube Cutting'!G16="Colourbond Over-Roll Hooding",'Tube Cutting'!H16="Caulfield Green"),1,"")</f>
        <v/>
      </c>
      <c r="CS10" t="str">
        <f>IF(AND('Tube Cutting'!G16="Colourbond Over-Roll Hooding",'Tube Cutting'!H16="Charcoal (Monument)"),1,"")</f>
        <v/>
      </c>
      <c r="CT10" t="str">
        <f>IF(AND('Tube Cutting'!G16="Colourbond Over-Roll Hooding",'Tube Cutting'!H16="Dune"),1,"")</f>
        <v/>
      </c>
      <c r="CU10" t="str">
        <f>IF(AND('Tube Cutting'!G16="Colourbond Over-Roll Hooding",'Tube Cutting'!H16="Heritage Red (Manor Red)"),1,"")</f>
        <v/>
      </c>
      <c r="CV10" t="str">
        <f>IF(AND('Tube Cutting'!G16="Colourbond Over-Roll Hooding",'Tube Cutting'!H16="Ironstone"),1,"")</f>
        <v/>
      </c>
      <c r="CW10" t="str">
        <f>IF(AND('Tube Cutting'!G16="Colourbond Over-Roll Hooding",'Tube Cutting'!H16="Jasper"),1,"")</f>
        <v/>
      </c>
      <c r="CX10" t="str">
        <f>IF(AND('Tube Cutting'!G16="Colourbond Over-Roll Hooding",'Tube Cutting'!H16="Merino (Paperbark)"),1,"")</f>
        <v/>
      </c>
      <c r="CY10" t="str">
        <f>IF(AND('Tube Cutting'!G16="Colourbond Over-Roll Hooding",'Tube Cutting'!H16="Mist Green"),1,"")</f>
        <v/>
      </c>
      <c r="CZ10" t="str">
        <f>IF(AND('Tube Cutting'!G16="Colourbond Over-Roll Hooding",'Tube Cutting'!H16="Mountain Blue"),1,"")</f>
        <v/>
      </c>
      <c r="DA10" t="str">
        <f>IF(AND('Tube Cutting'!G16="Colourbond Over-Roll Hooding",'Tube Cutting'!H16="Smooth Cream (Classic Cream)"),1,"")</f>
        <v/>
      </c>
      <c r="DB10" t="str">
        <f>IF(AND('Tube Cutting'!G16="Colourbond Over-Roll Hooding",'Tube Cutting'!H16="Shale Grey"),1,"")</f>
        <v/>
      </c>
      <c r="DC10" t="str">
        <f>IF(AND('Tube Cutting'!G16="Colourbond Over-Roll Hooding",'Tube Cutting'!H16="Slate Grey (Woodland Grey)"),1,"")</f>
        <v/>
      </c>
      <c r="DD10" t="str">
        <f>IF(AND('Tube Cutting'!G16="Colourbond Over-Roll Hooding",'Tube Cutting'!H16="Surfmist"),1,"")</f>
        <v/>
      </c>
      <c r="DE10" t="str">
        <f>IF(AND('Tube Cutting'!G16="Colourbond Over-Roll Hooding",'Tube Cutting'!H16="Mist"),1,"")</f>
        <v/>
      </c>
      <c r="DI10" t="str">
        <f>IF('Tube Cutting'!P16="78mm",'Tube Cutting'!Q16,"")</f>
        <v/>
      </c>
      <c r="DJ10" t="str">
        <f>IF('Tube Cutting'!P16="85mm",'Tube Cutting'!Q16,"")</f>
        <v/>
      </c>
      <c r="DM10" t="str">
        <f>IF(AND('Tube Cutting'!C16="Zipscreen",'Job Sheet'!M16="Gearbox"),1,"")</f>
        <v/>
      </c>
      <c r="DN10" t="str">
        <f>IF('Tube Cutting'!C16="Zipscreen",1,"")</f>
        <v/>
      </c>
      <c r="EK10" t="str">
        <f t="shared" si="1"/>
        <v/>
      </c>
      <c r="GM10" t="str">
        <f>IF(AND('Job Sheet'!M16="Gearbox",'Job Sheet'!N16="Black"),1,"")</f>
        <v/>
      </c>
      <c r="GN10" t="str">
        <f>IF(AND('Job Sheet'!M16="Gearbox",'Job Sheet'!N16="White"),1,"")</f>
        <v/>
      </c>
      <c r="GO10" t="str">
        <f>IF('Job Sheet'!Q16="Black Crank Handle 1000mm",1,"")</f>
        <v/>
      </c>
      <c r="GP10" t="str">
        <f>IF('Job Sheet'!Q16="Black Crank Handle 1200mm",1,"")</f>
        <v/>
      </c>
      <c r="GQ10" t="str">
        <f>IF('Job Sheet'!Q16="Black Crank Handle 1500mm",1,"")</f>
        <v/>
      </c>
      <c r="GR10" t="str">
        <f>IF('Job Sheet'!Q16="Black Crank Handle 1800mm",1,"")</f>
        <v/>
      </c>
      <c r="GS10" t="str">
        <f>IF('Job Sheet'!Q16="Black Crank Handle 2200mm",1,"")</f>
        <v/>
      </c>
      <c r="GT10" t="str">
        <f>IF('Job Sheet'!Q16="Black Crank Handle 2500mm",1,"")</f>
        <v/>
      </c>
      <c r="GU10" t="str">
        <f>IF('Job Sheet'!Q16="Black Crank Handle 3000mm",1,"")</f>
        <v/>
      </c>
      <c r="GV10" t="str">
        <f>IF('Job Sheet'!Q16="White Crank Handle 1000mm",1,"")</f>
        <v/>
      </c>
      <c r="GW10" t="str">
        <f>IF('Job Sheet'!Q16="White Crank Handle 1200mm",1,"")</f>
        <v/>
      </c>
      <c r="GX10" t="str">
        <f>IF('Job Sheet'!Q16="White Crank Handle 1500mm",1,"")</f>
        <v/>
      </c>
      <c r="GY10" t="str">
        <f>IF('Job Sheet'!Q16="White Crank Handle 1800mm",1,"")</f>
        <v/>
      </c>
      <c r="GZ10" t="str">
        <f>IF('Job Sheet'!Q16="White Crank Handle 2200mm",1,"")</f>
        <v/>
      </c>
      <c r="HA10" t="str">
        <f>IF('Job Sheet'!Q16="White Crank Handle 2500mm",1,"")</f>
        <v/>
      </c>
      <c r="HB10" t="str">
        <f>IF('Job Sheet'!Q16="White Crank Handle 3000mm",1,"")</f>
        <v/>
      </c>
      <c r="IM10" t="str">
        <f>IF(OR('Job Sheet'!V16&lt;&gt;"Pearl White",'Job Sheet'!V16&lt;&gt;"White Satin"),"",2)</f>
        <v/>
      </c>
      <c r="IN10" t="str">
        <f>IF(AND('Job Sheet'!U16="Powder Coated Brackets",(OR('Job Sheet'!V16="Pearl White",'Job Sheet'!V16="White Satin"))),2,"")</f>
        <v/>
      </c>
      <c r="IQ10" t="str">
        <f>IF('Job Sheet'!U16="Stainless Steel Brackets",2,"")</f>
        <v/>
      </c>
      <c r="JN10" t="str">
        <f>IF('Job Sheet'!AA16="25mm x 1",1,IF('Job Sheet'!AA16="25mm x 2",2,""))</f>
        <v/>
      </c>
      <c r="JO10" t="str">
        <f>IF('Job Sheet'!AA16="50mm x 1",1,IF('Job Sheet'!AA16="50mm x 2",2,""))</f>
        <v/>
      </c>
      <c r="JP10" t="str">
        <f>IF('Job Sheet'!AA16="75mm x 1",1,IF('Job Sheet'!AA16="75mm x 2",2,""))</f>
        <v/>
      </c>
      <c r="JQ10" t="str">
        <f>IF('Job Sheet'!AA16="100mm x 1",1,IF('Job Sheet'!AA16="100mm x 2",2,""))</f>
        <v/>
      </c>
      <c r="JR10" t="str">
        <f>IF('Job Sheet'!AA16="125mm x 1",1,IF('Job Sheet'!AA16="125mm x 2",2,""))</f>
        <v/>
      </c>
      <c r="JT10" t="str">
        <f>IF('Fabric Cutting'!L16="6mm Black",'Fabric Cutting'!E16,+IF('Fabric Cutting'!M16="6mm Black",'Fabric Cutting'!E16,""))</f>
        <v/>
      </c>
      <c r="JU10" t="str">
        <f>IF('Job Sheet'!K16="1.Verticali",'Fabric Cutting'!E16,"")</f>
        <v/>
      </c>
      <c r="JV10" t="str">
        <f>IF('Tube Cutting'!G16="Verticali Hooding (Old)",'Tube Cutting'!F16,"")</f>
        <v/>
      </c>
      <c r="JW10" t="str">
        <f>IF('Tube Cutting'!G16="Verticali Hooding (Old)",'Tube Cutting'!F16,"")</f>
        <v/>
      </c>
      <c r="JX10" t="str">
        <f>IF('Tube Cutting'!G16="Verticali Square Hooding",'Tube Cutting'!F16,"")</f>
        <v/>
      </c>
      <c r="JY10" t="str">
        <f>IF('Tube Cutting'!G16="Verticali Square Hooding",'Tube Cutting'!F16,"")</f>
        <v/>
      </c>
      <c r="KA10" t="str">
        <f>IF('Tube Cutting'!C16="Verticali",('Job Sheet'!G16-100)*2,"")</f>
        <v/>
      </c>
      <c r="KB10" t="str">
        <f>IF('Tube Cutting'!C16="Verticali",('Job Sheet'!G16-100)*2,"")</f>
        <v/>
      </c>
      <c r="KC10" t="str">
        <f>IF('Tube Cutting'!C16="Verticali",'Tube Cutting'!N16,"")</f>
        <v/>
      </c>
      <c r="KD10" t="str">
        <f>IF('Tube Cutting'!C16="Verticali",('Job Sheet'!G16-100)*2,"")</f>
        <v/>
      </c>
      <c r="KE10" t="str">
        <f>IF(Data!AV16="","",('Fabric Cutting'!F16-200)*2)</f>
        <v/>
      </c>
      <c r="KF10" t="str">
        <f>IF(OR(Data!AV16="",'Fabric Cutting'!C16&lt;&gt;"Verticali"),"",IF('Assembly(a)'!K16="",20,'Assembly(a)'!G16-1980))</f>
        <v/>
      </c>
      <c r="KG10" t="str">
        <f>IF('Tube Cutting'!C16="Verticali",'Tube Cutting'!N16,"")</f>
        <v/>
      </c>
      <c r="KH10" t="str">
        <f>IF(AND('Tube Cutting'!C16="Verticali",'Tube Cutting'!N16&lt;2000),'Tube Cutting'!N16-10,IF(AND('Tube Cutting'!C16="Verticali",'Tube Cutting'!N16&gt;2000),2000,""))</f>
        <v/>
      </c>
      <c r="KI10" t="str">
        <f>IF('Tube Cutting'!G16="Verticali Hooding (Old)",1,"")</f>
        <v/>
      </c>
      <c r="KJ10" t="str">
        <f>IF('Tube Cutting'!G16="Verticali Square Hooding",1,"")</f>
        <v/>
      </c>
      <c r="KL10" t="str">
        <f>IF('Tube Cutting'!G16="Verticali Colourbond Hooding",1,"")</f>
        <v/>
      </c>
      <c r="KM10" t="str">
        <f>IF(AND('Tube Cutting'!C16="Verticali",'Tube Cutting'!P16="78mm"),2,"")</f>
        <v/>
      </c>
      <c r="KN10" t="str">
        <f>IF(AND('Tube Cutting'!C16="Verticali",'Tube Cutting'!P16="85mm"),2,"")</f>
        <v/>
      </c>
      <c r="KP10" t="str">
        <f>IF(AND('Tube Cutting'!C16="Verticali",'Job Sheet'!M16="Gearbox"),1,"")</f>
        <v/>
      </c>
      <c r="KQ10" t="str">
        <f>IF('Tube Cutting'!C16="Verticali",1,"")</f>
        <v/>
      </c>
      <c r="KS10" t="str">
        <f>IF(OR('Job Sheet'!AB16="Foot 1 Side",'Job Sheet'!AB16="Leg &amp; Foot 1 Side",'Job Sheet'!AB16="End Cap 1 Side"),1,IF(OR('Job Sheet'!AB16="Foot Both Sides",'Job Sheet'!AB16="Leg &amp; Foot Both Sides",'Job Sheet'!AB16="End Cap Both Sides"),2,""))</f>
        <v/>
      </c>
      <c r="KT10" t="str">
        <f>IF(OR('Job Sheet'!AB16="Leg 1 Side",'Job Sheet'!AB16="Leg &amp; Foot 1 Side"),1,IF(OR('Job Sheet'!AB16="Leg Both Sides",'Job Sheet'!AB16="Leg &amp; Foot Both Sides",),2,""))</f>
        <v/>
      </c>
      <c r="KU10" t="str">
        <f>IF('Tube Cutting'!C16="Verticali",2,"")</f>
        <v/>
      </c>
      <c r="KW10" t="str">
        <f>IF('Tube Cutting'!C16="Verticali",2,"")</f>
        <v/>
      </c>
      <c r="KX10" t="str">
        <f>IF(Packing!L16="1 Pair",1,IF(Packing!L16="2 Pairs",2,""))</f>
        <v/>
      </c>
      <c r="KZ10" t="str">
        <f>IF('Tube Cutting'!G16="Verticali Base Rail",2,"")</f>
        <v/>
      </c>
      <c r="LA10" t="str">
        <f>IF('Tube Cutting'!G16="Zipscreen Hooding",'Tube Cutting'!F16,"")</f>
        <v/>
      </c>
      <c r="LB10" t="str">
        <f>IF('Tube Cutting'!G16="Zipscreen Hooding",'Tube Cutting'!F16,"")</f>
        <v/>
      </c>
      <c r="LD10" t="str">
        <f>IF('Tube Cutting'!G16="Zipscreen Hooding",1,"")</f>
        <v/>
      </c>
      <c r="LE10" t="str">
        <f>IF('Job Sheet'!AO16="Compact",1,"")</f>
        <v/>
      </c>
      <c r="LF10" t="str">
        <f>IF('Job Sheet'!AO16="Light",1,"")</f>
        <v/>
      </c>
      <c r="LG10" t="str">
        <f>IF('Job Sheet'!AO16="Standard",1,"")</f>
        <v/>
      </c>
      <c r="LH10" t="str">
        <f>IF('Job Sheet'!AO16="Heavy Duty",1,"")</f>
        <v/>
      </c>
      <c r="LI10" t="str">
        <f>IF('Job Sheet'!AO16="Extra Heavy Duty",1,"")</f>
        <v/>
      </c>
      <c r="LJ10" t="str">
        <f>IF('Job Sheet'!AO16="Ultra Heavy Duty",1,"")</f>
        <v/>
      </c>
      <c r="LK10" t="str">
        <f>IF('Tube Cutting'!C16="Zipscreen",2,"")</f>
        <v/>
      </c>
      <c r="LM10" t="str">
        <f>IF(AND('Job Sheet'!K16="2.Zipscreen",'Job Sheet'!M16="Spring"),1,"")</f>
        <v/>
      </c>
      <c r="LN10" t="str">
        <f>IF(AND('Job Sheet'!K16="2.Zipscreen",'Job Sheet'!M16="Spring"),2,IF(AND('Job Sheet'!K16="2.Zipscreen",'Job Sheet'!M16&lt;&gt;"Spring"),1,""))</f>
        <v/>
      </c>
      <c r="LO10" t="str">
        <f>IF(Data!BO16="PVC",'Fabric Cutting'!E16,"")</f>
        <v/>
      </c>
      <c r="LP10" t="str">
        <f>IF('Tube Cutting'!C16="Zipscreen",'Tube Cutting'!N16,"")</f>
        <v/>
      </c>
      <c r="LQ10" t="str">
        <f>IF('Tube Cutting'!C16="Zipscreen",2,"")</f>
        <v/>
      </c>
      <c r="LR10" t="str">
        <f>IF('Tube Cutting'!C16="Zipscreen",'Tube Cutting'!N16,"")</f>
        <v/>
      </c>
      <c r="LT10" t="str">
        <f>IF('Tube Cutting'!C16="Zipscreen",('Tube Cutting'!N16-100)*2,"")</f>
        <v/>
      </c>
      <c r="LU10" t="str">
        <f>IF(AND('Job Sheet'!K16="2.Zipscreen",'Job Sheet'!M16="Spring"),1,"")</f>
        <v/>
      </c>
      <c r="LV10" t="str">
        <f>IF(AND('Job Sheet'!K16="2.Zipscreen",'Job Sheet'!M16="Spring"),1,"")</f>
        <v/>
      </c>
      <c r="LW10" t="str">
        <f>IF('Tube Cutting'!C16="Zipscreen",('Job Sheet'!G16-100)*2,"")</f>
        <v/>
      </c>
      <c r="LX10" t="str">
        <f>IF('Tube Cutting'!C16="Zipscreen",('Job Sheet'!G16-82)*2,"")</f>
        <v/>
      </c>
      <c r="LY10" t="str">
        <f>IF('Tube Cutting'!K16="","",('Job Sheet'!G16-100)*2)</f>
        <v/>
      </c>
      <c r="LZ10" t="str">
        <f>IF('Tube Cutting'!C16="Zipscreen",2,"")</f>
        <v/>
      </c>
      <c r="MA10" t="str">
        <f>IF('Tube Cutting'!C16="Zipscreen",2,"")</f>
        <v/>
      </c>
      <c r="MB10" t="str">
        <f>IF('Job Sheet'!M16="Acmeda Remote Motor",1,"")</f>
        <v/>
      </c>
      <c r="ME10" t="str">
        <f>IF(AND('Tube Cutting'!P16="78mm",'Job Sheet'!M16="Acmeda Remote Motor"),1,"")</f>
        <v/>
      </c>
      <c r="MG10" t="str">
        <f>IF('Job Sheet'!M16="Acmeda 12v Remote Motor",1,"")</f>
        <v/>
      </c>
      <c r="MH10" t="str">
        <f>IF(OR('Job Sheet'!R16="External Battery",'Job Sheet'!R16="External Battery and Charging Cable"),1,"")</f>
        <v/>
      </c>
      <c r="MI10" t="str">
        <f>IF('Job Sheet'!R16="External Battery and Charging Cable",1,"")</f>
        <v/>
      </c>
      <c r="MJ10" t="str">
        <f>IF(OR('Job Sheet'!R16="Pulse Pro Automation Hub",'Job Sheet'!R16="Pulse 2.0 Automation Hub"),1,"")</f>
        <v/>
      </c>
      <c r="MK10" t="str">
        <f>IF('Job Sheet'!R16="USB Repeater",1,"")</f>
        <v/>
      </c>
      <c r="ML10" t="str">
        <f>IF('Job Sheet'!Q16="Acmeda 1 Channel White Remote",1,"")</f>
        <v/>
      </c>
      <c r="MM10" t="str">
        <f>IF('Job Sheet'!Q16="Acmeda 1 Channel Black Remote",1,"")</f>
        <v/>
      </c>
      <c r="MN10" t="str">
        <f>IF('Job Sheet'!Q16="Acmeda 5 Channel White Remote",1,"")</f>
        <v/>
      </c>
      <c r="MO10" t="str">
        <f>IF('Job Sheet'!Q16="Acmeda 5 Channel Black Remote",1,"")</f>
        <v/>
      </c>
      <c r="MP10" t="str">
        <f>IF('Job Sheet'!Q16="Acmeda 15 Channel White Remote",1,"")</f>
        <v/>
      </c>
      <c r="MQ10" t="str">
        <f>IF('Job Sheet'!Q16="Acmeda 15 Channel Black Remote",1,"")</f>
        <v/>
      </c>
      <c r="MR10" t="str">
        <f>IF('Job Sheet'!Q16="Acmeda Wall Mounted 5 Channel White Remote",1,"")</f>
        <v/>
      </c>
      <c r="MS10" t="str">
        <f>IF('Job Sheet'!Q16="Acmeda Wall Mounted Single Channel White Remote",1,"")</f>
        <v/>
      </c>
      <c r="MT10" t="str">
        <f>IF('Job Sheet'!Q16="Acmeda 2 Channel White Remote",1,"")</f>
        <v/>
      </c>
      <c r="MU10" t="str">
        <f>IF('Job Sheet'!Q16="Acmeda 15 Channel White Remote",1,"")</f>
        <v/>
      </c>
      <c r="MV10" t="str">
        <f>IF('Job Sheet'!Q16="Acmeda Push Pro White Remote with Charger",1,"")</f>
        <v/>
      </c>
      <c r="MW10" t="str">
        <f>IF('Job Sheet'!Q16="Acmeda Push Pro Black Remote with Charger",1,"")</f>
        <v/>
      </c>
      <c r="MX10" t="str">
        <f>IF(OR('Job Sheet'!Q16="Acmeda Push Pro White Remote with Charger",'Job Sheet'!Q16="Acmeda Push Pro Black Remote with Charger"),"1","")</f>
        <v/>
      </c>
      <c r="MY10" t="str">
        <f t="shared" si="2"/>
        <v/>
      </c>
      <c r="MZ10" t="str">
        <f>IF('Job Sheet'!S16="Acmeda Wind Sensor",1,"")</f>
        <v/>
      </c>
      <c r="NA10" t="str">
        <f>IF('Job Sheet'!R16="1 Channel Dry Contact Relay Module",1,"")</f>
        <v/>
      </c>
      <c r="NE10" t="str">
        <f>IF('Job Sheet'!M16="Becker Remote Operated",1,"")</f>
        <v/>
      </c>
      <c r="NF10" t="str">
        <f>IF('Job Sheet'!M16="Becker Switch Operated",1,"")</f>
        <v/>
      </c>
      <c r="NG10" t="str">
        <f>IF(OR('Job Sheet'!M16="Acmeda Remote Motor",'Job Sheet'!M16="Becker Remote Operated",'Job Sheet'!M16="Becker Switch Operated"),1,"")</f>
        <v/>
      </c>
      <c r="NI10" t="str">
        <f>IF(OR('Job Sheet'!M16="Becker Remote Operated",'Job Sheet'!M16="Becker Switch Operated"),1,"")</f>
        <v/>
      </c>
      <c r="NL10" t="str">
        <f>IF(AND('Tube Cutting'!P16="78mm",(OR('Job Sheet'!M16="Becker Remote Operated",'Job Sheet'!M16="Becker Switch Operated"))),1,"")</f>
        <v/>
      </c>
      <c r="NM10" t="str">
        <f>IF('Job Sheet'!Q16="Becker Single Channel White Remote",1,"")</f>
        <v/>
      </c>
      <c r="NN10" t="str">
        <f>IF('Job Sheet'!Q16="Becker Single Channel Black Remote",1,"")</f>
        <v/>
      </c>
      <c r="NO10" t="str">
        <f>IF('Job Sheet'!Q16="Becker 5 Channel White Remote",1,"")</f>
        <v/>
      </c>
      <c r="NP10" t="str">
        <f>IF('Job Sheet'!Q16="Becker 5 Channel Black Remote",1,"")</f>
        <v/>
      </c>
      <c r="NQ10" t="str">
        <f>IF('Job Sheet'!Q16="Becker 10 Channel White Remote",1,"")</f>
        <v/>
      </c>
      <c r="NR10" t="str">
        <f>IF('Job Sheet'!Q16="Becker 10 Channel Black Remote",1,"")</f>
        <v/>
      </c>
      <c r="NS10" t="str">
        <f>IF('Job Sheet'!S16="Becker Wind Sensor",1,"")</f>
        <v/>
      </c>
      <c r="NT10" t="str">
        <f>IF('Job Sheet'!M16="Somfy Remote Operated",1,"")</f>
        <v/>
      </c>
      <c r="NV10" t="str">
        <f>IF('Job Sheet'!M16="Somfy Remote Operated",1,"")</f>
        <v/>
      </c>
      <c r="NW10" t="str">
        <f>IF('Job Sheet'!M16="Somfy Remote Operated",1,"")</f>
        <v/>
      </c>
      <c r="NZ10" t="str">
        <f>IF(AND('Tube Cutting'!P16="78mm",'Job Sheet'!M16="Somfy Remote Operated"),1,"")</f>
        <v/>
      </c>
      <c r="OA10" t="str">
        <f>IF('Job Sheet'!R16="Connexoon App Connector",1,"")</f>
        <v/>
      </c>
      <c r="OB10" t="str">
        <f>IF('Job Sheet'!R16="Tahoma Switch",1,"")</f>
        <v/>
      </c>
      <c r="OC10" t="str">
        <f>IF('Job Sheet'!Q16="Somfy 15 Channel Silver Remote",1,"")</f>
        <v/>
      </c>
      <c r="OD10" t="str">
        <f>IF('Job Sheet'!Q16="Somfy 15 Channel White Remote",1,"")</f>
        <v/>
      </c>
      <c r="OE10" t="str">
        <f>IF('Job Sheet'!Q16="Somfy 2 Channel Silver Remote",1,"")</f>
        <v/>
      </c>
      <c r="OF10" t="str">
        <f>IF('Job Sheet'!Q16="Somfy 2 Channel Wall Mounted Smoove Remote White with Black Cover Plate",1,"")</f>
        <v/>
      </c>
      <c r="OG10" t="str">
        <f>IF('Job Sheet'!Q16="Somfy 2 Channel Wall Mounted Smoove Remote White with Silver Cover Plate",1,"")</f>
        <v/>
      </c>
      <c r="OH10" t="str">
        <f>IF('Job Sheet'!Q16="Somfy 2 Channel Wall Mounted Smoove Remote White",1,"")</f>
        <v/>
      </c>
      <c r="OI10" t="str">
        <f>IF('Job Sheet'!Q16="Somfy 2 Channel White Remote",1,"")</f>
        <v/>
      </c>
      <c r="OJ10" t="str">
        <f>IF('Job Sheet'!Q16="Somfy 2 Channel Silver Remote",1,"")</f>
        <v/>
      </c>
      <c r="OK10" t="str">
        <f>IF('Job Sheet'!Q16="Somfy 5 Channel Wall Mounted Smoove Remote White with Black Cover Plate",1,"")</f>
        <v/>
      </c>
      <c r="OL10" t="str">
        <f>IF('Job Sheet'!Q16="Somfy 5 Channel Wall Mounted Smoove Remote White with Silver Cover Plate",1,"")</f>
        <v/>
      </c>
      <c r="OM10" t="str">
        <f>IF('Job Sheet'!Q16="Somfy 5 Channel Wall Mounted Smoove Remote White",1,"")</f>
        <v/>
      </c>
      <c r="ON10" t="str">
        <f>IF('Job Sheet'!Q16="Somfy 5 Channel White Remote",1,"")</f>
        <v/>
      </c>
      <c r="OO10" t="str">
        <f>IF('Job Sheet'!Q16="Somfy Single Channel Silver Remote",1,"")</f>
        <v/>
      </c>
      <c r="OP10" t="str">
        <f>IF('Job Sheet'!Q16="Somfy Single Channel Wall Mounted Smoove Remote White with Black Cover Plate",1,"")</f>
        <v/>
      </c>
      <c r="OQ10" t="str">
        <f>IF('Job Sheet'!Q16="Somfy Single Channel Wall Mounted Smoove Remote White with Silver Cover Plate",1,"")</f>
        <v/>
      </c>
      <c r="OR10" t="str">
        <f>IF('Job Sheet'!Q16="Somfy Single Channel Wall Mounted Smoove Remote White",1,"")</f>
        <v/>
      </c>
      <c r="OS10" t="str">
        <f>IF('Job Sheet'!Q16="Somfy Single Channel White Remote",1,"")</f>
        <v/>
      </c>
    </row>
    <row r="11" spans="4:409" ht="13.2" customHeight="1">
      <c r="D11" t="str">
        <f>IF('Tube Cutting'!C17="","",CONCATENATE(Data!BC$5,".",Data!BD$5))</f>
        <v/>
      </c>
      <c r="E11" t="str">
        <f>IF(D11="","",Data!AW17)</f>
        <v/>
      </c>
      <c r="F11" t="str">
        <f>IF(D11="","",Data!AV17)</f>
        <v/>
      </c>
      <c r="G11" t="str">
        <f>IF(D11="","",'Tube Cutting'!C17)</f>
        <v/>
      </c>
      <c r="H11" t="str">
        <f>IF(D11="","",Data!BF$5)</f>
        <v/>
      </c>
      <c r="I11" t="str">
        <f>IF(D11="","",Data!AX$5)</f>
        <v/>
      </c>
      <c r="J11" s="116" t="str">
        <f>'Job Sheet'!L17</f>
        <v/>
      </c>
      <c r="K11" t="str">
        <f t="shared" si="0"/>
        <v/>
      </c>
      <c r="L11" s="115" t="str">
        <f>'Fabric Cutting'!E17</f>
        <v/>
      </c>
      <c r="M11" s="115" t="str">
        <f>'Fabric Cutting'!F17</f>
        <v/>
      </c>
      <c r="N11" t="str">
        <f>IF(AND('Tube Cutting'!G17="Colourbond Under-Roll Hooding",'Tube Cutting'!H17="Custom Powdercoat"),'Tube Cutting'!D17,"")</f>
        <v/>
      </c>
      <c r="O11" t="str">
        <f>IF(AND('Tube Cutting'!G17="Colourbond Under-Roll Hooding",'Tube Cutting'!H17="Ebony (Black)"),'Tube Cutting'!D17,"")</f>
        <v/>
      </c>
      <c r="P11" t="str">
        <f>IF(AND('Tube Cutting'!G17="Colourbond Under-Roll Hooding",'Tube Cutting'!H17="Caulfield Green"),'Tube Cutting'!D17,"")</f>
        <v/>
      </c>
      <c r="Q11" t="str">
        <f>IF(AND('Tube Cutting'!G17="Colourbond Under-Roll Hooding",'Tube Cutting'!H17="Charcoal (Monument)"),'Tube Cutting'!D17,"")</f>
        <v/>
      </c>
      <c r="R11" t="str">
        <f>IF(AND('Tube Cutting'!G17="Colourbond Under-Roll Hooding",'Tube Cutting'!H17="Dune"),'Tube Cutting'!D17,"")</f>
        <v/>
      </c>
      <c r="S11" t="str">
        <f>IF(AND('Tube Cutting'!G17="Colourbond Under-Roll Hooding",'Tube Cutting'!H17="Heritage Red (Manor Red)"),'Tube Cutting'!D17,"")</f>
        <v/>
      </c>
      <c r="T11" t="str">
        <f>IF(AND('Tube Cutting'!G17="Colourbond Under-Roll Hooding",'Tube Cutting'!H17="Ironstone"),'Tube Cutting'!D17,"")</f>
        <v/>
      </c>
      <c r="U11" t="str">
        <f>IF(AND('Tube Cutting'!G17="Colourbond Under-Roll Hooding",'Tube Cutting'!H17="Jasper"),'Tube Cutting'!D17,"")</f>
        <v/>
      </c>
      <c r="V11" t="str">
        <f>IF(AND('Tube Cutting'!G17="Colourbond Under-Roll Hooding",'Tube Cutting'!H17="Merino (Paperbark)"),'Tube Cutting'!D17,"")</f>
        <v/>
      </c>
      <c r="W11" t="str">
        <f>IF(AND('Tube Cutting'!G17="Colourbond Under-Roll Hooding",'Tube Cutting'!H17="Mist Green"),'Tube Cutting'!D17,"")</f>
        <v/>
      </c>
      <c r="X11" t="str">
        <f>IF(AND('Tube Cutting'!G17="Colourbond Under-Roll Hooding",'Tube Cutting'!H17="Mountain Blue"),'Tube Cutting'!D17,"")</f>
        <v/>
      </c>
      <c r="Y11" t="str">
        <f>IF(AND('Tube Cutting'!G17="Colourbond Under-Roll Hooding",'Tube Cutting'!H17="Smooth Cream (Classic Cream)"),'Tube Cutting'!D17,"")</f>
        <v/>
      </c>
      <c r="Z11" t="str">
        <f>IF(AND('Tube Cutting'!G17="Colourbond Under-Roll Hooding",'Tube Cutting'!H17="Shale Grey"),'Tube Cutting'!D17,"")</f>
        <v/>
      </c>
      <c r="AA11" t="str">
        <f>IF(AND('Tube Cutting'!G17="Colourbond Under-Roll Hooding",'Tube Cutting'!H17="Slate Grey (Woodland Grey)"),'Tube Cutting'!D17,"")</f>
        <v/>
      </c>
      <c r="AB11" t="str">
        <f>IF(AND('Tube Cutting'!G17="Colourbond Under-Roll Hooding",'Tube Cutting'!H17="Surfmist"),'Tube Cutting'!D17,"")</f>
        <v/>
      </c>
      <c r="AC11" t="str">
        <f>IF(AND('Tube Cutting'!G17="Colourbond Under-Roll Hooding",'Tube Cutting'!H17="White"),'Tube Cutting'!D17,"")</f>
        <v/>
      </c>
      <c r="AT11" t="str">
        <f>IF(AND('Tube Cutting'!G17="Colourbond Under-Roll Hooding",'Tube Cutting'!H17="Custom Powdercoat"),1,"")</f>
        <v/>
      </c>
      <c r="AU11" t="str">
        <f>IF(AND('Tube Cutting'!G17="Colourbond Under-Roll Hooding",'Tube Cutting'!H17="Ebony (Black)"),1,"")</f>
        <v/>
      </c>
      <c r="AV11" t="str">
        <f>IF(AND('Tube Cutting'!G17="Colourbond Under-Roll Hooding",'Tube Cutting'!H17="Caulfield Green"),1,"")</f>
        <v/>
      </c>
      <c r="AW11" t="str">
        <f>IF(AND('Tube Cutting'!G17="Colourbond Under-Roll Hooding",'Tube Cutting'!H17="Charcoal (Monument)"),1,"")</f>
        <v/>
      </c>
      <c r="AX11" t="str">
        <f>IF(AND('Tube Cutting'!G17="Colourbond Under-Roll Hooding",'Tube Cutting'!H17="Dune"),1,"")</f>
        <v/>
      </c>
      <c r="AY11" t="str">
        <f>IF(AND('Tube Cutting'!G17="Colourbond Under-Roll Hooding",'Tube Cutting'!H17="Heritage Red (Manor Red)"),1,"")</f>
        <v/>
      </c>
      <c r="AZ11" t="str">
        <f>IF(AND('Tube Cutting'!G17="Colourbond Under-Roll Hooding",'Tube Cutting'!H17="Ironstone"),1,"")</f>
        <v/>
      </c>
      <c r="BA11" t="str">
        <f>IF(AND('Tube Cutting'!G17="Colourbond Under-Roll Hooding",'Tube Cutting'!H17="Jasper"),1,"")</f>
        <v/>
      </c>
      <c r="BB11" t="str">
        <f>IF(AND('Tube Cutting'!G17="Colourbond Under-Roll Hooding",'Tube Cutting'!H17="Merino (Paperbark)"),1,"")</f>
        <v/>
      </c>
      <c r="BC11" t="str">
        <f>IF(AND('Tube Cutting'!G17="Colourbond Under-Roll Hooding",'Tube Cutting'!H17="Mist Green"),1,"")</f>
        <v/>
      </c>
      <c r="BD11" t="str">
        <f>IF(AND('Tube Cutting'!G17="Colourbond Under-Roll Hooding",'Tube Cutting'!H17="Mountain Blue"),1,"")</f>
        <v/>
      </c>
      <c r="BE11" t="str">
        <f>IF(AND('Tube Cutting'!G17="Colourbond Under-Roll Hooding",'Tube Cutting'!H17="Smooth Cream (Classic Cream)"),1,"")</f>
        <v/>
      </c>
      <c r="BF11" t="str">
        <f>IF(AND('Tube Cutting'!G17="Colourbond Under-Roll Hooding",'Tube Cutting'!H17="Shale Grey"),1,"")</f>
        <v/>
      </c>
      <c r="BG11" t="str">
        <f>IF(AND('Tube Cutting'!G17="Colourbond Under-Roll Hooding",'Tube Cutting'!H17="Slate Grey (Woodland Grey)"),1,"")</f>
        <v/>
      </c>
      <c r="BH11" t="str">
        <f>IF(AND('Tube Cutting'!G17="Colourbond Under-Roll Hooding",'Tube Cutting'!H17="Surfmist"),1,"")</f>
        <v/>
      </c>
      <c r="BI11" t="str">
        <f>IF(AND('Tube Cutting'!G17="Colourbond Under-Roll Hooding",'Tube Cutting'!H17="White"),1,"")</f>
        <v/>
      </c>
      <c r="BJ11" t="str">
        <f>IF(AND('Tube Cutting'!G17="Colourbond Over-Roll Hooding",'Tube Cutting'!H17="Custom Powdercoat"),'Tube Cutting'!D17,"")</f>
        <v/>
      </c>
      <c r="BK11" t="str">
        <f>IF(AND('Tube Cutting'!G17="Colourbond Over-Roll Hooding",'Tube Cutting'!H17="Ebony (Black)"),'Tube Cutting'!D17,"")</f>
        <v/>
      </c>
      <c r="BL11" t="str">
        <f>IF(AND('Tube Cutting'!G17="Colourbond Over-Roll Hooding",'Tube Cutting'!H17="Caulfield Green"),'Tube Cutting'!D17,"")</f>
        <v/>
      </c>
      <c r="BM11" t="str">
        <f>IF(AND('Tube Cutting'!G17="Colourbond Over-Roll Hooding",'Tube Cutting'!H17="Charcoal (Monument)"),'Tube Cutting'!D17,"")</f>
        <v/>
      </c>
      <c r="BN11" t="str">
        <f>IF(AND('Tube Cutting'!G17="Colourbond Over-Roll Hooding",'Tube Cutting'!H17="Dune"),'Tube Cutting'!D17,"")</f>
        <v/>
      </c>
      <c r="BO11" t="str">
        <f>IF(AND('Tube Cutting'!G17="Colourbond Over-Roll Hooding",'Tube Cutting'!H17="Heritage Red (Manor Red)"),'Tube Cutting'!D17,"")</f>
        <v/>
      </c>
      <c r="BP11" t="str">
        <f>IF(AND('Tube Cutting'!G17="Colourbond Over-Roll Hooding",'Tube Cutting'!H17="Ironstone"),'Tube Cutting'!D17,"")</f>
        <v/>
      </c>
      <c r="BQ11" t="str">
        <f>IF(AND('Tube Cutting'!G17="Colourbond Over-Roll Hooding",'Tube Cutting'!H17="Jasper"),'Tube Cutting'!D17,"")</f>
        <v/>
      </c>
      <c r="BR11" t="str">
        <f>IF(AND('Tube Cutting'!G17="Colourbond Over-Roll Hooding",'Tube Cutting'!H17="Merino (Paperbark)"),'Tube Cutting'!D17,"")</f>
        <v/>
      </c>
      <c r="BS11" t="str">
        <f>IF(AND('Tube Cutting'!G17="Colourbond Over-Roll Hooding",'Tube Cutting'!H17="Mist Green"),'Tube Cutting'!D17,"")</f>
        <v/>
      </c>
      <c r="BT11" t="str">
        <f>IF(AND('Tube Cutting'!G17="Colourbond Over-Roll Hooding",'Tube Cutting'!H17="Mountain Blue"),'Tube Cutting'!D17,"")</f>
        <v/>
      </c>
      <c r="BU11" t="str">
        <f>IF(AND('Tube Cutting'!G17="Colourbond Over-Roll Hooding",'Tube Cutting'!H17="Smooth Cream (Classic Cream)"),'Tube Cutting'!D17,"")</f>
        <v/>
      </c>
      <c r="BV11" t="str">
        <f>IF(AND('Tube Cutting'!G17="Colourbond Over-Roll Hooding",'Tube Cutting'!H17="Shale Grey"),'Tube Cutting'!D17,"")</f>
        <v/>
      </c>
      <c r="BW11" t="str">
        <f>IF(AND('Tube Cutting'!G17="Colourbond Over-Roll Hooding",'Tube Cutting'!H17="Slate Grey (Woodland Grey)"),'Tube Cutting'!D17,"")</f>
        <v/>
      </c>
      <c r="BX11" t="str">
        <f>IF(AND('Tube Cutting'!G17="Colourbond Over-Roll Hooding",'Tube Cutting'!H17="Surfmist"),'Tube Cutting'!D17,"")</f>
        <v/>
      </c>
      <c r="BY11" t="str">
        <f>IF(AND('Tube Cutting'!G17="Colourbond Over-Roll Hooding",'Tube Cutting'!H17="Mist"),'Tube Cutting'!D17,"")</f>
        <v/>
      </c>
      <c r="CP11" t="str">
        <f>IF(AND('Tube Cutting'!G17="Colourbond Over-Roll Hooding",'Tube Cutting'!H17="Custom Powdercoat"),1,"")</f>
        <v/>
      </c>
      <c r="CQ11" t="str">
        <f>IF(AND('Tube Cutting'!G17="Colourbond Over-Roll Hooding",'Tube Cutting'!H17="Ebony (Black)"),1,"")</f>
        <v/>
      </c>
      <c r="CR11" t="str">
        <f>IF(AND('Tube Cutting'!G17="Colourbond Over-Roll Hooding",'Tube Cutting'!H17="Caulfield Green"),1,"")</f>
        <v/>
      </c>
      <c r="CS11" t="str">
        <f>IF(AND('Tube Cutting'!G17="Colourbond Over-Roll Hooding",'Tube Cutting'!H17="Charcoal (Monument)"),1,"")</f>
        <v/>
      </c>
      <c r="CT11" t="str">
        <f>IF(AND('Tube Cutting'!G17="Colourbond Over-Roll Hooding",'Tube Cutting'!H17="Dune"),1,"")</f>
        <v/>
      </c>
      <c r="CU11" t="str">
        <f>IF(AND('Tube Cutting'!G17="Colourbond Over-Roll Hooding",'Tube Cutting'!H17="Heritage Red (Manor Red)"),1,"")</f>
        <v/>
      </c>
      <c r="CV11" t="str">
        <f>IF(AND('Tube Cutting'!G17="Colourbond Over-Roll Hooding",'Tube Cutting'!H17="Ironstone"),1,"")</f>
        <v/>
      </c>
      <c r="CW11" t="str">
        <f>IF(AND('Tube Cutting'!G17="Colourbond Over-Roll Hooding",'Tube Cutting'!H17="Jasper"),1,"")</f>
        <v/>
      </c>
      <c r="CX11" t="str">
        <f>IF(AND('Tube Cutting'!G17="Colourbond Over-Roll Hooding",'Tube Cutting'!H17="Merino (Paperbark)"),1,"")</f>
        <v/>
      </c>
      <c r="CY11" t="str">
        <f>IF(AND('Tube Cutting'!G17="Colourbond Over-Roll Hooding",'Tube Cutting'!H17="Mist Green"),1,"")</f>
        <v/>
      </c>
      <c r="CZ11" t="str">
        <f>IF(AND('Tube Cutting'!G17="Colourbond Over-Roll Hooding",'Tube Cutting'!H17="Mountain Blue"),1,"")</f>
        <v/>
      </c>
      <c r="DA11" t="str">
        <f>IF(AND('Tube Cutting'!G17="Colourbond Over-Roll Hooding",'Tube Cutting'!H17="Smooth Cream (Classic Cream)"),1,"")</f>
        <v/>
      </c>
      <c r="DB11" t="str">
        <f>IF(AND('Tube Cutting'!G17="Colourbond Over-Roll Hooding",'Tube Cutting'!H17="Shale Grey"),1,"")</f>
        <v/>
      </c>
      <c r="DC11" t="str">
        <f>IF(AND('Tube Cutting'!G17="Colourbond Over-Roll Hooding",'Tube Cutting'!H17="Slate Grey (Woodland Grey)"),1,"")</f>
        <v/>
      </c>
      <c r="DD11" t="str">
        <f>IF(AND('Tube Cutting'!G17="Colourbond Over-Roll Hooding",'Tube Cutting'!H17="Surfmist"),1,"")</f>
        <v/>
      </c>
      <c r="DE11" t="str">
        <f>IF(AND('Tube Cutting'!G17="Colourbond Over-Roll Hooding",'Tube Cutting'!H17="Mist"),1,"")</f>
        <v/>
      </c>
      <c r="DI11" t="str">
        <f>IF('Tube Cutting'!P17="78mm",'Tube Cutting'!Q17,"")</f>
        <v/>
      </c>
      <c r="DJ11" t="str">
        <f>IF('Tube Cutting'!P17="85mm",'Tube Cutting'!Q17,"")</f>
        <v/>
      </c>
      <c r="DM11" t="str">
        <f>IF(AND('Tube Cutting'!C17="Zipscreen",'Job Sheet'!M17="Gearbox"),1,"")</f>
        <v/>
      </c>
      <c r="DN11" t="str">
        <f>IF('Tube Cutting'!C17="Zipscreen",1,"")</f>
        <v/>
      </c>
      <c r="EK11" t="str">
        <f t="shared" si="1"/>
        <v/>
      </c>
      <c r="GM11" t="str">
        <f>IF(AND('Job Sheet'!M17="Gearbox",'Job Sheet'!N17="Black"),1,"")</f>
        <v/>
      </c>
      <c r="GN11" t="str">
        <f>IF(AND('Job Sheet'!M17="Gearbox",'Job Sheet'!N17="White"),1,"")</f>
        <v/>
      </c>
      <c r="GO11" t="str">
        <f>IF('Job Sheet'!Q17="Black Crank Handle 1000mm",1,"")</f>
        <v/>
      </c>
      <c r="GP11" t="str">
        <f>IF('Job Sheet'!Q17="Black Crank Handle 1200mm",1,"")</f>
        <v/>
      </c>
      <c r="GQ11" t="str">
        <f>IF('Job Sheet'!Q17="Black Crank Handle 1500mm",1,"")</f>
        <v/>
      </c>
      <c r="GR11" t="str">
        <f>IF('Job Sheet'!Q17="Black Crank Handle 1800mm",1,"")</f>
        <v/>
      </c>
      <c r="GS11" t="str">
        <f>IF('Job Sheet'!Q17="Black Crank Handle 2200mm",1,"")</f>
        <v/>
      </c>
      <c r="GT11" t="str">
        <f>IF('Job Sheet'!Q17="Black Crank Handle 2500mm",1,"")</f>
        <v/>
      </c>
      <c r="GU11" t="str">
        <f>IF('Job Sheet'!Q17="Black Crank Handle 3000mm",1,"")</f>
        <v/>
      </c>
      <c r="GV11" t="str">
        <f>IF('Job Sheet'!Q17="White Crank Handle 1000mm",1,"")</f>
        <v/>
      </c>
      <c r="GW11" t="str">
        <f>IF('Job Sheet'!Q17="White Crank Handle 1200mm",1,"")</f>
        <v/>
      </c>
      <c r="GX11" t="str">
        <f>IF('Job Sheet'!Q17="White Crank Handle 1500mm",1,"")</f>
        <v/>
      </c>
      <c r="GY11" t="str">
        <f>IF('Job Sheet'!Q17="White Crank Handle 1800mm",1,"")</f>
        <v/>
      </c>
      <c r="GZ11" t="str">
        <f>IF('Job Sheet'!Q17="White Crank Handle 2200mm",1,"")</f>
        <v/>
      </c>
      <c r="HA11" t="str">
        <f>IF('Job Sheet'!Q17="White Crank Handle 2500mm",1,"")</f>
        <v/>
      </c>
      <c r="HB11" t="str">
        <f>IF('Job Sheet'!Q17="White Crank Handle 3000mm",1,"")</f>
        <v/>
      </c>
      <c r="IM11" t="str">
        <f>IF(OR('Job Sheet'!V17&lt;&gt;"Pearl White",'Job Sheet'!V17&lt;&gt;"White Satin"),"",2)</f>
        <v/>
      </c>
      <c r="IN11" t="str">
        <f>IF(AND('Job Sheet'!U17="Powder Coated Brackets",(OR('Job Sheet'!V17="Pearl White",'Job Sheet'!V17="White Satin"))),2,"")</f>
        <v/>
      </c>
      <c r="IQ11" t="str">
        <f>IF('Job Sheet'!U17="Stainless Steel Brackets",2,"")</f>
        <v/>
      </c>
      <c r="JN11" t="str">
        <f>IF('Job Sheet'!AA17="25mm x 1",1,IF('Job Sheet'!AA17="25mm x 2",2,""))</f>
        <v/>
      </c>
      <c r="JO11" t="str">
        <f>IF('Job Sheet'!AA17="50mm x 1",1,IF('Job Sheet'!AA17="50mm x 2",2,""))</f>
        <v/>
      </c>
      <c r="JP11" t="str">
        <f>IF('Job Sheet'!AA17="75mm x 1",1,IF('Job Sheet'!AA17="75mm x 2",2,""))</f>
        <v/>
      </c>
      <c r="JQ11" t="str">
        <f>IF('Job Sheet'!AA17="100mm x 1",1,IF('Job Sheet'!AA17="100mm x 2",2,""))</f>
        <v/>
      </c>
      <c r="JR11" t="str">
        <f>IF('Job Sheet'!AA17="125mm x 1",1,IF('Job Sheet'!AA17="125mm x 2",2,""))</f>
        <v/>
      </c>
      <c r="JT11" t="str">
        <f>IF('Fabric Cutting'!L17="6mm Black",'Fabric Cutting'!E17,+IF('Fabric Cutting'!M17="6mm Black",'Fabric Cutting'!E17,""))</f>
        <v/>
      </c>
      <c r="JU11" t="str">
        <f>IF('Job Sheet'!K17="1.Verticali",'Fabric Cutting'!E17,"")</f>
        <v/>
      </c>
      <c r="JV11" t="str">
        <f>IF('Tube Cutting'!G17="Verticali Hooding (Old)",'Tube Cutting'!F17,"")</f>
        <v/>
      </c>
      <c r="JW11" t="str">
        <f>IF('Tube Cutting'!G17="Verticali Hooding (Old)",'Tube Cutting'!F17,"")</f>
        <v/>
      </c>
      <c r="JX11" t="str">
        <f>IF('Tube Cutting'!G17="Verticali Square Hooding",'Tube Cutting'!F17,"")</f>
        <v/>
      </c>
      <c r="JY11" t="str">
        <f>IF('Tube Cutting'!G17="Verticali Square Hooding",'Tube Cutting'!F17,"")</f>
        <v/>
      </c>
      <c r="KA11" t="str">
        <f>IF('Tube Cutting'!C17="Verticali",('Job Sheet'!G17-100)*2,"")</f>
        <v/>
      </c>
      <c r="KB11" t="str">
        <f>IF('Tube Cutting'!C17="Verticali",('Job Sheet'!G17-100)*2,"")</f>
        <v/>
      </c>
      <c r="KC11" t="str">
        <f>IF('Tube Cutting'!C17="Verticali",'Tube Cutting'!N17,"")</f>
        <v/>
      </c>
      <c r="KD11" t="str">
        <f>IF('Tube Cutting'!C17="Verticali",('Job Sheet'!G17-100)*2,"")</f>
        <v/>
      </c>
      <c r="KE11" t="str">
        <f>IF(Data!AV17="","",('Fabric Cutting'!F17-200)*2)</f>
        <v/>
      </c>
      <c r="KF11" t="str">
        <f>IF(OR(Data!AV17="",'Fabric Cutting'!C17&lt;&gt;"Verticali"),"",IF('Assembly(a)'!K17="",20,'Assembly(a)'!G17-1980))</f>
        <v/>
      </c>
      <c r="KG11" t="str">
        <f>IF('Tube Cutting'!C17="Verticali",'Tube Cutting'!N17,"")</f>
        <v/>
      </c>
      <c r="KH11" t="str">
        <f>IF(AND('Tube Cutting'!C17="Verticali",'Tube Cutting'!N17&lt;2000),'Tube Cutting'!N17-10,IF(AND('Tube Cutting'!C17="Verticali",'Tube Cutting'!N17&gt;2000),2000,""))</f>
        <v/>
      </c>
      <c r="KI11" t="str">
        <f>IF('Tube Cutting'!G17="Verticali Hooding (Old)",1,"")</f>
        <v/>
      </c>
      <c r="KJ11" t="str">
        <f>IF('Tube Cutting'!G17="Verticali Square Hooding",1,"")</f>
        <v/>
      </c>
      <c r="KL11" t="str">
        <f>IF('Tube Cutting'!G17="Verticali Colourbond Hooding",1,"")</f>
        <v/>
      </c>
      <c r="KM11" t="str">
        <f>IF(AND('Tube Cutting'!C17="Verticali",'Tube Cutting'!P17="78mm"),2,"")</f>
        <v/>
      </c>
      <c r="KN11" t="str">
        <f>IF(AND('Tube Cutting'!C17="Verticali",'Tube Cutting'!P17="85mm"),2,"")</f>
        <v/>
      </c>
      <c r="KP11" t="str">
        <f>IF(AND('Tube Cutting'!C17="Verticali",'Job Sheet'!M17="Gearbox"),1,"")</f>
        <v/>
      </c>
      <c r="KQ11" t="str">
        <f>IF('Tube Cutting'!C17="Verticali",1,"")</f>
        <v/>
      </c>
      <c r="KS11" t="str">
        <f>IF(OR('Job Sheet'!AB17="Foot 1 Side",'Job Sheet'!AB17="Leg &amp; Foot 1 Side",'Job Sheet'!AB17="End Cap 1 Side"),1,IF(OR('Job Sheet'!AB17="Foot Both Sides",'Job Sheet'!AB17="Leg &amp; Foot Both Sides",'Job Sheet'!AB17="End Cap Both Sides"),2,""))</f>
        <v/>
      </c>
      <c r="KT11" t="str">
        <f>IF(OR('Job Sheet'!AB17="Leg 1 Side",'Job Sheet'!AB17="Leg &amp; Foot 1 Side"),1,IF(OR('Job Sheet'!AB17="Leg Both Sides",'Job Sheet'!AB17="Leg &amp; Foot Both Sides",),2,""))</f>
        <v/>
      </c>
      <c r="KU11" t="str">
        <f>IF('Tube Cutting'!C17="Verticali",2,"")</f>
        <v/>
      </c>
      <c r="KW11" t="str">
        <f>IF('Tube Cutting'!C17="Verticali",2,"")</f>
        <v/>
      </c>
      <c r="KX11" t="str">
        <f>IF(Packing!L17="1 Pair",1,IF(Packing!L17="2 Pairs",2,""))</f>
        <v/>
      </c>
      <c r="KZ11" t="str">
        <f>IF('Tube Cutting'!G17="Verticali Base Rail",2,"")</f>
        <v/>
      </c>
      <c r="LA11" t="str">
        <f>IF('Tube Cutting'!G17="Zipscreen Hooding",'Tube Cutting'!F17,"")</f>
        <v/>
      </c>
      <c r="LB11" t="str">
        <f>IF('Tube Cutting'!G17="Zipscreen Hooding",'Tube Cutting'!F17,"")</f>
        <v/>
      </c>
      <c r="LD11" t="str">
        <f>IF('Tube Cutting'!G17="Zipscreen Hooding",1,"")</f>
        <v/>
      </c>
      <c r="LE11" t="str">
        <f>IF('Job Sheet'!AO17="Compact",1,"")</f>
        <v/>
      </c>
      <c r="LF11" t="str">
        <f>IF('Job Sheet'!AO17="Light",1,"")</f>
        <v/>
      </c>
      <c r="LG11" t="str">
        <f>IF('Job Sheet'!AO17="Standard",1,"")</f>
        <v/>
      </c>
      <c r="LH11" t="str">
        <f>IF('Job Sheet'!AO17="Heavy Duty",1,"")</f>
        <v/>
      </c>
      <c r="LI11" t="str">
        <f>IF('Job Sheet'!AO17="Extra Heavy Duty",1,"")</f>
        <v/>
      </c>
      <c r="LJ11" t="str">
        <f>IF('Job Sheet'!AO17="Ultra Heavy Duty",1,"")</f>
        <v/>
      </c>
      <c r="LK11" t="str">
        <f>IF('Tube Cutting'!C17="Zipscreen",2,"")</f>
        <v/>
      </c>
      <c r="LM11" t="str">
        <f>IF(AND('Job Sheet'!K17="2.Zipscreen",'Job Sheet'!M17="Spring"),1,"")</f>
        <v/>
      </c>
      <c r="LN11" t="str">
        <f>IF(AND('Job Sheet'!K17="2.Zipscreen",'Job Sheet'!M17="Spring"),2,IF(AND('Job Sheet'!K17="2.Zipscreen",'Job Sheet'!M17&lt;&gt;"Spring"),1,""))</f>
        <v/>
      </c>
      <c r="LO11" t="str">
        <f>IF(Data!BO17="PVC",'Fabric Cutting'!E17,"")</f>
        <v/>
      </c>
      <c r="LP11" t="str">
        <f>IF('Tube Cutting'!C17="Zipscreen",'Tube Cutting'!N17,"")</f>
        <v/>
      </c>
      <c r="LQ11" t="str">
        <f>IF('Tube Cutting'!C17="Zipscreen",2,"")</f>
        <v/>
      </c>
      <c r="LR11" t="str">
        <f>IF('Tube Cutting'!C17="Zipscreen",'Tube Cutting'!N17,"")</f>
        <v/>
      </c>
      <c r="LT11" t="str">
        <f>IF('Tube Cutting'!C17="Zipscreen",('Tube Cutting'!N17-100)*2,"")</f>
        <v/>
      </c>
      <c r="LU11" t="str">
        <f>IF(AND('Job Sheet'!K17="2.Zipscreen",'Job Sheet'!M17="Spring"),1,"")</f>
        <v/>
      </c>
      <c r="LV11" t="str">
        <f>IF(AND('Job Sheet'!K17="2.Zipscreen",'Job Sheet'!M17="Spring"),1,"")</f>
        <v/>
      </c>
      <c r="LW11" t="str">
        <f>IF('Tube Cutting'!C17="Zipscreen",('Job Sheet'!G17-100)*2,"")</f>
        <v/>
      </c>
      <c r="LX11" t="str">
        <f>IF('Tube Cutting'!C17="Zipscreen",('Job Sheet'!G17-82)*2,"")</f>
        <v/>
      </c>
      <c r="LY11" t="str">
        <f>IF('Tube Cutting'!K17="","",('Job Sheet'!G17-100)*2)</f>
        <v/>
      </c>
      <c r="LZ11" t="str">
        <f>IF('Tube Cutting'!C17="Zipscreen",2,"")</f>
        <v/>
      </c>
      <c r="MA11" t="str">
        <f>IF('Tube Cutting'!C17="Zipscreen",2,"")</f>
        <v/>
      </c>
      <c r="MB11" t="str">
        <f>IF('Job Sheet'!M17="Acmeda Remote Motor",1,"")</f>
        <v/>
      </c>
      <c r="ME11" t="str">
        <f>IF(AND('Tube Cutting'!P17="78mm",'Job Sheet'!M17="Acmeda Remote Motor"),1,"")</f>
        <v/>
      </c>
      <c r="MG11" t="str">
        <f>IF('Job Sheet'!M17="Acmeda 12v Remote Motor",1,"")</f>
        <v/>
      </c>
      <c r="MH11" t="str">
        <f>IF(OR('Job Sheet'!R17="External Battery",'Job Sheet'!R17="External Battery and Charging Cable"),1,"")</f>
        <v/>
      </c>
      <c r="MI11" t="str">
        <f>IF('Job Sheet'!R17="External Battery and Charging Cable",1,"")</f>
        <v/>
      </c>
      <c r="MJ11" t="str">
        <f>IF(OR('Job Sheet'!R17="Pulse Pro Automation Hub",'Job Sheet'!R17="Pulse 2.0 Automation Hub"),1,"")</f>
        <v/>
      </c>
      <c r="MK11" t="str">
        <f>IF('Job Sheet'!R17="USB Repeater",1,"")</f>
        <v/>
      </c>
      <c r="ML11" t="str">
        <f>IF('Job Sheet'!Q17="Acmeda 1 Channel White Remote",1,"")</f>
        <v/>
      </c>
      <c r="MM11" t="str">
        <f>IF('Job Sheet'!Q17="Acmeda 1 Channel Black Remote",1,"")</f>
        <v/>
      </c>
      <c r="MN11" t="str">
        <f>IF('Job Sheet'!Q17="Acmeda 5 Channel White Remote",1,"")</f>
        <v/>
      </c>
      <c r="MO11" t="str">
        <f>IF('Job Sheet'!Q17="Acmeda 5 Channel Black Remote",1,"")</f>
        <v/>
      </c>
      <c r="MP11" t="str">
        <f>IF('Job Sheet'!Q17="Acmeda 15 Channel White Remote",1,"")</f>
        <v/>
      </c>
      <c r="MQ11" t="str">
        <f>IF('Job Sheet'!Q17="Acmeda 15 Channel Black Remote",1,"")</f>
        <v/>
      </c>
      <c r="MR11" t="str">
        <f>IF('Job Sheet'!Q17="Acmeda Wall Mounted 5 Channel White Remote",1,"")</f>
        <v/>
      </c>
      <c r="MS11" t="str">
        <f>IF('Job Sheet'!Q17="Acmeda Wall Mounted Single Channel White Remote",1,"")</f>
        <v/>
      </c>
      <c r="MT11" t="str">
        <f>IF('Job Sheet'!Q17="Acmeda 2 Channel White Remote",1,"")</f>
        <v/>
      </c>
      <c r="MU11" t="str">
        <f>IF('Job Sheet'!Q17="Acmeda 15 Channel White Remote",1,"")</f>
        <v/>
      </c>
      <c r="MV11" t="str">
        <f>IF('Job Sheet'!Q17="Acmeda Push Pro White Remote with Charger",1,"")</f>
        <v/>
      </c>
      <c r="MW11" t="str">
        <f>IF('Job Sheet'!Q17="Acmeda Push Pro Black Remote with Charger",1,"")</f>
        <v/>
      </c>
      <c r="MX11" t="str">
        <f>IF(OR('Job Sheet'!Q17="Acmeda Push Pro White Remote with Charger",'Job Sheet'!Q17="Acmeda Push Pro Black Remote with Charger"),"1","")</f>
        <v/>
      </c>
      <c r="MY11" t="str">
        <f t="shared" si="2"/>
        <v/>
      </c>
      <c r="MZ11" t="str">
        <f>IF('Job Sheet'!S17="Acmeda Wind Sensor",1,"")</f>
        <v/>
      </c>
      <c r="NA11" t="str">
        <f>IF('Job Sheet'!R17="1 Channel Dry Contact Relay Module",1,"")</f>
        <v/>
      </c>
      <c r="NE11" t="str">
        <f>IF('Job Sheet'!M17="Becker Remote Operated",1,"")</f>
        <v/>
      </c>
      <c r="NF11" t="str">
        <f>IF('Job Sheet'!M17="Becker Switch Operated",1,"")</f>
        <v/>
      </c>
      <c r="NG11" t="str">
        <f>IF(OR('Job Sheet'!M17="Acmeda Remote Motor",'Job Sheet'!M17="Becker Remote Operated",'Job Sheet'!M17="Becker Switch Operated"),1,"")</f>
        <v/>
      </c>
      <c r="NI11" t="str">
        <f>IF(OR('Job Sheet'!M17="Becker Remote Operated",'Job Sheet'!M17="Becker Switch Operated"),1,"")</f>
        <v/>
      </c>
      <c r="NL11" t="str">
        <f>IF(AND('Tube Cutting'!P17="78mm",(OR('Job Sheet'!M17="Becker Remote Operated",'Job Sheet'!M17="Becker Switch Operated"))),1,"")</f>
        <v/>
      </c>
      <c r="NM11" t="str">
        <f>IF('Job Sheet'!Q17="Becker Single Channel White Remote",1,"")</f>
        <v/>
      </c>
      <c r="NN11" t="str">
        <f>IF('Job Sheet'!Q17="Becker Single Channel Black Remote",1,"")</f>
        <v/>
      </c>
      <c r="NO11" t="str">
        <f>IF('Job Sheet'!Q17="Becker 5 Channel White Remote",1,"")</f>
        <v/>
      </c>
      <c r="NP11" t="str">
        <f>IF('Job Sheet'!Q17="Becker 5 Channel Black Remote",1,"")</f>
        <v/>
      </c>
      <c r="NQ11" t="str">
        <f>IF('Job Sheet'!Q17="Becker 10 Channel White Remote",1,"")</f>
        <v/>
      </c>
      <c r="NR11" t="str">
        <f>IF('Job Sheet'!Q17="Becker 10 Channel Black Remote",1,"")</f>
        <v/>
      </c>
      <c r="NS11" t="str">
        <f>IF('Job Sheet'!S17="Becker Wind Sensor",1,"")</f>
        <v/>
      </c>
      <c r="NT11" t="str">
        <f>IF('Job Sheet'!M17="Somfy Remote Operated",1,"")</f>
        <v/>
      </c>
      <c r="NV11" t="str">
        <f>IF('Job Sheet'!M17="Somfy Remote Operated",1,"")</f>
        <v/>
      </c>
      <c r="NW11" t="str">
        <f>IF('Job Sheet'!M17="Somfy Remote Operated",1,"")</f>
        <v/>
      </c>
      <c r="NZ11" t="str">
        <f>IF(AND('Tube Cutting'!P17="78mm",'Job Sheet'!M17="Somfy Remote Operated"),1,"")</f>
        <v/>
      </c>
      <c r="OA11" t="str">
        <f>IF('Job Sheet'!R17="Connexoon App Connector",1,"")</f>
        <v/>
      </c>
      <c r="OB11" t="str">
        <f>IF('Job Sheet'!R17="Tahoma Switch",1,"")</f>
        <v/>
      </c>
      <c r="OC11" t="str">
        <f>IF('Job Sheet'!Q17="Somfy 15 Channel Silver Remote",1,"")</f>
        <v/>
      </c>
      <c r="OD11" t="str">
        <f>IF('Job Sheet'!Q17="Somfy 15 Channel White Remote",1,"")</f>
        <v/>
      </c>
      <c r="OE11" t="str">
        <f>IF('Job Sheet'!Q17="Somfy 2 Channel Silver Remote",1,"")</f>
        <v/>
      </c>
      <c r="OF11" t="str">
        <f>IF('Job Sheet'!Q17="Somfy 2 Channel Wall Mounted Smoove Remote White with Black Cover Plate",1,"")</f>
        <v/>
      </c>
      <c r="OG11" t="str">
        <f>IF('Job Sheet'!Q17="Somfy 2 Channel Wall Mounted Smoove Remote White with Silver Cover Plate",1,"")</f>
        <v/>
      </c>
      <c r="OH11" t="str">
        <f>IF('Job Sheet'!Q17="Somfy 2 Channel Wall Mounted Smoove Remote White",1,"")</f>
        <v/>
      </c>
      <c r="OI11" t="str">
        <f>IF('Job Sheet'!Q17="Somfy 2 Channel White Remote",1,"")</f>
        <v/>
      </c>
      <c r="OJ11" t="str">
        <f>IF('Job Sheet'!Q17="Somfy 2 Channel Silver Remote",1,"")</f>
        <v/>
      </c>
      <c r="OK11" t="str">
        <f>IF('Job Sheet'!Q17="Somfy 5 Channel Wall Mounted Smoove Remote White with Black Cover Plate",1,"")</f>
        <v/>
      </c>
      <c r="OL11" t="str">
        <f>IF('Job Sheet'!Q17="Somfy 5 Channel Wall Mounted Smoove Remote White with Silver Cover Plate",1,"")</f>
        <v/>
      </c>
      <c r="OM11" t="str">
        <f>IF('Job Sheet'!Q17="Somfy 5 Channel Wall Mounted Smoove Remote White",1,"")</f>
        <v/>
      </c>
      <c r="ON11" t="str">
        <f>IF('Job Sheet'!Q17="Somfy 5 Channel White Remote",1,"")</f>
        <v/>
      </c>
      <c r="OO11" t="str">
        <f>IF('Job Sheet'!Q17="Somfy Single Channel Silver Remote",1,"")</f>
        <v/>
      </c>
      <c r="OP11" t="str">
        <f>IF('Job Sheet'!Q17="Somfy Single Channel Wall Mounted Smoove Remote White with Black Cover Plate",1,"")</f>
        <v/>
      </c>
      <c r="OQ11" t="str">
        <f>IF('Job Sheet'!Q17="Somfy Single Channel Wall Mounted Smoove Remote White with Silver Cover Plate",1,"")</f>
        <v/>
      </c>
      <c r="OR11" t="str">
        <f>IF('Job Sheet'!Q17="Somfy Single Channel Wall Mounted Smoove Remote White",1,"")</f>
        <v/>
      </c>
      <c r="OS11" t="str">
        <f>IF('Job Sheet'!Q17="Somfy Single Channel White Remote",1,"")</f>
        <v/>
      </c>
    </row>
    <row r="12" spans="4:409" ht="13.2" customHeight="1">
      <c r="D12" t="str">
        <f>IF('Tube Cutting'!C18="","",CONCATENATE(Data!BC$5,".",Data!BD$5))</f>
        <v/>
      </c>
      <c r="E12" t="str">
        <f>IF(D12="","",Data!AW18)</f>
        <v/>
      </c>
      <c r="F12" t="str">
        <f>IF(D12="","",Data!AV18)</f>
        <v/>
      </c>
      <c r="G12" t="str">
        <f>IF(D12="","",'Tube Cutting'!C18)</f>
        <v/>
      </c>
      <c r="H12" t="str">
        <f>IF(D12="","",Data!BF$5)</f>
        <v/>
      </c>
      <c r="I12" t="str">
        <f>IF(D12="","",Data!AX$5)</f>
        <v/>
      </c>
      <c r="J12" s="116" t="str">
        <f>'Job Sheet'!L18</f>
        <v/>
      </c>
      <c r="K12" t="str">
        <f t="shared" si="0"/>
        <v/>
      </c>
      <c r="L12" s="115" t="str">
        <f>'Fabric Cutting'!E18</f>
        <v/>
      </c>
      <c r="M12" s="115" t="str">
        <f>'Fabric Cutting'!F18</f>
        <v/>
      </c>
      <c r="N12" t="str">
        <f>IF(AND('Tube Cutting'!G18="Colourbond Under-Roll Hooding",'Tube Cutting'!H18="Custom Powdercoat"),'Tube Cutting'!D18,"")</f>
        <v/>
      </c>
      <c r="O12" t="str">
        <f>IF(AND('Tube Cutting'!G18="Colourbond Under-Roll Hooding",'Tube Cutting'!H18="Ebony (Black)"),'Tube Cutting'!D18,"")</f>
        <v/>
      </c>
      <c r="P12" t="str">
        <f>IF(AND('Tube Cutting'!G18="Colourbond Under-Roll Hooding",'Tube Cutting'!H18="Caulfield Green"),'Tube Cutting'!D18,"")</f>
        <v/>
      </c>
      <c r="Q12" t="str">
        <f>IF(AND('Tube Cutting'!G18="Colourbond Under-Roll Hooding",'Tube Cutting'!H18="Charcoal (Monument)"),'Tube Cutting'!D18,"")</f>
        <v/>
      </c>
      <c r="R12" t="str">
        <f>IF(AND('Tube Cutting'!G18="Colourbond Under-Roll Hooding",'Tube Cutting'!H18="Dune"),'Tube Cutting'!D18,"")</f>
        <v/>
      </c>
      <c r="S12" t="str">
        <f>IF(AND('Tube Cutting'!G18="Colourbond Under-Roll Hooding",'Tube Cutting'!H18="Heritage Red (Manor Red)"),'Tube Cutting'!D18,"")</f>
        <v/>
      </c>
      <c r="T12" t="str">
        <f>IF(AND('Tube Cutting'!G18="Colourbond Under-Roll Hooding",'Tube Cutting'!H18="Ironstone"),'Tube Cutting'!D18,"")</f>
        <v/>
      </c>
      <c r="U12" t="str">
        <f>IF(AND('Tube Cutting'!G18="Colourbond Under-Roll Hooding",'Tube Cutting'!H18="Jasper"),'Tube Cutting'!D18,"")</f>
        <v/>
      </c>
      <c r="V12" t="str">
        <f>IF(AND('Tube Cutting'!G18="Colourbond Under-Roll Hooding",'Tube Cutting'!H18="Merino (Paperbark)"),'Tube Cutting'!D18,"")</f>
        <v/>
      </c>
      <c r="W12" t="str">
        <f>IF(AND('Tube Cutting'!G18="Colourbond Under-Roll Hooding",'Tube Cutting'!H18="Mist Green"),'Tube Cutting'!D18,"")</f>
        <v/>
      </c>
      <c r="X12" t="str">
        <f>IF(AND('Tube Cutting'!G18="Colourbond Under-Roll Hooding",'Tube Cutting'!H18="Mountain Blue"),'Tube Cutting'!D18,"")</f>
        <v/>
      </c>
      <c r="Y12" t="str">
        <f>IF(AND('Tube Cutting'!G18="Colourbond Under-Roll Hooding",'Tube Cutting'!H18="Smooth Cream (Classic Cream)"),'Tube Cutting'!D18,"")</f>
        <v/>
      </c>
      <c r="Z12" t="str">
        <f>IF(AND('Tube Cutting'!G18="Colourbond Under-Roll Hooding",'Tube Cutting'!H18="Shale Grey"),'Tube Cutting'!D18,"")</f>
        <v/>
      </c>
      <c r="AA12" t="str">
        <f>IF(AND('Tube Cutting'!G18="Colourbond Under-Roll Hooding",'Tube Cutting'!H18="Slate Grey (Woodland Grey)"),'Tube Cutting'!D18,"")</f>
        <v/>
      </c>
      <c r="AB12" t="str">
        <f>IF(AND('Tube Cutting'!G18="Colourbond Under-Roll Hooding",'Tube Cutting'!H18="Surfmist"),'Tube Cutting'!D18,"")</f>
        <v/>
      </c>
      <c r="AC12" t="str">
        <f>IF(AND('Tube Cutting'!G18="Colourbond Under-Roll Hooding",'Tube Cutting'!H18="White"),'Tube Cutting'!D18,"")</f>
        <v/>
      </c>
      <c r="AT12" t="str">
        <f>IF(AND('Tube Cutting'!G18="Colourbond Under-Roll Hooding",'Tube Cutting'!H18="Custom Powdercoat"),1,"")</f>
        <v/>
      </c>
      <c r="AU12" t="str">
        <f>IF(AND('Tube Cutting'!G18="Colourbond Under-Roll Hooding",'Tube Cutting'!H18="Ebony (Black)"),1,"")</f>
        <v/>
      </c>
      <c r="AV12" t="str">
        <f>IF(AND('Tube Cutting'!G18="Colourbond Under-Roll Hooding",'Tube Cutting'!H18="Caulfield Green"),1,"")</f>
        <v/>
      </c>
      <c r="AW12" t="str">
        <f>IF(AND('Tube Cutting'!G18="Colourbond Under-Roll Hooding",'Tube Cutting'!H18="Charcoal (Monument)"),1,"")</f>
        <v/>
      </c>
      <c r="AX12" t="str">
        <f>IF(AND('Tube Cutting'!G18="Colourbond Under-Roll Hooding",'Tube Cutting'!H18="Dune"),1,"")</f>
        <v/>
      </c>
      <c r="AY12" t="str">
        <f>IF(AND('Tube Cutting'!G18="Colourbond Under-Roll Hooding",'Tube Cutting'!H18="Heritage Red (Manor Red)"),1,"")</f>
        <v/>
      </c>
      <c r="AZ12" t="str">
        <f>IF(AND('Tube Cutting'!G18="Colourbond Under-Roll Hooding",'Tube Cutting'!H18="Ironstone"),1,"")</f>
        <v/>
      </c>
      <c r="BA12" t="str">
        <f>IF(AND('Tube Cutting'!G18="Colourbond Under-Roll Hooding",'Tube Cutting'!H18="Jasper"),1,"")</f>
        <v/>
      </c>
      <c r="BB12" t="str">
        <f>IF(AND('Tube Cutting'!G18="Colourbond Under-Roll Hooding",'Tube Cutting'!H18="Merino (Paperbark)"),1,"")</f>
        <v/>
      </c>
      <c r="BC12" t="str">
        <f>IF(AND('Tube Cutting'!G18="Colourbond Under-Roll Hooding",'Tube Cutting'!H18="Mist Green"),1,"")</f>
        <v/>
      </c>
      <c r="BD12" t="str">
        <f>IF(AND('Tube Cutting'!G18="Colourbond Under-Roll Hooding",'Tube Cutting'!H18="Mountain Blue"),1,"")</f>
        <v/>
      </c>
      <c r="BE12" t="str">
        <f>IF(AND('Tube Cutting'!G18="Colourbond Under-Roll Hooding",'Tube Cutting'!H18="Smooth Cream (Classic Cream)"),1,"")</f>
        <v/>
      </c>
      <c r="BF12" t="str">
        <f>IF(AND('Tube Cutting'!G18="Colourbond Under-Roll Hooding",'Tube Cutting'!H18="Shale Grey"),1,"")</f>
        <v/>
      </c>
      <c r="BG12" t="str">
        <f>IF(AND('Tube Cutting'!G18="Colourbond Under-Roll Hooding",'Tube Cutting'!H18="Slate Grey (Woodland Grey)"),1,"")</f>
        <v/>
      </c>
      <c r="BH12" t="str">
        <f>IF(AND('Tube Cutting'!G18="Colourbond Under-Roll Hooding",'Tube Cutting'!H18="Surfmist"),1,"")</f>
        <v/>
      </c>
      <c r="BI12" t="str">
        <f>IF(AND('Tube Cutting'!G18="Colourbond Under-Roll Hooding",'Tube Cutting'!H18="White"),1,"")</f>
        <v/>
      </c>
      <c r="BJ12" t="str">
        <f>IF(AND('Tube Cutting'!G18="Colourbond Over-Roll Hooding",'Tube Cutting'!H18="Custom Powdercoat"),'Tube Cutting'!D18,"")</f>
        <v/>
      </c>
      <c r="BK12" t="str">
        <f>IF(AND('Tube Cutting'!G18="Colourbond Over-Roll Hooding",'Tube Cutting'!H18="Ebony (Black)"),'Tube Cutting'!D18,"")</f>
        <v/>
      </c>
      <c r="BL12" t="str">
        <f>IF(AND('Tube Cutting'!G18="Colourbond Over-Roll Hooding",'Tube Cutting'!H18="Caulfield Green"),'Tube Cutting'!D18,"")</f>
        <v/>
      </c>
      <c r="BM12" t="str">
        <f>IF(AND('Tube Cutting'!G18="Colourbond Over-Roll Hooding",'Tube Cutting'!H18="Charcoal (Monument)"),'Tube Cutting'!D18,"")</f>
        <v/>
      </c>
      <c r="BN12" t="str">
        <f>IF(AND('Tube Cutting'!G18="Colourbond Over-Roll Hooding",'Tube Cutting'!H18="Dune"),'Tube Cutting'!D18,"")</f>
        <v/>
      </c>
      <c r="BO12" t="str">
        <f>IF(AND('Tube Cutting'!G18="Colourbond Over-Roll Hooding",'Tube Cutting'!H18="Heritage Red (Manor Red)"),'Tube Cutting'!D18,"")</f>
        <v/>
      </c>
      <c r="BP12" t="str">
        <f>IF(AND('Tube Cutting'!G18="Colourbond Over-Roll Hooding",'Tube Cutting'!H18="Ironstone"),'Tube Cutting'!D18,"")</f>
        <v/>
      </c>
      <c r="BQ12" t="str">
        <f>IF(AND('Tube Cutting'!G18="Colourbond Over-Roll Hooding",'Tube Cutting'!H18="Jasper"),'Tube Cutting'!D18,"")</f>
        <v/>
      </c>
      <c r="BR12" t="str">
        <f>IF(AND('Tube Cutting'!G18="Colourbond Over-Roll Hooding",'Tube Cutting'!H18="Merino (Paperbark)"),'Tube Cutting'!D18,"")</f>
        <v/>
      </c>
      <c r="BS12" t="str">
        <f>IF(AND('Tube Cutting'!G18="Colourbond Over-Roll Hooding",'Tube Cutting'!H18="Mist Green"),'Tube Cutting'!D18,"")</f>
        <v/>
      </c>
      <c r="BT12" t="str">
        <f>IF(AND('Tube Cutting'!G18="Colourbond Over-Roll Hooding",'Tube Cutting'!H18="Mountain Blue"),'Tube Cutting'!D18,"")</f>
        <v/>
      </c>
      <c r="BU12" t="str">
        <f>IF(AND('Tube Cutting'!G18="Colourbond Over-Roll Hooding",'Tube Cutting'!H18="Smooth Cream (Classic Cream)"),'Tube Cutting'!D18,"")</f>
        <v/>
      </c>
      <c r="BV12" t="str">
        <f>IF(AND('Tube Cutting'!G18="Colourbond Over-Roll Hooding",'Tube Cutting'!H18="Shale Grey"),'Tube Cutting'!D18,"")</f>
        <v/>
      </c>
      <c r="BW12" t="str">
        <f>IF(AND('Tube Cutting'!G18="Colourbond Over-Roll Hooding",'Tube Cutting'!H18="Slate Grey (Woodland Grey)"),'Tube Cutting'!D18,"")</f>
        <v/>
      </c>
      <c r="BX12" t="str">
        <f>IF(AND('Tube Cutting'!G18="Colourbond Over-Roll Hooding",'Tube Cutting'!H18="Surfmist"),'Tube Cutting'!D18,"")</f>
        <v/>
      </c>
      <c r="BY12" t="str">
        <f>IF(AND('Tube Cutting'!G18="Colourbond Over-Roll Hooding",'Tube Cutting'!H18="Mist"),'Tube Cutting'!D18,"")</f>
        <v/>
      </c>
      <c r="CP12" t="str">
        <f>IF(AND('Tube Cutting'!G18="Colourbond Over-Roll Hooding",'Tube Cutting'!H18="Custom Powdercoat"),1,"")</f>
        <v/>
      </c>
      <c r="CQ12" t="str">
        <f>IF(AND('Tube Cutting'!G18="Colourbond Over-Roll Hooding",'Tube Cutting'!H18="Ebony (Black)"),1,"")</f>
        <v/>
      </c>
      <c r="CR12" t="str">
        <f>IF(AND('Tube Cutting'!G18="Colourbond Over-Roll Hooding",'Tube Cutting'!H18="Caulfield Green"),1,"")</f>
        <v/>
      </c>
      <c r="CS12" t="str">
        <f>IF(AND('Tube Cutting'!G18="Colourbond Over-Roll Hooding",'Tube Cutting'!H18="Charcoal (Monument)"),1,"")</f>
        <v/>
      </c>
      <c r="CT12" t="str">
        <f>IF(AND('Tube Cutting'!G18="Colourbond Over-Roll Hooding",'Tube Cutting'!H18="Dune"),1,"")</f>
        <v/>
      </c>
      <c r="CU12" t="str">
        <f>IF(AND('Tube Cutting'!G18="Colourbond Over-Roll Hooding",'Tube Cutting'!H18="Heritage Red (Manor Red)"),1,"")</f>
        <v/>
      </c>
      <c r="CV12" t="str">
        <f>IF(AND('Tube Cutting'!G18="Colourbond Over-Roll Hooding",'Tube Cutting'!H18="Ironstone"),1,"")</f>
        <v/>
      </c>
      <c r="CW12" t="str">
        <f>IF(AND('Tube Cutting'!G18="Colourbond Over-Roll Hooding",'Tube Cutting'!H18="Jasper"),1,"")</f>
        <v/>
      </c>
      <c r="CX12" t="str">
        <f>IF(AND('Tube Cutting'!G18="Colourbond Over-Roll Hooding",'Tube Cutting'!H18="Merino (Paperbark)"),1,"")</f>
        <v/>
      </c>
      <c r="CY12" t="str">
        <f>IF(AND('Tube Cutting'!G18="Colourbond Over-Roll Hooding",'Tube Cutting'!H18="Mist Green"),1,"")</f>
        <v/>
      </c>
      <c r="CZ12" t="str">
        <f>IF(AND('Tube Cutting'!G18="Colourbond Over-Roll Hooding",'Tube Cutting'!H18="Mountain Blue"),1,"")</f>
        <v/>
      </c>
      <c r="DA12" t="str">
        <f>IF(AND('Tube Cutting'!G18="Colourbond Over-Roll Hooding",'Tube Cutting'!H18="Smooth Cream (Classic Cream)"),1,"")</f>
        <v/>
      </c>
      <c r="DB12" t="str">
        <f>IF(AND('Tube Cutting'!G18="Colourbond Over-Roll Hooding",'Tube Cutting'!H18="Shale Grey"),1,"")</f>
        <v/>
      </c>
      <c r="DC12" t="str">
        <f>IF(AND('Tube Cutting'!G18="Colourbond Over-Roll Hooding",'Tube Cutting'!H18="Slate Grey (Woodland Grey)"),1,"")</f>
        <v/>
      </c>
      <c r="DD12" t="str">
        <f>IF(AND('Tube Cutting'!G18="Colourbond Over-Roll Hooding",'Tube Cutting'!H18="Surfmist"),1,"")</f>
        <v/>
      </c>
      <c r="DE12" t="str">
        <f>IF(AND('Tube Cutting'!G18="Colourbond Over-Roll Hooding",'Tube Cutting'!H18="Mist"),1,"")</f>
        <v/>
      </c>
      <c r="DI12" t="str">
        <f>IF('Tube Cutting'!P18="78mm",'Tube Cutting'!Q18,"")</f>
        <v/>
      </c>
      <c r="DJ12" t="str">
        <f>IF('Tube Cutting'!P18="85mm",'Tube Cutting'!Q18,"")</f>
        <v/>
      </c>
      <c r="DM12" t="str">
        <f>IF(AND('Tube Cutting'!C18="Zipscreen",'Job Sheet'!M18="Gearbox"),1,"")</f>
        <v/>
      </c>
      <c r="DN12" t="str">
        <f>IF('Tube Cutting'!C18="Zipscreen",1,"")</f>
        <v/>
      </c>
      <c r="EK12" t="str">
        <f t="shared" si="1"/>
        <v/>
      </c>
      <c r="GM12" t="str">
        <f>IF(AND('Job Sheet'!M18="Gearbox",'Job Sheet'!N18="Black"),1,"")</f>
        <v/>
      </c>
      <c r="GN12" t="str">
        <f>IF(AND('Job Sheet'!M18="Gearbox",'Job Sheet'!N18="White"),1,"")</f>
        <v/>
      </c>
      <c r="GO12" t="str">
        <f>IF('Job Sheet'!Q18="Black Crank Handle 1000mm",1,"")</f>
        <v/>
      </c>
      <c r="GP12" t="str">
        <f>IF('Job Sheet'!Q18="Black Crank Handle 1200mm",1,"")</f>
        <v/>
      </c>
      <c r="GQ12" t="str">
        <f>IF('Job Sheet'!Q18="Black Crank Handle 1500mm",1,"")</f>
        <v/>
      </c>
      <c r="GR12" t="str">
        <f>IF('Job Sheet'!Q18="Black Crank Handle 1800mm",1,"")</f>
        <v/>
      </c>
      <c r="GS12" t="str">
        <f>IF('Job Sheet'!Q18="Black Crank Handle 2200mm",1,"")</f>
        <v/>
      </c>
      <c r="GT12" t="str">
        <f>IF('Job Sheet'!Q18="Black Crank Handle 2500mm",1,"")</f>
        <v/>
      </c>
      <c r="GU12" t="str">
        <f>IF('Job Sheet'!Q18="Black Crank Handle 3000mm",1,"")</f>
        <v/>
      </c>
      <c r="GV12" t="str">
        <f>IF('Job Sheet'!Q18="White Crank Handle 1000mm",1,"")</f>
        <v/>
      </c>
      <c r="GW12" t="str">
        <f>IF('Job Sheet'!Q18="White Crank Handle 1200mm",1,"")</f>
        <v/>
      </c>
      <c r="GX12" t="str">
        <f>IF('Job Sheet'!Q18="White Crank Handle 1500mm",1,"")</f>
        <v/>
      </c>
      <c r="GY12" t="str">
        <f>IF('Job Sheet'!Q18="White Crank Handle 1800mm",1,"")</f>
        <v/>
      </c>
      <c r="GZ12" t="str">
        <f>IF('Job Sheet'!Q18="White Crank Handle 2200mm",1,"")</f>
        <v/>
      </c>
      <c r="HA12" t="str">
        <f>IF('Job Sheet'!Q18="White Crank Handle 2500mm",1,"")</f>
        <v/>
      </c>
      <c r="HB12" t="str">
        <f>IF('Job Sheet'!Q18="White Crank Handle 3000mm",1,"")</f>
        <v/>
      </c>
      <c r="IM12" t="str">
        <f>IF(OR('Job Sheet'!V18&lt;&gt;"Pearl White",'Job Sheet'!V18&lt;&gt;"White Satin"),"",2)</f>
        <v/>
      </c>
      <c r="IN12" t="str">
        <f>IF(AND('Job Sheet'!U18="Powder Coated Brackets",(OR('Job Sheet'!V18="Pearl White",'Job Sheet'!V18="White Satin"))),2,"")</f>
        <v/>
      </c>
      <c r="IQ12" t="str">
        <f>IF('Job Sheet'!U18="Stainless Steel Brackets",2,"")</f>
        <v/>
      </c>
      <c r="JN12" t="str">
        <f>IF('Job Sheet'!AA18="25mm x 1",1,IF('Job Sheet'!AA18="25mm x 2",2,""))</f>
        <v/>
      </c>
      <c r="JO12" t="str">
        <f>IF('Job Sheet'!AA18="50mm x 1",1,IF('Job Sheet'!AA18="50mm x 2",2,""))</f>
        <v/>
      </c>
      <c r="JP12" t="str">
        <f>IF('Job Sheet'!AA18="75mm x 1",1,IF('Job Sheet'!AA18="75mm x 2",2,""))</f>
        <v/>
      </c>
      <c r="JQ12" t="str">
        <f>IF('Job Sheet'!AA18="100mm x 1",1,IF('Job Sheet'!AA18="100mm x 2",2,""))</f>
        <v/>
      </c>
      <c r="JR12" t="str">
        <f>IF('Job Sheet'!AA18="125mm x 1",1,IF('Job Sheet'!AA18="125mm x 2",2,""))</f>
        <v/>
      </c>
      <c r="JT12" t="str">
        <f>IF('Fabric Cutting'!L18="6mm Black",'Fabric Cutting'!E18,+IF('Fabric Cutting'!M18="6mm Black",'Fabric Cutting'!E18,""))</f>
        <v/>
      </c>
      <c r="JU12" t="str">
        <f>IF('Job Sheet'!K18="1.Verticali",'Fabric Cutting'!E18,"")</f>
        <v/>
      </c>
      <c r="JV12" t="str">
        <f>IF('Tube Cutting'!G18="Verticali Hooding (Old)",'Tube Cutting'!F18,"")</f>
        <v/>
      </c>
      <c r="JW12" t="str">
        <f>IF('Tube Cutting'!G18="Verticali Hooding (Old)",'Tube Cutting'!F18,"")</f>
        <v/>
      </c>
      <c r="JX12" t="str">
        <f>IF('Tube Cutting'!G18="Verticali Square Hooding",'Tube Cutting'!F18,"")</f>
        <v/>
      </c>
      <c r="JY12" t="str">
        <f>IF('Tube Cutting'!G18="Verticali Square Hooding",'Tube Cutting'!F18,"")</f>
        <v/>
      </c>
      <c r="KA12" t="str">
        <f>IF('Tube Cutting'!C18="Verticali",('Job Sheet'!G18-100)*2,"")</f>
        <v/>
      </c>
      <c r="KB12" t="str">
        <f>IF('Tube Cutting'!C18="Verticali",('Job Sheet'!G18-100)*2,"")</f>
        <v/>
      </c>
      <c r="KC12" t="str">
        <f>IF('Tube Cutting'!C18="Verticali",'Tube Cutting'!N18,"")</f>
        <v/>
      </c>
      <c r="KD12" t="str">
        <f>IF('Tube Cutting'!C18="Verticali",('Job Sheet'!G18-100)*2,"")</f>
        <v/>
      </c>
      <c r="KE12" t="str">
        <f>IF(Data!AV18="","",('Fabric Cutting'!F18-200)*2)</f>
        <v/>
      </c>
      <c r="KF12" t="str">
        <f>IF(OR(Data!AV18="",'Fabric Cutting'!C18&lt;&gt;"Verticali"),"",IF('Assembly(a)'!K18="",20,'Assembly(a)'!G18-1980))</f>
        <v/>
      </c>
      <c r="KG12" t="str">
        <f>IF('Tube Cutting'!C18="Verticali",'Tube Cutting'!N18,"")</f>
        <v/>
      </c>
      <c r="KH12" t="str">
        <f>IF(AND('Tube Cutting'!C18="Verticali",'Tube Cutting'!N18&lt;2000),'Tube Cutting'!N18-10,IF(AND('Tube Cutting'!C18="Verticali",'Tube Cutting'!N18&gt;2000),2000,""))</f>
        <v/>
      </c>
      <c r="KI12" t="str">
        <f>IF('Tube Cutting'!G18="Verticali Hooding (Old)",1,"")</f>
        <v/>
      </c>
      <c r="KJ12" t="str">
        <f>IF('Tube Cutting'!G18="Verticali Square Hooding",1,"")</f>
        <v/>
      </c>
      <c r="KL12" t="str">
        <f>IF('Tube Cutting'!G18="Verticali Colourbond Hooding",1,"")</f>
        <v/>
      </c>
      <c r="KM12" t="str">
        <f>IF(AND('Tube Cutting'!C18="Verticali",'Tube Cutting'!P18="78mm"),2,"")</f>
        <v/>
      </c>
      <c r="KN12" t="str">
        <f>IF(AND('Tube Cutting'!C18="Verticali",'Tube Cutting'!P18="85mm"),2,"")</f>
        <v/>
      </c>
      <c r="KP12" t="str">
        <f>IF(AND('Tube Cutting'!C18="Verticali",'Job Sheet'!M18="Gearbox"),1,"")</f>
        <v/>
      </c>
      <c r="KQ12" t="str">
        <f>IF('Tube Cutting'!C18="Verticali",1,"")</f>
        <v/>
      </c>
      <c r="KS12" t="str">
        <f>IF(OR('Job Sheet'!AB18="Foot 1 Side",'Job Sheet'!AB18="Leg &amp; Foot 1 Side",'Job Sheet'!AB18="End Cap 1 Side"),1,IF(OR('Job Sheet'!AB18="Foot Both Sides",'Job Sheet'!AB18="Leg &amp; Foot Both Sides",'Job Sheet'!AB18="End Cap Both Sides"),2,""))</f>
        <v/>
      </c>
      <c r="KT12" t="str">
        <f>IF(OR('Job Sheet'!AB18="Leg 1 Side",'Job Sheet'!AB18="Leg &amp; Foot 1 Side"),1,IF(OR('Job Sheet'!AB18="Leg Both Sides",'Job Sheet'!AB18="Leg &amp; Foot Both Sides",),2,""))</f>
        <v/>
      </c>
      <c r="KU12" t="str">
        <f>IF('Tube Cutting'!C18="Verticali",2,"")</f>
        <v/>
      </c>
      <c r="KW12" t="str">
        <f>IF('Tube Cutting'!C18="Verticali",2,"")</f>
        <v/>
      </c>
      <c r="KX12" t="str">
        <f>IF(Packing!L18="1 Pair",1,IF(Packing!L18="2 Pairs",2,""))</f>
        <v/>
      </c>
      <c r="KZ12" t="str">
        <f>IF('Tube Cutting'!G18="Verticali Base Rail",2,"")</f>
        <v/>
      </c>
      <c r="LA12" t="str">
        <f>IF('Tube Cutting'!G18="Zipscreen Hooding",'Tube Cutting'!F18,"")</f>
        <v/>
      </c>
      <c r="LB12" t="str">
        <f>IF('Tube Cutting'!G18="Zipscreen Hooding",'Tube Cutting'!F18,"")</f>
        <v/>
      </c>
      <c r="LD12" t="str">
        <f>IF('Tube Cutting'!G18="Zipscreen Hooding",1,"")</f>
        <v/>
      </c>
      <c r="LE12" t="str">
        <f>IF('Job Sheet'!AO18="Compact",1,"")</f>
        <v/>
      </c>
      <c r="LF12" t="str">
        <f>IF('Job Sheet'!AO18="Light",1,"")</f>
        <v/>
      </c>
      <c r="LG12" t="str">
        <f>IF('Job Sheet'!AO18="Standard",1,"")</f>
        <v/>
      </c>
      <c r="LH12" t="str">
        <f>IF('Job Sheet'!AO18="Heavy Duty",1,"")</f>
        <v/>
      </c>
      <c r="LI12" t="str">
        <f>IF('Job Sheet'!AO18="Extra Heavy Duty",1,"")</f>
        <v/>
      </c>
      <c r="LJ12" t="str">
        <f>IF('Job Sheet'!AO18="Ultra Heavy Duty",1,"")</f>
        <v/>
      </c>
      <c r="LK12" t="str">
        <f>IF('Tube Cutting'!C18="Zipscreen",2,"")</f>
        <v/>
      </c>
      <c r="LM12" t="str">
        <f>IF(AND('Job Sheet'!K18="2.Zipscreen",'Job Sheet'!M18="Spring"),1,"")</f>
        <v/>
      </c>
      <c r="LN12" t="str">
        <f>IF(AND('Job Sheet'!K18="2.Zipscreen",'Job Sheet'!M18="Spring"),2,IF(AND('Job Sheet'!K18="2.Zipscreen",'Job Sheet'!M18&lt;&gt;"Spring"),1,""))</f>
        <v/>
      </c>
      <c r="LO12" t="str">
        <f>IF(Data!BO18="PVC",'Fabric Cutting'!E18,"")</f>
        <v/>
      </c>
      <c r="LP12" t="str">
        <f>IF('Tube Cutting'!C18="Zipscreen",'Tube Cutting'!N18,"")</f>
        <v/>
      </c>
      <c r="LQ12" t="str">
        <f>IF('Tube Cutting'!C18="Zipscreen",2,"")</f>
        <v/>
      </c>
      <c r="LR12" t="str">
        <f>IF('Tube Cutting'!C18="Zipscreen",'Tube Cutting'!N18,"")</f>
        <v/>
      </c>
      <c r="LT12" t="str">
        <f>IF('Tube Cutting'!C18="Zipscreen",('Tube Cutting'!N18-100)*2,"")</f>
        <v/>
      </c>
      <c r="LU12" t="str">
        <f>IF(AND('Job Sheet'!K18="2.Zipscreen",'Job Sheet'!M18="Spring"),1,"")</f>
        <v/>
      </c>
      <c r="LV12" t="str">
        <f>IF(AND('Job Sheet'!K18="2.Zipscreen",'Job Sheet'!M18="Spring"),1,"")</f>
        <v/>
      </c>
      <c r="LW12" t="str">
        <f>IF('Tube Cutting'!C18="Zipscreen",('Job Sheet'!G18-100)*2,"")</f>
        <v/>
      </c>
      <c r="LX12" t="str">
        <f>IF('Tube Cutting'!C18="Zipscreen",('Job Sheet'!G18-82)*2,"")</f>
        <v/>
      </c>
      <c r="LY12" t="str">
        <f>IF('Tube Cutting'!K18="","",('Job Sheet'!G18-100)*2)</f>
        <v/>
      </c>
      <c r="LZ12" t="str">
        <f>IF('Tube Cutting'!C18="Zipscreen",2,"")</f>
        <v/>
      </c>
      <c r="MA12" t="str">
        <f>IF('Tube Cutting'!C18="Zipscreen",2,"")</f>
        <v/>
      </c>
      <c r="MB12" t="str">
        <f>IF('Job Sheet'!M18="Acmeda Remote Motor",1,"")</f>
        <v/>
      </c>
      <c r="ME12" t="str">
        <f>IF(AND('Tube Cutting'!P18="78mm",'Job Sheet'!M18="Acmeda Remote Motor"),1,"")</f>
        <v/>
      </c>
      <c r="MG12" t="str">
        <f>IF('Job Sheet'!M18="Acmeda 12v Remote Motor",1,"")</f>
        <v/>
      </c>
      <c r="MH12" t="str">
        <f>IF(OR('Job Sheet'!R18="External Battery",'Job Sheet'!R18="External Battery and Charging Cable"),1,"")</f>
        <v/>
      </c>
      <c r="MI12" t="str">
        <f>IF('Job Sheet'!R18="External Battery and Charging Cable",1,"")</f>
        <v/>
      </c>
      <c r="MJ12" t="str">
        <f>IF(OR('Job Sheet'!R18="Pulse Pro Automation Hub",'Job Sheet'!R18="Pulse 2.0 Automation Hub"),1,"")</f>
        <v/>
      </c>
      <c r="MK12" t="str">
        <f>IF('Job Sheet'!R18="USB Repeater",1,"")</f>
        <v/>
      </c>
      <c r="ML12" t="str">
        <f>IF('Job Sheet'!Q18="Acmeda 1 Channel White Remote",1,"")</f>
        <v/>
      </c>
      <c r="MM12" t="str">
        <f>IF('Job Sheet'!Q18="Acmeda 1 Channel Black Remote",1,"")</f>
        <v/>
      </c>
      <c r="MN12" t="str">
        <f>IF('Job Sheet'!Q18="Acmeda 5 Channel White Remote",1,"")</f>
        <v/>
      </c>
      <c r="MO12" t="str">
        <f>IF('Job Sheet'!Q18="Acmeda 5 Channel Black Remote",1,"")</f>
        <v/>
      </c>
      <c r="MP12" t="str">
        <f>IF('Job Sheet'!Q18="Acmeda 15 Channel White Remote",1,"")</f>
        <v/>
      </c>
      <c r="MQ12" t="str">
        <f>IF('Job Sheet'!Q18="Acmeda 15 Channel Black Remote",1,"")</f>
        <v/>
      </c>
      <c r="MR12" t="str">
        <f>IF('Job Sheet'!Q18="Acmeda Wall Mounted 5 Channel White Remote",1,"")</f>
        <v/>
      </c>
      <c r="MS12" t="str">
        <f>IF('Job Sheet'!Q18="Acmeda Wall Mounted Single Channel White Remote",1,"")</f>
        <v/>
      </c>
      <c r="MT12" t="str">
        <f>IF('Job Sheet'!Q18="Acmeda 2 Channel White Remote",1,"")</f>
        <v/>
      </c>
      <c r="MU12" t="str">
        <f>IF('Job Sheet'!Q18="Acmeda 15 Channel White Remote",1,"")</f>
        <v/>
      </c>
      <c r="MV12" t="str">
        <f>IF('Job Sheet'!Q18="Acmeda Push Pro White Remote with Charger",1,"")</f>
        <v/>
      </c>
      <c r="MW12" t="str">
        <f>IF('Job Sheet'!Q18="Acmeda Push Pro Black Remote with Charger",1,"")</f>
        <v/>
      </c>
      <c r="MX12" t="str">
        <f>IF(OR('Job Sheet'!Q18="Acmeda Push Pro White Remote with Charger",'Job Sheet'!Q18="Acmeda Push Pro Black Remote with Charger"),"1","")</f>
        <v/>
      </c>
      <c r="MY12" t="str">
        <f t="shared" si="2"/>
        <v/>
      </c>
      <c r="MZ12" t="str">
        <f>IF('Job Sheet'!S18="Acmeda Wind Sensor",1,"")</f>
        <v/>
      </c>
      <c r="NA12" t="str">
        <f>IF('Job Sheet'!R18="1 Channel Dry Contact Relay Module",1,"")</f>
        <v/>
      </c>
      <c r="NE12" t="str">
        <f>IF('Job Sheet'!M18="Becker Remote Operated",1,"")</f>
        <v/>
      </c>
      <c r="NF12" t="str">
        <f>IF('Job Sheet'!M18="Becker Switch Operated",1,"")</f>
        <v/>
      </c>
      <c r="NG12" t="str">
        <f>IF(OR('Job Sheet'!M18="Acmeda Remote Motor",'Job Sheet'!M18="Becker Remote Operated",'Job Sheet'!M18="Becker Switch Operated"),1,"")</f>
        <v/>
      </c>
      <c r="NI12" t="str">
        <f>IF(OR('Job Sheet'!M18="Becker Remote Operated",'Job Sheet'!M18="Becker Switch Operated"),1,"")</f>
        <v/>
      </c>
      <c r="NL12" t="str">
        <f>IF(AND('Tube Cutting'!P18="78mm",(OR('Job Sheet'!M18="Becker Remote Operated",'Job Sheet'!M18="Becker Switch Operated"))),1,"")</f>
        <v/>
      </c>
      <c r="NM12" t="str">
        <f>IF('Job Sheet'!Q18="Becker Single Channel White Remote",1,"")</f>
        <v/>
      </c>
      <c r="NN12" t="str">
        <f>IF('Job Sheet'!Q18="Becker Single Channel Black Remote",1,"")</f>
        <v/>
      </c>
      <c r="NO12" t="str">
        <f>IF('Job Sheet'!Q18="Becker 5 Channel White Remote",1,"")</f>
        <v/>
      </c>
      <c r="NP12" t="str">
        <f>IF('Job Sheet'!Q18="Becker 5 Channel Black Remote",1,"")</f>
        <v/>
      </c>
      <c r="NQ12" t="str">
        <f>IF('Job Sheet'!Q18="Becker 10 Channel White Remote",1,"")</f>
        <v/>
      </c>
      <c r="NR12" t="str">
        <f>IF('Job Sheet'!Q18="Becker 10 Channel Black Remote",1,"")</f>
        <v/>
      </c>
      <c r="NS12" t="str">
        <f>IF('Job Sheet'!S18="Becker Wind Sensor",1,"")</f>
        <v/>
      </c>
      <c r="NT12" t="str">
        <f>IF('Job Sheet'!M18="Somfy Remote Operated",1,"")</f>
        <v/>
      </c>
      <c r="NV12" t="str">
        <f>IF('Job Sheet'!M18="Somfy Remote Operated",1,"")</f>
        <v/>
      </c>
      <c r="NW12" t="str">
        <f>IF('Job Sheet'!M18="Somfy Remote Operated",1,"")</f>
        <v/>
      </c>
      <c r="NZ12" t="str">
        <f>IF(AND('Tube Cutting'!P18="78mm",'Job Sheet'!M18="Somfy Remote Operated"),1,"")</f>
        <v/>
      </c>
      <c r="OA12" t="str">
        <f>IF('Job Sheet'!R18="Connexoon App Connector",1,"")</f>
        <v/>
      </c>
      <c r="OB12" t="str">
        <f>IF('Job Sheet'!R18="Tahoma Switch",1,"")</f>
        <v/>
      </c>
      <c r="OC12" t="str">
        <f>IF('Job Sheet'!Q18="Somfy 15 Channel Silver Remote",1,"")</f>
        <v/>
      </c>
      <c r="OD12" t="str">
        <f>IF('Job Sheet'!Q18="Somfy 15 Channel White Remote",1,"")</f>
        <v/>
      </c>
      <c r="OE12" t="str">
        <f>IF('Job Sheet'!Q18="Somfy 2 Channel Silver Remote",1,"")</f>
        <v/>
      </c>
      <c r="OF12" t="str">
        <f>IF('Job Sheet'!Q18="Somfy 2 Channel Wall Mounted Smoove Remote White with Black Cover Plate",1,"")</f>
        <v/>
      </c>
      <c r="OG12" t="str">
        <f>IF('Job Sheet'!Q18="Somfy 2 Channel Wall Mounted Smoove Remote White with Silver Cover Plate",1,"")</f>
        <v/>
      </c>
      <c r="OH12" t="str">
        <f>IF('Job Sheet'!Q18="Somfy 2 Channel Wall Mounted Smoove Remote White",1,"")</f>
        <v/>
      </c>
      <c r="OI12" t="str">
        <f>IF('Job Sheet'!Q18="Somfy 2 Channel White Remote",1,"")</f>
        <v/>
      </c>
      <c r="OJ12" t="str">
        <f>IF('Job Sheet'!Q18="Somfy 2 Channel Silver Remote",1,"")</f>
        <v/>
      </c>
      <c r="OK12" t="str">
        <f>IF('Job Sheet'!Q18="Somfy 5 Channel Wall Mounted Smoove Remote White with Black Cover Plate",1,"")</f>
        <v/>
      </c>
      <c r="OL12" t="str">
        <f>IF('Job Sheet'!Q18="Somfy 5 Channel Wall Mounted Smoove Remote White with Silver Cover Plate",1,"")</f>
        <v/>
      </c>
      <c r="OM12" t="str">
        <f>IF('Job Sheet'!Q18="Somfy 5 Channel Wall Mounted Smoove Remote White",1,"")</f>
        <v/>
      </c>
      <c r="ON12" t="str">
        <f>IF('Job Sheet'!Q18="Somfy 5 Channel White Remote",1,"")</f>
        <v/>
      </c>
      <c r="OO12" t="str">
        <f>IF('Job Sheet'!Q18="Somfy Single Channel Silver Remote",1,"")</f>
        <v/>
      </c>
      <c r="OP12" t="str">
        <f>IF('Job Sheet'!Q18="Somfy Single Channel Wall Mounted Smoove Remote White with Black Cover Plate",1,"")</f>
        <v/>
      </c>
      <c r="OQ12" t="str">
        <f>IF('Job Sheet'!Q18="Somfy Single Channel Wall Mounted Smoove Remote White with Silver Cover Plate",1,"")</f>
        <v/>
      </c>
      <c r="OR12" t="str">
        <f>IF('Job Sheet'!Q18="Somfy Single Channel Wall Mounted Smoove Remote White",1,"")</f>
        <v/>
      </c>
      <c r="OS12" t="str">
        <f>IF('Job Sheet'!Q18="Somfy Single Channel White Remote",1,"")</f>
        <v/>
      </c>
    </row>
    <row r="13" spans="4:409" ht="13.2" customHeight="1">
      <c r="D13" t="str">
        <f>IF('Tube Cutting'!C19="","",CONCATENATE(Data!BC$5,".",Data!BD$5))</f>
        <v/>
      </c>
      <c r="E13" t="str">
        <f>IF(D13="","",Data!AW19)</f>
        <v/>
      </c>
      <c r="F13" t="str">
        <f>IF(D13="","",Data!AV19)</f>
        <v/>
      </c>
      <c r="G13" t="str">
        <f>IF(D13="","",'Tube Cutting'!C19)</f>
        <v/>
      </c>
      <c r="H13" t="str">
        <f>IF(D13="","",Data!BF$5)</f>
        <v/>
      </c>
      <c r="I13" t="str">
        <f>IF(D13="","",Data!AX$5)</f>
        <v/>
      </c>
      <c r="J13" s="116" t="str">
        <f>'Job Sheet'!L19</f>
        <v/>
      </c>
      <c r="K13" t="str">
        <f t="shared" si="0"/>
        <v/>
      </c>
      <c r="L13" s="115" t="str">
        <f>'Fabric Cutting'!E19</f>
        <v/>
      </c>
      <c r="M13" s="115" t="str">
        <f>'Fabric Cutting'!F19</f>
        <v/>
      </c>
      <c r="N13" t="str">
        <f>IF(AND('Tube Cutting'!G19="Colourbond Under-Roll Hooding",'Tube Cutting'!H19="Custom Powdercoat"),'Tube Cutting'!D19,"")</f>
        <v/>
      </c>
      <c r="O13" t="str">
        <f>IF(AND('Tube Cutting'!G19="Colourbond Under-Roll Hooding",'Tube Cutting'!H19="Ebony (Black)"),'Tube Cutting'!D19,"")</f>
        <v/>
      </c>
      <c r="P13" t="str">
        <f>IF(AND('Tube Cutting'!G19="Colourbond Under-Roll Hooding",'Tube Cutting'!H19="Caulfield Green"),'Tube Cutting'!D19,"")</f>
        <v/>
      </c>
      <c r="Q13" t="str">
        <f>IF(AND('Tube Cutting'!G19="Colourbond Under-Roll Hooding",'Tube Cutting'!H19="Charcoal (Monument)"),'Tube Cutting'!D19,"")</f>
        <v/>
      </c>
      <c r="R13" t="str">
        <f>IF(AND('Tube Cutting'!G19="Colourbond Under-Roll Hooding",'Tube Cutting'!H19="Dune"),'Tube Cutting'!D19,"")</f>
        <v/>
      </c>
      <c r="S13" t="str">
        <f>IF(AND('Tube Cutting'!G19="Colourbond Under-Roll Hooding",'Tube Cutting'!H19="Heritage Red (Manor Red)"),'Tube Cutting'!D19,"")</f>
        <v/>
      </c>
      <c r="T13" t="str">
        <f>IF(AND('Tube Cutting'!G19="Colourbond Under-Roll Hooding",'Tube Cutting'!H19="Ironstone"),'Tube Cutting'!D19,"")</f>
        <v/>
      </c>
      <c r="U13" t="str">
        <f>IF(AND('Tube Cutting'!G19="Colourbond Under-Roll Hooding",'Tube Cutting'!H19="Jasper"),'Tube Cutting'!D19,"")</f>
        <v/>
      </c>
      <c r="V13" t="str">
        <f>IF(AND('Tube Cutting'!G19="Colourbond Under-Roll Hooding",'Tube Cutting'!H19="Merino (Paperbark)"),'Tube Cutting'!D19,"")</f>
        <v/>
      </c>
      <c r="W13" t="str">
        <f>IF(AND('Tube Cutting'!G19="Colourbond Under-Roll Hooding",'Tube Cutting'!H19="Mist Green"),'Tube Cutting'!D19,"")</f>
        <v/>
      </c>
      <c r="X13" t="str">
        <f>IF(AND('Tube Cutting'!G19="Colourbond Under-Roll Hooding",'Tube Cutting'!H19="Mountain Blue"),'Tube Cutting'!D19,"")</f>
        <v/>
      </c>
      <c r="Y13" t="str">
        <f>IF(AND('Tube Cutting'!G19="Colourbond Under-Roll Hooding",'Tube Cutting'!H19="Smooth Cream (Classic Cream)"),'Tube Cutting'!D19,"")</f>
        <v/>
      </c>
      <c r="Z13" t="str">
        <f>IF(AND('Tube Cutting'!G19="Colourbond Under-Roll Hooding",'Tube Cutting'!H19="Shale Grey"),'Tube Cutting'!D19,"")</f>
        <v/>
      </c>
      <c r="AA13" t="str">
        <f>IF(AND('Tube Cutting'!G19="Colourbond Under-Roll Hooding",'Tube Cutting'!H19="Slate Grey (Woodland Grey)"),'Tube Cutting'!D19,"")</f>
        <v/>
      </c>
      <c r="AB13" t="str">
        <f>IF(AND('Tube Cutting'!G19="Colourbond Under-Roll Hooding",'Tube Cutting'!H19="Surfmist"),'Tube Cutting'!D19,"")</f>
        <v/>
      </c>
      <c r="AC13" t="str">
        <f>IF(AND('Tube Cutting'!G19="Colourbond Under-Roll Hooding",'Tube Cutting'!H19="White"),'Tube Cutting'!D19,"")</f>
        <v/>
      </c>
      <c r="AT13" t="str">
        <f>IF(AND('Tube Cutting'!G19="Colourbond Under-Roll Hooding",'Tube Cutting'!H19="Custom Powdercoat"),1,"")</f>
        <v/>
      </c>
      <c r="AU13" t="str">
        <f>IF(AND('Tube Cutting'!G19="Colourbond Under-Roll Hooding",'Tube Cutting'!H19="Ebony (Black)"),1,"")</f>
        <v/>
      </c>
      <c r="AV13" t="str">
        <f>IF(AND('Tube Cutting'!G19="Colourbond Under-Roll Hooding",'Tube Cutting'!H19="Caulfield Green"),1,"")</f>
        <v/>
      </c>
      <c r="AW13" t="str">
        <f>IF(AND('Tube Cutting'!G19="Colourbond Under-Roll Hooding",'Tube Cutting'!H19="Charcoal (Monument)"),1,"")</f>
        <v/>
      </c>
      <c r="AX13" t="str">
        <f>IF(AND('Tube Cutting'!G19="Colourbond Under-Roll Hooding",'Tube Cutting'!H19="Dune"),1,"")</f>
        <v/>
      </c>
      <c r="AY13" t="str">
        <f>IF(AND('Tube Cutting'!G19="Colourbond Under-Roll Hooding",'Tube Cutting'!H19="Heritage Red (Manor Red)"),1,"")</f>
        <v/>
      </c>
      <c r="AZ13" t="str">
        <f>IF(AND('Tube Cutting'!G19="Colourbond Under-Roll Hooding",'Tube Cutting'!H19="Ironstone"),1,"")</f>
        <v/>
      </c>
      <c r="BA13" t="str">
        <f>IF(AND('Tube Cutting'!G19="Colourbond Under-Roll Hooding",'Tube Cutting'!H19="Jasper"),1,"")</f>
        <v/>
      </c>
      <c r="BB13" t="str">
        <f>IF(AND('Tube Cutting'!G19="Colourbond Under-Roll Hooding",'Tube Cutting'!H19="Merino (Paperbark)"),1,"")</f>
        <v/>
      </c>
      <c r="BC13" t="str">
        <f>IF(AND('Tube Cutting'!G19="Colourbond Under-Roll Hooding",'Tube Cutting'!H19="Mist Green"),1,"")</f>
        <v/>
      </c>
      <c r="BD13" t="str">
        <f>IF(AND('Tube Cutting'!G19="Colourbond Under-Roll Hooding",'Tube Cutting'!H19="Mountain Blue"),1,"")</f>
        <v/>
      </c>
      <c r="BE13" t="str">
        <f>IF(AND('Tube Cutting'!G19="Colourbond Under-Roll Hooding",'Tube Cutting'!H19="Smooth Cream (Classic Cream)"),1,"")</f>
        <v/>
      </c>
      <c r="BF13" t="str">
        <f>IF(AND('Tube Cutting'!G19="Colourbond Under-Roll Hooding",'Tube Cutting'!H19="Shale Grey"),1,"")</f>
        <v/>
      </c>
      <c r="BG13" t="str">
        <f>IF(AND('Tube Cutting'!G19="Colourbond Under-Roll Hooding",'Tube Cutting'!H19="Slate Grey (Woodland Grey)"),1,"")</f>
        <v/>
      </c>
      <c r="BH13" t="str">
        <f>IF(AND('Tube Cutting'!G19="Colourbond Under-Roll Hooding",'Tube Cutting'!H19="Surfmist"),1,"")</f>
        <v/>
      </c>
      <c r="BI13" t="str">
        <f>IF(AND('Tube Cutting'!G19="Colourbond Under-Roll Hooding",'Tube Cutting'!H19="White"),1,"")</f>
        <v/>
      </c>
      <c r="BJ13" t="str">
        <f>IF(AND('Tube Cutting'!G19="Colourbond Over-Roll Hooding",'Tube Cutting'!H19="Custom Powdercoat"),'Tube Cutting'!D19,"")</f>
        <v/>
      </c>
      <c r="BK13" t="str">
        <f>IF(AND('Tube Cutting'!G19="Colourbond Over-Roll Hooding",'Tube Cutting'!H19="Ebony (Black)"),'Tube Cutting'!D19,"")</f>
        <v/>
      </c>
      <c r="BL13" t="str">
        <f>IF(AND('Tube Cutting'!G19="Colourbond Over-Roll Hooding",'Tube Cutting'!H19="Caulfield Green"),'Tube Cutting'!D19,"")</f>
        <v/>
      </c>
      <c r="BM13" t="str">
        <f>IF(AND('Tube Cutting'!G19="Colourbond Over-Roll Hooding",'Tube Cutting'!H19="Charcoal (Monument)"),'Tube Cutting'!D19,"")</f>
        <v/>
      </c>
      <c r="BN13" t="str">
        <f>IF(AND('Tube Cutting'!G19="Colourbond Over-Roll Hooding",'Tube Cutting'!H19="Dune"),'Tube Cutting'!D19,"")</f>
        <v/>
      </c>
      <c r="BO13" t="str">
        <f>IF(AND('Tube Cutting'!G19="Colourbond Over-Roll Hooding",'Tube Cutting'!H19="Heritage Red (Manor Red)"),'Tube Cutting'!D19,"")</f>
        <v/>
      </c>
      <c r="BP13" t="str">
        <f>IF(AND('Tube Cutting'!G19="Colourbond Over-Roll Hooding",'Tube Cutting'!H19="Ironstone"),'Tube Cutting'!D19,"")</f>
        <v/>
      </c>
      <c r="BQ13" t="str">
        <f>IF(AND('Tube Cutting'!G19="Colourbond Over-Roll Hooding",'Tube Cutting'!H19="Jasper"),'Tube Cutting'!D19,"")</f>
        <v/>
      </c>
      <c r="BR13" t="str">
        <f>IF(AND('Tube Cutting'!G19="Colourbond Over-Roll Hooding",'Tube Cutting'!H19="Merino (Paperbark)"),'Tube Cutting'!D19,"")</f>
        <v/>
      </c>
      <c r="BS13" t="str">
        <f>IF(AND('Tube Cutting'!G19="Colourbond Over-Roll Hooding",'Tube Cutting'!H19="Mist Green"),'Tube Cutting'!D19,"")</f>
        <v/>
      </c>
      <c r="BT13" t="str">
        <f>IF(AND('Tube Cutting'!G19="Colourbond Over-Roll Hooding",'Tube Cutting'!H19="Mountain Blue"),'Tube Cutting'!D19,"")</f>
        <v/>
      </c>
      <c r="BU13" t="str">
        <f>IF(AND('Tube Cutting'!G19="Colourbond Over-Roll Hooding",'Tube Cutting'!H19="Smooth Cream (Classic Cream)"),'Tube Cutting'!D19,"")</f>
        <v/>
      </c>
      <c r="BV13" t="str">
        <f>IF(AND('Tube Cutting'!G19="Colourbond Over-Roll Hooding",'Tube Cutting'!H19="Shale Grey"),'Tube Cutting'!D19,"")</f>
        <v/>
      </c>
      <c r="BW13" t="str">
        <f>IF(AND('Tube Cutting'!G19="Colourbond Over-Roll Hooding",'Tube Cutting'!H19="Slate Grey (Woodland Grey)"),'Tube Cutting'!D19,"")</f>
        <v/>
      </c>
      <c r="BX13" t="str">
        <f>IF(AND('Tube Cutting'!G19="Colourbond Over-Roll Hooding",'Tube Cutting'!H19="Surfmist"),'Tube Cutting'!D19,"")</f>
        <v/>
      </c>
      <c r="BY13" t="str">
        <f>IF(AND('Tube Cutting'!G19="Colourbond Over-Roll Hooding",'Tube Cutting'!H19="Mist"),'Tube Cutting'!D19,"")</f>
        <v/>
      </c>
      <c r="CP13" t="str">
        <f>IF(AND('Tube Cutting'!G19="Colourbond Over-Roll Hooding",'Tube Cutting'!H19="Custom Powdercoat"),1,"")</f>
        <v/>
      </c>
      <c r="CQ13" t="str">
        <f>IF(AND('Tube Cutting'!G19="Colourbond Over-Roll Hooding",'Tube Cutting'!H19="Ebony (Black)"),1,"")</f>
        <v/>
      </c>
      <c r="CR13" t="str">
        <f>IF(AND('Tube Cutting'!G19="Colourbond Over-Roll Hooding",'Tube Cutting'!H19="Caulfield Green"),1,"")</f>
        <v/>
      </c>
      <c r="CS13" t="str">
        <f>IF(AND('Tube Cutting'!G19="Colourbond Over-Roll Hooding",'Tube Cutting'!H19="Charcoal (Monument)"),1,"")</f>
        <v/>
      </c>
      <c r="CT13" t="str">
        <f>IF(AND('Tube Cutting'!G19="Colourbond Over-Roll Hooding",'Tube Cutting'!H19="Dune"),1,"")</f>
        <v/>
      </c>
      <c r="CU13" t="str">
        <f>IF(AND('Tube Cutting'!G19="Colourbond Over-Roll Hooding",'Tube Cutting'!H19="Heritage Red (Manor Red)"),1,"")</f>
        <v/>
      </c>
      <c r="CV13" t="str">
        <f>IF(AND('Tube Cutting'!G19="Colourbond Over-Roll Hooding",'Tube Cutting'!H19="Ironstone"),1,"")</f>
        <v/>
      </c>
      <c r="CW13" t="str">
        <f>IF(AND('Tube Cutting'!G19="Colourbond Over-Roll Hooding",'Tube Cutting'!H19="Jasper"),1,"")</f>
        <v/>
      </c>
      <c r="CX13" t="str">
        <f>IF(AND('Tube Cutting'!G19="Colourbond Over-Roll Hooding",'Tube Cutting'!H19="Merino (Paperbark)"),1,"")</f>
        <v/>
      </c>
      <c r="CY13" t="str">
        <f>IF(AND('Tube Cutting'!G19="Colourbond Over-Roll Hooding",'Tube Cutting'!H19="Mist Green"),1,"")</f>
        <v/>
      </c>
      <c r="CZ13" t="str">
        <f>IF(AND('Tube Cutting'!G19="Colourbond Over-Roll Hooding",'Tube Cutting'!H19="Mountain Blue"),1,"")</f>
        <v/>
      </c>
      <c r="DA13" t="str">
        <f>IF(AND('Tube Cutting'!G19="Colourbond Over-Roll Hooding",'Tube Cutting'!H19="Smooth Cream (Classic Cream)"),1,"")</f>
        <v/>
      </c>
      <c r="DB13" t="str">
        <f>IF(AND('Tube Cutting'!G19="Colourbond Over-Roll Hooding",'Tube Cutting'!H19="Shale Grey"),1,"")</f>
        <v/>
      </c>
      <c r="DC13" t="str">
        <f>IF(AND('Tube Cutting'!G19="Colourbond Over-Roll Hooding",'Tube Cutting'!H19="Slate Grey (Woodland Grey)"),1,"")</f>
        <v/>
      </c>
      <c r="DD13" t="str">
        <f>IF(AND('Tube Cutting'!G19="Colourbond Over-Roll Hooding",'Tube Cutting'!H19="Surfmist"),1,"")</f>
        <v/>
      </c>
      <c r="DE13" t="str">
        <f>IF(AND('Tube Cutting'!G19="Colourbond Over-Roll Hooding",'Tube Cutting'!H19="Mist"),1,"")</f>
        <v/>
      </c>
      <c r="DI13" t="str">
        <f>IF('Tube Cutting'!P19="78mm",'Tube Cutting'!Q19,"")</f>
        <v/>
      </c>
      <c r="DJ13" t="str">
        <f>IF('Tube Cutting'!P19="85mm",'Tube Cutting'!Q19,"")</f>
        <v/>
      </c>
      <c r="DM13" t="str">
        <f>IF(AND('Tube Cutting'!C19="Zipscreen",'Job Sheet'!M19="Gearbox"),1,"")</f>
        <v/>
      </c>
      <c r="DN13" t="str">
        <f>IF('Tube Cutting'!C19="Zipscreen",1,"")</f>
        <v/>
      </c>
      <c r="EK13" t="str">
        <f t="shared" si="1"/>
        <v/>
      </c>
      <c r="GM13" t="str">
        <f>IF(AND('Job Sheet'!M19="Gearbox",'Job Sheet'!N19="Black"),1,"")</f>
        <v/>
      </c>
      <c r="GN13" t="str">
        <f>IF(AND('Job Sheet'!M19="Gearbox",'Job Sheet'!N19="White"),1,"")</f>
        <v/>
      </c>
      <c r="GO13" t="str">
        <f>IF('Job Sheet'!Q19="Black Crank Handle 1000mm",1,"")</f>
        <v/>
      </c>
      <c r="GP13" t="str">
        <f>IF('Job Sheet'!Q19="Black Crank Handle 1200mm",1,"")</f>
        <v/>
      </c>
      <c r="GQ13" t="str">
        <f>IF('Job Sheet'!Q19="Black Crank Handle 1500mm",1,"")</f>
        <v/>
      </c>
      <c r="GR13" t="str">
        <f>IF('Job Sheet'!Q19="Black Crank Handle 1800mm",1,"")</f>
        <v/>
      </c>
      <c r="GS13" t="str">
        <f>IF('Job Sheet'!Q19="Black Crank Handle 2200mm",1,"")</f>
        <v/>
      </c>
      <c r="GT13" t="str">
        <f>IF('Job Sheet'!Q19="Black Crank Handle 2500mm",1,"")</f>
        <v/>
      </c>
      <c r="GU13" t="str">
        <f>IF('Job Sheet'!Q19="Black Crank Handle 3000mm",1,"")</f>
        <v/>
      </c>
      <c r="GV13" t="str">
        <f>IF('Job Sheet'!Q19="White Crank Handle 1000mm",1,"")</f>
        <v/>
      </c>
      <c r="GW13" t="str">
        <f>IF('Job Sheet'!Q19="White Crank Handle 1200mm",1,"")</f>
        <v/>
      </c>
      <c r="GX13" t="str">
        <f>IF('Job Sheet'!Q19="White Crank Handle 1500mm",1,"")</f>
        <v/>
      </c>
      <c r="GY13" t="str">
        <f>IF('Job Sheet'!Q19="White Crank Handle 1800mm",1,"")</f>
        <v/>
      </c>
      <c r="GZ13" t="str">
        <f>IF('Job Sheet'!Q19="White Crank Handle 2200mm",1,"")</f>
        <v/>
      </c>
      <c r="HA13" t="str">
        <f>IF('Job Sheet'!Q19="White Crank Handle 2500mm",1,"")</f>
        <v/>
      </c>
      <c r="HB13" t="str">
        <f>IF('Job Sheet'!Q19="White Crank Handle 3000mm",1,"")</f>
        <v/>
      </c>
      <c r="IM13" t="str">
        <f>IF(OR('Job Sheet'!V19&lt;&gt;"Pearl White",'Job Sheet'!V19&lt;&gt;"White Satin"),"",2)</f>
        <v/>
      </c>
      <c r="IN13" t="str">
        <f>IF(AND('Job Sheet'!U19="Powder Coated Brackets",(OR('Job Sheet'!V19="Pearl White",'Job Sheet'!V19="White Satin"))),2,"")</f>
        <v/>
      </c>
      <c r="IQ13" t="str">
        <f>IF('Job Sheet'!U19="Stainless Steel Brackets",2,"")</f>
        <v/>
      </c>
      <c r="JN13" t="str">
        <f>IF('Job Sheet'!AA19="25mm x 1",1,IF('Job Sheet'!AA19="25mm x 2",2,""))</f>
        <v/>
      </c>
      <c r="JO13" t="str">
        <f>IF('Job Sheet'!AA19="50mm x 1",1,IF('Job Sheet'!AA19="50mm x 2",2,""))</f>
        <v/>
      </c>
      <c r="JP13" t="str">
        <f>IF('Job Sheet'!AA19="75mm x 1",1,IF('Job Sheet'!AA19="75mm x 2",2,""))</f>
        <v/>
      </c>
      <c r="JQ13" t="str">
        <f>IF('Job Sheet'!AA19="100mm x 1",1,IF('Job Sheet'!AA19="100mm x 2",2,""))</f>
        <v/>
      </c>
      <c r="JR13" t="str">
        <f>IF('Job Sheet'!AA19="125mm x 1",1,IF('Job Sheet'!AA19="125mm x 2",2,""))</f>
        <v/>
      </c>
      <c r="JT13" t="str">
        <f>IF('Fabric Cutting'!L19="6mm Black",'Fabric Cutting'!E19,+IF('Fabric Cutting'!M19="6mm Black",'Fabric Cutting'!E19,""))</f>
        <v/>
      </c>
      <c r="JU13" t="str">
        <f>IF('Job Sheet'!K19="1.Verticali",'Fabric Cutting'!E19,"")</f>
        <v/>
      </c>
      <c r="JV13" t="str">
        <f>IF('Tube Cutting'!G19="Verticali Hooding (Old)",'Tube Cutting'!F19,"")</f>
        <v/>
      </c>
      <c r="JW13" t="str">
        <f>IF('Tube Cutting'!G19="Verticali Hooding (Old)",'Tube Cutting'!F19,"")</f>
        <v/>
      </c>
      <c r="JX13" t="str">
        <f>IF('Tube Cutting'!G19="Verticali Square Hooding",'Tube Cutting'!F19,"")</f>
        <v/>
      </c>
      <c r="JY13" t="str">
        <f>IF('Tube Cutting'!G19="Verticali Square Hooding",'Tube Cutting'!F19,"")</f>
        <v/>
      </c>
      <c r="KA13" t="str">
        <f>IF('Tube Cutting'!C19="Verticali",('Job Sheet'!G19-100)*2,"")</f>
        <v/>
      </c>
      <c r="KB13" t="str">
        <f>IF('Tube Cutting'!C19="Verticali",('Job Sheet'!G19-100)*2,"")</f>
        <v/>
      </c>
      <c r="KC13" t="str">
        <f>IF('Tube Cutting'!C19="Verticali",'Tube Cutting'!N19,"")</f>
        <v/>
      </c>
      <c r="KD13" t="str">
        <f>IF('Tube Cutting'!C19="Verticali",('Job Sheet'!G19-100)*2,"")</f>
        <v/>
      </c>
      <c r="KE13" t="str">
        <f>IF(Data!AV19="","",('Fabric Cutting'!F19-200)*2)</f>
        <v/>
      </c>
      <c r="KF13" t="str">
        <f>IF(OR(Data!AV19="",'Fabric Cutting'!C19&lt;&gt;"Verticali"),"",IF('Assembly(a)'!K19="",20,'Assembly(a)'!G19-1980))</f>
        <v/>
      </c>
      <c r="KG13" t="str">
        <f>IF('Tube Cutting'!C19="Verticali",'Tube Cutting'!N19,"")</f>
        <v/>
      </c>
      <c r="KH13" t="str">
        <f>IF(AND('Tube Cutting'!C19="Verticali",'Tube Cutting'!N19&lt;2000),'Tube Cutting'!N19-10,IF(AND('Tube Cutting'!C19="Verticali",'Tube Cutting'!N19&gt;2000),2000,""))</f>
        <v/>
      </c>
      <c r="KI13" t="str">
        <f>IF('Tube Cutting'!G19="Verticali Hooding (Old)",1,"")</f>
        <v/>
      </c>
      <c r="KJ13" t="str">
        <f>IF('Tube Cutting'!G19="Verticali Square Hooding",1,"")</f>
        <v/>
      </c>
      <c r="KL13" t="str">
        <f>IF('Tube Cutting'!G19="Verticali Colourbond Hooding",1,"")</f>
        <v/>
      </c>
      <c r="KM13" t="str">
        <f>IF(AND('Tube Cutting'!C19="Verticali",'Tube Cutting'!P19="78mm"),2,"")</f>
        <v/>
      </c>
      <c r="KN13" t="str">
        <f>IF(AND('Tube Cutting'!C19="Verticali",'Tube Cutting'!P19="85mm"),2,"")</f>
        <v/>
      </c>
      <c r="KP13" t="str">
        <f>IF(AND('Tube Cutting'!C19="Verticali",'Job Sheet'!M19="Gearbox"),1,"")</f>
        <v/>
      </c>
      <c r="KQ13" t="str">
        <f>IF('Tube Cutting'!C19="Verticali",1,"")</f>
        <v/>
      </c>
      <c r="KS13" t="str">
        <f>IF(OR('Job Sheet'!AB19="Foot 1 Side",'Job Sheet'!AB19="Leg &amp; Foot 1 Side",'Job Sheet'!AB19="End Cap 1 Side"),1,IF(OR('Job Sheet'!AB19="Foot Both Sides",'Job Sheet'!AB19="Leg &amp; Foot Both Sides",'Job Sheet'!AB19="End Cap Both Sides"),2,""))</f>
        <v/>
      </c>
      <c r="KT13" t="str">
        <f>IF(OR('Job Sheet'!AB19="Leg 1 Side",'Job Sheet'!AB19="Leg &amp; Foot 1 Side"),1,IF(OR('Job Sheet'!AB19="Leg Both Sides",'Job Sheet'!AB19="Leg &amp; Foot Both Sides",),2,""))</f>
        <v/>
      </c>
      <c r="KU13" t="str">
        <f>IF('Tube Cutting'!C19="Verticali",2,"")</f>
        <v/>
      </c>
      <c r="KW13" t="str">
        <f>IF('Tube Cutting'!C19="Verticali",2,"")</f>
        <v/>
      </c>
      <c r="KX13" t="str">
        <f>IF(Packing!L19="1 Pair",1,IF(Packing!L19="2 Pairs",2,""))</f>
        <v/>
      </c>
      <c r="KZ13" t="str">
        <f>IF('Tube Cutting'!G19="Verticali Base Rail",2,"")</f>
        <v/>
      </c>
      <c r="LA13" t="str">
        <f>IF('Tube Cutting'!G19="Zipscreen Hooding",'Tube Cutting'!F19,"")</f>
        <v/>
      </c>
      <c r="LB13" t="str">
        <f>IF('Tube Cutting'!G19="Zipscreen Hooding",'Tube Cutting'!F19,"")</f>
        <v/>
      </c>
      <c r="LD13" t="str">
        <f>IF('Tube Cutting'!G19="Zipscreen Hooding",1,"")</f>
        <v/>
      </c>
      <c r="LE13" t="str">
        <f>IF('Job Sheet'!AO19="Compact",1,"")</f>
        <v/>
      </c>
      <c r="LF13" t="str">
        <f>IF('Job Sheet'!AO19="Light",1,"")</f>
        <v/>
      </c>
      <c r="LG13" t="str">
        <f>IF('Job Sheet'!AO19="Standard",1,"")</f>
        <v/>
      </c>
      <c r="LH13" t="str">
        <f>IF('Job Sheet'!AO19="Heavy Duty",1,"")</f>
        <v/>
      </c>
      <c r="LI13" t="str">
        <f>IF('Job Sheet'!AO19="Extra Heavy Duty",1,"")</f>
        <v/>
      </c>
      <c r="LJ13" t="str">
        <f>IF('Job Sheet'!AO19="Ultra Heavy Duty",1,"")</f>
        <v/>
      </c>
      <c r="LK13" t="str">
        <f>IF('Tube Cutting'!C19="Zipscreen",2,"")</f>
        <v/>
      </c>
      <c r="LM13" t="str">
        <f>IF(AND('Job Sheet'!K19="2.Zipscreen",'Job Sheet'!M19="Spring"),1,"")</f>
        <v/>
      </c>
      <c r="LN13" t="str">
        <f>IF(AND('Job Sheet'!K19="2.Zipscreen",'Job Sheet'!M19="Spring"),2,IF(AND('Job Sheet'!K19="2.Zipscreen",'Job Sheet'!M19&lt;&gt;"Spring"),1,""))</f>
        <v/>
      </c>
      <c r="LO13" t="str">
        <f>IF(Data!BO19="PVC",'Fabric Cutting'!E19,"")</f>
        <v/>
      </c>
      <c r="LP13" t="str">
        <f>IF('Tube Cutting'!C19="Zipscreen",'Tube Cutting'!N19,"")</f>
        <v/>
      </c>
      <c r="LQ13" t="str">
        <f>IF('Tube Cutting'!C19="Zipscreen",2,"")</f>
        <v/>
      </c>
      <c r="LR13" t="str">
        <f>IF('Tube Cutting'!C19="Zipscreen",'Tube Cutting'!N19,"")</f>
        <v/>
      </c>
      <c r="LT13" t="str">
        <f>IF('Tube Cutting'!C19="Zipscreen",('Tube Cutting'!N19-100)*2,"")</f>
        <v/>
      </c>
      <c r="LU13" t="str">
        <f>IF(AND('Job Sheet'!K19="2.Zipscreen",'Job Sheet'!M19="Spring"),1,"")</f>
        <v/>
      </c>
      <c r="LV13" t="str">
        <f>IF(AND('Job Sheet'!K19="2.Zipscreen",'Job Sheet'!M19="Spring"),1,"")</f>
        <v/>
      </c>
      <c r="LW13" t="str">
        <f>IF('Tube Cutting'!C19="Zipscreen",('Job Sheet'!G19-100)*2,"")</f>
        <v/>
      </c>
      <c r="LX13" t="str">
        <f>IF('Tube Cutting'!C19="Zipscreen",('Job Sheet'!G19-82)*2,"")</f>
        <v/>
      </c>
      <c r="LY13" t="str">
        <f>IF('Tube Cutting'!K19="","",('Job Sheet'!G19-100)*2)</f>
        <v/>
      </c>
      <c r="LZ13" t="str">
        <f>IF('Tube Cutting'!C19="Zipscreen",2,"")</f>
        <v/>
      </c>
      <c r="MA13" t="str">
        <f>IF('Tube Cutting'!C19="Zipscreen",2,"")</f>
        <v/>
      </c>
      <c r="MB13" t="str">
        <f>IF('Job Sheet'!M19="Acmeda Remote Motor",1,"")</f>
        <v/>
      </c>
      <c r="ME13" t="str">
        <f>IF(AND('Tube Cutting'!P19="78mm",'Job Sheet'!M19="Acmeda Remote Motor"),1,"")</f>
        <v/>
      </c>
      <c r="MG13" t="str">
        <f>IF('Job Sheet'!M19="Acmeda 12v Remote Motor",1,"")</f>
        <v/>
      </c>
      <c r="MH13" t="str">
        <f>IF(OR('Job Sheet'!R19="External Battery",'Job Sheet'!R19="External Battery and Charging Cable"),1,"")</f>
        <v/>
      </c>
      <c r="MI13" t="str">
        <f>IF('Job Sheet'!R19="External Battery and Charging Cable",1,"")</f>
        <v/>
      </c>
      <c r="MJ13" t="str">
        <f>IF(OR('Job Sheet'!R19="Pulse Pro Automation Hub",'Job Sheet'!R19="Pulse 2.0 Automation Hub"),1,"")</f>
        <v/>
      </c>
      <c r="MK13" t="str">
        <f>IF('Job Sheet'!R19="USB Repeater",1,"")</f>
        <v/>
      </c>
      <c r="ML13" t="str">
        <f>IF('Job Sheet'!Q19="Acmeda 1 Channel White Remote",1,"")</f>
        <v/>
      </c>
      <c r="MM13" t="str">
        <f>IF('Job Sheet'!Q19="Acmeda 1 Channel Black Remote",1,"")</f>
        <v/>
      </c>
      <c r="MN13" t="str">
        <f>IF('Job Sheet'!Q19="Acmeda 5 Channel White Remote",1,"")</f>
        <v/>
      </c>
      <c r="MO13" t="str">
        <f>IF('Job Sheet'!Q19="Acmeda 5 Channel Black Remote",1,"")</f>
        <v/>
      </c>
      <c r="MP13" t="str">
        <f>IF('Job Sheet'!Q19="Acmeda 15 Channel White Remote",1,"")</f>
        <v/>
      </c>
      <c r="MQ13" t="str">
        <f>IF('Job Sheet'!Q19="Acmeda 15 Channel Black Remote",1,"")</f>
        <v/>
      </c>
      <c r="MR13" t="str">
        <f>IF('Job Sheet'!Q19="Acmeda Wall Mounted 5 Channel White Remote",1,"")</f>
        <v/>
      </c>
      <c r="MS13" t="str">
        <f>IF('Job Sheet'!Q19="Acmeda Wall Mounted Single Channel White Remote",1,"")</f>
        <v/>
      </c>
      <c r="MT13" t="str">
        <f>IF('Job Sheet'!Q19="Acmeda 2 Channel White Remote",1,"")</f>
        <v/>
      </c>
      <c r="MU13" t="str">
        <f>IF('Job Sheet'!Q19="Acmeda 15 Channel White Remote",1,"")</f>
        <v/>
      </c>
      <c r="MV13" t="str">
        <f>IF('Job Sheet'!Q19="Acmeda Push Pro White Remote with Charger",1,"")</f>
        <v/>
      </c>
      <c r="MW13" t="str">
        <f>IF('Job Sheet'!Q19="Acmeda Push Pro Black Remote with Charger",1,"")</f>
        <v/>
      </c>
      <c r="MX13" t="str">
        <f>IF(OR('Job Sheet'!Q19="Acmeda Push Pro White Remote with Charger",'Job Sheet'!Q19="Acmeda Push Pro Black Remote with Charger"),"1","")</f>
        <v/>
      </c>
      <c r="MY13" t="str">
        <f t="shared" si="2"/>
        <v/>
      </c>
      <c r="MZ13" t="str">
        <f>IF('Job Sheet'!S19="Acmeda Wind Sensor",1,"")</f>
        <v/>
      </c>
      <c r="NA13" t="str">
        <f>IF('Job Sheet'!R19="1 Channel Dry Contact Relay Module",1,"")</f>
        <v/>
      </c>
      <c r="NE13" t="str">
        <f>IF('Job Sheet'!M19="Becker Remote Operated",1,"")</f>
        <v/>
      </c>
      <c r="NF13" t="str">
        <f>IF('Job Sheet'!M19="Becker Switch Operated",1,"")</f>
        <v/>
      </c>
      <c r="NG13" t="str">
        <f>IF(OR('Job Sheet'!M19="Acmeda Remote Motor",'Job Sheet'!M19="Becker Remote Operated",'Job Sheet'!M19="Becker Switch Operated"),1,"")</f>
        <v/>
      </c>
      <c r="NI13" t="str">
        <f>IF(OR('Job Sheet'!M19="Becker Remote Operated",'Job Sheet'!M19="Becker Switch Operated"),1,"")</f>
        <v/>
      </c>
      <c r="NL13" t="str">
        <f>IF(AND('Tube Cutting'!P19="78mm",(OR('Job Sheet'!M19="Becker Remote Operated",'Job Sheet'!M19="Becker Switch Operated"))),1,"")</f>
        <v/>
      </c>
      <c r="NM13" t="str">
        <f>IF('Job Sheet'!Q19="Becker Single Channel White Remote",1,"")</f>
        <v/>
      </c>
      <c r="NN13" t="str">
        <f>IF('Job Sheet'!Q19="Becker Single Channel Black Remote",1,"")</f>
        <v/>
      </c>
      <c r="NO13" t="str">
        <f>IF('Job Sheet'!Q19="Becker 5 Channel White Remote",1,"")</f>
        <v/>
      </c>
      <c r="NP13" t="str">
        <f>IF('Job Sheet'!Q19="Becker 5 Channel Black Remote",1,"")</f>
        <v/>
      </c>
      <c r="NQ13" t="str">
        <f>IF('Job Sheet'!Q19="Becker 10 Channel White Remote",1,"")</f>
        <v/>
      </c>
      <c r="NR13" t="str">
        <f>IF('Job Sheet'!Q19="Becker 10 Channel Black Remote",1,"")</f>
        <v/>
      </c>
      <c r="NS13" t="str">
        <f>IF('Job Sheet'!S19="Becker Wind Sensor",1,"")</f>
        <v/>
      </c>
      <c r="NT13" t="str">
        <f>IF('Job Sheet'!M19="Somfy Remote Operated",1,"")</f>
        <v/>
      </c>
      <c r="NV13" t="str">
        <f>IF('Job Sheet'!M19="Somfy Remote Operated",1,"")</f>
        <v/>
      </c>
      <c r="NW13" t="str">
        <f>IF('Job Sheet'!M19="Somfy Remote Operated",1,"")</f>
        <v/>
      </c>
      <c r="NZ13" t="str">
        <f>IF(AND('Tube Cutting'!P19="78mm",'Job Sheet'!M19="Somfy Remote Operated"),1,"")</f>
        <v/>
      </c>
      <c r="OA13" t="str">
        <f>IF('Job Sheet'!R19="Connexoon App Connector",1,"")</f>
        <v/>
      </c>
      <c r="OB13" t="str">
        <f>IF('Job Sheet'!R19="Tahoma Switch",1,"")</f>
        <v/>
      </c>
      <c r="OC13" t="str">
        <f>IF('Job Sheet'!Q19="Somfy 15 Channel Silver Remote",1,"")</f>
        <v/>
      </c>
      <c r="OD13" t="str">
        <f>IF('Job Sheet'!Q19="Somfy 15 Channel White Remote",1,"")</f>
        <v/>
      </c>
      <c r="OE13" t="str">
        <f>IF('Job Sheet'!Q19="Somfy 2 Channel Silver Remote",1,"")</f>
        <v/>
      </c>
      <c r="OF13" t="str">
        <f>IF('Job Sheet'!Q19="Somfy 2 Channel Wall Mounted Smoove Remote White with Black Cover Plate",1,"")</f>
        <v/>
      </c>
      <c r="OG13" t="str">
        <f>IF('Job Sheet'!Q19="Somfy 2 Channel Wall Mounted Smoove Remote White with Silver Cover Plate",1,"")</f>
        <v/>
      </c>
      <c r="OH13" t="str">
        <f>IF('Job Sheet'!Q19="Somfy 2 Channel Wall Mounted Smoove Remote White",1,"")</f>
        <v/>
      </c>
      <c r="OI13" t="str">
        <f>IF('Job Sheet'!Q19="Somfy 2 Channel White Remote",1,"")</f>
        <v/>
      </c>
      <c r="OJ13" t="str">
        <f>IF('Job Sheet'!Q19="Somfy 2 Channel Silver Remote",1,"")</f>
        <v/>
      </c>
      <c r="OK13" t="str">
        <f>IF('Job Sheet'!Q19="Somfy 5 Channel Wall Mounted Smoove Remote White with Black Cover Plate",1,"")</f>
        <v/>
      </c>
      <c r="OL13" t="str">
        <f>IF('Job Sheet'!Q19="Somfy 5 Channel Wall Mounted Smoove Remote White with Silver Cover Plate",1,"")</f>
        <v/>
      </c>
      <c r="OM13" t="str">
        <f>IF('Job Sheet'!Q19="Somfy 5 Channel Wall Mounted Smoove Remote White",1,"")</f>
        <v/>
      </c>
      <c r="ON13" t="str">
        <f>IF('Job Sheet'!Q19="Somfy 5 Channel White Remote",1,"")</f>
        <v/>
      </c>
      <c r="OO13" t="str">
        <f>IF('Job Sheet'!Q19="Somfy Single Channel Silver Remote",1,"")</f>
        <v/>
      </c>
      <c r="OP13" t="str">
        <f>IF('Job Sheet'!Q19="Somfy Single Channel Wall Mounted Smoove Remote White with Black Cover Plate",1,"")</f>
        <v/>
      </c>
      <c r="OQ13" t="str">
        <f>IF('Job Sheet'!Q19="Somfy Single Channel Wall Mounted Smoove Remote White with Silver Cover Plate",1,"")</f>
        <v/>
      </c>
      <c r="OR13" t="str">
        <f>IF('Job Sheet'!Q19="Somfy Single Channel Wall Mounted Smoove Remote White",1,"")</f>
        <v/>
      </c>
      <c r="OS13" t="str">
        <f>IF('Job Sheet'!Q19="Somfy Single Channel White Remote",1,"")</f>
        <v/>
      </c>
    </row>
    <row r="14" spans="4:409" s="144" customFormat="1" ht="13.2" customHeight="1">
      <c r="D14" s="144" t="str">
        <f>IF('Tube Cutting'!C20="","",CONCATENATE(Data!BC$5,".",Data!BD$5))</f>
        <v/>
      </c>
      <c r="E14" s="144" t="str">
        <f>IF(D14="","",Data!AW20)</f>
        <v/>
      </c>
      <c r="F14" s="144" t="str">
        <f>IF(D14="","",Data!AV20)</f>
        <v/>
      </c>
      <c r="G14" s="144" t="str">
        <f>IF(D14="","",'Tube Cutting'!C20)</f>
        <v/>
      </c>
      <c r="H14" s="144" t="str">
        <f>IF(D14="","",Data!BF$5)</f>
        <v/>
      </c>
      <c r="I14" s="144" t="str">
        <f>IF(D14="","",Data!AX$5)</f>
        <v/>
      </c>
      <c r="J14" s="145" t="str">
        <f>'Job Sheet'!L20</f>
        <v/>
      </c>
      <c r="K14" s="144" t="str">
        <f t="shared" si="0"/>
        <v/>
      </c>
      <c r="L14" s="146" t="str">
        <f>'Fabric Cutting'!E20</f>
        <v/>
      </c>
      <c r="M14" s="146" t="str">
        <f>'Fabric Cutting'!F20</f>
        <v/>
      </c>
      <c r="N14" s="144" t="str">
        <f>IF(AND('Tube Cutting'!G20="Colourbond Under-Roll Hooding",'Tube Cutting'!H20="Custom Powdercoat"),'Tube Cutting'!D20,"")</f>
        <v/>
      </c>
      <c r="O14" s="144" t="str">
        <f>IF(AND('Tube Cutting'!G20="Colourbond Under-Roll Hooding",'Tube Cutting'!H20="Ebony (Black)"),'Tube Cutting'!D20,"")</f>
        <v/>
      </c>
      <c r="P14" s="144" t="str">
        <f>IF(AND('Tube Cutting'!G20="Colourbond Under-Roll Hooding",'Tube Cutting'!H20="Caulfield Green"),'Tube Cutting'!D20,"")</f>
        <v/>
      </c>
      <c r="Q14" s="144" t="str">
        <f>IF(AND('Tube Cutting'!G20="Colourbond Under-Roll Hooding",'Tube Cutting'!H20="Charcoal (Monument)"),'Tube Cutting'!D20,"")</f>
        <v/>
      </c>
      <c r="R14" s="144" t="str">
        <f>IF(AND('Tube Cutting'!G20="Colourbond Under-Roll Hooding",'Tube Cutting'!H20="Dune"),'Tube Cutting'!D20,"")</f>
        <v/>
      </c>
      <c r="S14" s="144" t="str">
        <f>IF(AND('Tube Cutting'!G20="Colourbond Under-Roll Hooding",'Tube Cutting'!H20="Heritage Red (Manor Red)"),'Tube Cutting'!D20,"")</f>
        <v/>
      </c>
      <c r="T14" s="144" t="str">
        <f>IF(AND('Tube Cutting'!G20="Colourbond Under-Roll Hooding",'Tube Cutting'!H20="Ironstone"),'Tube Cutting'!D20,"")</f>
        <v/>
      </c>
      <c r="U14" s="144" t="str">
        <f>IF(AND('Tube Cutting'!G20="Colourbond Under-Roll Hooding",'Tube Cutting'!H20="Jasper"),'Tube Cutting'!D20,"")</f>
        <v/>
      </c>
      <c r="V14" s="144" t="str">
        <f>IF(AND('Tube Cutting'!G20="Colourbond Under-Roll Hooding",'Tube Cutting'!H20="Merino (Paperbark)"),'Tube Cutting'!D20,"")</f>
        <v/>
      </c>
      <c r="W14" s="144" t="str">
        <f>IF(AND('Tube Cutting'!G20="Colourbond Under-Roll Hooding",'Tube Cutting'!H20="Mist Green"),'Tube Cutting'!D20,"")</f>
        <v/>
      </c>
      <c r="X14" s="144" t="str">
        <f>IF(AND('Tube Cutting'!G20="Colourbond Under-Roll Hooding",'Tube Cutting'!H20="Mountain Blue"),'Tube Cutting'!D20,"")</f>
        <v/>
      </c>
      <c r="Y14" s="144" t="str">
        <f>IF(AND('Tube Cutting'!G20="Colourbond Under-Roll Hooding",'Tube Cutting'!H20="Smooth Cream (Classic Cream)"),'Tube Cutting'!D20,"")</f>
        <v/>
      </c>
      <c r="Z14" s="144" t="str">
        <f>IF(AND('Tube Cutting'!G20="Colourbond Under-Roll Hooding",'Tube Cutting'!H20="Shale Grey"),'Tube Cutting'!D20,"")</f>
        <v/>
      </c>
      <c r="AA14" s="144" t="str">
        <f>IF(AND('Tube Cutting'!G20="Colourbond Under-Roll Hooding",'Tube Cutting'!H20="Slate Grey (Woodland Grey)"),'Tube Cutting'!D20,"")</f>
        <v/>
      </c>
      <c r="AB14" s="144" t="str">
        <f>IF(AND('Tube Cutting'!G20="Colourbond Under-Roll Hooding",'Tube Cutting'!H20="Surfmist"),'Tube Cutting'!D20,"")</f>
        <v/>
      </c>
      <c r="AC14" s="144" t="str">
        <f>IF(AND('Tube Cutting'!G20="Colourbond Under-Roll Hooding",'Tube Cutting'!H20="White"),'Tube Cutting'!D20,"")</f>
        <v/>
      </c>
      <c r="AT14" s="144" t="str">
        <f>IF(AND('Tube Cutting'!G20="Colourbond Under-Roll Hooding",'Tube Cutting'!H20="Custom Powdercoat"),1,"")</f>
        <v/>
      </c>
      <c r="AU14" s="144" t="str">
        <f>IF(AND('Tube Cutting'!G20="Colourbond Under-Roll Hooding",'Tube Cutting'!H20="Ebony (Black)"),1,"")</f>
        <v/>
      </c>
      <c r="AV14" s="144" t="str">
        <f>IF(AND('Tube Cutting'!G20="Colourbond Under-Roll Hooding",'Tube Cutting'!H20="Caulfield Green"),1,"")</f>
        <v/>
      </c>
      <c r="AW14" s="144" t="str">
        <f>IF(AND('Tube Cutting'!G20="Colourbond Under-Roll Hooding",'Tube Cutting'!H20="Charcoal (Monument)"),1,"")</f>
        <v/>
      </c>
      <c r="AX14" s="144" t="str">
        <f>IF(AND('Tube Cutting'!G20="Colourbond Under-Roll Hooding",'Tube Cutting'!H20="Dune"),1,"")</f>
        <v/>
      </c>
      <c r="AY14" s="144" t="str">
        <f>IF(AND('Tube Cutting'!G20="Colourbond Under-Roll Hooding",'Tube Cutting'!H20="Heritage Red (Manor Red)"),1,"")</f>
        <v/>
      </c>
      <c r="AZ14" s="144" t="str">
        <f>IF(AND('Tube Cutting'!G20="Colourbond Under-Roll Hooding",'Tube Cutting'!H20="Ironstone"),1,"")</f>
        <v/>
      </c>
      <c r="BA14" s="144" t="str">
        <f>IF(AND('Tube Cutting'!G20="Colourbond Under-Roll Hooding",'Tube Cutting'!H20="Jasper"),1,"")</f>
        <v/>
      </c>
      <c r="BB14" s="144" t="str">
        <f>IF(AND('Tube Cutting'!G20="Colourbond Under-Roll Hooding",'Tube Cutting'!H20="Merino (Paperbark)"),1,"")</f>
        <v/>
      </c>
      <c r="BC14" s="144" t="str">
        <f>IF(AND('Tube Cutting'!G20="Colourbond Under-Roll Hooding",'Tube Cutting'!H20="Mist Green"),1,"")</f>
        <v/>
      </c>
      <c r="BD14" s="144" t="str">
        <f>IF(AND('Tube Cutting'!G20="Colourbond Under-Roll Hooding",'Tube Cutting'!H20="Mountain Blue"),1,"")</f>
        <v/>
      </c>
      <c r="BE14" s="144" t="str">
        <f>IF(AND('Tube Cutting'!G20="Colourbond Under-Roll Hooding",'Tube Cutting'!H20="Smooth Cream (Classic Cream)"),1,"")</f>
        <v/>
      </c>
      <c r="BF14" s="144" t="str">
        <f>IF(AND('Tube Cutting'!G20="Colourbond Under-Roll Hooding",'Tube Cutting'!H20="Shale Grey"),1,"")</f>
        <v/>
      </c>
      <c r="BG14" s="144" t="str">
        <f>IF(AND('Tube Cutting'!G20="Colourbond Under-Roll Hooding",'Tube Cutting'!H20="Slate Grey (Woodland Grey)"),1,"")</f>
        <v/>
      </c>
      <c r="BH14" s="144" t="str">
        <f>IF(AND('Tube Cutting'!G20="Colourbond Under-Roll Hooding",'Tube Cutting'!H20="Surfmist"),1,"")</f>
        <v/>
      </c>
      <c r="BI14" s="144" t="str">
        <f>IF(AND('Tube Cutting'!G20="Colourbond Under-Roll Hooding",'Tube Cutting'!H20="White"),1,"")</f>
        <v/>
      </c>
      <c r="BJ14" s="144" t="str">
        <f>IF(AND('Tube Cutting'!G20="Colourbond Over-Roll Hooding",'Tube Cutting'!H20="Custom Powdercoat"),'Tube Cutting'!D20,"")</f>
        <v/>
      </c>
      <c r="BK14" s="144" t="str">
        <f>IF(AND('Tube Cutting'!G20="Colourbond Over-Roll Hooding",'Tube Cutting'!H20="Ebony (Black)"),'Tube Cutting'!D20,"")</f>
        <v/>
      </c>
      <c r="BL14" s="144" t="str">
        <f>IF(AND('Tube Cutting'!G20="Colourbond Over-Roll Hooding",'Tube Cutting'!H20="Caulfield Green"),'Tube Cutting'!D20,"")</f>
        <v/>
      </c>
      <c r="BM14" s="144" t="str">
        <f>IF(AND('Tube Cutting'!G20="Colourbond Over-Roll Hooding",'Tube Cutting'!H20="Charcoal (Monument)"),'Tube Cutting'!D20,"")</f>
        <v/>
      </c>
      <c r="BN14" s="144" t="str">
        <f>IF(AND('Tube Cutting'!G20="Colourbond Over-Roll Hooding",'Tube Cutting'!H20="Dune"),'Tube Cutting'!D20,"")</f>
        <v/>
      </c>
      <c r="BO14" s="144" t="str">
        <f>IF(AND('Tube Cutting'!G20="Colourbond Over-Roll Hooding",'Tube Cutting'!H20="Heritage Red (Manor Red)"),'Tube Cutting'!D20,"")</f>
        <v/>
      </c>
      <c r="BP14" s="144" t="str">
        <f>IF(AND('Tube Cutting'!G20="Colourbond Over-Roll Hooding",'Tube Cutting'!H20="Ironstone"),'Tube Cutting'!D20,"")</f>
        <v/>
      </c>
      <c r="BQ14" s="144" t="str">
        <f>IF(AND('Tube Cutting'!G20="Colourbond Over-Roll Hooding",'Tube Cutting'!H20="Jasper"),'Tube Cutting'!D20,"")</f>
        <v/>
      </c>
      <c r="BR14" s="144" t="str">
        <f>IF(AND('Tube Cutting'!G20="Colourbond Over-Roll Hooding",'Tube Cutting'!H20="Merino (Paperbark)"),'Tube Cutting'!D20,"")</f>
        <v/>
      </c>
      <c r="BS14" s="144" t="str">
        <f>IF(AND('Tube Cutting'!G20="Colourbond Over-Roll Hooding",'Tube Cutting'!H20="Mist Green"),'Tube Cutting'!D20,"")</f>
        <v/>
      </c>
      <c r="BT14" s="144" t="str">
        <f>IF(AND('Tube Cutting'!G20="Colourbond Over-Roll Hooding",'Tube Cutting'!H20="Mountain Blue"),'Tube Cutting'!D20,"")</f>
        <v/>
      </c>
      <c r="BU14" s="144" t="str">
        <f>IF(AND('Tube Cutting'!G20="Colourbond Over-Roll Hooding",'Tube Cutting'!H20="Smooth Cream (Classic Cream)"),'Tube Cutting'!D20,"")</f>
        <v/>
      </c>
      <c r="BV14" s="144" t="str">
        <f>IF(AND('Tube Cutting'!G20="Colourbond Over-Roll Hooding",'Tube Cutting'!H20="Shale Grey"),'Tube Cutting'!D20,"")</f>
        <v/>
      </c>
      <c r="BW14" s="144" t="str">
        <f>IF(AND('Tube Cutting'!G20="Colourbond Over-Roll Hooding",'Tube Cutting'!H20="Slate Grey (Woodland Grey)"),'Tube Cutting'!D20,"")</f>
        <v/>
      </c>
      <c r="BX14" s="144" t="str">
        <f>IF(AND('Tube Cutting'!G20="Colourbond Over-Roll Hooding",'Tube Cutting'!H20="Surfmist"),'Tube Cutting'!D20,"")</f>
        <v/>
      </c>
      <c r="BY14" s="144" t="str">
        <f>IF(AND('Tube Cutting'!G20="Colourbond Over-Roll Hooding",'Tube Cutting'!H20="Mist"),'Tube Cutting'!D20,"")</f>
        <v/>
      </c>
      <c r="CP14" s="144" t="str">
        <f>IF(AND('Tube Cutting'!G20="Colourbond Over-Roll Hooding",'Tube Cutting'!H20="Custom Powdercoat"),1,"")</f>
        <v/>
      </c>
      <c r="CQ14" s="144" t="str">
        <f>IF(AND('Tube Cutting'!G20="Colourbond Over-Roll Hooding",'Tube Cutting'!H20="Ebony (Black)"),1,"")</f>
        <v/>
      </c>
      <c r="CR14" s="144" t="str">
        <f>IF(AND('Tube Cutting'!G20="Colourbond Over-Roll Hooding",'Tube Cutting'!H20="Caulfield Green"),1,"")</f>
        <v/>
      </c>
      <c r="CS14" s="144" t="str">
        <f>IF(AND('Tube Cutting'!G20="Colourbond Over-Roll Hooding",'Tube Cutting'!H20="Charcoal (Monument)"),1,"")</f>
        <v/>
      </c>
      <c r="CT14" s="144" t="str">
        <f>IF(AND('Tube Cutting'!G20="Colourbond Over-Roll Hooding",'Tube Cutting'!H20="Dune"),1,"")</f>
        <v/>
      </c>
      <c r="CU14" s="144" t="str">
        <f>IF(AND('Tube Cutting'!G20="Colourbond Over-Roll Hooding",'Tube Cutting'!H20="Heritage Red (Manor Red)"),1,"")</f>
        <v/>
      </c>
      <c r="CV14" s="144" t="str">
        <f>IF(AND('Tube Cutting'!G20="Colourbond Over-Roll Hooding",'Tube Cutting'!H20="Ironstone"),1,"")</f>
        <v/>
      </c>
      <c r="CW14" s="144" t="str">
        <f>IF(AND('Tube Cutting'!G20="Colourbond Over-Roll Hooding",'Tube Cutting'!H20="Jasper"),1,"")</f>
        <v/>
      </c>
      <c r="CX14" s="144" t="str">
        <f>IF(AND('Tube Cutting'!G20="Colourbond Over-Roll Hooding",'Tube Cutting'!H20="Merino (Paperbark)"),1,"")</f>
        <v/>
      </c>
      <c r="CY14" s="144" t="str">
        <f>IF(AND('Tube Cutting'!G20="Colourbond Over-Roll Hooding",'Tube Cutting'!H20="Mist Green"),1,"")</f>
        <v/>
      </c>
      <c r="CZ14" s="144" t="str">
        <f>IF(AND('Tube Cutting'!G20="Colourbond Over-Roll Hooding",'Tube Cutting'!H20="Mountain Blue"),1,"")</f>
        <v/>
      </c>
      <c r="DA14" s="144" t="str">
        <f>IF(AND('Tube Cutting'!G20="Colourbond Over-Roll Hooding",'Tube Cutting'!H20="Smooth Cream (Classic Cream)"),1,"")</f>
        <v/>
      </c>
      <c r="DB14" s="144" t="str">
        <f>IF(AND('Tube Cutting'!G20="Colourbond Over-Roll Hooding",'Tube Cutting'!H20="Shale Grey"),1,"")</f>
        <v/>
      </c>
      <c r="DC14" s="144" t="str">
        <f>IF(AND('Tube Cutting'!G20="Colourbond Over-Roll Hooding",'Tube Cutting'!H20="Slate Grey (Woodland Grey)"),1,"")</f>
        <v/>
      </c>
      <c r="DD14" s="144" t="str">
        <f>IF(AND('Tube Cutting'!G20="Colourbond Over-Roll Hooding",'Tube Cutting'!H20="Surfmist"),1,"")</f>
        <v/>
      </c>
      <c r="DE14" s="144" t="str">
        <f>IF(AND('Tube Cutting'!G20="Colourbond Over-Roll Hooding",'Tube Cutting'!H20="Mist"),1,"")</f>
        <v/>
      </c>
      <c r="DI14" s="144" t="str">
        <f>IF('Tube Cutting'!P20="78mm",'Tube Cutting'!Q20,"")</f>
        <v/>
      </c>
      <c r="DJ14" s="144" t="str">
        <f>IF('Tube Cutting'!P20="85mm",'Tube Cutting'!Q20,"")</f>
        <v/>
      </c>
      <c r="DM14" t="str">
        <f>IF(AND('Tube Cutting'!C20="Zipscreen",'Job Sheet'!M20="Gearbox"),1,"")</f>
        <v/>
      </c>
      <c r="DN14" t="str">
        <f>IF('Tube Cutting'!C20="Zipscreen",1,"")</f>
        <v/>
      </c>
      <c r="EK14" s="144" t="str">
        <f t="shared" si="1"/>
        <v/>
      </c>
      <c r="GM14" s="144" t="str">
        <f>IF(AND('Job Sheet'!M20="Gearbox",'Job Sheet'!N20="Black"),1,"")</f>
        <v/>
      </c>
      <c r="GN14" s="144" t="str">
        <f>IF(AND('Job Sheet'!M20="Gearbox",'Job Sheet'!N20="White"),1,"")</f>
        <v/>
      </c>
      <c r="GO14" s="144" t="str">
        <f>IF('Job Sheet'!Q20="Black Crank Handle 1000mm",1,"")</f>
        <v/>
      </c>
      <c r="GP14" s="144" t="str">
        <f>IF('Job Sheet'!Q20="Black Crank Handle 1200mm",1,"")</f>
        <v/>
      </c>
      <c r="GQ14" s="144" t="str">
        <f>IF('Job Sheet'!Q20="Black Crank Handle 1500mm",1,"")</f>
        <v/>
      </c>
      <c r="GR14" s="144" t="str">
        <f>IF('Job Sheet'!Q20="Black Crank Handle 1800mm",1,"")</f>
        <v/>
      </c>
      <c r="GS14" s="144" t="str">
        <f>IF('Job Sheet'!Q20="Black Crank Handle 2200mm",1,"")</f>
        <v/>
      </c>
      <c r="GT14" s="144" t="str">
        <f>IF('Job Sheet'!Q20="Black Crank Handle 2500mm",1,"")</f>
        <v/>
      </c>
      <c r="GU14" s="144" t="str">
        <f>IF('Job Sheet'!Q20="Black Crank Handle 3000mm",1,"")</f>
        <v/>
      </c>
      <c r="GV14" s="144" t="str">
        <f>IF('Job Sheet'!Q20="White Crank Handle 1000mm",1,"")</f>
        <v/>
      </c>
      <c r="GW14" s="144" t="str">
        <f>IF('Job Sheet'!Q20="White Crank Handle 1200mm",1,"")</f>
        <v/>
      </c>
      <c r="GX14" s="144" t="str">
        <f>IF('Job Sheet'!Q20="White Crank Handle 1500mm",1,"")</f>
        <v/>
      </c>
      <c r="GY14" s="144" t="str">
        <f>IF('Job Sheet'!Q20="White Crank Handle 1800mm",1,"")</f>
        <v/>
      </c>
      <c r="GZ14" s="144" t="str">
        <f>IF('Job Sheet'!Q20="White Crank Handle 2200mm",1,"")</f>
        <v/>
      </c>
      <c r="HA14" s="144" t="str">
        <f>IF('Job Sheet'!Q20="White Crank Handle 2500mm",1,"")</f>
        <v/>
      </c>
      <c r="HB14" s="144" t="str">
        <f>IF('Job Sheet'!Q20="White Crank Handle 3000mm",1,"")</f>
        <v/>
      </c>
      <c r="IM14" s="144" t="str">
        <f>IF(OR('Job Sheet'!V20&lt;&gt;"Pearl White",'Job Sheet'!V20&lt;&gt;"White Satin"),"",2)</f>
        <v/>
      </c>
      <c r="IN14" s="144" t="str">
        <f>IF(AND('Job Sheet'!U20="Powder Coated Brackets",(OR('Job Sheet'!V20="Pearl White",'Job Sheet'!V20="White Satin"))),2,"")</f>
        <v/>
      </c>
      <c r="IQ14" s="144" t="str">
        <f>IF('Job Sheet'!U20="Stainless Steel Brackets",2,"")</f>
        <v/>
      </c>
      <c r="JN14" s="144" t="str">
        <f>IF('Job Sheet'!AA20="25mm x 1",1,IF('Job Sheet'!AA20="25mm x 2",2,""))</f>
        <v/>
      </c>
      <c r="JO14" s="144" t="str">
        <f>IF('Job Sheet'!AA20="50mm x 1",1,IF('Job Sheet'!AA20="50mm x 2",2,""))</f>
        <v/>
      </c>
      <c r="JP14" s="144" t="str">
        <f>IF('Job Sheet'!AA20="75mm x 1",1,IF('Job Sheet'!AA20="75mm x 2",2,""))</f>
        <v/>
      </c>
      <c r="JQ14" s="144" t="str">
        <f>IF('Job Sheet'!AA20="100mm x 1",1,IF('Job Sheet'!AA20="100mm x 2",2,""))</f>
        <v/>
      </c>
      <c r="JR14" s="144" t="str">
        <f>IF('Job Sheet'!AA20="125mm x 1",1,IF('Job Sheet'!AA20="125mm x 2",2,""))</f>
        <v/>
      </c>
      <c r="JT14" s="144" t="str">
        <f>IF('Fabric Cutting'!L20="6mm Black",'Fabric Cutting'!E20,+IF('Fabric Cutting'!M20="6mm Black",'Fabric Cutting'!E20,""))</f>
        <v/>
      </c>
      <c r="JU14" s="144" t="str">
        <f>IF('Job Sheet'!K20="1.Verticali",'Fabric Cutting'!E20,"")</f>
        <v/>
      </c>
      <c r="JV14" t="str">
        <f>IF('Tube Cutting'!G20="Verticali Hooding (Old)",'Tube Cutting'!F20,"")</f>
        <v/>
      </c>
      <c r="JW14" t="str">
        <f>IF('Tube Cutting'!G20="Verticali Hooding (Old)",'Tube Cutting'!F20,"")</f>
        <v/>
      </c>
      <c r="JX14" s="144" t="str">
        <f>IF('Tube Cutting'!G20="Verticali Square Hooding",'Tube Cutting'!F20,"")</f>
        <v/>
      </c>
      <c r="JY14" s="144" t="str">
        <f>IF('Tube Cutting'!G20="Verticali Square Hooding",'Tube Cutting'!F20,"")</f>
        <v/>
      </c>
      <c r="KA14" s="144" t="str">
        <f>IF('Tube Cutting'!C20="Verticali",('Job Sheet'!G20-100)*2,"")</f>
        <v/>
      </c>
      <c r="KB14" s="144" t="str">
        <f>IF('Tube Cutting'!C20="Verticali",('Job Sheet'!G20-100)*2,"")</f>
        <v/>
      </c>
      <c r="KC14" s="144" t="str">
        <f>IF('Tube Cutting'!C20="Verticali",'Tube Cutting'!N20,"")</f>
        <v/>
      </c>
      <c r="KD14" s="144" t="str">
        <f>IF('Tube Cutting'!C20="Verticali",('Job Sheet'!G20-100)*2,"")</f>
        <v/>
      </c>
      <c r="KE14" t="str">
        <f>IF(Data!AV20="","",('Fabric Cutting'!F20-200)*2)</f>
        <v/>
      </c>
      <c r="KF14" t="str">
        <f>IF(OR(Data!AV20="",'Fabric Cutting'!C20&lt;&gt;"Verticali"),"",IF('Assembly(a)'!K20="",20,'Assembly(a)'!G20-1980))</f>
        <v/>
      </c>
      <c r="KG14" s="144" t="str">
        <f>IF('Tube Cutting'!C20="Verticali",'Tube Cutting'!N20,"")</f>
        <v/>
      </c>
      <c r="KH14" s="144" t="str">
        <f>IF(AND('Tube Cutting'!C20="Verticali",'Tube Cutting'!N20&lt;2000),'Tube Cutting'!N20-10,IF(AND('Tube Cutting'!C20="Verticali",'Tube Cutting'!N20&gt;2000),2000,""))</f>
        <v/>
      </c>
      <c r="KI14" t="str">
        <f>IF('Tube Cutting'!G20="Verticali Hooding (Old)",1,"")</f>
        <v/>
      </c>
      <c r="KJ14" s="144" t="str">
        <f>IF('Tube Cutting'!G20="Verticali Square Hooding",1,"")</f>
        <v/>
      </c>
      <c r="KL14" s="144" t="str">
        <f>IF('Tube Cutting'!G20="Verticali Colourbond Hooding",1,"")</f>
        <v/>
      </c>
      <c r="KM14" s="144" t="str">
        <f>IF(AND('Tube Cutting'!C20="Verticali",'Tube Cutting'!P20="78mm"),2,"")</f>
        <v/>
      </c>
      <c r="KN14" s="144" t="str">
        <f>IF(AND('Tube Cutting'!C20="Verticali",'Tube Cutting'!P20="85mm"),2,"")</f>
        <v/>
      </c>
      <c r="KP14" s="144" t="str">
        <f>IF(AND('Tube Cutting'!C20="Verticali",'Job Sheet'!M20="Gearbox"),1,"")</f>
        <v/>
      </c>
      <c r="KQ14" s="144" t="str">
        <f>IF('Tube Cutting'!C20="Verticali",1,"")</f>
        <v/>
      </c>
      <c r="KS14" s="144" t="str">
        <f>IF(OR('Job Sheet'!AB20="Foot 1 Side",'Job Sheet'!AB20="Leg &amp; Foot 1 Side",'Job Sheet'!AB20="End Cap 1 Side"),1,IF(OR('Job Sheet'!AB20="Foot Both Sides",'Job Sheet'!AB20="Leg &amp; Foot Both Sides",'Job Sheet'!AB20="End Cap Both Sides"),2,""))</f>
        <v/>
      </c>
      <c r="KT14" s="144" t="str">
        <f>IF(OR('Job Sheet'!AB20="Leg 1 Side",'Job Sheet'!AB20="Leg &amp; Foot 1 Side"),1,IF(OR('Job Sheet'!AB20="Leg Both Sides",'Job Sheet'!AB20="Leg &amp; Foot Both Sides",),2,""))</f>
        <v/>
      </c>
      <c r="KU14" s="144" t="str">
        <f>IF('Tube Cutting'!C20="Verticali",2,"")</f>
        <v/>
      </c>
      <c r="KW14" s="144" t="str">
        <f>IF('Tube Cutting'!C20="Verticali",2,"")</f>
        <v/>
      </c>
      <c r="KX14" t="str">
        <f>IF(Packing!L20="1 Pair",1,IF(Packing!L20="2 Pairs",2,""))</f>
        <v/>
      </c>
      <c r="KZ14" s="144" t="str">
        <f>IF('Tube Cutting'!G20="Verticali Base Rail",2,"")</f>
        <v/>
      </c>
      <c r="LA14" s="144" t="str">
        <f>IF('Tube Cutting'!G20="Zipscreen Hooding",'Tube Cutting'!F20,"")</f>
        <v/>
      </c>
      <c r="LB14" s="144" t="str">
        <f>IF('Tube Cutting'!G20="Zipscreen Hooding",'Tube Cutting'!F20,"")</f>
        <v/>
      </c>
      <c r="LD14" s="144" t="str">
        <f>IF('Tube Cutting'!G20="Zipscreen Hooding",1,"")</f>
        <v/>
      </c>
      <c r="LE14" s="144" t="str">
        <f>IF('Job Sheet'!AO20="Compact",1,"")</f>
        <v/>
      </c>
      <c r="LF14" s="144" t="str">
        <f>IF('Job Sheet'!AO20="Light",1,"")</f>
        <v/>
      </c>
      <c r="LG14" s="144" t="str">
        <f>IF('Job Sheet'!AO20="Standard",1,"")</f>
        <v/>
      </c>
      <c r="LH14" s="144" t="str">
        <f>IF('Job Sheet'!AO20="Heavy Duty",1,"")</f>
        <v/>
      </c>
      <c r="LI14" s="144" t="str">
        <f>IF('Job Sheet'!AO20="Extra Heavy Duty",1,"")</f>
        <v/>
      </c>
      <c r="LJ14" s="144" t="str">
        <f>IF('Job Sheet'!AO20="Ultra Heavy Duty",1,"")</f>
        <v/>
      </c>
      <c r="LK14" s="144" t="str">
        <f>IF('Tube Cutting'!C20="Zipscreen",2,"")</f>
        <v/>
      </c>
      <c r="LM14" t="str">
        <f>IF(AND('Job Sheet'!K20="2.Zipscreen",'Job Sheet'!M20="Spring"),1,"")</f>
        <v/>
      </c>
      <c r="LN14" s="144" t="str">
        <f>IF(AND('Job Sheet'!K20="2.Zipscreen",'Job Sheet'!M20="Spring"),2,IF(AND('Job Sheet'!K20="2.Zipscreen",'Job Sheet'!M20&lt;&gt;"Spring"),1,""))</f>
        <v/>
      </c>
      <c r="LO14" s="144" t="str">
        <f>IF(Data!BO20="PVC",'Fabric Cutting'!E20,"")</f>
        <v/>
      </c>
      <c r="LP14" s="144" t="str">
        <f>IF('Tube Cutting'!C20="Zipscreen",'Tube Cutting'!N20,"")</f>
        <v/>
      </c>
      <c r="LQ14" s="144" t="str">
        <f>IF('Tube Cutting'!C20="Zipscreen",2,"")</f>
        <v/>
      </c>
      <c r="LR14" s="144" t="str">
        <f>IF('Tube Cutting'!C20="Zipscreen",'Tube Cutting'!N20,"")</f>
        <v/>
      </c>
      <c r="LT14" t="str">
        <f>IF('Tube Cutting'!C20="Zipscreen",('Tube Cutting'!N20-100)*2,"")</f>
        <v/>
      </c>
      <c r="LU14" s="144" t="str">
        <f>IF(AND('Job Sheet'!K20="2.Zipscreen",'Job Sheet'!M20="Spring"),1,"")</f>
        <v/>
      </c>
      <c r="LV14" s="144" t="str">
        <f>IF(AND('Job Sheet'!K20="2.Zipscreen",'Job Sheet'!M20="Spring"),1,"")</f>
        <v/>
      </c>
      <c r="LW14" s="144" t="str">
        <f>IF('Tube Cutting'!C20="Zipscreen",('Job Sheet'!G20-100)*2,"")</f>
        <v/>
      </c>
      <c r="LX14" s="144" t="str">
        <f>IF('Tube Cutting'!C20="Zipscreen",('Job Sheet'!G20-82)*2,"")</f>
        <v/>
      </c>
      <c r="LY14" t="str">
        <f>IF('Tube Cutting'!K20="","",('Job Sheet'!G20-100)*2)</f>
        <v/>
      </c>
      <c r="LZ14" s="144" t="str">
        <f>IF('Tube Cutting'!C20="Zipscreen",2,"")</f>
        <v/>
      </c>
      <c r="MA14" s="144" t="str">
        <f>IF('Tube Cutting'!C20="Zipscreen",2,"")</f>
        <v/>
      </c>
      <c r="MB14" s="144" t="str">
        <f>IF('Job Sheet'!M20="Acmeda Remote Motor",1,"")</f>
        <v/>
      </c>
      <c r="ME14" s="144" t="str">
        <f>IF(AND('Tube Cutting'!P20="78mm",'Job Sheet'!M20="Acmeda Remote Motor"),1,"")</f>
        <v/>
      </c>
      <c r="MG14" s="144" t="str">
        <f>IF('Job Sheet'!M20="Acmeda 12v Remote Motor",1,"")</f>
        <v/>
      </c>
      <c r="MH14" s="144" t="str">
        <f>IF(OR('Job Sheet'!R20="External Battery",'Job Sheet'!R20="External Battery and Charging Cable"),1,"")</f>
        <v/>
      </c>
      <c r="MI14" s="144" t="str">
        <f>IF('Job Sheet'!R20="External Battery and Charging Cable",1,"")</f>
        <v/>
      </c>
      <c r="MJ14" s="144" t="str">
        <f>IF(OR('Job Sheet'!R20="Pulse Pro Automation Hub",'Job Sheet'!R20="Pulse 2.0 Automation Hub"),1,"")</f>
        <v/>
      </c>
      <c r="MK14" s="144" t="str">
        <f>IF('Job Sheet'!R20="USB Repeater",1,"")</f>
        <v/>
      </c>
      <c r="ML14" s="144" t="str">
        <f>IF('Job Sheet'!Q20="Acmeda 1 Channel White Remote",1,"")</f>
        <v/>
      </c>
      <c r="MM14" s="144" t="str">
        <f>IF('Job Sheet'!Q20="Acmeda 1 Channel Black Remote",1,"")</f>
        <v/>
      </c>
      <c r="MN14" s="144" t="str">
        <f>IF('Job Sheet'!Q20="Acmeda 5 Channel White Remote",1,"")</f>
        <v/>
      </c>
      <c r="MO14" s="144" t="str">
        <f>IF('Job Sheet'!Q20="Acmeda 5 Channel Black Remote",1,"")</f>
        <v/>
      </c>
      <c r="MP14" s="144" t="str">
        <f>IF('Job Sheet'!Q20="Acmeda 15 Channel White Remote",1,"")</f>
        <v/>
      </c>
      <c r="MQ14" s="144" t="str">
        <f>IF('Job Sheet'!Q20="Acmeda 15 Channel Black Remote",1,"")</f>
        <v/>
      </c>
      <c r="MR14" s="144" t="str">
        <f>IF('Job Sheet'!Q20="Acmeda Wall Mounted 5 Channel White Remote",1,"")</f>
        <v/>
      </c>
      <c r="MS14" s="144" t="str">
        <f>IF('Job Sheet'!Q20="Acmeda Wall Mounted Single Channel White Remote",1,"")</f>
        <v/>
      </c>
      <c r="MT14" t="str">
        <f>IF('Job Sheet'!Q20="Acmeda 2 Channel White Remote",1,"")</f>
        <v/>
      </c>
      <c r="MU14" s="144" t="str">
        <f>IF('Job Sheet'!Q20="Acmeda 15 Channel White Remote",1,"")</f>
        <v/>
      </c>
      <c r="MV14" s="144" t="str">
        <f>IF('Job Sheet'!Q20="Acmeda Push Pro White Remote with Charger",1,"")</f>
        <v/>
      </c>
      <c r="MW14" s="144" t="str">
        <f>IF('Job Sheet'!Q20="Acmeda Push Pro Black Remote with Charger",1,"")</f>
        <v/>
      </c>
      <c r="MX14" t="str">
        <f>IF(OR('Job Sheet'!Q20="Acmeda Push Pro White Remote with Charger",'Job Sheet'!Q20="Acmeda Push Pro Black Remote with Charger"),"1","")</f>
        <v/>
      </c>
      <c r="MY14" t="str">
        <f t="shared" si="2"/>
        <v/>
      </c>
      <c r="MZ14" s="144" t="str">
        <f>IF('Job Sheet'!S20="Acmeda Wind Sensor",1,"")</f>
        <v/>
      </c>
      <c r="NA14" s="144" t="str">
        <f>IF('Job Sheet'!R20="1 Channel Dry Contact Relay Module",1,"")</f>
        <v/>
      </c>
      <c r="NE14" s="144" t="str">
        <f>IF('Job Sheet'!M20="Becker Remote Operated",1,"")</f>
        <v/>
      </c>
      <c r="NF14" s="144" t="str">
        <f>IF('Job Sheet'!M20="Becker Switch Operated",1,"")</f>
        <v/>
      </c>
      <c r="NG14" s="144" t="str">
        <f>IF(OR('Job Sheet'!M20="Acmeda Remote Motor",'Job Sheet'!M20="Becker Remote Operated",'Job Sheet'!M20="Becker Switch Operated"),1,"")</f>
        <v/>
      </c>
      <c r="NI14" s="144" t="str">
        <f>IF(OR('Job Sheet'!M20="Becker Remote Operated",'Job Sheet'!M20="Becker Switch Operated"),1,"")</f>
        <v/>
      </c>
      <c r="NJ14"/>
      <c r="NL14" s="144" t="str">
        <f>IF(AND('Tube Cutting'!P20="78mm",(OR('Job Sheet'!M20="Becker Remote Operated",'Job Sheet'!M20="Becker Switch Operated"))),1,"")</f>
        <v/>
      </c>
      <c r="NM14" s="144" t="str">
        <f>IF('Job Sheet'!Q20="Becker Single Channel White Remote",1,"")</f>
        <v/>
      </c>
      <c r="NN14" s="144" t="str">
        <f>IF('Job Sheet'!Q20="Becker Single Channel Black Remote",1,"")</f>
        <v/>
      </c>
      <c r="NO14" s="144" t="str">
        <f>IF('Job Sheet'!Q20="Becker 5 Channel White Remote",1,"")</f>
        <v/>
      </c>
      <c r="NP14" s="144" t="str">
        <f>IF('Job Sheet'!Q20="Becker 5 Channel Black Remote",1,"")</f>
        <v/>
      </c>
      <c r="NQ14" s="144" t="str">
        <f>IF('Job Sheet'!Q20="Becker 10 Channel White Remote",1,"")</f>
        <v/>
      </c>
      <c r="NR14" s="144" t="str">
        <f>IF('Job Sheet'!Q20="Becker 10 Channel Black Remote",1,"")</f>
        <v/>
      </c>
      <c r="NS14" s="144" t="str">
        <f>IF('Job Sheet'!S20="Becker Wind Sensor",1,"")</f>
        <v/>
      </c>
      <c r="NT14" s="144" t="str">
        <f>IF('Job Sheet'!M20="Somfy Remote Operated",1,"")</f>
        <v/>
      </c>
      <c r="NV14" s="144" t="str">
        <f>IF('Job Sheet'!M20="Somfy Remote Operated",1,"")</f>
        <v/>
      </c>
      <c r="NW14" s="144" t="str">
        <f>IF('Job Sheet'!M20="Somfy Remote Operated",1,"")</f>
        <v/>
      </c>
      <c r="NZ14" s="144" t="str">
        <f>IF(AND('Tube Cutting'!P20="78mm",'Job Sheet'!M20="Somfy Remote Operated"),1,"")</f>
        <v/>
      </c>
      <c r="OA14" s="144" t="str">
        <f>IF('Job Sheet'!R20="Connexoon App Connector",1,"")</f>
        <v/>
      </c>
      <c r="OB14" s="144" t="str">
        <f>IF('Job Sheet'!R20="Tahoma Switch",1,"")</f>
        <v/>
      </c>
      <c r="OC14" s="144" t="str">
        <f>IF('Job Sheet'!Q20="Somfy 15 Channel Silver Remote",1,"")</f>
        <v/>
      </c>
      <c r="OD14" s="144" t="str">
        <f>IF('Job Sheet'!Q20="Somfy 15 Channel White Remote",1,"")</f>
        <v/>
      </c>
      <c r="OE14" s="144" t="str">
        <f>IF('Job Sheet'!Q20="Somfy 2 Channel Silver Remote",1,"")</f>
        <v/>
      </c>
      <c r="OF14" s="144" t="str">
        <f>IF('Job Sheet'!Q20="Somfy 2 Channel Wall Mounted Smoove Remote White with Black Cover Plate",1,"")</f>
        <v/>
      </c>
      <c r="OG14" s="144" t="str">
        <f>IF('Job Sheet'!Q20="Somfy 2 Channel Wall Mounted Smoove Remote White with Silver Cover Plate",1,"")</f>
        <v/>
      </c>
      <c r="OH14" s="144" t="str">
        <f>IF('Job Sheet'!Q20="Somfy 2 Channel Wall Mounted Smoove Remote White",1,"")</f>
        <v/>
      </c>
      <c r="OI14" s="144" t="str">
        <f>IF('Job Sheet'!Q20="Somfy 2 Channel White Remote",1,"")</f>
        <v/>
      </c>
      <c r="OJ14" s="144" t="str">
        <f>IF('Job Sheet'!Q20="Somfy 2 Channel Silver Remote",1,"")</f>
        <v/>
      </c>
      <c r="OK14" s="144" t="str">
        <f>IF('Job Sheet'!Q20="Somfy 5 Channel Wall Mounted Smoove Remote White with Black Cover Plate",1,"")</f>
        <v/>
      </c>
      <c r="OL14" s="144" t="str">
        <f>IF('Job Sheet'!Q20="Somfy 5 Channel Wall Mounted Smoove Remote White with Silver Cover Plate",1,"")</f>
        <v/>
      </c>
      <c r="OM14" s="144" t="str">
        <f>IF('Job Sheet'!Q20="Somfy 5 Channel Wall Mounted Smoove Remote White",1,"")</f>
        <v/>
      </c>
      <c r="ON14" s="144" t="str">
        <f>IF('Job Sheet'!Q20="Somfy 5 Channel White Remote",1,"")</f>
        <v/>
      </c>
      <c r="OO14" s="144" t="str">
        <f>IF('Job Sheet'!Q20="Somfy Single Channel Silver Remote",1,"")</f>
        <v/>
      </c>
      <c r="OP14" s="144" t="str">
        <f>IF('Job Sheet'!Q20="Somfy Single Channel Wall Mounted Smoove Remote White with Black Cover Plate",1,"")</f>
        <v/>
      </c>
      <c r="OQ14" s="144" t="str">
        <f>IF('Job Sheet'!Q20="Somfy Single Channel Wall Mounted Smoove Remote White with Silver Cover Plate",1,"")</f>
        <v/>
      </c>
      <c r="OR14" s="144" t="str">
        <f>IF('Job Sheet'!Q20="Somfy Single Channel Wall Mounted Smoove Remote White",1,"")</f>
        <v/>
      </c>
      <c r="OS14" s="144" t="str">
        <f>IF('Job Sheet'!Q20="Somfy Single Channel White Remote",1,"")</f>
        <v/>
      </c>
    </row>
  </sheetData>
  <mergeCells count="40">
    <mergeCell ref="CP2:DE2"/>
    <mergeCell ref="N2:AC2"/>
    <mergeCell ref="AD2:AS2"/>
    <mergeCell ref="AT2:BI2"/>
    <mergeCell ref="BJ2:BY2"/>
    <mergeCell ref="BZ2:CO2"/>
    <mergeCell ref="GG2:GH2"/>
    <mergeCell ref="DF2:DJ2"/>
    <mergeCell ref="DK2:DT2"/>
    <mergeCell ref="DU2:EJ2"/>
    <mergeCell ref="EK2:EN2"/>
    <mergeCell ref="EO2:EQ2"/>
    <mergeCell ref="ER2:FC2"/>
    <mergeCell ref="FD2:FO2"/>
    <mergeCell ref="FP2:FU2"/>
    <mergeCell ref="FV2:FY2"/>
    <mergeCell ref="FZ2:GB2"/>
    <mergeCell ref="GC2:GF2"/>
    <mergeCell ref="JI2:JM2"/>
    <mergeCell ref="GI2:GL2"/>
    <mergeCell ref="GM2:GN2"/>
    <mergeCell ref="GO2:HB2"/>
    <mergeCell ref="HC2:HK2"/>
    <mergeCell ref="HL2:HS2"/>
    <mergeCell ref="HU2:IB2"/>
    <mergeCell ref="ID2:IH2"/>
    <mergeCell ref="II2:IL2"/>
    <mergeCell ref="IM2:IQ2"/>
    <mergeCell ref="IR2:JC2"/>
    <mergeCell ref="JD2:JH2"/>
    <mergeCell ref="NB2:NS2"/>
    <mergeCell ref="NT2:OS2"/>
    <mergeCell ref="OT2:OX2"/>
    <mergeCell ref="OY2:OZ2"/>
    <mergeCell ref="JN2:JR2"/>
    <mergeCell ref="JS2:JU2"/>
    <mergeCell ref="JV2:KZ2"/>
    <mergeCell ref="LA2:MA2"/>
    <mergeCell ref="MB2:MI2"/>
    <mergeCell ref="MJ2:NA2"/>
  </mergeCells>
  <pageMargins left="0.81811023622048" right="0.81811023622048" top="0.75" bottom="0.75" header="0.3" footer="0.3"/>
  <pageSetup horizontalDpi="300" verticalDpi="300" orientation="portrait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ubeSize"/>
  <dimension ref="A2:BJ34"/>
  <sheetViews>
    <sheetView zoomScale="90" zoomScaleNormal="90" workbookViewId="0" topLeftCell="A1">
      <selection pane="topLeft" activeCell="B10" sqref="B10"/>
    </sheetView>
  </sheetViews>
  <sheetFormatPr defaultColWidth="9.109375" defaultRowHeight="13.5"/>
  <cols>
    <col min="1" max="1" width="37.1428571428571" bestFit="1" customWidth="1"/>
    <col min="2" max="2" width="10.1428571428571" bestFit="1" customWidth="1"/>
    <col min="3" max="3" width="15.5714285714286" bestFit="1" customWidth="1"/>
    <col min="4" max="4" width="3.28571428571429" customWidth="1"/>
    <col min="5" max="5" width="27.7142857142857" bestFit="1" customWidth="1"/>
    <col min="6" max="6" width="17.2857142857143" bestFit="1" customWidth="1"/>
    <col min="7" max="7" width="14.5714285714286" bestFit="1" customWidth="1"/>
    <col min="8" max="8" width="27.7142857142857" bestFit="1" customWidth="1"/>
    <col min="9" max="9" width="9.71428571428571" bestFit="1" customWidth="1"/>
    <col min="10" max="13" width="8.85714285714286" bestFit="1" customWidth="1"/>
    <col min="14" max="17" width="11" bestFit="1" customWidth="1"/>
    <col min="18" max="26" width="15.8571428571429" bestFit="1" customWidth="1"/>
    <col min="27" max="27" width="16.4285714285714" customWidth="1"/>
    <col min="28" max="31" width="15.8571428571429" bestFit="1" customWidth="1"/>
    <col min="32" max="32" width="5.57142857142857" bestFit="1" customWidth="1"/>
  </cols>
  <sheetData>
    <row r="1" ht="15" customHeight="1"/>
    <row r="2" spans="1:9" s="52" customFormat="1" ht="15" customHeight="1">
      <c r="A2" s="258" t="s">
        <v>590</v>
      </c>
      <c r="B2" s="259"/>
      <c r="C2" s="260"/>
      <c r="E2" s="84" t="s">
        <v>751</v>
      </c>
      <c r="F2" s="85" t="s">
        <v>162</v>
      </c>
      <c r="H2" s="84" t="s">
        <v>752</v>
      </c>
      <c r="I2" s="85" t="s">
        <v>162</v>
      </c>
    </row>
    <row r="3" spans="1:9" ht="15" customHeight="1">
      <c r="A3" s="64" t="s">
        <v>161</v>
      </c>
      <c r="B3" s="65" t="s">
        <v>162</v>
      </c>
      <c r="C3" s="65" t="s">
        <v>202</v>
      </c>
      <c r="D3" s="52"/>
      <c r="E3" s="55" t="s">
        <v>176</v>
      </c>
      <c r="F3" s="56">
        <v>0</v>
      </c>
      <c r="H3" s="55" t="s">
        <v>176</v>
      </c>
      <c r="I3" s="56">
        <v>0</v>
      </c>
    </row>
    <row r="4" spans="1:9" ht="15" customHeight="1">
      <c r="A4" s="44" t="s">
        <v>586</v>
      </c>
      <c r="B4" s="66">
        <v>145</v>
      </c>
      <c r="C4" s="46" t="s">
        <v>178</v>
      </c>
      <c r="E4" s="57" t="s">
        <v>177</v>
      </c>
      <c r="F4" s="58">
        <v>5</v>
      </c>
      <c r="H4" s="57" t="s">
        <v>177</v>
      </c>
      <c r="I4" s="58">
        <v>5</v>
      </c>
    </row>
    <row r="5" spans="1:9" ht="15" customHeight="1">
      <c r="A5" s="41" t="s">
        <v>584</v>
      </c>
      <c r="B5" s="34">
        <v>137</v>
      </c>
      <c r="C5" s="40" t="s">
        <v>203</v>
      </c>
      <c r="E5" s="57" t="s">
        <v>182</v>
      </c>
      <c r="F5" s="58">
        <v>3</v>
      </c>
      <c r="H5" s="57"/>
      <c r="I5" s="58"/>
    </row>
    <row r="6" spans="1:9" ht="15" customHeight="1">
      <c r="A6" s="41" t="s">
        <v>587</v>
      </c>
      <c r="B6" s="34">
        <v>137</v>
      </c>
      <c r="C6" s="40" t="s">
        <v>775</v>
      </c>
      <c r="E6" s="59"/>
      <c r="F6" s="60"/>
      <c r="H6" s="59"/>
      <c r="I6" s="60"/>
    </row>
    <row r="7" spans="1:3" ht="15" customHeight="1">
      <c r="A7" s="41" t="s">
        <v>588</v>
      </c>
      <c r="B7" s="34">
        <v>137</v>
      </c>
      <c r="C7" s="40" t="s">
        <v>775</v>
      </c>
    </row>
    <row r="8" spans="1:3" ht="15" customHeight="1">
      <c r="A8" s="41" t="s">
        <v>589</v>
      </c>
      <c r="B8" s="34">
        <v>135</v>
      </c>
      <c r="C8" s="40" t="s">
        <v>203</v>
      </c>
    </row>
    <row r="9" spans="1:3" ht="15" customHeight="1">
      <c r="A9" s="41" t="s">
        <v>776</v>
      </c>
      <c r="B9" s="34">
        <v>125</v>
      </c>
      <c r="C9" s="40" t="s">
        <v>178</v>
      </c>
    </row>
    <row r="10" spans="1:3" ht="15" customHeight="1">
      <c r="A10" s="41"/>
      <c r="B10" s="34"/>
      <c r="C10" s="40"/>
    </row>
    <row r="11" spans="1:3" ht="15" customHeight="1">
      <c r="A11" s="41"/>
      <c r="B11" s="34"/>
      <c r="C11" s="40"/>
    </row>
    <row r="12" spans="1:3" ht="15" customHeight="1">
      <c r="A12" s="41"/>
      <c r="B12" s="34"/>
      <c r="C12" s="40"/>
    </row>
    <row r="13" spans="1:3" ht="15" customHeight="1">
      <c r="A13" s="42"/>
      <c r="B13" s="39"/>
      <c r="C13" s="43"/>
    </row>
    <row r="14" ht="13.65" customHeight="1"/>
    <row r="15" spans="1:30" ht="13.65" customHeight="1">
      <c r="A15" s="61" t="s">
        <v>188</v>
      </c>
      <c r="B15" s="62" t="s">
        <v>162</v>
      </c>
      <c r="F15" s="117" t="s">
        <v>179</v>
      </c>
      <c r="G15" s="118"/>
      <c r="H15" s="118"/>
      <c r="I15" s="118"/>
      <c r="J15" s="118"/>
      <c r="K15" s="118"/>
      <c r="L15" s="118"/>
      <c r="M15" s="118"/>
      <c r="N15" s="118"/>
      <c r="O15" s="118"/>
      <c r="P15" s="118"/>
      <c r="Q15" s="118"/>
      <c r="R15" s="118"/>
      <c r="S15" s="118"/>
      <c r="T15" s="118"/>
      <c r="U15" s="118"/>
      <c r="V15" s="118"/>
      <c r="W15" s="118"/>
      <c r="X15" s="118"/>
      <c r="Y15" s="118"/>
      <c r="Z15" s="118"/>
      <c r="AA15" s="118"/>
      <c r="AB15" s="118"/>
      <c r="AC15" s="118"/>
      <c r="AD15" s="119"/>
    </row>
    <row r="16" spans="1:62" ht="13.65" customHeight="1">
      <c r="A16" s="49" t="s">
        <v>178</v>
      </c>
      <c r="B16" s="56">
        <v>0</v>
      </c>
      <c r="F16" s="120"/>
      <c r="G16" s="121">
        <v>0</v>
      </c>
      <c r="H16" s="122">
        <v>550</v>
      </c>
      <c r="I16" s="123">
        <v>730</v>
      </c>
      <c r="J16" s="123">
        <v>1000</v>
      </c>
      <c r="K16" s="123">
        <v>1200</v>
      </c>
      <c r="L16" s="123">
        <v>1400</v>
      </c>
      <c r="M16" s="123">
        <v>1600</v>
      </c>
      <c r="N16" s="123">
        <v>1800</v>
      </c>
      <c r="O16" s="123">
        <v>2000</v>
      </c>
      <c r="P16" s="123">
        <v>2200</v>
      </c>
      <c r="Q16" s="123">
        <v>2400</v>
      </c>
      <c r="R16" s="123">
        <v>2600</v>
      </c>
      <c r="S16" s="123">
        <v>2800</v>
      </c>
      <c r="T16" s="123">
        <v>3000</v>
      </c>
      <c r="U16" s="123">
        <v>3200</v>
      </c>
      <c r="V16" s="123">
        <v>3400</v>
      </c>
      <c r="W16" s="123">
        <v>3600</v>
      </c>
      <c r="X16" s="123">
        <v>3800</v>
      </c>
      <c r="Y16" s="123">
        <v>4000</v>
      </c>
      <c r="Z16" s="123">
        <v>4200</v>
      </c>
      <c r="AA16" s="123">
        <v>4400</v>
      </c>
      <c r="AB16" s="123">
        <v>4600</v>
      </c>
      <c r="AC16" s="123">
        <v>4800</v>
      </c>
      <c r="AD16" s="124">
        <v>5000</v>
      </c>
      <c r="AE16" s="124">
        <v>5200</v>
      </c>
      <c r="AF16" s="124">
        <v>5400</v>
      </c>
      <c r="AJ16">
        <v>3.2</v>
      </c>
      <c r="AL16">
        <v>3.4</v>
      </c>
      <c r="AN16">
        <v>3.6</v>
      </c>
      <c r="AQ16">
        <v>3.8</v>
      </c>
      <c r="AT16">
        <v>4</v>
      </c>
      <c r="AV16">
        <v>4.2</v>
      </c>
      <c r="AX16">
        <v>4.4</v>
      </c>
      <c r="BA16">
        <v>4.6</v>
      </c>
      <c r="BD16">
        <v>4.8</v>
      </c>
      <c r="BE16">
        <v>5</v>
      </c>
      <c r="BG16">
        <v>5.2</v>
      </c>
      <c r="BJ16">
        <v>5.4</v>
      </c>
    </row>
    <row r="17" spans="1:32" ht="12.9" customHeight="1">
      <c r="A17" s="41" t="s">
        <v>189</v>
      </c>
      <c r="B17" s="58">
        <v>3</v>
      </c>
      <c r="F17" s="125">
        <v>600</v>
      </c>
      <c r="G17" s="126" t="s">
        <v>596</v>
      </c>
      <c r="H17" s="127" t="s">
        <v>597</v>
      </c>
      <c r="I17" s="128" t="s">
        <v>598</v>
      </c>
      <c r="J17" s="128" t="s">
        <v>598</v>
      </c>
      <c r="K17" s="128" t="s">
        <v>598</v>
      </c>
      <c r="L17" s="128" t="s">
        <v>598</v>
      </c>
      <c r="M17" s="128" t="s">
        <v>598</v>
      </c>
      <c r="N17" s="128" t="s">
        <v>598</v>
      </c>
      <c r="O17" s="128" t="s">
        <v>598</v>
      </c>
      <c r="P17" s="128" t="s">
        <v>598</v>
      </c>
      <c r="Q17" s="129" t="s">
        <v>599</v>
      </c>
      <c r="R17" s="129" t="s">
        <v>599</v>
      </c>
      <c r="S17" s="129" t="s">
        <v>599</v>
      </c>
      <c r="T17" s="129" t="s">
        <v>599</v>
      </c>
      <c r="U17" s="129" t="s">
        <v>599</v>
      </c>
      <c r="V17" s="129" t="s">
        <v>599</v>
      </c>
      <c r="W17" s="129" t="s">
        <v>599</v>
      </c>
      <c r="X17" s="129" t="s">
        <v>599</v>
      </c>
      <c r="Y17" s="129" t="s">
        <v>599</v>
      </c>
      <c r="Z17" s="129" t="s">
        <v>599</v>
      </c>
      <c r="AA17" s="130" t="s">
        <v>600</v>
      </c>
      <c r="AB17" s="130" t="s">
        <v>600</v>
      </c>
      <c r="AC17" s="130" t="s">
        <v>600</v>
      </c>
      <c r="AD17" s="130" t="s">
        <v>600</v>
      </c>
      <c r="AE17" s="131" t="s">
        <v>601</v>
      </c>
      <c r="AF17" s="132"/>
    </row>
    <row r="18" spans="1:32" ht="12.9" customHeight="1">
      <c r="A18" s="41" t="s">
        <v>190</v>
      </c>
      <c r="B18" s="58">
        <v>0</v>
      </c>
      <c r="F18" s="125">
        <v>800</v>
      </c>
      <c r="G18" s="126" t="s">
        <v>596</v>
      </c>
      <c r="H18" s="127" t="s">
        <v>597</v>
      </c>
      <c r="I18" s="128" t="s">
        <v>598</v>
      </c>
      <c r="J18" s="128" t="s">
        <v>598</v>
      </c>
      <c r="K18" s="128" t="s">
        <v>598</v>
      </c>
      <c r="L18" s="128" t="s">
        <v>598</v>
      </c>
      <c r="M18" s="128" t="s">
        <v>598</v>
      </c>
      <c r="N18" s="128" t="s">
        <v>598</v>
      </c>
      <c r="O18" s="128" t="s">
        <v>598</v>
      </c>
      <c r="P18" s="128" t="s">
        <v>598</v>
      </c>
      <c r="Q18" s="129" t="s">
        <v>599</v>
      </c>
      <c r="R18" s="129" t="s">
        <v>599</v>
      </c>
      <c r="S18" s="129" t="s">
        <v>599</v>
      </c>
      <c r="T18" s="129" t="s">
        <v>599</v>
      </c>
      <c r="U18" s="129" t="s">
        <v>599</v>
      </c>
      <c r="V18" s="129" t="s">
        <v>599</v>
      </c>
      <c r="W18" s="129" t="s">
        <v>599</v>
      </c>
      <c r="X18" s="129" t="s">
        <v>599</v>
      </c>
      <c r="Y18" s="129" t="s">
        <v>599</v>
      </c>
      <c r="Z18" s="130" t="s">
        <v>600</v>
      </c>
      <c r="AA18" s="130" t="s">
        <v>600</v>
      </c>
      <c r="AB18" s="130" t="s">
        <v>600</v>
      </c>
      <c r="AC18" s="130" t="s">
        <v>600</v>
      </c>
      <c r="AD18" s="130" t="s">
        <v>600</v>
      </c>
      <c r="AE18" s="131" t="s">
        <v>601</v>
      </c>
      <c r="AF18" s="132"/>
    </row>
    <row r="19" spans="1:32" ht="15" customHeight="1">
      <c r="A19" s="41" t="s">
        <v>191</v>
      </c>
      <c r="B19" s="58">
        <v>5</v>
      </c>
      <c r="F19" s="125">
        <v>1000</v>
      </c>
      <c r="G19" s="126" t="s">
        <v>596</v>
      </c>
      <c r="H19" s="127" t="s">
        <v>597</v>
      </c>
      <c r="I19" s="128" t="s">
        <v>598</v>
      </c>
      <c r="J19" s="128" t="s">
        <v>598</v>
      </c>
      <c r="K19" s="128" t="s">
        <v>598</v>
      </c>
      <c r="L19" s="128" t="s">
        <v>598</v>
      </c>
      <c r="M19" s="128" t="s">
        <v>598</v>
      </c>
      <c r="N19" s="128" t="s">
        <v>598</v>
      </c>
      <c r="O19" s="128" t="s">
        <v>598</v>
      </c>
      <c r="P19" s="129" t="s">
        <v>599</v>
      </c>
      <c r="Q19" s="129" t="s">
        <v>599</v>
      </c>
      <c r="R19" s="129" t="s">
        <v>599</v>
      </c>
      <c r="S19" s="129" t="s">
        <v>599</v>
      </c>
      <c r="T19" s="129" t="s">
        <v>599</v>
      </c>
      <c r="U19" s="129" t="s">
        <v>599</v>
      </c>
      <c r="V19" s="129" t="s">
        <v>599</v>
      </c>
      <c r="W19" s="129" t="s">
        <v>599</v>
      </c>
      <c r="X19" s="129" t="s">
        <v>599</v>
      </c>
      <c r="Y19" s="130" t="s">
        <v>600</v>
      </c>
      <c r="Z19" s="130" t="s">
        <v>600</v>
      </c>
      <c r="AA19" s="130" t="s">
        <v>600</v>
      </c>
      <c r="AB19" s="130" t="s">
        <v>600</v>
      </c>
      <c r="AC19" s="130" t="s">
        <v>600</v>
      </c>
      <c r="AD19" s="130" t="s">
        <v>600</v>
      </c>
      <c r="AE19" s="131" t="s">
        <v>601</v>
      </c>
      <c r="AF19" s="132"/>
    </row>
    <row r="20" spans="1:32" ht="15" customHeight="1">
      <c r="A20" s="41" t="s">
        <v>192</v>
      </c>
      <c r="B20" s="58">
        <v>3</v>
      </c>
      <c r="F20" s="125">
        <v>1200</v>
      </c>
      <c r="G20" s="126" t="s">
        <v>596</v>
      </c>
      <c r="H20" s="127" t="s">
        <v>597</v>
      </c>
      <c r="I20" s="128" t="s">
        <v>598</v>
      </c>
      <c r="J20" s="128" t="s">
        <v>598</v>
      </c>
      <c r="K20" s="128" t="s">
        <v>598</v>
      </c>
      <c r="L20" s="128" t="s">
        <v>598</v>
      </c>
      <c r="M20" s="128" t="s">
        <v>598</v>
      </c>
      <c r="N20" s="128" t="s">
        <v>598</v>
      </c>
      <c r="O20" s="128" t="s">
        <v>598</v>
      </c>
      <c r="P20" s="129" t="s">
        <v>599</v>
      </c>
      <c r="Q20" s="129" t="s">
        <v>599</v>
      </c>
      <c r="R20" s="129" t="s">
        <v>599</v>
      </c>
      <c r="S20" s="129" t="s">
        <v>599</v>
      </c>
      <c r="T20" s="129" t="s">
        <v>599</v>
      </c>
      <c r="U20" s="129" t="s">
        <v>599</v>
      </c>
      <c r="V20" s="129" t="s">
        <v>599</v>
      </c>
      <c r="W20" s="129" t="s">
        <v>599</v>
      </c>
      <c r="X20" s="129" t="s">
        <v>599</v>
      </c>
      <c r="Y20" s="130" t="s">
        <v>600</v>
      </c>
      <c r="Z20" s="130" t="s">
        <v>600</v>
      </c>
      <c r="AA20" s="130" t="s">
        <v>600</v>
      </c>
      <c r="AB20" s="130" t="s">
        <v>600</v>
      </c>
      <c r="AC20" s="130" t="s">
        <v>600</v>
      </c>
      <c r="AD20" s="131" t="s">
        <v>601</v>
      </c>
      <c r="AE20" s="131" t="s">
        <v>601</v>
      </c>
      <c r="AF20" s="132"/>
    </row>
    <row r="21" spans="1:32" ht="15" customHeight="1">
      <c r="A21" s="41" t="s">
        <v>193</v>
      </c>
      <c r="B21" s="58">
        <v>10</v>
      </c>
      <c r="F21" s="125">
        <v>1400</v>
      </c>
      <c r="G21" s="126" t="s">
        <v>596</v>
      </c>
      <c r="H21" s="127" t="s">
        <v>597</v>
      </c>
      <c r="I21" s="128" t="s">
        <v>598</v>
      </c>
      <c r="J21" s="128" t="s">
        <v>598</v>
      </c>
      <c r="K21" s="128" t="s">
        <v>598</v>
      </c>
      <c r="L21" s="128" t="s">
        <v>598</v>
      </c>
      <c r="M21" s="128" t="s">
        <v>598</v>
      </c>
      <c r="N21" s="128" t="s">
        <v>598</v>
      </c>
      <c r="O21" s="128" t="s">
        <v>598</v>
      </c>
      <c r="P21" s="129" t="s">
        <v>599</v>
      </c>
      <c r="Q21" s="129" t="s">
        <v>599</v>
      </c>
      <c r="R21" s="129" t="s">
        <v>599</v>
      </c>
      <c r="S21" s="129" t="s">
        <v>599</v>
      </c>
      <c r="T21" s="129" t="s">
        <v>599</v>
      </c>
      <c r="U21" s="129" t="s">
        <v>599</v>
      </c>
      <c r="V21" s="129" t="s">
        <v>599</v>
      </c>
      <c r="W21" s="129" t="s">
        <v>599</v>
      </c>
      <c r="X21" s="129" t="s">
        <v>599</v>
      </c>
      <c r="Y21" s="130" t="s">
        <v>600</v>
      </c>
      <c r="Z21" s="130" t="s">
        <v>600</v>
      </c>
      <c r="AA21" s="130" t="s">
        <v>600</v>
      </c>
      <c r="AB21" s="130" t="s">
        <v>600</v>
      </c>
      <c r="AC21" s="130" t="s">
        <v>600</v>
      </c>
      <c r="AD21" s="131" t="s">
        <v>601</v>
      </c>
      <c r="AE21" s="131" t="s">
        <v>601</v>
      </c>
      <c r="AF21" s="132"/>
    </row>
    <row r="22" spans="1:32" ht="15" customHeight="1">
      <c r="A22" s="41" t="s">
        <v>194</v>
      </c>
      <c r="B22" s="58">
        <v>-5</v>
      </c>
      <c r="F22" s="125">
        <v>1600</v>
      </c>
      <c r="G22" s="126" t="s">
        <v>596</v>
      </c>
      <c r="H22" s="127" t="s">
        <v>597</v>
      </c>
      <c r="I22" s="128" t="s">
        <v>598</v>
      </c>
      <c r="J22" s="128" t="s">
        <v>598</v>
      </c>
      <c r="K22" s="128" t="s">
        <v>598</v>
      </c>
      <c r="L22" s="128" t="s">
        <v>598</v>
      </c>
      <c r="M22" s="128" t="s">
        <v>598</v>
      </c>
      <c r="N22" s="128" t="s">
        <v>598</v>
      </c>
      <c r="O22" s="128" t="s">
        <v>598</v>
      </c>
      <c r="P22" s="129" t="s">
        <v>599</v>
      </c>
      <c r="Q22" s="129" t="s">
        <v>599</v>
      </c>
      <c r="R22" s="129" t="s">
        <v>599</v>
      </c>
      <c r="S22" s="129" t="s">
        <v>599</v>
      </c>
      <c r="T22" s="129" t="s">
        <v>599</v>
      </c>
      <c r="U22" s="129" t="s">
        <v>599</v>
      </c>
      <c r="V22" s="129" t="s">
        <v>599</v>
      </c>
      <c r="W22" s="129" t="s">
        <v>599</v>
      </c>
      <c r="X22" s="130" t="s">
        <v>600</v>
      </c>
      <c r="Y22" s="130" t="s">
        <v>600</v>
      </c>
      <c r="Z22" s="130" t="s">
        <v>600</v>
      </c>
      <c r="AA22" s="130" t="s">
        <v>600</v>
      </c>
      <c r="AB22" s="130" t="s">
        <v>600</v>
      </c>
      <c r="AC22" s="131" t="s">
        <v>601</v>
      </c>
      <c r="AD22" s="131" t="s">
        <v>601</v>
      </c>
      <c r="AE22" s="131" t="s">
        <v>601</v>
      </c>
      <c r="AF22" s="132"/>
    </row>
    <row r="23" spans="1:32" ht="15" customHeight="1">
      <c r="A23" s="41" t="s">
        <v>195</v>
      </c>
      <c r="B23" s="58">
        <v>2</v>
      </c>
      <c r="F23" s="125">
        <v>1800</v>
      </c>
      <c r="G23" s="126" t="s">
        <v>596</v>
      </c>
      <c r="H23" s="127" t="s">
        <v>597</v>
      </c>
      <c r="I23" s="128" t="s">
        <v>598</v>
      </c>
      <c r="J23" s="128" t="s">
        <v>598</v>
      </c>
      <c r="K23" s="128" t="s">
        <v>598</v>
      </c>
      <c r="L23" s="128" t="s">
        <v>598</v>
      </c>
      <c r="M23" s="128" t="s">
        <v>598</v>
      </c>
      <c r="N23" s="128" t="s">
        <v>598</v>
      </c>
      <c r="O23" s="128" t="s">
        <v>598</v>
      </c>
      <c r="P23" s="129" t="s">
        <v>599</v>
      </c>
      <c r="Q23" s="129" t="s">
        <v>599</v>
      </c>
      <c r="R23" s="129" t="s">
        <v>599</v>
      </c>
      <c r="S23" s="129" t="s">
        <v>599</v>
      </c>
      <c r="T23" s="129" t="s">
        <v>599</v>
      </c>
      <c r="U23" s="129" t="s">
        <v>599</v>
      </c>
      <c r="V23" s="129" t="s">
        <v>599</v>
      </c>
      <c r="W23" s="129" t="s">
        <v>599</v>
      </c>
      <c r="X23" s="130" t="s">
        <v>600</v>
      </c>
      <c r="Y23" s="130" t="s">
        <v>600</v>
      </c>
      <c r="Z23" s="130" t="s">
        <v>600</v>
      </c>
      <c r="AA23" s="130" t="s">
        <v>600</v>
      </c>
      <c r="AB23" s="130" t="s">
        <v>600</v>
      </c>
      <c r="AC23" s="131" t="s">
        <v>601</v>
      </c>
      <c r="AD23" s="131" t="s">
        <v>601</v>
      </c>
      <c r="AE23" s="131" t="s">
        <v>601</v>
      </c>
      <c r="AF23" s="132"/>
    </row>
    <row r="24" spans="1:32" ht="15" customHeight="1">
      <c r="A24" s="41" t="s">
        <v>196</v>
      </c>
      <c r="B24" s="58">
        <v>5</v>
      </c>
      <c r="F24" s="125">
        <v>2000</v>
      </c>
      <c r="G24" s="126" t="s">
        <v>596</v>
      </c>
      <c r="H24" s="127" t="s">
        <v>597</v>
      </c>
      <c r="I24" s="128" t="s">
        <v>598</v>
      </c>
      <c r="J24" s="128" t="s">
        <v>598</v>
      </c>
      <c r="K24" s="128" t="s">
        <v>598</v>
      </c>
      <c r="L24" s="128" t="s">
        <v>598</v>
      </c>
      <c r="M24" s="128" t="s">
        <v>598</v>
      </c>
      <c r="N24" s="128" t="s">
        <v>598</v>
      </c>
      <c r="O24" s="128" t="s">
        <v>598</v>
      </c>
      <c r="P24" s="129" t="s">
        <v>599</v>
      </c>
      <c r="Q24" s="129" t="s">
        <v>599</v>
      </c>
      <c r="R24" s="129" t="s">
        <v>599</v>
      </c>
      <c r="S24" s="129" t="s">
        <v>599</v>
      </c>
      <c r="T24" s="129" t="s">
        <v>599</v>
      </c>
      <c r="U24" s="129" t="s">
        <v>599</v>
      </c>
      <c r="V24" s="129" t="s">
        <v>599</v>
      </c>
      <c r="W24" s="129" t="s">
        <v>599</v>
      </c>
      <c r="X24" s="130" t="s">
        <v>600</v>
      </c>
      <c r="Y24" s="130" t="s">
        <v>600</v>
      </c>
      <c r="Z24" s="130" t="s">
        <v>600</v>
      </c>
      <c r="AA24" s="130" t="s">
        <v>600</v>
      </c>
      <c r="AB24" s="130" t="s">
        <v>600</v>
      </c>
      <c r="AC24" s="131" t="s">
        <v>601</v>
      </c>
      <c r="AD24" s="131" t="s">
        <v>601</v>
      </c>
      <c r="AE24" s="131" t="s">
        <v>601</v>
      </c>
      <c r="AF24" s="132"/>
    </row>
    <row r="25" spans="1:32" ht="15" customHeight="1">
      <c r="A25" s="41" t="s">
        <v>197</v>
      </c>
      <c r="B25" s="58">
        <v>10</v>
      </c>
      <c r="F25" s="125">
        <v>2200</v>
      </c>
      <c r="G25" s="126" t="s">
        <v>596</v>
      </c>
      <c r="H25" s="127" t="s">
        <v>597</v>
      </c>
      <c r="I25" s="128" t="s">
        <v>598</v>
      </c>
      <c r="J25" s="128" t="s">
        <v>598</v>
      </c>
      <c r="K25" s="128" t="s">
        <v>598</v>
      </c>
      <c r="L25" s="128" t="s">
        <v>598</v>
      </c>
      <c r="M25" s="128" t="s">
        <v>598</v>
      </c>
      <c r="N25" s="128" t="s">
        <v>598</v>
      </c>
      <c r="O25" s="129" t="s">
        <v>599</v>
      </c>
      <c r="P25" s="129" t="s">
        <v>599</v>
      </c>
      <c r="Q25" s="129" t="s">
        <v>599</v>
      </c>
      <c r="R25" s="129" t="s">
        <v>599</v>
      </c>
      <c r="S25" s="129" t="s">
        <v>599</v>
      </c>
      <c r="T25" s="129" t="s">
        <v>599</v>
      </c>
      <c r="U25" s="129" t="s">
        <v>599</v>
      </c>
      <c r="V25" s="129" t="s">
        <v>599</v>
      </c>
      <c r="W25" s="129" t="s">
        <v>599</v>
      </c>
      <c r="X25" s="130" t="s">
        <v>600</v>
      </c>
      <c r="Y25" s="130" t="s">
        <v>600</v>
      </c>
      <c r="Z25" s="130" t="s">
        <v>600</v>
      </c>
      <c r="AA25" s="130" t="s">
        <v>600</v>
      </c>
      <c r="AB25" s="130" t="s">
        <v>600</v>
      </c>
      <c r="AC25" s="131" t="s">
        <v>601</v>
      </c>
      <c r="AD25" s="131" t="s">
        <v>601</v>
      </c>
      <c r="AE25" s="131" t="s">
        <v>601</v>
      </c>
      <c r="AF25" s="132"/>
    </row>
    <row r="26" spans="1:32" ht="15" customHeight="1">
      <c r="A26" s="41" t="s">
        <v>198</v>
      </c>
      <c r="B26" s="58">
        <v>15</v>
      </c>
      <c r="F26" s="125">
        <v>2400</v>
      </c>
      <c r="G26" s="126" t="s">
        <v>596</v>
      </c>
      <c r="H26" s="127" t="s">
        <v>597</v>
      </c>
      <c r="I26" s="128" t="s">
        <v>598</v>
      </c>
      <c r="J26" s="128" t="s">
        <v>598</v>
      </c>
      <c r="K26" s="128" t="s">
        <v>598</v>
      </c>
      <c r="L26" s="128" t="s">
        <v>598</v>
      </c>
      <c r="M26" s="128" t="s">
        <v>598</v>
      </c>
      <c r="N26" s="128" t="s">
        <v>598</v>
      </c>
      <c r="O26" s="129" t="s">
        <v>599</v>
      </c>
      <c r="P26" s="129" t="s">
        <v>599</v>
      </c>
      <c r="Q26" s="129" t="s">
        <v>599</v>
      </c>
      <c r="R26" s="129" t="s">
        <v>599</v>
      </c>
      <c r="S26" s="129" t="s">
        <v>599</v>
      </c>
      <c r="T26" s="129" t="s">
        <v>599</v>
      </c>
      <c r="U26" s="129" t="s">
        <v>599</v>
      </c>
      <c r="V26" s="129" t="s">
        <v>599</v>
      </c>
      <c r="W26" s="129" t="s">
        <v>599</v>
      </c>
      <c r="X26" s="130" t="s">
        <v>600</v>
      </c>
      <c r="Y26" s="130" t="s">
        <v>600</v>
      </c>
      <c r="Z26" s="130" t="s">
        <v>600</v>
      </c>
      <c r="AA26" s="130" t="s">
        <v>600</v>
      </c>
      <c r="AB26" s="131" t="s">
        <v>601</v>
      </c>
      <c r="AC26" s="131" t="s">
        <v>601</v>
      </c>
      <c r="AD26" s="131" t="s">
        <v>601</v>
      </c>
      <c r="AE26" s="131" t="s">
        <v>601</v>
      </c>
      <c r="AF26" s="132"/>
    </row>
    <row r="27" spans="1:32" ht="15" customHeight="1">
      <c r="A27" s="41"/>
      <c r="B27" s="40"/>
      <c r="F27" s="125">
        <v>2600</v>
      </c>
      <c r="G27" s="133" t="s">
        <v>595</v>
      </c>
      <c r="H27" s="127" t="s">
        <v>597</v>
      </c>
      <c r="I27" s="128" t="s">
        <v>598</v>
      </c>
      <c r="J27" s="128" t="s">
        <v>598</v>
      </c>
      <c r="K27" s="128" t="s">
        <v>598</v>
      </c>
      <c r="L27" s="128" t="s">
        <v>598</v>
      </c>
      <c r="M27" s="128" t="s">
        <v>598</v>
      </c>
      <c r="N27" s="128" t="s">
        <v>598</v>
      </c>
      <c r="O27" s="129" t="s">
        <v>599</v>
      </c>
      <c r="P27" s="129" t="s">
        <v>599</v>
      </c>
      <c r="Q27" s="129" t="s">
        <v>599</v>
      </c>
      <c r="R27" s="129" t="s">
        <v>599</v>
      </c>
      <c r="S27" s="129" t="s">
        <v>599</v>
      </c>
      <c r="T27" s="129" t="s">
        <v>599</v>
      </c>
      <c r="U27" s="129" t="s">
        <v>599</v>
      </c>
      <c r="V27" s="129" t="s">
        <v>599</v>
      </c>
      <c r="W27" s="130" t="s">
        <v>600</v>
      </c>
      <c r="X27" s="130" t="s">
        <v>600</v>
      </c>
      <c r="Y27" s="130" t="s">
        <v>600</v>
      </c>
      <c r="Z27" s="130" t="s">
        <v>600</v>
      </c>
      <c r="AA27" s="130" t="s">
        <v>600</v>
      </c>
      <c r="AB27" s="131" t="s">
        <v>601</v>
      </c>
      <c r="AC27" s="131" t="s">
        <v>601</v>
      </c>
      <c r="AD27" s="131" t="s">
        <v>601</v>
      </c>
      <c r="AE27" s="131" t="s">
        <v>601</v>
      </c>
      <c r="AF27" s="132"/>
    </row>
    <row r="28" spans="1:32" ht="15" customHeight="1">
      <c r="A28" s="41"/>
      <c r="B28" s="40"/>
      <c r="F28" s="125">
        <v>2800</v>
      </c>
      <c r="G28" s="133" t="s">
        <v>595</v>
      </c>
      <c r="H28" s="127" t="s">
        <v>597</v>
      </c>
      <c r="I28" s="128" t="s">
        <v>598</v>
      </c>
      <c r="J28" s="128" t="s">
        <v>598</v>
      </c>
      <c r="K28" s="128" t="s">
        <v>598</v>
      </c>
      <c r="L28" s="128" t="s">
        <v>598</v>
      </c>
      <c r="M28" s="128" t="s">
        <v>598</v>
      </c>
      <c r="N28" s="128" t="s">
        <v>598</v>
      </c>
      <c r="O28" s="129" t="s">
        <v>599</v>
      </c>
      <c r="P28" s="129" t="s">
        <v>599</v>
      </c>
      <c r="Q28" s="129" t="s">
        <v>599</v>
      </c>
      <c r="R28" s="129" t="s">
        <v>599</v>
      </c>
      <c r="S28" s="129" t="s">
        <v>599</v>
      </c>
      <c r="T28" s="129" t="s">
        <v>599</v>
      </c>
      <c r="U28" s="129" t="s">
        <v>599</v>
      </c>
      <c r="V28" s="129" t="s">
        <v>599</v>
      </c>
      <c r="W28" s="130" t="s">
        <v>600</v>
      </c>
      <c r="X28" s="130" t="s">
        <v>600</v>
      </c>
      <c r="Y28" s="130" t="s">
        <v>600</v>
      </c>
      <c r="Z28" s="130" t="s">
        <v>600</v>
      </c>
      <c r="AA28" s="130" t="s">
        <v>600</v>
      </c>
      <c r="AB28" s="131" t="s">
        <v>601</v>
      </c>
      <c r="AC28" s="131" t="s">
        <v>601</v>
      </c>
      <c r="AD28" s="133" t="s">
        <v>595</v>
      </c>
      <c r="AE28" s="133" t="s">
        <v>595</v>
      </c>
      <c r="AF28" s="132"/>
    </row>
    <row r="29" spans="1:32" ht="15" customHeight="1">
      <c r="A29" s="41"/>
      <c r="B29" s="40"/>
      <c r="F29" s="125">
        <v>3000</v>
      </c>
      <c r="G29" s="133" t="s">
        <v>595</v>
      </c>
      <c r="H29" s="127" t="s">
        <v>597</v>
      </c>
      <c r="I29" s="128" t="s">
        <v>598</v>
      </c>
      <c r="J29" s="128" t="s">
        <v>598</v>
      </c>
      <c r="K29" s="128" t="s">
        <v>598</v>
      </c>
      <c r="L29" s="128" t="s">
        <v>598</v>
      </c>
      <c r="M29" s="128" t="s">
        <v>598</v>
      </c>
      <c r="N29" s="128" t="s">
        <v>598</v>
      </c>
      <c r="O29" s="129" t="s">
        <v>599</v>
      </c>
      <c r="P29" s="129" t="s">
        <v>599</v>
      </c>
      <c r="Q29" s="129" t="s">
        <v>599</v>
      </c>
      <c r="R29" s="129" t="s">
        <v>599</v>
      </c>
      <c r="S29" s="129" t="s">
        <v>599</v>
      </c>
      <c r="T29" s="129" t="s">
        <v>599</v>
      </c>
      <c r="U29" s="129" t="s">
        <v>599</v>
      </c>
      <c r="V29" s="130" t="s">
        <v>600</v>
      </c>
      <c r="W29" s="130" t="s">
        <v>600</v>
      </c>
      <c r="X29" s="130" t="s">
        <v>600</v>
      </c>
      <c r="Y29" s="130" t="s">
        <v>600</v>
      </c>
      <c r="Z29" s="130" t="s">
        <v>600</v>
      </c>
      <c r="AA29" s="130" t="s">
        <v>600</v>
      </c>
      <c r="AB29" s="131" t="s">
        <v>601</v>
      </c>
      <c r="AC29" s="133" t="s">
        <v>595</v>
      </c>
      <c r="AD29" s="133" t="s">
        <v>595</v>
      </c>
      <c r="AE29" s="133" t="s">
        <v>595</v>
      </c>
      <c r="AF29" s="132"/>
    </row>
    <row r="30" spans="1:32" ht="15" customHeight="1">
      <c r="A30" s="42"/>
      <c r="B30" s="43"/>
      <c r="F30" s="125">
        <v>3200</v>
      </c>
      <c r="G30" s="133" t="s">
        <v>595</v>
      </c>
      <c r="H30" s="133" t="s">
        <v>595</v>
      </c>
      <c r="I30" s="128" t="s">
        <v>598</v>
      </c>
      <c r="J30" s="128" t="s">
        <v>598</v>
      </c>
      <c r="K30" s="128" t="s">
        <v>598</v>
      </c>
      <c r="L30" s="128" t="s">
        <v>598</v>
      </c>
      <c r="M30" s="128" t="s">
        <v>598</v>
      </c>
      <c r="N30" s="128" t="s">
        <v>598</v>
      </c>
      <c r="O30" s="129" t="s">
        <v>599</v>
      </c>
      <c r="P30" s="129" t="s">
        <v>599</v>
      </c>
      <c r="Q30" s="129" t="s">
        <v>599</v>
      </c>
      <c r="R30" s="129" t="s">
        <v>599</v>
      </c>
      <c r="S30" s="129" t="s">
        <v>599</v>
      </c>
      <c r="T30" s="129" t="s">
        <v>599</v>
      </c>
      <c r="U30" s="130" t="s">
        <v>600</v>
      </c>
      <c r="V30" s="130" t="s">
        <v>600</v>
      </c>
      <c r="W30" s="130" t="s">
        <v>600</v>
      </c>
      <c r="X30" s="130" t="s">
        <v>600</v>
      </c>
      <c r="Y30" s="130" t="s">
        <v>600</v>
      </c>
      <c r="Z30" s="130" t="s">
        <v>600</v>
      </c>
      <c r="AA30" s="133" t="s">
        <v>595</v>
      </c>
      <c r="AB30" s="133" t="s">
        <v>595</v>
      </c>
      <c r="AC30" s="133" t="s">
        <v>595</v>
      </c>
      <c r="AD30" s="133" t="s">
        <v>595</v>
      </c>
      <c r="AE30" s="133" t="s">
        <v>595</v>
      </c>
      <c r="AF30" s="132"/>
    </row>
    <row r="31" spans="6:32" ht="15" customHeight="1">
      <c r="F31" s="125">
        <v>3400</v>
      </c>
      <c r="G31" s="133" t="s">
        <v>595</v>
      </c>
      <c r="H31" s="133" t="s">
        <v>595</v>
      </c>
      <c r="I31" s="128" t="s">
        <v>598</v>
      </c>
      <c r="J31" s="128" t="s">
        <v>598</v>
      </c>
      <c r="K31" s="128" t="s">
        <v>598</v>
      </c>
      <c r="L31" s="128" t="s">
        <v>598</v>
      </c>
      <c r="M31" s="128" t="s">
        <v>598</v>
      </c>
      <c r="N31" s="128" t="s">
        <v>598</v>
      </c>
      <c r="O31" s="129" t="s">
        <v>599</v>
      </c>
      <c r="P31" s="129" t="s">
        <v>599</v>
      </c>
      <c r="Q31" s="129" t="s">
        <v>599</v>
      </c>
      <c r="R31" s="129" t="s">
        <v>599</v>
      </c>
      <c r="S31" s="129" t="s">
        <v>599</v>
      </c>
      <c r="T31" s="130" t="s">
        <v>600</v>
      </c>
      <c r="U31" s="130" t="s">
        <v>600</v>
      </c>
      <c r="V31" s="130" t="s">
        <v>600</v>
      </c>
      <c r="W31" s="130" t="s">
        <v>600</v>
      </c>
      <c r="X31" s="130" t="s">
        <v>600</v>
      </c>
      <c r="Y31" s="130" t="s">
        <v>600</v>
      </c>
      <c r="Z31" s="133" t="s">
        <v>595</v>
      </c>
      <c r="AA31" s="133" t="s">
        <v>595</v>
      </c>
      <c r="AB31" s="133" t="s">
        <v>595</v>
      </c>
      <c r="AC31" s="133" t="s">
        <v>595</v>
      </c>
      <c r="AD31" s="133" t="s">
        <v>595</v>
      </c>
      <c r="AE31" s="133" t="s">
        <v>595</v>
      </c>
      <c r="AF31" s="132"/>
    </row>
    <row r="32" spans="6:32" ht="15" customHeight="1">
      <c r="F32" s="125">
        <v>3600</v>
      </c>
      <c r="G32" s="133" t="s">
        <v>595</v>
      </c>
      <c r="H32" s="133" t="s">
        <v>595</v>
      </c>
      <c r="I32" s="128" t="s">
        <v>598</v>
      </c>
      <c r="J32" s="128" t="s">
        <v>598</v>
      </c>
      <c r="K32" s="128" t="s">
        <v>598</v>
      </c>
      <c r="L32" s="128" t="s">
        <v>598</v>
      </c>
      <c r="M32" s="128" t="s">
        <v>598</v>
      </c>
      <c r="N32" s="128" t="s">
        <v>598</v>
      </c>
      <c r="O32" s="129" t="s">
        <v>599</v>
      </c>
      <c r="P32" s="129" t="s">
        <v>599</v>
      </c>
      <c r="Q32" s="129" t="s">
        <v>599</v>
      </c>
      <c r="R32" s="129" t="s">
        <v>599</v>
      </c>
      <c r="S32" s="130" t="s">
        <v>600</v>
      </c>
      <c r="T32" s="130" t="s">
        <v>600</v>
      </c>
      <c r="U32" s="130" t="s">
        <v>600</v>
      </c>
      <c r="V32" s="130" t="s">
        <v>600</v>
      </c>
      <c r="W32" s="130" t="s">
        <v>600</v>
      </c>
      <c r="X32" s="130" t="s">
        <v>600</v>
      </c>
      <c r="Y32" s="133" t="s">
        <v>595</v>
      </c>
      <c r="Z32" s="133" t="s">
        <v>595</v>
      </c>
      <c r="AA32" s="133" t="s">
        <v>595</v>
      </c>
      <c r="AB32" s="133" t="s">
        <v>595</v>
      </c>
      <c r="AC32" s="133" t="s">
        <v>595</v>
      </c>
      <c r="AD32" s="133" t="s">
        <v>595</v>
      </c>
      <c r="AE32" s="133" t="s">
        <v>595</v>
      </c>
      <c r="AF32" s="132"/>
    </row>
    <row r="33" spans="6:32" ht="15" customHeight="1">
      <c r="F33" s="125">
        <v>3800</v>
      </c>
      <c r="G33" s="133" t="s">
        <v>595</v>
      </c>
      <c r="H33" s="133" t="s">
        <v>595</v>
      </c>
      <c r="I33" s="128" t="s">
        <v>598</v>
      </c>
      <c r="J33" s="128" t="s">
        <v>598</v>
      </c>
      <c r="K33" s="128" t="s">
        <v>598</v>
      </c>
      <c r="L33" s="128" t="s">
        <v>598</v>
      </c>
      <c r="M33" s="128" t="s">
        <v>598</v>
      </c>
      <c r="N33" s="128" t="s">
        <v>598</v>
      </c>
      <c r="O33" s="129" t="s">
        <v>599</v>
      </c>
      <c r="P33" s="129" t="s">
        <v>599</v>
      </c>
      <c r="Q33" s="129" t="s">
        <v>599</v>
      </c>
      <c r="R33" s="129" t="s">
        <v>599</v>
      </c>
      <c r="S33" s="130" t="s">
        <v>600</v>
      </c>
      <c r="T33" s="130" t="s">
        <v>600</v>
      </c>
      <c r="U33" s="130" t="s">
        <v>600</v>
      </c>
      <c r="V33" s="130" t="s">
        <v>600</v>
      </c>
      <c r="W33" s="130" t="s">
        <v>600</v>
      </c>
      <c r="X33" s="133" t="s">
        <v>595</v>
      </c>
      <c r="Y33" s="133" t="s">
        <v>595</v>
      </c>
      <c r="Z33" s="133" t="s">
        <v>595</v>
      </c>
      <c r="AA33" s="133" t="s">
        <v>595</v>
      </c>
      <c r="AB33" s="133" t="s">
        <v>595</v>
      </c>
      <c r="AC33" s="133" t="s">
        <v>595</v>
      </c>
      <c r="AD33" s="133" t="s">
        <v>595</v>
      </c>
      <c r="AE33" s="133" t="s">
        <v>595</v>
      </c>
      <c r="AF33" s="132"/>
    </row>
    <row r="34" spans="6:32" ht="15" customHeight="1">
      <c r="F34" s="125">
        <v>4000</v>
      </c>
      <c r="G34" s="133" t="s">
        <v>595</v>
      </c>
      <c r="H34" s="133" t="s">
        <v>595</v>
      </c>
      <c r="I34" s="128" t="s">
        <v>598</v>
      </c>
      <c r="J34" s="128" t="s">
        <v>598</v>
      </c>
      <c r="K34" s="128" t="s">
        <v>598</v>
      </c>
      <c r="L34" s="128" t="s">
        <v>598</v>
      </c>
      <c r="M34" s="128" t="s">
        <v>598</v>
      </c>
      <c r="N34" s="129" t="s">
        <v>599</v>
      </c>
      <c r="O34" s="129" t="s">
        <v>599</v>
      </c>
      <c r="P34" s="129" t="s">
        <v>599</v>
      </c>
      <c r="Q34" s="129" t="s">
        <v>599</v>
      </c>
      <c r="R34" s="130" t="s">
        <v>600</v>
      </c>
      <c r="S34" s="130" t="s">
        <v>600</v>
      </c>
      <c r="T34" s="130" t="s">
        <v>600</v>
      </c>
      <c r="U34" s="130" t="s">
        <v>600</v>
      </c>
      <c r="V34" s="130" t="s">
        <v>600</v>
      </c>
      <c r="W34" s="133" t="s">
        <v>595</v>
      </c>
      <c r="X34" s="133" t="s">
        <v>595</v>
      </c>
      <c r="Y34" s="133" t="s">
        <v>595</v>
      </c>
      <c r="Z34" s="133" t="s">
        <v>595</v>
      </c>
      <c r="AA34" s="133" t="s">
        <v>595</v>
      </c>
      <c r="AB34" s="133" t="s">
        <v>595</v>
      </c>
      <c r="AC34" s="133" t="s">
        <v>595</v>
      </c>
      <c r="AD34" s="133" t="s">
        <v>595</v>
      </c>
      <c r="AE34" s="133" t="s">
        <v>595</v>
      </c>
      <c r="AF34" s="132"/>
    </row>
    <row r="35" ht="15" customHeight="1"/>
    <row r="36" ht="15" customHeight="1"/>
    <row r="37" ht="15" customHeight="1"/>
    <row r="38" ht="15" customHeight="1"/>
    <row r="39" ht="15" customHeight="1"/>
    <row r="40" ht="15" customHeight="1"/>
    <row r="41" ht="15" customHeight="1"/>
    <row r="42" ht="15" customHeight="1"/>
    <row r="43" ht="15" customHeight="1"/>
    <row r="44" ht="15" customHeight="1"/>
    <row r="45" ht="15" customHeight="1"/>
    <row r="46" ht="15" customHeight="1"/>
    <row r="47" ht="15" customHeight="1"/>
    <row r="48" ht="15" customHeight="1"/>
    <row r="49" ht="15" customHeight="1"/>
    <row r="50" ht="15" customHeight="1"/>
    <row r="51" ht="15" customHeight="1"/>
    <row r="52" ht="15" customHeight="1"/>
    <row r="53" ht="15" customHeight="1"/>
    <row r="54" ht="15" customHeight="1"/>
    <row r="55" ht="15" customHeight="1"/>
  </sheetData>
  <mergeCells count="1">
    <mergeCell ref="A2:C2"/>
  </mergeCells>
  <pageMargins left="1.25905511811053" right="1.25905511811053" top="0.75" bottom="0.75" header="0.3" footer="0.3"/>
  <pageSetup orientation="portrait" paperSize="9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/>
  <dimension ref="A1:F282"/>
  <sheetViews>
    <sheetView view="pageBreakPreview" zoomScaleSheetLayoutView="100" workbookViewId="0" topLeftCell="A54">
      <selection pane="topLeft" activeCell="A71" sqref="A71"/>
    </sheetView>
  </sheetViews>
  <sheetFormatPr defaultColWidth="9.109375" defaultRowHeight="13.5"/>
  <cols>
    <col min="1" max="1" width="54" bestFit="1" customWidth="1"/>
    <col min="2" max="2" width="13" bestFit="1" customWidth="1"/>
    <col min="3" max="3" width="13.7142857142857" bestFit="1" customWidth="1"/>
    <col min="4" max="4" width="8" bestFit="1" customWidth="1"/>
    <col min="5" max="5" width="22.2857142857143" bestFit="1" customWidth="1"/>
    <col min="6" max="6" width="12.2857142857143" bestFit="1" customWidth="1"/>
  </cols>
  <sheetData>
    <row r="1" spans="1:6" s="24" customFormat="1" ht="24" customHeight="1">
      <c r="A1" s="147" t="s">
        <v>164</v>
      </c>
      <c r="B1" s="147" t="s">
        <v>160</v>
      </c>
      <c r="C1" s="147" t="s">
        <v>681</v>
      </c>
      <c r="D1" s="147" t="s">
        <v>366</v>
      </c>
      <c r="E1" s="24" t="s">
        <v>138</v>
      </c>
      <c r="F1" s="24" t="s">
        <v>771</v>
      </c>
    </row>
    <row r="2" spans="1:6" ht="14.4">
      <c r="A2" s="148" t="s">
        <v>604</v>
      </c>
      <c r="B2" s="148"/>
      <c r="C2" s="148"/>
      <c r="D2" s="148" t="s">
        <v>203</v>
      </c>
      <c r="E2">
        <v>3200</v>
      </c>
      <c r="F2" t="b">
        <v>0</v>
      </c>
    </row>
    <row r="3" spans="1:6" ht="14.4">
      <c r="A3" s="148" t="s">
        <v>605</v>
      </c>
      <c r="B3" s="148"/>
      <c r="C3" s="148"/>
      <c r="D3" s="148" t="s">
        <v>203</v>
      </c>
      <c r="E3">
        <v>3200</v>
      </c>
      <c r="F3" t="b">
        <v>0</v>
      </c>
    </row>
    <row r="4" spans="1:6" ht="14.4">
      <c r="A4" s="148" t="s">
        <v>606</v>
      </c>
      <c r="B4" s="148"/>
      <c r="C4" s="148"/>
      <c r="D4" s="148" t="s">
        <v>203</v>
      </c>
      <c r="E4">
        <v>3200</v>
      </c>
      <c r="F4" t="b">
        <v>0</v>
      </c>
    </row>
    <row r="5" spans="1:6" ht="13.2" customHeight="1">
      <c r="A5" s="148" t="s">
        <v>607</v>
      </c>
      <c r="B5" s="148"/>
      <c r="C5" s="148"/>
      <c r="D5" s="148" t="s">
        <v>203</v>
      </c>
      <c r="E5">
        <v>3200</v>
      </c>
      <c r="F5" t="b">
        <v>0</v>
      </c>
    </row>
    <row r="6" spans="1:6" ht="13.2" customHeight="1">
      <c r="A6" s="148" t="s">
        <v>608</v>
      </c>
      <c r="B6" s="148"/>
      <c r="C6" s="148"/>
      <c r="D6" s="148"/>
      <c r="E6">
        <v>3200</v>
      </c>
      <c r="F6" t="b">
        <v>0</v>
      </c>
    </row>
    <row r="7" spans="1:6" ht="13.2" customHeight="1">
      <c r="A7" s="148" t="s">
        <v>609</v>
      </c>
      <c r="B7" s="148"/>
      <c r="C7" s="148"/>
      <c r="D7" s="148" t="s">
        <v>203</v>
      </c>
      <c r="E7">
        <v>3200</v>
      </c>
      <c r="F7" t="b">
        <v>0</v>
      </c>
    </row>
    <row r="8" spans="1:6" ht="13.2" customHeight="1">
      <c r="A8" s="148" t="s">
        <v>610</v>
      </c>
      <c r="B8" s="148"/>
      <c r="C8" s="148"/>
      <c r="D8" s="148" t="s">
        <v>203</v>
      </c>
      <c r="E8">
        <v>3200</v>
      </c>
      <c r="F8" t="b">
        <v>0</v>
      </c>
    </row>
    <row r="9" spans="1:6" ht="13.2" customHeight="1">
      <c r="A9" s="148" t="s">
        <v>611</v>
      </c>
      <c r="B9" s="148"/>
      <c r="C9" s="148"/>
      <c r="D9" s="148" t="s">
        <v>203</v>
      </c>
      <c r="E9">
        <v>3200</v>
      </c>
      <c r="F9" t="b">
        <v>0</v>
      </c>
    </row>
    <row r="10" spans="1:6" ht="13.2" customHeight="1">
      <c r="A10" s="148" t="s">
        <v>612</v>
      </c>
      <c r="B10" s="148"/>
      <c r="C10" s="148"/>
      <c r="D10" s="148" t="s">
        <v>203</v>
      </c>
      <c r="E10">
        <v>3200</v>
      </c>
      <c r="F10" t="b">
        <v>0</v>
      </c>
    </row>
    <row r="11" spans="1:6" ht="13.2" customHeight="1">
      <c r="A11" s="148" t="s">
        <v>613</v>
      </c>
      <c r="B11" s="148"/>
      <c r="C11" s="148"/>
      <c r="D11" s="148" t="s">
        <v>203</v>
      </c>
      <c r="E11">
        <v>3200</v>
      </c>
      <c r="F11" t="b">
        <v>0</v>
      </c>
    </row>
    <row r="12" spans="1:6" ht="13.2" customHeight="1">
      <c r="A12" s="148" t="s">
        <v>614</v>
      </c>
      <c r="B12" s="148"/>
      <c r="C12" s="148"/>
      <c r="D12" s="148" t="s">
        <v>203</v>
      </c>
      <c r="E12">
        <v>3200</v>
      </c>
      <c r="F12" t="b">
        <v>0</v>
      </c>
    </row>
    <row r="13" spans="1:6" ht="13.2" customHeight="1">
      <c r="A13" s="148" t="s">
        <v>615</v>
      </c>
      <c r="B13" s="148"/>
      <c r="C13" s="148"/>
      <c r="D13" s="148" t="s">
        <v>203</v>
      </c>
      <c r="E13">
        <v>3200</v>
      </c>
      <c r="F13" t="b">
        <v>0</v>
      </c>
    </row>
    <row r="14" spans="1:6" ht="13.2" customHeight="1">
      <c r="A14" s="148" t="s">
        <v>616</v>
      </c>
      <c r="B14" s="148"/>
      <c r="C14" s="148"/>
      <c r="D14" s="148"/>
      <c r="E14">
        <v>3200</v>
      </c>
      <c r="F14" t="b">
        <v>0</v>
      </c>
    </row>
    <row r="15" spans="1:6" ht="13.2" customHeight="1">
      <c r="A15" s="148" t="s">
        <v>617</v>
      </c>
      <c r="B15" s="148" t="s">
        <v>151</v>
      </c>
      <c r="C15" s="148" t="s">
        <v>151</v>
      </c>
      <c r="D15" s="148" t="s">
        <v>203</v>
      </c>
      <c r="E15">
        <v>3000</v>
      </c>
      <c r="F15" t="b">
        <v>0</v>
      </c>
    </row>
    <row r="16" spans="1:6" ht="13.2" customHeight="1">
      <c r="A16" s="148" t="s">
        <v>618</v>
      </c>
      <c r="B16" s="148"/>
      <c r="C16" s="148"/>
      <c r="D16" s="148" t="s">
        <v>203</v>
      </c>
      <c r="E16">
        <v>3000</v>
      </c>
      <c r="F16" t="b">
        <v>0</v>
      </c>
    </row>
    <row r="17" spans="1:6" ht="13.2" customHeight="1">
      <c r="A17" s="148" t="s">
        <v>619</v>
      </c>
      <c r="B17" s="148"/>
      <c r="C17" s="148"/>
      <c r="D17" s="148" t="s">
        <v>203</v>
      </c>
      <c r="E17">
        <v>3000</v>
      </c>
      <c r="F17" t="b">
        <v>0</v>
      </c>
    </row>
    <row r="18" spans="1:6" ht="13.2" customHeight="1">
      <c r="A18" s="148" t="s">
        <v>620</v>
      </c>
      <c r="B18" s="148"/>
      <c r="C18" s="148"/>
      <c r="D18" s="148" t="s">
        <v>203</v>
      </c>
      <c r="E18">
        <v>3000</v>
      </c>
      <c r="F18" t="b">
        <v>0</v>
      </c>
    </row>
    <row r="19" spans="1:6" ht="13.2" customHeight="1">
      <c r="A19" s="148" t="s">
        <v>621</v>
      </c>
      <c r="B19" s="148"/>
      <c r="C19" s="148"/>
      <c r="D19" s="148" t="s">
        <v>203</v>
      </c>
      <c r="E19">
        <v>3000</v>
      </c>
      <c r="F19" t="b">
        <v>0</v>
      </c>
    </row>
    <row r="20" spans="1:6" ht="13.2" customHeight="1">
      <c r="A20" s="148" t="s">
        <v>622</v>
      </c>
      <c r="B20" s="148" t="s">
        <v>163</v>
      </c>
      <c r="C20" s="148" t="s">
        <v>163</v>
      </c>
      <c r="D20" s="148" t="s">
        <v>203</v>
      </c>
      <c r="E20">
        <v>3000</v>
      </c>
      <c r="F20" t="b">
        <v>0</v>
      </c>
    </row>
    <row r="21" spans="1:6" ht="13.2" customHeight="1">
      <c r="A21" s="148" t="s">
        <v>623</v>
      </c>
      <c r="B21" s="148" t="s">
        <v>151</v>
      </c>
      <c r="C21" s="148" t="s">
        <v>151</v>
      </c>
      <c r="D21" s="148" t="s">
        <v>203</v>
      </c>
      <c r="E21">
        <v>3000</v>
      </c>
      <c r="F21" t="b">
        <v>0</v>
      </c>
    </row>
    <row r="22" spans="1:6" ht="13.2" customHeight="1">
      <c r="A22" s="148" t="s">
        <v>624</v>
      </c>
      <c r="B22" s="148" t="s">
        <v>163</v>
      </c>
      <c r="C22" s="148" t="s">
        <v>163</v>
      </c>
      <c r="D22" s="148" t="s">
        <v>203</v>
      </c>
      <c r="E22">
        <v>3000</v>
      </c>
      <c r="F22" t="b">
        <v>0</v>
      </c>
    </row>
    <row r="23" spans="1:6" ht="14.4">
      <c r="A23" s="148" t="s">
        <v>625</v>
      </c>
      <c r="B23" s="148"/>
      <c r="C23" s="148"/>
      <c r="D23" s="148"/>
      <c r="E23">
        <v>3000</v>
      </c>
      <c r="F23" t="b">
        <v>0</v>
      </c>
    </row>
    <row r="24" spans="1:6" ht="14.4">
      <c r="A24" s="148" t="s">
        <v>417</v>
      </c>
      <c r="B24" s="148"/>
      <c r="C24" s="148"/>
      <c r="D24" s="148"/>
      <c r="E24">
        <v>3200</v>
      </c>
      <c r="F24" t="b">
        <v>0</v>
      </c>
    </row>
    <row r="25" spans="1:6" ht="14.4">
      <c r="A25" s="148" t="s">
        <v>412</v>
      </c>
      <c r="B25" s="148" t="s">
        <v>150</v>
      </c>
      <c r="C25" s="148" t="s">
        <v>150</v>
      </c>
      <c r="D25" s="148" t="s">
        <v>203</v>
      </c>
      <c r="E25">
        <v>3200</v>
      </c>
      <c r="F25" t="b">
        <v>0</v>
      </c>
    </row>
    <row r="26" spans="1:6" ht="14.4">
      <c r="A26" s="148" t="s">
        <v>413</v>
      </c>
      <c r="B26" s="148" t="s">
        <v>151</v>
      </c>
      <c r="C26" s="148" t="s">
        <v>151</v>
      </c>
      <c r="D26" s="148" t="s">
        <v>203</v>
      </c>
      <c r="E26">
        <v>3200</v>
      </c>
      <c r="F26" t="b">
        <v>0</v>
      </c>
    </row>
    <row r="27" spans="1:6" ht="14.4">
      <c r="A27" s="148" t="s">
        <v>414</v>
      </c>
      <c r="B27" s="148"/>
      <c r="C27" s="148"/>
      <c r="D27" s="148" t="s">
        <v>203</v>
      </c>
      <c r="E27">
        <v>3200</v>
      </c>
      <c r="F27" t="b">
        <v>0</v>
      </c>
    </row>
    <row r="28" spans="1:6" ht="14.4">
      <c r="A28" s="148" t="s">
        <v>415</v>
      </c>
      <c r="B28" s="148"/>
      <c r="C28" s="148"/>
      <c r="D28" s="148" t="s">
        <v>203</v>
      </c>
      <c r="E28">
        <v>3200</v>
      </c>
      <c r="F28" t="b">
        <v>0</v>
      </c>
    </row>
    <row r="29" spans="1:6" ht="14.4">
      <c r="A29" s="148" t="s">
        <v>416</v>
      </c>
      <c r="B29" s="148"/>
      <c r="C29" s="148"/>
      <c r="D29" s="148" t="s">
        <v>203</v>
      </c>
      <c r="E29">
        <v>3200</v>
      </c>
      <c r="F29" t="b">
        <v>0</v>
      </c>
    </row>
    <row r="30" spans="1:6" ht="14.4">
      <c r="A30" s="148" t="s">
        <v>411</v>
      </c>
      <c r="B30" s="148" t="s">
        <v>150</v>
      </c>
      <c r="C30" s="148" t="s">
        <v>150</v>
      </c>
      <c r="D30" s="148" t="s">
        <v>203</v>
      </c>
      <c r="E30">
        <v>3200</v>
      </c>
      <c r="F30" t="b">
        <v>0</v>
      </c>
    </row>
    <row r="31" spans="1:6" ht="14.4">
      <c r="A31" s="148" t="s">
        <v>388</v>
      </c>
      <c r="B31" s="148"/>
      <c r="C31" s="148"/>
      <c r="D31" s="148" t="s">
        <v>203</v>
      </c>
      <c r="E31">
        <v>3200</v>
      </c>
      <c r="F31" t="b">
        <v>0</v>
      </c>
    </row>
    <row r="32" spans="1:6" ht="14.4">
      <c r="A32" s="148" t="s">
        <v>389</v>
      </c>
      <c r="B32" s="148"/>
      <c r="C32" s="148"/>
      <c r="D32" s="148" t="s">
        <v>203</v>
      </c>
      <c r="E32">
        <v>3200</v>
      </c>
      <c r="F32" t="b">
        <v>0</v>
      </c>
    </row>
    <row r="33" spans="1:6" ht="14.4">
      <c r="A33" s="148" t="s">
        <v>390</v>
      </c>
      <c r="B33" s="148"/>
      <c r="C33" s="148"/>
      <c r="D33" s="148" t="s">
        <v>203</v>
      </c>
      <c r="E33">
        <v>3200</v>
      </c>
      <c r="F33" t="b">
        <v>0</v>
      </c>
    </row>
    <row r="34" spans="1:6" ht="14.4">
      <c r="A34" s="148" t="s">
        <v>391</v>
      </c>
      <c r="B34" s="148"/>
      <c r="C34" s="148"/>
      <c r="D34" s="148" t="s">
        <v>203</v>
      </c>
      <c r="E34">
        <v>3200</v>
      </c>
      <c r="F34" t="b">
        <v>0</v>
      </c>
    </row>
    <row r="35" spans="1:6" ht="14.4">
      <c r="A35" s="148" t="s">
        <v>392</v>
      </c>
      <c r="B35" s="148" t="s">
        <v>151</v>
      </c>
      <c r="C35" s="148" t="s">
        <v>151</v>
      </c>
      <c r="D35" s="148" t="s">
        <v>203</v>
      </c>
      <c r="E35">
        <v>3200</v>
      </c>
      <c r="F35" t="b">
        <v>0</v>
      </c>
    </row>
    <row r="36" spans="1:6" ht="14.4">
      <c r="A36" s="148" t="s">
        <v>393</v>
      </c>
      <c r="B36" s="148"/>
      <c r="C36" s="148"/>
      <c r="D36" s="148" t="s">
        <v>203</v>
      </c>
      <c r="E36">
        <v>3200</v>
      </c>
      <c r="F36" t="b">
        <v>0</v>
      </c>
    </row>
    <row r="37" spans="1:6" ht="14.4">
      <c r="A37" s="148" t="s">
        <v>394</v>
      </c>
      <c r="B37" s="148"/>
      <c r="C37" s="148"/>
      <c r="D37" s="148"/>
      <c r="E37">
        <v>3200</v>
      </c>
      <c r="F37" t="b">
        <v>0</v>
      </c>
    </row>
    <row r="38" spans="1:6" ht="14.4">
      <c r="A38" s="148" t="s">
        <v>209</v>
      </c>
      <c r="B38" s="148" t="s">
        <v>150</v>
      </c>
      <c r="C38" s="148" t="s">
        <v>150</v>
      </c>
      <c r="D38" s="148" t="s">
        <v>203</v>
      </c>
      <c r="E38">
        <v>3050</v>
      </c>
      <c r="F38" t="b">
        <v>0</v>
      </c>
    </row>
    <row r="39" spans="1:6" ht="14.4">
      <c r="A39" s="148" t="s">
        <v>210</v>
      </c>
      <c r="B39" s="148" t="s">
        <v>150</v>
      </c>
      <c r="C39" s="148" t="s">
        <v>150</v>
      </c>
      <c r="D39" s="148" t="s">
        <v>203</v>
      </c>
      <c r="E39">
        <v>3050</v>
      </c>
      <c r="F39" t="b">
        <v>0</v>
      </c>
    </row>
    <row r="40" spans="1:6" ht="14.4">
      <c r="A40" s="148" t="s">
        <v>211</v>
      </c>
      <c r="B40" s="148" t="s">
        <v>151</v>
      </c>
      <c r="C40" s="148" t="s">
        <v>151</v>
      </c>
      <c r="D40" s="148" t="s">
        <v>203</v>
      </c>
      <c r="E40" t="s">
        <v>734</v>
      </c>
      <c r="F40" t="b">
        <v>0</v>
      </c>
    </row>
    <row r="41" spans="1:6" ht="14.4">
      <c r="A41" s="148" t="s">
        <v>212</v>
      </c>
      <c r="B41" s="148" t="s">
        <v>163</v>
      </c>
      <c r="C41" s="148" t="s">
        <v>163</v>
      </c>
      <c r="D41" s="148" t="s">
        <v>683</v>
      </c>
      <c r="E41">
        <v>3050</v>
      </c>
      <c r="F41" t="b">
        <v>0</v>
      </c>
    </row>
    <row r="42" spans="1:6" ht="14.4">
      <c r="A42" s="148" t="s">
        <v>213</v>
      </c>
      <c r="B42" s="148" t="s">
        <v>150</v>
      </c>
      <c r="C42" s="148" t="s">
        <v>150</v>
      </c>
      <c r="D42" s="148" t="s">
        <v>683</v>
      </c>
      <c r="E42" t="s">
        <v>735</v>
      </c>
      <c r="F42" t="b">
        <v>0</v>
      </c>
    </row>
    <row r="43" spans="1:6" ht="14.4">
      <c r="A43" s="148" t="s">
        <v>214</v>
      </c>
      <c r="B43" s="148" t="s">
        <v>163</v>
      </c>
      <c r="C43" s="148" t="s">
        <v>163</v>
      </c>
      <c r="D43" s="148" t="s">
        <v>203</v>
      </c>
      <c r="E43" t="s">
        <v>734</v>
      </c>
      <c r="F43" t="b">
        <v>0</v>
      </c>
    </row>
    <row r="44" spans="1:6" ht="14.4">
      <c r="A44" s="148" t="s">
        <v>728</v>
      </c>
      <c r="B44" s="148" t="s">
        <v>151</v>
      </c>
      <c r="C44" s="148"/>
      <c r="D44" s="148" t="s">
        <v>683</v>
      </c>
      <c r="E44" t="s">
        <v>736</v>
      </c>
      <c r="F44" t="b">
        <v>0</v>
      </c>
    </row>
    <row r="45" spans="1:6" ht="14.4">
      <c r="A45" s="148" t="s">
        <v>215</v>
      </c>
      <c r="B45" s="148" t="s">
        <v>150</v>
      </c>
      <c r="C45" s="148" t="s">
        <v>150</v>
      </c>
      <c r="D45" s="148" t="s">
        <v>203</v>
      </c>
      <c r="E45" t="s">
        <v>737</v>
      </c>
      <c r="F45" t="b">
        <v>0</v>
      </c>
    </row>
    <row r="46" spans="1:6" ht="14.4">
      <c r="A46" s="148" t="s">
        <v>216</v>
      </c>
      <c r="B46" s="148" t="s">
        <v>163</v>
      </c>
      <c r="C46" s="148" t="s">
        <v>163</v>
      </c>
      <c r="D46" s="148" t="s">
        <v>683</v>
      </c>
      <c r="E46">
        <v>3050</v>
      </c>
      <c r="F46" t="b">
        <v>0</v>
      </c>
    </row>
    <row r="47" spans="1:6" ht="14.4">
      <c r="A47" s="148" t="s">
        <v>217</v>
      </c>
      <c r="B47" s="148" t="s">
        <v>150</v>
      </c>
      <c r="C47" s="148" t="s">
        <v>150</v>
      </c>
      <c r="D47" s="148" t="s">
        <v>683</v>
      </c>
      <c r="E47" t="s">
        <v>735</v>
      </c>
      <c r="F47" t="b">
        <v>0</v>
      </c>
    </row>
    <row r="48" spans="1:6" ht="14.4">
      <c r="A48" s="148" t="s">
        <v>218</v>
      </c>
      <c r="B48" s="148" t="s">
        <v>151</v>
      </c>
      <c r="C48" s="148" t="s">
        <v>151</v>
      </c>
      <c r="D48" s="148" t="s">
        <v>683</v>
      </c>
      <c r="E48" t="s">
        <v>738</v>
      </c>
      <c r="F48" t="b">
        <v>0</v>
      </c>
    </row>
    <row r="49" spans="1:6" ht="14.4">
      <c r="A49" s="148" t="s">
        <v>219</v>
      </c>
      <c r="B49" s="148" t="s">
        <v>150</v>
      </c>
      <c r="C49" s="148" t="s">
        <v>150</v>
      </c>
      <c r="D49" s="148" t="s">
        <v>203</v>
      </c>
      <c r="E49" t="s">
        <v>737</v>
      </c>
      <c r="F49" t="b">
        <v>0</v>
      </c>
    </row>
    <row r="50" spans="1:6" ht="14.4">
      <c r="A50" s="148" t="s">
        <v>220</v>
      </c>
      <c r="B50" s="148" t="s">
        <v>163</v>
      </c>
      <c r="C50" s="148" t="s">
        <v>163</v>
      </c>
      <c r="D50" s="148" t="s">
        <v>683</v>
      </c>
      <c r="E50">
        <v>3050</v>
      </c>
      <c r="F50" t="b">
        <v>0</v>
      </c>
    </row>
    <row r="51" spans="1:6" ht="14.4">
      <c r="A51" s="148" t="s">
        <v>221</v>
      </c>
      <c r="B51" s="148" t="s">
        <v>163</v>
      </c>
      <c r="C51" s="148" t="s">
        <v>163</v>
      </c>
      <c r="D51" s="148" t="s">
        <v>683</v>
      </c>
      <c r="F51" t="b">
        <v>0</v>
      </c>
    </row>
    <row r="52" spans="1:6" ht="14.4">
      <c r="A52" s="148" t="s">
        <v>729</v>
      </c>
      <c r="B52" s="148" t="s">
        <v>151</v>
      </c>
      <c r="C52" s="148" t="s">
        <v>151</v>
      </c>
      <c r="D52" s="148" t="s">
        <v>203</v>
      </c>
      <c r="E52" t="s">
        <v>734</v>
      </c>
      <c r="F52" t="b">
        <v>0</v>
      </c>
    </row>
    <row r="53" spans="1:6" ht="14.4">
      <c r="A53" s="148" t="s">
        <v>222</v>
      </c>
      <c r="B53" s="148" t="s">
        <v>151</v>
      </c>
      <c r="C53" s="148" t="s">
        <v>151</v>
      </c>
      <c r="D53" s="148" t="s">
        <v>683</v>
      </c>
      <c r="E53" t="s">
        <v>739</v>
      </c>
      <c r="F53" t="b">
        <v>0</v>
      </c>
    </row>
    <row r="54" spans="1:6" ht="14.4">
      <c r="A54" s="148" t="s">
        <v>223</v>
      </c>
      <c r="B54" s="148" t="s">
        <v>163</v>
      </c>
      <c r="C54" s="148" t="s">
        <v>163</v>
      </c>
      <c r="D54" s="148" t="s">
        <v>203</v>
      </c>
      <c r="E54" t="s">
        <v>734</v>
      </c>
      <c r="F54" t="b">
        <v>0</v>
      </c>
    </row>
    <row r="55" spans="1:6" ht="14.4">
      <c r="A55" s="148" t="s">
        <v>224</v>
      </c>
      <c r="B55" s="148" t="s">
        <v>151</v>
      </c>
      <c r="C55" s="148" t="s">
        <v>151</v>
      </c>
      <c r="D55" s="148" t="s">
        <v>683</v>
      </c>
      <c r="E55" t="s">
        <v>738</v>
      </c>
      <c r="F55" t="b">
        <v>0</v>
      </c>
    </row>
    <row r="56" spans="1:6" ht="14.4">
      <c r="A56" s="148" t="s">
        <v>626</v>
      </c>
      <c r="B56" s="148" t="s">
        <v>163</v>
      </c>
      <c r="C56" s="148" t="s">
        <v>163</v>
      </c>
      <c r="D56" s="148" t="s">
        <v>683</v>
      </c>
      <c r="E56">
        <v>3050</v>
      </c>
      <c r="F56" t="b">
        <v>0</v>
      </c>
    </row>
    <row r="57" spans="1:6" ht="14.4">
      <c r="A57" s="148" t="s">
        <v>225</v>
      </c>
      <c r="B57" s="148" t="s">
        <v>168</v>
      </c>
      <c r="C57" s="148" t="s">
        <v>168</v>
      </c>
      <c r="D57" s="148" t="s">
        <v>683</v>
      </c>
      <c r="E57">
        <v>3050</v>
      </c>
      <c r="F57" t="b">
        <v>0</v>
      </c>
    </row>
    <row r="58" spans="1:6" ht="14.4">
      <c r="A58" s="148" t="s">
        <v>226</v>
      </c>
      <c r="B58" s="148" t="s">
        <v>163</v>
      </c>
      <c r="C58" s="148" t="s">
        <v>163</v>
      </c>
      <c r="D58" s="148" t="s">
        <v>683</v>
      </c>
      <c r="E58" t="s">
        <v>734</v>
      </c>
      <c r="F58" t="b">
        <v>0</v>
      </c>
    </row>
    <row r="59" spans="1:6" ht="14.4">
      <c r="A59" s="148" t="s">
        <v>227</v>
      </c>
      <c r="B59" s="148" t="s">
        <v>163</v>
      </c>
      <c r="C59" s="148" t="s">
        <v>163</v>
      </c>
      <c r="D59" s="148" t="s">
        <v>203</v>
      </c>
      <c r="E59" t="s">
        <v>738</v>
      </c>
      <c r="F59" t="b">
        <v>0</v>
      </c>
    </row>
    <row r="60" spans="1:6" ht="14.4">
      <c r="A60" s="148" t="s">
        <v>228</v>
      </c>
      <c r="B60" s="148"/>
      <c r="C60" s="148"/>
      <c r="D60" s="148"/>
      <c r="F60" t="b">
        <v>0</v>
      </c>
    </row>
    <row r="61" spans="1:6" ht="14.4">
      <c r="A61" s="148" t="s">
        <v>229</v>
      </c>
      <c r="B61" s="148" t="s">
        <v>151</v>
      </c>
      <c r="C61" s="148" t="s">
        <v>151</v>
      </c>
      <c r="D61" s="148" t="s">
        <v>683</v>
      </c>
      <c r="E61" t="s">
        <v>735</v>
      </c>
      <c r="F61" t="b">
        <v>0</v>
      </c>
    </row>
    <row r="62" spans="1:6" ht="14.4">
      <c r="A62" s="148" t="s">
        <v>627</v>
      </c>
      <c r="B62" s="148"/>
      <c r="C62" s="148"/>
      <c r="D62" s="148"/>
      <c r="F62" t="b">
        <v>0</v>
      </c>
    </row>
    <row r="63" spans="1:6" ht="14.4">
      <c r="A63" s="148" t="s">
        <v>628</v>
      </c>
      <c r="B63" s="148" t="s">
        <v>151</v>
      </c>
      <c r="C63" s="148" t="s">
        <v>151</v>
      </c>
      <c r="D63" s="148"/>
      <c r="F63" t="b">
        <v>0</v>
      </c>
    </row>
    <row r="64" spans="1:6" ht="14.4">
      <c r="A64" s="148" t="s">
        <v>629</v>
      </c>
      <c r="B64" s="148"/>
      <c r="C64" s="148"/>
      <c r="D64" s="148"/>
      <c r="F64" t="b">
        <v>0</v>
      </c>
    </row>
    <row r="65" spans="1:6" ht="14.4">
      <c r="A65" s="148" t="s">
        <v>230</v>
      </c>
      <c r="B65" s="148" t="s">
        <v>151</v>
      </c>
      <c r="C65" s="148" t="s">
        <v>151</v>
      </c>
      <c r="D65" s="148" t="s">
        <v>203</v>
      </c>
      <c r="E65">
        <v>3050</v>
      </c>
      <c r="F65" t="b">
        <v>0</v>
      </c>
    </row>
    <row r="66" spans="1:6" ht="14.4">
      <c r="A66" s="148" t="s">
        <v>231</v>
      </c>
      <c r="B66" s="148" t="s">
        <v>151</v>
      </c>
      <c r="C66" s="148" t="s">
        <v>151</v>
      </c>
      <c r="D66" s="148" t="s">
        <v>203</v>
      </c>
      <c r="E66">
        <v>3050</v>
      </c>
      <c r="F66" t="b">
        <v>0</v>
      </c>
    </row>
    <row r="67" spans="1:6" ht="14.4">
      <c r="A67" s="148" t="s">
        <v>232</v>
      </c>
      <c r="B67" s="148" t="s">
        <v>151</v>
      </c>
      <c r="C67" s="148" t="s">
        <v>151</v>
      </c>
      <c r="D67" s="148" t="s">
        <v>203</v>
      </c>
      <c r="E67">
        <v>3050</v>
      </c>
      <c r="F67" t="b">
        <v>0</v>
      </c>
    </row>
    <row r="68" spans="1:6" ht="14.4">
      <c r="A68" s="148" t="s">
        <v>233</v>
      </c>
      <c r="B68" s="148" t="s">
        <v>151</v>
      </c>
      <c r="C68" s="148" t="s">
        <v>151</v>
      </c>
      <c r="D68" s="148" t="s">
        <v>203</v>
      </c>
      <c r="E68">
        <v>3050</v>
      </c>
      <c r="F68" t="b">
        <v>0</v>
      </c>
    </row>
    <row r="69" spans="1:6" ht="14.4">
      <c r="A69" s="148" t="s">
        <v>630</v>
      </c>
      <c r="B69" s="148" t="s">
        <v>631</v>
      </c>
      <c r="C69" s="148"/>
      <c r="D69" s="148" t="s">
        <v>203</v>
      </c>
      <c r="E69">
        <v>3050</v>
      </c>
      <c r="F69" t="b">
        <v>0</v>
      </c>
    </row>
    <row r="70" spans="1:6" ht="14.4">
      <c r="A70" s="148" t="s">
        <v>234</v>
      </c>
      <c r="B70" s="148" t="s">
        <v>150</v>
      </c>
      <c r="C70" s="148" t="s">
        <v>150</v>
      </c>
      <c r="D70" s="148" t="s">
        <v>203</v>
      </c>
      <c r="E70">
        <v>3050</v>
      </c>
      <c r="F70" t="b">
        <v>0</v>
      </c>
    </row>
    <row r="71" spans="1:6" ht="14.4">
      <c r="A71" s="148" t="s">
        <v>235</v>
      </c>
      <c r="B71" s="148" t="s">
        <v>163</v>
      </c>
      <c r="C71" s="148" t="s">
        <v>163</v>
      </c>
      <c r="D71" s="148" t="s">
        <v>203</v>
      </c>
      <c r="E71">
        <v>3050</v>
      </c>
      <c r="F71" t="b">
        <v>0</v>
      </c>
    </row>
    <row r="72" spans="1:6" ht="14.4">
      <c r="A72" s="148" t="s">
        <v>236</v>
      </c>
      <c r="B72" s="148" t="s">
        <v>163</v>
      </c>
      <c r="C72" s="148" t="s">
        <v>163</v>
      </c>
      <c r="D72" s="148" t="s">
        <v>203</v>
      </c>
      <c r="E72">
        <v>3050</v>
      </c>
      <c r="F72" t="b">
        <v>0</v>
      </c>
    </row>
    <row r="73" spans="1:6" ht="14.4">
      <c r="A73" s="148" t="s">
        <v>237</v>
      </c>
      <c r="B73" s="148" t="s">
        <v>163</v>
      </c>
      <c r="C73" s="148" t="s">
        <v>163</v>
      </c>
      <c r="D73" s="148" t="s">
        <v>203</v>
      </c>
      <c r="E73">
        <v>3050</v>
      </c>
      <c r="F73" t="b">
        <v>0</v>
      </c>
    </row>
    <row r="74" spans="1:6" ht="14.4">
      <c r="A74" s="148" t="s">
        <v>239</v>
      </c>
      <c r="B74" s="148"/>
      <c r="C74" s="148"/>
      <c r="D74" s="148"/>
      <c r="E74">
        <v>3050</v>
      </c>
      <c r="F74" t="b">
        <v>0</v>
      </c>
    </row>
    <row r="75" spans="1:6" ht="14.4">
      <c r="A75" s="148" t="s">
        <v>240</v>
      </c>
      <c r="B75" s="148" t="s">
        <v>150</v>
      </c>
      <c r="C75" s="148" t="s">
        <v>150</v>
      </c>
      <c r="D75" s="148" t="s">
        <v>203</v>
      </c>
      <c r="E75">
        <v>3050</v>
      </c>
      <c r="F75" t="b">
        <v>0</v>
      </c>
    </row>
    <row r="76" spans="1:6" ht="14.4">
      <c r="A76" s="148" t="s">
        <v>632</v>
      </c>
      <c r="B76" s="148"/>
      <c r="C76" s="148"/>
      <c r="D76" s="148" t="s">
        <v>203</v>
      </c>
      <c r="E76">
        <v>3050</v>
      </c>
      <c r="F76" t="b">
        <v>0</v>
      </c>
    </row>
    <row r="77" spans="1:6" ht="14.4">
      <c r="A77" s="148" t="s">
        <v>686</v>
      </c>
      <c r="B77" s="148"/>
      <c r="C77" s="148"/>
      <c r="D77" s="148" t="s">
        <v>203</v>
      </c>
      <c r="E77">
        <v>3050</v>
      </c>
      <c r="F77" t="b">
        <v>0</v>
      </c>
    </row>
    <row r="78" spans="1:6" ht="14.4">
      <c r="A78" s="148" t="s">
        <v>418</v>
      </c>
      <c r="B78" s="148"/>
      <c r="C78" s="148"/>
      <c r="D78" s="148" t="s">
        <v>203</v>
      </c>
      <c r="E78">
        <v>3050</v>
      </c>
      <c r="F78" t="b">
        <v>0</v>
      </c>
    </row>
    <row r="79" spans="1:6" ht="14.4">
      <c r="A79" s="148" t="s">
        <v>238</v>
      </c>
      <c r="B79" s="148" t="s">
        <v>168</v>
      </c>
      <c r="C79" s="148" t="s">
        <v>168</v>
      </c>
      <c r="D79" s="148" t="s">
        <v>203</v>
      </c>
      <c r="E79">
        <v>3050</v>
      </c>
      <c r="F79" t="b">
        <v>0</v>
      </c>
    </row>
    <row r="80" spans="1:6" ht="14.4">
      <c r="A80" s="148" t="s">
        <v>241</v>
      </c>
      <c r="B80" s="148" t="s">
        <v>150</v>
      </c>
      <c r="C80" s="148" t="s">
        <v>150</v>
      </c>
      <c r="D80" s="148" t="s">
        <v>683</v>
      </c>
      <c r="E80">
        <v>3000</v>
      </c>
      <c r="F80" t="b">
        <v>0</v>
      </c>
    </row>
    <row r="81" spans="1:6" ht="14.4">
      <c r="A81" s="148" t="s">
        <v>242</v>
      </c>
      <c r="B81" s="148" t="s">
        <v>151</v>
      </c>
      <c r="C81" s="148" t="s">
        <v>151</v>
      </c>
      <c r="D81" s="148" t="s">
        <v>683</v>
      </c>
      <c r="E81" t="s">
        <v>740</v>
      </c>
      <c r="F81" t="b">
        <v>0</v>
      </c>
    </row>
    <row r="82" spans="1:6" ht="14.4">
      <c r="A82" s="148" t="s">
        <v>243</v>
      </c>
      <c r="B82" s="148" t="s">
        <v>151</v>
      </c>
      <c r="C82" s="148" t="s">
        <v>151</v>
      </c>
      <c r="D82" s="148" t="s">
        <v>683</v>
      </c>
      <c r="E82">
        <v>3000</v>
      </c>
      <c r="F82" t="b">
        <v>0</v>
      </c>
    </row>
    <row r="83" spans="1:6" ht="14.4">
      <c r="A83" s="148" t="s">
        <v>244</v>
      </c>
      <c r="B83" s="148"/>
      <c r="C83" s="148"/>
      <c r="D83" s="148"/>
      <c r="F83" t="b">
        <v>0</v>
      </c>
    </row>
    <row r="84" spans="1:6" ht="14.4">
      <c r="A84" s="148" t="s">
        <v>730</v>
      </c>
      <c r="B84" s="148"/>
      <c r="C84" s="148"/>
      <c r="D84" s="148" t="s">
        <v>683</v>
      </c>
      <c r="E84">
        <v>1370</v>
      </c>
      <c r="F84" t="b">
        <v>0</v>
      </c>
    </row>
    <row r="85" spans="1:6" ht="14.4">
      <c r="A85" s="148" t="s">
        <v>753</v>
      </c>
      <c r="B85" s="148"/>
      <c r="C85" s="148"/>
      <c r="D85" s="148" t="s">
        <v>683</v>
      </c>
      <c r="E85">
        <v>1370</v>
      </c>
      <c r="F85" t="b">
        <v>0</v>
      </c>
    </row>
    <row r="86" spans="1:6" ht="14.4">
      <c r="A86" s="148" t="s">
        <v>245</v>
      </c>
      <c r="B86" s="148" t="s">
        <v>163</v>
      </c>
      <c r="C86" s="148" t="s">
        <v>163</v>
      </c>
      <c r="D86" s="148" t="s">
        <v>683</v>
      </c>
      <c r="E86">
        <v>3200</v>
      </c>
      <c r="F86" t="b">
        <v>0</v>
      </c>
    </row>
    <row r="87" spans="1:6" ht="14.4">
      <c r="A87" s="148" t="s">
        <v>749</v>
      </c>
      <c r="B87" s="148" t="s">
        <v>151</v>
      </c>
      <c r="C87" s="148" t="s">
        <v>151</v>
      </c>
      <c r="D87" s="148" t="s">
        <v>683</v>
      </c>
      <c r="E87">
        <v>3200</v>
      </c>
      <c r="F87" t="b">
        <v>0</v>
      </c>
    </row>
    <row r="88" spans="1:6" ht="14.4">
      <c r="A88" s="148" t="s">
        <v>633</v>
      </c>
      <c r="B88" s="148" t="s">
        <v>168</v>
      </c>
      <c r="C88" s="148" t="s">
        <v>168</v>
      </c>
      <c r="D88" s="148" t="s">
        <v>683</v>
      </c>
      <c r="E88">
        <v>3200</v>
      </c>
      <c r="F88" t="b">
        <v>0</v>
      </c>
    </row>
    <row r="89" spans="1:6" ht="14.4">
      <c r="A89" s="148" t="s">
        <v>246</v>
      </c>
      <c r="B89" s="148" t="s">
        <v>163</v>
      </c>
      <c r="C89" s="148" t="s">
        <v>163</v>
      </c>
      <c r="D89" s="148" t="s">
        <v>203</v>
      </c>
      <c r="E89">
        <v>3200</v>
      </c>
      <c r="F89" t="b">
        <v>0</v>
      </c>
    </row>
    <row r="90" spans="1:6" ht="14.4">
      <c r="A90" s="148" t="s">
        <v>247</v>
      </c>
      <c r="B90" s="148" t="s">
        <v>151</v>
      </c>
      <c r="C90" s="148" t="s">
        <v>151</v>
      </c>
      <c r="D90" s="148" t="s">
        <v>203</v>
      </c>
      <c r="E90">
        <v>3200</v>
      </c>
      <c r="F90" t="b">
        <v>0</v>
      </c>
    </row>
    <row r="91" spans="1:6" ht="14.4">
      <c r="A91" s="148" t="s">
        <v>248</v>
      </c>
      <c r="B91" s="148"/>
      <c r="C91" s="148"/>
      <c r="D91" s="148" t="s">
        <v>683</v>
      </c>
      <c r="E91">
        <v>3200</v>
      </c>
      <c r="F91" t="b">
        <v>0</v>
      </c>
    </row>
    <row r="92" spans="1:6" ht="14.4">
      <c r="A92" s="148" t="s">
        <v>249</v>
      </c>
      <c r="B92" s="148" t="s">
        <v>151</v>
      </c>
      <c r="C92" s="148" t="s">
        <v>151</v>
      </c>
      <c r="D92" s="148" t="s">
        <v>683</v>
      </c>
      <c r="E92">
        <v>3200</v>
      </c>
      <c r="F92" t="b">
        <v>0</v>
      </c>
    </row>
    <row r="93" spans="1:6" ht="14.4">
      <c r="A93" s="148" t="s">
        <v>250</v>
      </c>
      <c r="B93" s="148" t="s">
        <v>163</v>
      </c>
      <c r="C93" s="148" t="s">
        <v>163</v>
      </c>
      <c r="D93" s="148" t="s">
        <v>683</v>
      </c>
      <c r="E93">
        <v>3200</v>
      </c>
      <c r="F93" t="b">
        <v>0</v>
      </c>
    </row>
    <row r="94" spans="1:6" ht="14.4">
      <c r="A94" s="148" t="s">
        <v>251</v>
      </c>
      <c r="B94" s="148" t="s">
        <v>150</v>
      </c>
      <c r="C94" s="148" t="s">
        <v>150</v>
      </c>
      <c r="D94" s="148" t="s">
        <v>203</v>
      </c>
      <c r="E94">
        <v>3200</v>
      </c>
      <c r="F94" t="b">
        <v>0</v>
      </c>
    </row>
    <row r="95" spans="1:6" ht="14.4">
      <c r="A95" s="148" t="s">
        <v>252</v>
      </c>
      <c r="B95" s="148" t="s">
        <v>151</v>
      </c>
      <c r="C95" s="148" t="s">
        <v>151</v>
      </c>
      <c r="D95" s="148" t="s">
        <v>203</v>
      </c>
      <c r="E95">
        <v>3200</v>
      </c>
      <c r="F95" t="b">
        <v>0</v>
      </c>
    </row>
    <row r="96" spans="1:6" ht="14.4">
      <c r="A96" s="148" t="s">
        <v>253</v>
      </c>
      <c r="B96" s="148" t="s">
        <v>151</v>
      </c>
      <c r="C96" s="148" t="s">
        <v>151</v>
      </c>
      <c r="D96" s="148" t="s">
        <v>203</v>
      </c>
      <c r="E96">
        <v>3200</v>
      </c>
      <c r="F96" t="b">
        <v>0</v>
      </c>
    </row>
    <row r="97" spans="1:6" ht="14.4">
      <c r="A97" s="148" t="s">
        <v>254</v>
      </c>
      <c r="B97" s="148" t="s">
        <v>163</v>
      </c>
      <c r="C97" s="148" t="s">
        <v>163</v>
      </c>
      <c r="D97" s="148" t="s">
        <v>683</v>
      </c>
      <c r="E97">
        <v>3200</v>
      </c>
      <c r="F97" t="b">
        <v>0</v>
      </c>
    </row>
    <row r="98" spans="1:6" ht="14.4">
      <c r="A98" s="148" t="s">
        <v>255</v>
      </c>
      <c r="B98" s="148" t="s">
        <v>150</v>
      </c>
      <c r="C98" s="148" t="s">
        <v>150</v>
      </c>
      <c r="D98" s="148" t="s">
        <v>683</v>
      </c>
      <c r="E98">
        <v>3200</v>
      </c>
      <c r="F98" t="b">
        <v>0</v>
      </c>
    </row>
    <row r="99" spans="1:6" ht="14.4">
      <c r="A99" s="148" t="s">
        <v>256</v>
      </c>
      <c r="B99" s="148" t="s">
        <v>151</v>
      </c>
      <c r="C99" s="148" t="s">
        <v>151</v>
      </c>
      <c r="D99" s="148" t="s">
        <v>683</v>
      </c>
      <c r="E99">
        <v>3200</v>
      </c>
      <c r="F99" t="b">
        <v>0</v>
      </c>
    </row>
    <row r="100" spans="1:6" ht="14.4">
      <c r="A100" s="148" t="s">
        <v>257</v>
      </c>
      <c r="B100" s="148" t="s">
        <v>150</v>
      </c>
      <c r="C100" s="148" t="s">
        <v>150</v>
      </c>
      <c r="D100" s="148" t="s">
        <v>203</v>
      </c>
      <c r="E100">
        <v>3200</v>
      </c>
      <c r="F100" t="b">
        <v>0</v>
      </c>
    </row>
    <row r="101" spans="1:6" ht="14.4">
      <c r="A101" s="148" t="s">
        <v>258</v>
      </c>
      <c r="B101" s="148" t="s">
        <v>163</v>
      </c>
      <c r="C101" s="148" t="s">
        <v>163</v>
      </c>
      <c r="D101" s="148" t="s">
        <v>203</v>
      </c>
      <c r="E101">
        <v>3200</v>
      </c>
      <c r="F101" t="b">
        <v>0</v>
      </c>
    </row>
    <row r="102" spans="1:6" ht="14.4">
      <c r="A102" s="148" t="s">
        <v>259</v>
      </c>
      <c r="B102" s="148" t="s">
        <v>163</v>
      </c>
      <c r="C102" s="148" t="s">
        <v>163</v>
      </c>
      <c r="D102" s="148" t="s">
        <v>203</v>
      </c>
      <c r="E102">
        <v>3200</v>
      </c>
      <c r="F102" t="b">
        <v>0</v>
      </c>
    </row>
    <row r="103" spans="1:6" ht="14.4">
      <c r="A103" s="148" t="s">
        <v>260</v>
      </c>
      <c r="B103" s="148" t="s">
        <v>151</v>
      </c>
      <c r="C103" s="148" t="s">
        <v>151</v>
      </c>
      <c r="D103" s="148" t="s">
        <v>683</v>
      </c>
      <c r="E103">
        <v>3200</v>
      </c>
      <c r="F103" t="b">
        <v>0</v>
      </c>
    </row>
    <row r="104" spans="1:6" ht="14.4">
      <c r="A104" s="148" t="s">
        <v>261</v>
      </c>
      <c r="B104" s="148" t="s">
        <v>150</v>
      </c>
      <c r="C104" s="148" t="s">
        <v>150</v>
      </c>
      <c r="D104" s="148" t="s">
        <v>683</v>
      </c>
      <c r="E104">
        <v>3200</v>
      </c>
      <c r="F104" t="b">
        <v>0</v>
      </c>
    </row>
    <row r="105" spans="1:6" ht="14.4">
      <c r="A105" s="148" t="s">
        <v>262</v>
      </c>
      <c r="B105" s="148" t="s">
        <v>151</v>
      </c>
      <c r="C105" s="148" t="s">
        <v>151</v>
      </c>
      <c r="D105" s="148" t="s">
        <v>683</v>
      </c>
      <c r="E105">
        <v>3200</v>
      </c>
      <c r="F105" t="b">
        <v>0</v>
      </c>
    </row>
    <row r="106" spans="1:6" ht="14.4">
      <c r="A106" s="148" t="s">
        <v>263</v>
      </c>
      <c r="B106" s="148" t="s">
        <v>151</v>
      </c>
      <c r="C106" s="148" t="s">
        <v>151</v>
      </c>
      <c r="D106" s="148" t="s">
        <v>203</v>
      </c>
      <c r="E106">
        <v>3200</v>
      </c>
      <c r="F106" t="b">
        <v>0</v>
      </c>
    </row>
    <row r="107" spans="1:6" ht="14.4">
      <c r="A107" s="148" t="s">
        <v>634</v>
      </c>
      <c r="B107" s="148"/>
      <c r="C107" s="148"/>
      <c r="D107" s="148" t="s">
        <v>683</v>
      </c>
      <c r="E107">
        <v>3200</v>
      </c>
      <c r="F107" t="b">
        <v>0</v>
      </c>
    </row>
    <row r="108" spans="1:6" ht="14.4">
      <c r="A108" s="148" t="s">
        <v>264</v>
      </c>
      <c r="B108" s="148" t="s">
        <v>163</v>
      </c>
      <c r="C108" s="148" t="s">
        <v>163</v>
      </c>
      <c r="D108" s="148" t="s">
        <v>203</v>
      </c>
      <c r="E108">
        <v>3200</v>
      </c>
      <c r="F108" t="b">
        <v>0</v>
      </c>
    </row>
    <row r="109" spans="1:6" ht="14.4">
      <c r="A109" s="148" t="s">
        <v>265</v>
      </c>
      <c r="B109" s="148" t="s">
        <v>163</v>
      </c>
      <c r="C109" s="148" t="s">
        <v>163</v>
      </c>
      <c r="D109" s="148" t="s">
        <v>683</v>
      </c>
      <c r="E109">
        <v>3200</v>
      </c>
      <c r="F109" t="b">
        <v>0</v>
      </c>
    </row>
    <row r="110" spans="1:6" ht="14.4">
      <c r="A110" s="148" t="s">
        <v>266</v>
      </c>
      <c r="B110" s="148" t="s">
        <v>150</v>
      </c>
      <c r="C110" s="148" t="s">
        <v>150</v>
      </c>
      <c r="D110" s="148" t="s">
        <v>203</v>
      </c>
      <c r="E110">
        <v>3200</v>
      </c>
      <c r="F110" t="b">
        <v>0</v>
      </c>
    </row>
    <row r="111" spans="1:6" ht="14.4">
      <c r="A111" s="148" t="s">
        <v>267</v>
      </c>
      <c r="B111" s="148" t="s">
        <v>150</v>
      </c>
      <c r="C111" s="148" t="s">
        <v>150</v>
      </c>
      <c r="D111" s="148" t="s">
        <v>203</v>
      </c>
      <c r="E111">
        <v>3200</v>
      </c>
      <c r="F111" t="b">
        <v>0</v>
      </c>
    </row>
    <row r="112" spans="1:6" ht="14.4">
      <c r="A112" s="148" t="s">
        <v>268</v>
      </c>
      <c r="B112" s="148" t="s">
        <v>163</v>
      </c>
      <c r="C112" s="148" t="s">
        <v>163</v>
      </c>
      <c r="D112" s="148" t="s">
        <v>683</v>
      </c>
      <c r="E112">
        <v>3200</v>
      </c>
      <c r="F112" t="b">
        <v>0</v>
      </c>
    </row>
    <row r="113" spans="1:6" ht="14.4">
      <c r="A113" s="148" t="s">
        <v>269</v>
      </c>
      <c r="B113" s="148" t="s">
        <v>163</v>
      </c>
      <c r="C113" s="148" t="s">
        <v>163</v>
      </c>
      <c r="D113" s="148" t="s">
        <v>683</v>
      </c>
      <c r="E113">
        <v>3200</v>
      </c>
      <c r="F113" t="b">
        <v>0</v>
      </c>
    </row>
    <row r="114" spans="1:6" ht="14.4">
      <c r="A114" s="148" t="s">
        <v>270</v>
      </c>
      <c r="B114" s="148" t="s">
        <v>163</v>
      </c>
      <c r="C114" s="148" t="s">
        <v>163</v>
      </c>
      <c r="D114" s="148" t="s">
        <v>683</v>
      </c>
      <c r="E114">
        <v>3200</v>
      </c>
      <c r="F114" t="b">
        <v>0</v>
      </c>
    </row>
    <row r="115" spans="1:6" ht="14.4">
      <c r="A115" s="148" t="s">
        <v>271</v>
      </c>
      <c r="B115" s="148" t="s">
        <v>168</v>
      </c>
      <c r="C115" s="148" t="s">
        <v>168</v>
      </c>
      <c r="D115" s="148" t="s">
        <v>683</v>
      </c>
      <c r="E115">
        <v>3200</v>
      </c>
      <c r="F115" t="b">
        <v>0</v>
      </c>
    </row>
    <row r="116" spans="1:6" ht="14.4">
      <c r="A116" s="148" t="s">
        <v>272</v>
      </c>
      <c r="B116" s="148" t="s">
        <v>151</v>
      </c>
      <c r="C116" s="148" t="s">
        <v>151</v>
      </c>
      <c r="D116" s="148" t="s">
        <v>203</v>
      </c>
      <c r="E116">
        <v>3200</v>
      </c>
      <c r="F116" t="b">
        <v>0</v>
      </c>
    </row>
    <row r="117" spans="1:6" ht="14.4">
      <c r="A117" s="148" t="s">
        <v>750</v>
      </c>
      <c r="B117" s="148"/>
      <c r="C117" s="148"/>
      <c r="D117" s="148" t="s">
        <v>683</v>
      </c>
      <c r="E117">
        <v>3200</v>
      </c>
      <c r="F117" t="b">
        <v>0</v>
      </c>
    </row>
    <row r="118" spans="1:6" ht="14.4">
      <c r="A118" s="148" t="s">
        <v>273</v>
      </c>
      <c r="B118" s="148" t="s">
        <v>163</v>
      </c>
      <c r="C118" s="148" t="s">
        <v>163</v>
      </c>
      <c r="D118" s="148" t="s">
        <v>203</v>
      </c>
      <c r="E118">
        <v>3200</v>
      </c>
      <c r="F118" t="b">
        <v>0</v>
      </c>
    </row>
    <row r="119" spans="1:6" ht="14.4">
      <c r="A119" s="148" t="s">
        <v>274</v>
      </c>
      <c r="B119" s="148"/>
      <c r="C119" s="148"/>
      <c r="D119" s="148"/>
      <c r="E119">
        <v>3200</v>
      </c>
      <c r="F119" t="b">
        <v>0</v>
      </c>
    </row>
    <row r="120" spans="1:6" ht="14.4">
      <c r="A120" s="148" t="s">
        <v>275</v>
      </c>
      <c r="B120" s="148" t="s">
        <v>151</v>
      </c>
      <c r="C120" s="148" t="s">
        <v>151</v>
      </c>
      <c r="D120" s="148" t="s">
        <v>683</v>
      </c>
      <c r="E120">
        <v>3200</v>
      </c>
      <c r="F120" t="b">
        <v>0</v>
      </c>
    </row>
    <row r="121" spans="1:6" ht="14.4">
      <c r="A121" s="148" t="s">
        <v>276</v>
      </c>
      <c r="B121" s="148" t="s">
        <v>151</v>
      </c>
      <c r="C121" s="148" t="s">
        <v>151</v>
      </c>
      <c r="D121" s="148" t="s">
        <v>683</v>
      </c>
      <c r="E121">
        <v>3200</v>
      </c>
      <c r="F121" t="b">
        <v>0</v>
      </c>
    </row>
    <row r="122" spans="1:6" ht="14.4">
      <c r="A122" s="148" t="s">
        <v>277</v>
      </c>
      <c r="B122" s="148" t="s">
        <v>151</v>
      </c>
      <c r="C122" s="148" t="s">
        <v>151</v>
      </c>
      <c r="D122" s="148" t="s">
        <v>683</v>
      </c>
      <c r="E122">
        <v>3200</v>
      </c>
      <c r="F122" t="b">
        <v>0</v>
      </c>
    </row>
    <row r="123" spans="1:6" ht="14.4">
      <c r="A123" s="148" t="s">
        <v>278</v>
      </c>
      <c r="B123" s="148" t="s">
        <v>163</v>
      </c>
      <c r="C123" s="148" t="s">
        <v>163</v>
      </c>
      <c r="D123" s="148" t="s">
        <v>203</v>
      </c>
      <c r="E123">
        <v>3000</v>
      </c>
      <c r="F123" t="b">
        <v>0</v>
      </c>
    </row>
    <row r="124" spans="1:6" ht="14.4">
      <c r="A124" s="148" t="s">
        <v>279</v>
      </c>
      <c r="B124" s="148"/>
      <c r="C124" s="148"/>
      <c r="D124" s="148" t="s">
        <v>203</v>
      </c>
      <c r="E124">
        <v>3000</v>
      </c>
      <c r="F124" t="b">
        <v>0</v>
      </c>
    </row>
    <row r="125" spans="1:6" ht="14.4">
      <c r="A125" s="148" t="s">
        <v>280</v>
      </c>
      <c r="B125" s="148" t="s">
        <v>631</v>
      </c>
      <c r="C125" s="148" t="s">
        <v>151</v>
      </c>
      <c r="D125" s="148" t="s">
        <v>683</v>
      </c>
      <c r="E125">
        <v>3000</v>
      </c>
      <c r="F125" t="b">
        <v>0</v>
      </c>
    </row>
    <row r="126" spans="1:6" ht="14.4">
      <c r="A126" s="148" t="s">
        <v>281</v>
      </c>
      <c r="B126" s="148" t="s">
        <v>163</v>
      </c>
      <c r="C126" s="148" t="s">
        <v>163</v>
      </c>
      <c r="D126" s="148" t="s">
        <v>683</v>
      </c>
      <c r="E126">
        <v>3000</v>
      </c>
      <c r="F126" t="b">
        <v>0</v>
      </c>
    </row>
    <row r="127" spans="1:6" ht="14.4">
      <c r="A127" s="148" t="s">
        <v>282</v>
      </c>
      <c r="B127" s="148" t="s">
        <v>150</v>
      </c>
      <c r="C127" s="148" t="s">
        <v>150</v>
      </c>
      <c r="D127" s="148" t="s">
        <v>683</v>
      </c>
      <c r="E127">
        <v>3000</v>
      </c>
      <c r="F127" t="b">
        <v>0</v>
      </c>
    </row>
    <row r="128" spans="1:6" ht="14.4">
      <c r="A128" s="148" t="s">
        <v>635</v>
      </c>
      <c r="B128" s="148"/>
      <c r="C128" s="148"/>
      <c r="D128" s="148" t="s">
        <v>203</v>
      </c>
      <c r="E128">
        <v>3000</v>
      </c>
      <c r="F128" t="b">
        <v>0</v>
      </c>
    </row>
    <row r="129" spans="1:6" ht="14.4">
      <c r="A129" s="148" t="s">
        <v>283</v>
      </c>
      <c r="B129" s="148" t="s">
        <v>151</v>
      </c>
      <c r="C129" s="148" t="s">
        <v>151</v>
      </c>
      <c r="D129" s="148" t="s">
        <v>683</v>
      </c>
      <c r="E129">
        <v>3000</v>
      </c>
      <c r="F129" t="b">
        <v>0</v>
      </c>
    </row>
    <row r="130" spans="1:6" ht="14.4">
      <c r="A130" s="148" t="s">
        <v>636</v>
      </c>
      <c r="B130" s="148"/>
      <c r="C130" s="148"/>
      <c r="D130" s="148" t="s">
        <v>683</v>
      </c>
      <c r="E130">
        <v>3000</v>
      </c>
      <c r="F130" t="b">
        <v>0</v>
      </c>
    </row>
    <row r="131" spans="1:6" ht="14.4">
      <c r="A131" s="148" t="s">
        <v>284</v>
      </c>
      <c r="B131" s="148" t="s">
        <v>151</v>
      </c>
      <c r="C131" s="148" t="s">
        <v>151</v>
      </c>
      <c r="D131" s="148" t="s">
        <v>683</v>
      </c>
      <c r="E131">
        <v>3000</v>
      </c>
      <c r="F131" t="b">
        <v>0</v>
      </c>
    </row>
    <row r="132" spans="1:6" ht="14.4">
      <c r="A132" s="148" t="s">
        <v>285</v>
      </c>
      <c r="B132" s="148"/>
      <c r="C132" s="148"/>
      <c r="D132" s="148" t="s">
        <v>203</v>
      </c>
      <c r="E132">
        <v>3000</v>
      </c>
      <c r="F132" t="b">
        <v>0</v>
      </c>
    </row>
    <row r="133" spans="1:6" ht="14.4">
      <c r="A133" s="148" t="s">
        <v>286</v>
      </c>
      <c r="B133" s="148"/>
      <c r="C133" s="148"/>
      <c r="D133" s="148"/>
      <c r="E133">
        <v>3000</v>
      </c>
      <c r="F133" t="b">
        <v>0</v>
      </c>
    </row>
    <row r="134" spans="1:6" ht="14.4">
      <c r="A134" s="148" t="s">
        <v>287</v>
      </c>
      <c r="B134" s="148" t="s">
        <v>151</v>
      </c>
      <c r="C134" s="148" t="s">
        <v>151</v>
      </c>
      <c r="D134" s="148" t="s">
        <v>683</v>
      </c>
      <c r="E134">
        <v>3000</v>
      </c>
      <c r="F134" t="b">
        <v>0</v>
      </c>
    </row>
    <row r="135" spans="1:6" ht="14.4">
      <c r="A135" s="148" t="s">
        <v>637</v>
      </c>
      <c r="B135" s="148"/>
      <c r="C135" s="148"/>
      <c r="D135" s="148"/>
      <c r="E135">
        <v>3200</v>
      </c>
      <c r="F135" t="b">
        <v>0</v>
      </c>
    </row>
    <row r="136" spans="1:6" ht="14.4">
      <c r="A136" s="148" t="s">
        <v>638</v>
      </c>
      <c r="B136" s="148"/>
      <c r="C136" s="148"/>
      <c r="D136" s="148"/>
      <c r="E136">
        <v>3200</v>
      </c>
      <c r="F136" t="b">
        <v>0</v>
      </c>
    </row>
    <row r="137" spans="1:6" ht="14.4">
      <c r="A137" s="148" t="s">
        <v>639</v>
      </c>
      <c r="B137" s="148"/>
      <c r="C137" s="148"/>
      <c r="D137" s="148"/>
      <c r="E137">
        <v>3200</v>
      </c>
      <c r="F137" t="b">
        <v>0</v>
      </c>
    </row>
    <row r="138" spans="1:6" ht="14.4">
      <c r="A138" s="148" t="s">
        <v>640</v>
      </c>
      <c r="B138" s="148"/>
      <c r="C138" s="148"/>
      <c r="D138" s="148"/>
      <c r="E138">
        <v>3200</v>
      </c>
      <c r="F138" t="b">
        <v>0</v>
      </c>
    </row>
    <row r="139" spans="1:6" ht="14.4">
      <c r="A139" s="148" t="s">
        <v>641</v>
      </c>
      <c r="B139" s="148"/>
      <c r="C139" s="148"/>
      <c r="D139" s="148"/>
      <c r="E139">
        <v>3200</v>
      </c>
      <c r="F139" t="b">
        <v>0</v>
      </c>
    </row>
    <row r="140" spans="1:6" ht="14.4">
      <c r="A140" s="148" t="s">
        <v>642</v>
      </c>
      <c r="B140" s="148"/>
      <c r="C140" s="148"/>
      <c r="D140" s="148"/>
      <c r="E140">
        <v>3200</v>
      </c>
      <c r="F140" t="b">
        <v>0</v>
      </c>
    </row>
    <row r="141" spans="1:6" ht="14.4">
      <c r="A141" s="148" t="s">
        <v>643</v>
      </c>
      <c r="B141" s="148"/>
      <c r="C141" s="148"/>
      <c r="D141" s="148"/>
      <c r="E141">
        <v>3200</v>
      </c>
      <c r="F141" t="b">
        <v>0</v>
      </c>
    </row>
    <row r="142" spans="1:6" ht="14.4">
      <c r="A142" s="148" t="s">
        <v>644</v>
      </c>
      <c r="B142" s="148"/>
      <c r="C142" s="148"/>
      <c r="D142" s="148"/>
      <c r="E142">
        <v>3200</v>
      </c>
      <c r="F142" t="b">
        <v>0</v>
      </c>
    </row>
    <row r="143" spans="1:6" ht="14.4">
      <c r="A143" s="148" t="s">
        <v>645</v>
      </c>
      <c r="B143" s="148"/>
      <c r="C143" s="148"/>
      <c r="D143" s="148"/>
      <c r="E143">
        <v>3200</v>
      </c>
      <c r="F143" t="b">
        <v>0</v>
      </c>
    </row>
    <row r="144" spans="1:6" ht="14.4">
      <c r="A144" s="148" t="s">
        <v>288</v>
      </c>
      <c r="B144" s="148" t="s">
        <v>151</v>
      </c>
      <c r="C144" s="148" t="s">
        <v>151</v>
      </c>
      <c r="D144" s="148" t="s">
        <v>203</v>
      </c>
      <c r="E144">
        <v>2700</v>
      </c>
      <c r="F144" t="b">
        <v>0</v>
      </c>
    </row>
    <row r="145" spans="1:6" ht="14.4">
      <c r="A145" s="148" t="s">
        <v>289</v>
      </c>
      <c r="B145" s="148" t="s">
        <v>163</v>
      </c>
      <c r="C145" s="148" t="s">
        <v>163</v>
      </c>
      <c r="D145" s="148" t="s">
        <v>203</v>
      </c>
      <c r="E145">
        <v>2700</v>
      </c>
      <c r="F145" t="b">
        <v>0</v>
      </c>
    </row>
    <row r="146" spans="1:6" ht="14.4">
      <c r="A146" s="148" t="s">
        <v>290</v>
      </c>
      <c r="B146" s="148" t="s">
        <v>151</v>
      </c>
      <c r="C146" s="148" t="s">
        <v>151</v>
      </c>
      <c r="D146" s="148" t="s">
        <v>203</v>
      </c>
      <c r="E146">
        <v>2700</v>
      </c>
      <c r="F146" t="b">
        <v>0</v>
      </c>
    </row>
    <row r="147" spans="1:6" ht="14.4">
      <c r="A147" s="148" t="s">
        <v>291</v>
      </c>
      <c r="B147" s="148" t="s">
        <v>151</v>
      </c>
      <c r="C147" s="148" t="s">
        <v>151</v>
      </c>
      <c r="D147" s="148" t="s">
        <v>203</v>
      </c>
      <c r="E147">
        <v>2700</v>
      </c>
      <c r="F147" t="b">
        <v>0</v>
      </c>
    </row>
    <row r="148" spans="1:6" ht="14.4">
      <c r="A148" s="148" t="s">
        <v>292</v>
      </c>
      <c r="B148" s="148" t="s">
        <v>163</v>
      </c>
      <c r="C148" s="148" t="s">
        <v>163</v>
      </c>
      <c r="D148" s="148" t="s">
        <v>203</v>
      </c>
      <c r="E148">
        <v>2700</v>
      </c>
      <c r="F148" t="b">
        <v>0</v>
      </c>
    </row>
    <row r="149" spans="1:6" ht="14.4">
      <c r="A149" s="148" t="s">
        <v>293</v>
      </c>
      <c r="B149" s="148" t="s">
        <v>163</v>
      </c>
      <c r="C149" s="148" t="s">
        <v>163</v>
      </c>
      <c r="D149" s="148" t="s">
        <v>203</v>
      </c>
      <c r="E149">
        <v>2700</v>
      </c>
      <c r="F149" t="b">
        <v>0</v>
      </c>
    </row>
    <row r="150" spans="1:6" ht="14.4">
      <c r="A150" s="148" t="s">
        <v>294</v>
      </c>
      <c r="B150" s="148"/>
      <c r="C150" s="148"/>
      <c r="D150" s="148"/>
      <c r="F150" t="b">
        <v>0</v>
      </c>
    </row>
    <row r="151" spans="1:6" ht="14.4">
      <c r="A151" s="148" t="s">
        <v>295</v>
      </c>
      <c r="B151" s="148" t="s">
        <v>163</v>
      </c>
      <c r="C151" s="148" t="s">
        <v>163</v>
      </c>
      <c r="D151" s="148" t="s">
        <v>178</v>
      </c>
      <c r="E151">
        <v>2750</v>
      </c>
      <c r="F151" t="b">
        <v>0</v>
      </c>
    </row>
    <row r="152" spans="1:6" ht="14.4">
      <c r="A152" s="148" t="s">
        <v>296</v>
      </c>
      <c r="B152" s="148" t="s">
        <v>163</v>
      </c>
      <c r="C152" s="148" t="s">
        <v>163</v>
      </c>
      <c r="D152" s="148" t="s">
        <v>178</v>
      </c>
      <c r="E152">
        <v>2750</v>
      </c>
      <c r="F152" t="b">
        <v>0</v>
      </c>
    </row>
    <row r="153" spans="1:6" ht="14.4">
      <c r="A153" s="148" t="s">
        <v>297</v>
      </c>
      <c r="B153" s="148" t="s">
        <v>163</v>
      </c>
      <c r="C153" s="148" t="s">
        <v>163</v>
      </c>
      <c r="D153" s="148" t="s">
        <v>178</v>
      </c>
      <c r="E153">
        <v>2750</v>
      </c>
      <c r="F153" t="b">
        <v>0</v>
      </c>
    </row>
    <row r="154" spans="1:6" ht="14.4">
      <c r="A154" s="148" t="s">
        <v>298</v>
      </c>
      <c r="B154" s="148" t="s">
        <v>163</v>
      </c>
      <c r="C154" s="148" t="s">
        <v>163</v>
      </c>
      <c r="D154" s="148" t="s">
        <v>178</v>
      </c>
      <c r="E154">
        <v>2750</v>
      </c>
      <c r="F154" t="b">
        <v>0</v>
      </c>
    </row>
    <row r="155" spans="1:6" ht="14.4">
      <c r="A155" s="148" t="s">
        <v>299</v>
      </c>
      <c r="B155" s="148" t="s">
        <v>163</v>
      </c>
      <c r="C155" s="148" t="s">
        <v>163</v>
      </c>
      <c r="D155" s="148" t="s">
        <v>178</v>
      </c>
      <c r="E155">
        <v>2750</v>
      </c>
      <c r="F155" t="b">
        <v>0</v>
      </c>
    </row>
    <row r="156" spans="1:6" ht="14.4">
      <c r="A156" s="148" t="s">
        <v>300</v>
      </c>
      <c r="B156" s="148" t="s">
        <v>151</v>
      </c>
      <c r="C156" s="148" t="s">
        <v>151</v>
      </c>
      <c r="D156" s="148" t="s">
        <v>178</v>
      </c>
      <c r="E156">
        <v>2750</v>
      </c>
      <c r="F156" t="b">
        <v>0</v>
      </c>
    </row>
    <row r="157" spans="1:6" ht="14.4">
      <c r="A157" s="148" t="s">
        <v>301</v>
      </c>
      <c r="B157" s="148" t="s">
        <v>163</v>
      </c>
      <c r="C157" s="148" t="s">
        <v>163</v>
      </c>
      <c r="D157" s="148" t="s">
        <v>178</v>
      </c>
      <c r="E157">
        <v>2750</v>
      </c>
      <c r="F157" t="b">
        <v>0</v>
      </c>
    </row>
    <row r="158" spans="1:6" ht="14.4">
      <c r="A158" s="148" t="s">
        <v>302</v>
      </c>
      <c r="B158" s="148" t="s">
        <v>151</v>
      </c>
      <c r="C158" s="148" t="s">
        <v>151</v>
      </c>
      <c r="D158" s="148" t="s">
        <v>178</v>
      </c>
      <c r="E158">
        <v>2750</v>
      </c>
      <c r="F158" t="b">
        <v>0</v>
      </c>
    </row>
    <row r="159" spans="1:6" ht="14.4">
      <c r="A159" s="148" t="s">
        <v>303</v>
      </c>
      <c r="B159" s="148" t="s">
        <v>163</v>
      </c>
      <c r="C159" s="148" t="s">
        <v>163</v>
      </c>
      <c r="D159" s="148" t="s">
        <v>178</v>
      </c>
      <c r="E159">
        <v>2750</v>
      </c>
      <c r="F159" t="b">
        <v>0</v>
      </c>
    </row>
    <row r="160" spans="1:6" ht="14.4">
      <c r="A160" s="148" t="s">
        <v>646</v>
      </c>
      <c r="B160" s="148" t="s">
        <v>150</v>
      </c>
      <c r="C160" s="148" t="s">
        <v>150</v>
      </c>
      <c r="D160" s="148" t="s">
        <v>178</v>
      </c>
      <c r="E160">
        <v>2750</v>
      </c>
      <c r="F160" t="b">
        <v>0</v>
      </c>
    </row>
    <row r="161" spans="1:6" ht="14.4">
      <c r="A161" s="148" t="s">
        <v>731</v>
      </c>
      <c r="B161" s="148" t="s">
        <v>150</v>
      </c>
      <c r="C161" s="148" t="s">
        <v>150</v>
      </c>
      <c r="D161" s="148" t="s">
        <v>203</v>
      </c>
      <c r="E161" t="s">
        <v>741</v>
      </c>
      <c r="F161" t="b">
        <v>0</v>
      </c>
    </row>
    <row r="162" spans="1:6" ht="14.4">
      <c r="A162" s="148" t="s">
        <v>304</v>
      </c>
      <c r="B162" s="148" t="s">
        <v>150</v>
      </c>
      <c r="C162" s="148" t="s">
        <v>150</v>
      </c>
      <c r="D162" s="148" t="s">
        <v>203</v>
      </c>
      <c r="E162" t="s">
        <v>741</v>
      </c>
      <c r="F162" t="b">
        <v>0</v>
      </c>
    </row>
    <row r="163" spans="1:6" ht="14.4">
      <c r="A163" s="148" t="s">
        <v>305</v>
      </c>
      <c r="B163" s="148" t="s">
        <v>151</v>
      </c>
      <c r="C163" s="148" t="s">
        <v>151</v>
      </c>
      <c r="D163" s="148" t="s">
        <v>683</v>
      </c>
      <c r="E163" t="s">
        <v>741</v>
      </c>
      <c r="F163" t="b">
        <v>0</v>
      </c>
    </row>
    <row r="164" spans="1:6" ht="14.4">
      <c r="A164" s="148" t="s">
        <v>306</v>
      </c>
      <c r="B164" s="148" t="s">
        <v>150</v>
      </c>
      <c r="C164" s="148" t="s">
        <v>150</v>
      </c>
      <c r="D164" s="148" t="s">
        <v>203</v>
      </c>
      <c r="E164" t="s">
        <v>741</v>
      </c>
      <c r="F164" t="b">
        <v>0</v>
      </c>
    </row>
    <row r="165" spans="1:6" ht="14.4">
      <c r="A165" s="148" t="s">
        <v>307</v>
      </c>
      <c r="B165" s="148" t="s">
        <v>150</v>
      </c>
      <c r="C165" s="148" t="s">
        <v>150</v>
      </c>
      <c r="D165" s="148" t="s">
        <v>203</v>
      </c>
      <c r="E165" t="s">
        <v>741</v>
      </c>
      <c r="F165" t="b">
        <v>0</v>
      </c>
    </row>
    <row r="166" spans="1:6" ht="14.4">
      <c r="A166" s="148" t="s">
        <v>308</v>
      </c>
      <c r="B166" s="148" t="s">
        <v>163</v>
      </c>
      <c r="C166" s="148" t="s">
        <v>163</v>
      </c>
      <c r="D166" s="148" t="s">
        <v>203</v>
      </c>
      <c r="E166" t="s">
        <v>741</v>
      </c>
      <c r="F166" t="b">
        <v>0</v>
      </c>
    </row>
    <row r="167" spans="1:6" ht="14.4">
      <c r="A167" s="148" t="s">
        <v>309</v>
      </c>
      <c r="B167" s="148" t="s">
        <v>150</v>
      </c>
      <c r="C167" s="148" t="s">
        <v>150</v>
      </c>
      <c r="D167" s="148" t="s">
        <v>683</v>
      </c>
      <c r="E167" t="s">
        <v>741</v>
      </c>
      <c r="F167" t="b">
        <v>1</v>
      </c>
    </row>
    <row r="168" spans="1:6" ht="14.4">
      <c r="A168" s="148" t="s">
        <v>310</v>
      </c>
      <c r="B168" s="148" t="s">
        <v>151</v>
      </c>
      <c r="C168" s="148" t="s">
        <v>151</v>
      </c>
      <c r="D168" s="148" t="s">
        <v>203</v>
      </c>
      <c r="E168" t="s">
        <v>741</v>
      </c>
      <c r="F168" t="b">
        <v>0</v>
      </c>
    </row>
    <row r="169" spans="1:6" ht="14.4">
      <c r="A169" s="148" t="s">
        <v>311</v>
      </c>
      <c r="B169" s="148" t="s">
        <v>163</v>
      </c>
      <c r="C169" s="148" t="s">
        <v>163</v>
      </c>
      <c r="D169" s="148" t="s">
        <v>683</v>
      </c>
      <c r="E169" t="s">
        <v>741</v>
      </c>
      <c r="F169" t="b">
        <v>0</v>
      </c>
    </row>
    <row r="170" spans="1:6" ht="14.4">
      <c r="A170" s="148" t="s">
        <v>312</v>
      </c>
      <c r="B170" s="148" t="s">
        <v>163</v>
      </c>
      <c r="C170" s="148" t="s">
        <v>163</v>
      </c>
      <c r="D170" s="148" t="s">
        <v>203</v>
      </c>
      <c r="E170" t="s">
        <v>741</v>
      </c>
      <c r="F170" t="b">
        <v>0</v>
      </c>
    </row>
    <row r="171" spans="1:6" ht="14.4">
      <c r="A171" s="148" t="s">
        <v>313</v>
      </c>
      <c r="B171" s="148" t="s">
        <v>163</v>
      </c>
      <c r="C171" s="148" t="s">
        <v>163</v>
      </c>
      <c r="D171" s="148" t="s">
        <v>683</v>
      </c>
      <c r="E171" t="s">
        <v>741</v>
      </c>
      <c r="F171" t="b">
        <v>0</v>
      </c>
    </row>
    <row r="172" spans="1:6" ht="14.4">
      <c r="A172" s="148" t="s">
        <v>314</v>
      </c>
      <c r="B172" s="148" t="s">
        <v>151</v>
      </c>
      <c r="C172" s="148" t="s">
        <v>151</v>
      </c>
      <c r="D172" s="148" t="s">
        <v>203</v>
      </c>
      <c r="E172" t="s">
        <v>741</v>
      </c>
      <c r="F172" t="b">
        <v>0</v>
      </c>
    </row>
    <row r="173" spans="1:6" ht="14.4">
      <c r="A173" s="148" t="s">
        <v>732</v>
      </c>
      <c r="B173" s="148" t="s">
        <v>151</v>
      </c>
      <c r="C173" s="148" t="s">
        <v>151</v>
      </c>
      <c r="D173" s="148" t="s">
        <v>683</v>
      </c>
      <c r="E173" t="s">
        <v>741</v>
      </c>
      <c r="F173" t="b">
        <v>0</v>
      </c>
    </row>
    <row r="174" spans="1:6" ht="14.4">
      <c r="A174" s="148" t="s">
        <v>315</v>
      </c>
      <c r="B174" s="148" t="s">
        <v>163</v>
      </c>
      <c r="C174" s="148" t="s">
        <v>163</v>
      </c>
      <c r="D174" s="148" t="s">
        <v>683</v>
      </c>
      <c r="E174" t="s">
        <v>741</v>
      </c>
      <c r="F174" t="b">
        <v>0</v>
      </c>
    </row>
    <row r="175" spans="1:6" ht="14.4">
      <c r="A175" s="148" t="s">
        <v>316</v>
      </c>
      <c r="B175" s="148" t="s">
        <v>151</v>
      </c>
      <c r="C175" s="148"/>
      <c r="D175" s="148" t="s">
        <v>683</v>
      </c>
      <c r="E175" t="s">
        <v>741</v>
      </c>
      <c r="F175" t="b">
        <v>0</v>
      </c>
    </row>
    <row r="176" spans="1:6" ht="14.4">
      <c r="A176" s="148" t="s">
        <v>317</v>
      </c>
      <c r="B176" s="148" t="s">
        <v>150</v>
      </c>
      <c r="C176" s="148" t="s">
        <v>150</v>
      </c>
      <c r="D176" s="148" t="s">
        <v>683</v>
      </c>
      <c r="E176" t="s">
        <v>741</v>
      </c>
      <c r="F176" t="b">
        <v>0</v>
      </c>
    </row>
    <row r="177" spans="1:6" ht="14.4">
      <c r="A177" s="148" t="s">
        <v>318</v>
      </c>
      <c r="B177" s="148" t="s">
        <v>150</v>
      </c>
      <c r="C177" s="148" t="s">
        <v>150</v>
      </c>
      <c r="D177" s="148" t="s">
        <v>683</v>
      </c>
      <c r="E177" t="s">
        <v>741</v>
      </c>
      <c r="F177" t="b">
        <v>0</v>
      </c>
    </row>
    <row r="178" spans="1:6" ht="14.4">
      <c r="A178" s="148" t="s">
        <v>319</v>
      </c>
      <c r="B178" s="148" t="s">
        <v>151</v>
      </c>
      <c r="C178" s="148" t="s">
        <v>151</v>
      </c>
      <c r="D178" s="148" t="s">
        <v>683</v>
      </c>
      <c r="E178" t="s">
        <v>741</v>
      </c>
      <c r="F178" t="b">
        <v>0</v>
      </c>
    </row>
    <row r="179" spans="1:6" ht="14.4">
      <c r="A179" s="148" t="s">
        <v>320</v>
      </c>
      <c r="B179" s="148" t="s">
        <v>150</v>
      </c>
      <c r="C179" s="148" t="s">
        <v>150</v>
      </c>
      <c r="D179" s="148" t="s">
        <v>203</v>
      </c>
      <c r="E179" t="s">
        <v>741</v>
      </c>
      <c r="F179" t="b">
        <v>0</v>
      </c>
    </row>
    <row r="180" spans="1:6" ht="14.4">
      <c r="A180" s="148" t="s">
        <v>321</v>
      </c>
      <c r="B180" s="148" t="s">
        <v>150</v>
      </c>
      <c r="C180" s="148" t="s">
        <v>150</v>
      </c>
      <c r="D180" s="148" t="s">
        <v>683</v>
      </c>
      <c r="E180" t="s">
        <v>741</v>
      </c>
      <c r="F180" t="b">
        <v>1</v>
      </c>
    </row>
    <row r="181" spans="1:6" ht="14.4">
      <c r="A181" s="148" t="s">
        <v>322</v>
      </c>
      <c r="B181" s="148" t="s">
        <v>772</v>
      </c>
      <c r="C181" s="148" t="s">
        <v>151</v>
      </c>
      <c r="D181" s="148" t="s">
        <v>683</v>
      </c>
      <c r="E181" t="s">
        <v>741</v>
      </c>
      <c r="F181" t="b">
        <v>0</v>
      </c>
    </row>
    <row r="182" spans="1:6" ht="14.4">
      <c r="A182" s="148" t="s">
        <v>323</v>
      </c>
      <c r="B182" s="148" t="s">
        <v>163</v>
      </c>
      <c r="C182" s="148" t="s">
        <v>163</v>
      </c>
      <c r="D182" s="148" t="s">
        <v>683</v>
      </c>
      <c r="E182" t="s">
        <v>741</v>
      </c>
      <c r="F182" t="b">
        <v>0</v>
      </c>
    </row>
    <row r="183" spans="1:6" ht="14.4">
      <c r="A183" s="148" t="s">
        <v>324</v>
      </c>
      <c r="B183" s="148" t="s">
        <v>163</v>
      </c>
      <c r="C183" s="148" t="s">
        <v>163</v>
      </c>
      <c r="D183" s="148" t="s">
        <v>683</v>
      </c>
      <c r="E183" t="s">
        <v>741</v>
      </c>
      <c r="F183" t="b">
        <v>0</v>
      </c>
    </row>
    <row r="184" spans="1:6" ht="14.4">
      <c r="A184" s="148" t="s">
        <v>325</v>
      </c>
      <c r="B184" s="148" t="s">
        <v>163</v>
      </c>
      <c r="C184" s="148" t="s">
        <v>163</v>
      </c>
      <c r="D184" s="148" t="s">
        <v>683</v>
      </c>
      <c r="E184" t="s">
        <v>741</v>
      </c>
      <c r="F184" t="b">
        <v>0</v>
      </c>
    </row>
    <row r="185" spans="1:6" ht="14.4">
      <c r="A185" s="148" t="s">
        <v>326</v>
      </c>
      <c r="B185" s="148" t="s">
        <v>163</v>
      </c>
      <c r="C185" s="148" t="s">
        <v>163</v>
      </c>
      <c r="D185" s="148" t="s">
        <v>203</v>
      </c>
      <c r="E185" t="s">
        <v>741</v>
      </c>
      <c r="F185" t="b">
        <v>0</v>
      </c>
    </row>
    <row r="186" spans="1:6" ht="14.4">
      <c r="A186" s="148" t="s">
        <v>733</v>
      </c>
      <c r="B186" s="148" t="s">
        <v>163</v>
      </c>
      <c r="C186" s="148" t="s">
        <v>163</v>
      </c>
      <c r="D186" s="148" t="s">
        <v>683</v>
      </c>
      <c r="E186" t="s">
        <v>741</v>
      </c>
      <c r="F186" t="b">
        <v>0</v>
      </c>
    </row>
    <row r="187" spans="1:6" ht="14.4">
      <c r="A187" s="148" t="s">
        <v>327</v>
      </c>
      <c r="B187" s="148" t="s">
        <v>151</v>
      </c>
      <c r="C187" s="148" t="s">
        <v>151</v>
      </c>
      <c r="D187" s="148" t="s">
        <v>683</v>
      </c>
      <c r="E187" t="s">
        <v>741</v>
      </c>
      <c r="F187" t="b">
        <v>0</v>
      </c>
    </row>
    <row r="188" spans="1:6" ht="14.4">
      <c r="A188" s="148" t="s">
        <v>647</v>
      </c>
      <c r="B188" s="148"/>
      <c r="C188" s="148"/>
      <c r="D188" s="148" t="s">
        <v>683</v>
      </c>
      <c r="F188" t="b">
        <v>0</v>
      </c>
    </row>
    <row r="189" spans="1:6" ht="14.4">
      <c r="A189" s="148" t="s">
        <v>328</v>
      </c>
      <c r="B189" s="148" t="s">
        <v>150</v>
      </c>
      <c r="C189" s="148" t="s">
        <v>150</v>
      </c>
      <c r="D189" s="148" t="s">
        <v>203</v>
      </c>
      <c r="E189">
        <v>3200</v>
      </c>
      <c r="F189" t="b">
        <v>0</v>
      </c>
    </row>
    <row r="190" spans="1:6" ht="14.4">
      <c r="A190" s="148" t="s">
        <v>329</v>
      </c>
      <c r="B190" s="148" t="s">
        <v>151</v>
      </c>
      <c r="C190" s="148" t="s">
        <v>151</v>
      </c>
      <c r="D190" s="148" t="s">
        <v>203</v>
      </c>
      <c r="E190">
        <v>3200</v>
      </c>
      <c r="F190" t="b">
        <v>0</v>
      </c>
    </row>
    <row r="191" spans="1:6" ht="14.4">
      <c r="A191" s="148" t="s">
        <v>330</v>
      </c>
      <c r="B191" s="148" t="s">
        <v>151</v>
      </c>
      <c r="C191" s="148" t="s">
        <v>151</v>
      </c>
      <c r="D191" s="148" t="s">
        <v>203</v>
      </c>
      <c r="E191">
        <v>3200</v>
      </c>
      <c r="F191" t="b">
        <v>0</v>
      </c>
    </row>
    <row r="192" spans="1:6" ht="14.4">
      <c r="A192" s="148" t="s">
        <v>331</v>
      </c>
      <c r="B192" s="148" t="s">
        <v>151</v>
      </c>
      <c r="C192" s="148" t="s">
        <v>151</v>
      </c>
      <c r="D192" s="148" t="s">
        <v>203</v>
      </c>
      <c r="E192">
        <v>3200</v>
      </c>
      <c r="F192" t="b">
        <v>0</v>
      </c>
    </row>
    <row r="193" spans="1:6" ht="14.4">
      <c r="A193" s="148" t="s">
        <v>332</v>
      </c>
      <c r="B193" s="148" t="s">
        <v>163</v>
      </c>
      <c r="C193" s="148" t="s">
        <v>163</v>
      </c>
      <c r="D193" s="148" t="s">
        <v>203</v>
      </c>
      <c r="E193">
        <v>3200</v>
      </c>
      <c r="F193" t="b">
        <v>0</v>
      </c>
    </row>
    <row r="194" spans="1:6" ht="14.4">
      <c r="A194" s="148" t="s">
        <v>333</v>
      </c>
      <c r="B194" s="148" t="s">
        <v>163</v>
      </c>
      <c r="C194" s="148" t="s">
        <v>163</v>
      </c>
      <c r="D194" s="148" t="s">
        <v>203</v>
      </c>
      <c r="E194">
        <v>3200</v>
      </c>
      <c r="F194" t="b">
        <v>0</v>
      </c>
    </row>
    <row r="195" spans="1:6" ht="14.4">
      <c r="A195" s="148" t="s">
        <v>334</v>
      </c>
      <c r="B195" s="148" t="s">
        <v>150</v>
      </c>
      <c r="C195" s="148" t="s">
        <v>150</v>
      </c>
      <c r="D195" s="148" t="s">
        <v>203</v>
      </c>
      <c r="E195">
        <v>3200</v>
      </c>
      <c r="F195" t="b">
        <v>0</v>
      </c>
    </row>
    <row r="196" spans="1:6" ht="14.4">
      <c r="A196" s="148" t="s">
        <v>335</v>
      </c>
      <c r="B196" s="148" t="s">
        <v>150</v>
      </c>
      <c r="C196" s="148" t="s">
        <v>150</v>
      </c>
      <c r="D196" s="148" t="s">
        <v>203</v>
      </c>
      <c r="E196">
        <v>3200</v>
      </c>
      <c r="F196" t="b">
        <v>0</v>
      </c>
    </row>
    <row r="197" spans="1:6" ht="14.4">
      <c r="A197" s="148" t="s">
        <v>336</v>
      </c>
      <c r="B197" s="148" t="s">
        <v>150</v>
      </c>
      <c r="C197" s="148" t="s">
        <v>150</v>
      </c>
      <c r="D197" s="148" t="s">
        <v>203</v>
      </c>
      <c r="E197">
        <v>3200</v>
      </c>
      <c r="F197" t="b">
        <v>0</v>
      </c>
    </row>
    <row r="198" spans="1:6" ht="14.4">
      <c r="A198" s="148" t="s">
        <v>758</v>
      </c>
      <c r="B198" s="148"/>
      <c r="C198" s="148"/>
      <c r="D198" s="148" t="s">
        <v>683</v>
      </c>
      <c r="E198">
        <v>3200</v>
      </c>
      <c r="F198" t="b">
        <v>0</v>
      </c>
    </row>
    <row r="199" spans="1:6" ht="14.4">
      <c r="A199" s="148" t="s">
        <v>337</v>
      </c>
      <c r="B199" s="148" t="s">
        <v>163</v>
      </c>
      <c r="C199" s="148" t="s">
        <v>163</v>
      </c>
      <c r="D199" s="148" t="s">
        <v>203</v>
      </c>
      <c r="E199">
        <v>3200</v>
      </c>
      <c r="F199" t="b">
        <v>0</v>
      </c>
    </row>
    <row r="200" spans="1:6" ht="14.4">
      <c r="A200" s="148" t="s">
        <v>338</v>
      </c>
      <c r="B200" s="148"/>
      <c r="C200" s="148"/>
      <c r="D200" s="148" t="s">
        <v>203</v>
      </c>
      <c r="F200" t="b">
        <v>0</v>
      </c>
    </row>
    <row r="201" spans="1:6" ht="14.4">
      <c r="A201" s="148" t="s">
        <v>648</v>
      </c>
      <c r="B201" s="148"/>
      <c r="C201" s="148"/>
      <c r="D201" s="148" t="s">
        <v>178</v>
      </c>
      <c r="E201">
        <v>3200</v>
      </c>
      <c r="F201" t="b">
        <v>0</v>
      </c>
    </row>
    <row r="202" spans="1:6" ht="14.4">
      <c r="A202" s="148" t="s">
        <v>649</v>
      </c>
      <c r="B202" s="148" t="s">
        <v>773</v>
      </c>
      <c r="C202" s="148"/>
      <c r="D202" s="148" t="s">
        <v>178</v>
      </c>
      <c r="E202">
        <v>3200</v>
      </c>
      <c r="F202" t="b">
        <v>0</v>
      </c>
    </row>
    <row r="203" spans="1:6" ht="14.4">
      <c r="A203" s="148" t="s">
        <v>650</v>
      </c>
      <c r="B203" s="148" t="s">
        <v>163</v>
      </c>
      <c r="C203" s="148"/>
      <c r="D203" s="148" t="s">
        <v>178</v>
      </c>
      <c r="E203">
        <v>3200</v>
      </c>
      <c r="F203" t="b">
        <v>0</v>
      </c>
    </row>
    <row r="204" spans="1:6" ht="14.4">
      <c r="A204" s="148" t="s">
        <v>651</v>
      </c>
      <c r="B204" s="148" t="s">
        <v>163</v>
      </c>
      <c r="C204" s="148"/>
      <c r="D204" s="148" t="s">
        <v>178</v>
      </c>
      <c r="E204">
        <v>3200</v>
      </c>
      <c r="F204" t="b">
        <v>0</v>
      </c>
    </row>
    <row r="205" spans="1:6" ht="14.4">
      <c r="A205" s="148" t="s">
        <v>652</v>
      </c>
      <c r="B205" s="148"/>
      <c r="C205" s="148"/>
      <c r="D205" s="148" t="s">
        <v>178</v>
      </c>
      <c r="E205">
        <v>3200</v>
      </c>
      <c r="F205" t="b">
        <v>0</v>
      </c>
    </row>
    <row r="206" spans="1:6" ht="14.4">
      <c r="A206" s="148" t="s">
        <v>653</v>
      </c>
      <c r="B206" s="148"/>
      <c r="C206" s="148"/>
      <c r="D206" s="148" t="s">
        <v>178</v>
      </c>
      <c r="E206">
        <v>3200</v>
      </c>
      <c r="F206" t="b">
        <v>0</v>
      </c>
    </row>
    <row r="207" spans="1:6" ht="14.4">
      <c r="A207" s="148" t="s">
        <v>654</v>
      </c>
      <c r="B207" s="148"/>
      <c r="C207" s="148"/>
      <c r="D207" s="148" t="s">
        <v>178</v>
      </c>
      <c r="E207">
        <v>3200</v>
      </c>
      <c r="F207" t="b">
        <v>0</v>
      </c>
    </row>
    <row r="208" spans="1:6" ht="14.4">
      <c r="A208" s="148" t="s">
        <v>339</v>
      </c>
      <c r="B208" s="148" t="s">
        <v>163</v>
      </c>
      <c r="C208" s="148" t="s">
        <v>163</v>
      </c>
      <c r="D208" s="148"/>
      <c r="F208" t="b">
        <v>0</v>
      </c>
    </row>
    <row r="209" spans="1:6" ht="14.4">
      <c r="A209" s="148" t="s">
        <v>340</v>
      </c>
      <c r="B209" s="148" t="s">
        <v>150</v>
      </c>
      <c r="C209" s="148" t="s">
        <v>150</v>
      </c>
      <c r="D209" s="148"/>
      <c r="F209" t="b">
        <v>0</v>
      </c>
    </row>
    <row r="210" spans="1:6" ht="14.4">
      <c r="A210" s="148" t="s">
        <v>341</v>
      </c>
      <c r="B210" s="148" t="s">
        <v>150</v>
      </c>
      <c r="C210" s="148" t="s">
        <v>150</v>
      </c>
      <c r="D210" s="148"/>
      <c r="F210" t="b">
        <v>0</v>
      </c>
    </row>
    <row r="211" spans="1:6" ht="14.4">
      <c r="A211" s="148" t="s">
        <v>342</v>
      </c>
      <c r="B211" s="148" t="s">
        <v>163</v>
      </c>
      <c r="C211" s="148" t="s">
        <v>163</v>
      </c>
      <c r="D211" s="148"/>
      <c r="F211" t="b">
        <v>0</v>
      </c>
    </row>
    <row r="212" spans="1:6" ht="14.4">
      <c r="A212" s="148" t="s">
        <v>343</v>
      </c>
      <c r="B212" s="148" t="s">
        <v>150</v>
      </c>
      <c r="C212" s="148" t="s">
        <v>150</v>
      </c>
      <c r="D212" s="148"/>
      <c r="F212" t="b">
        <v>0</v>
      </c>
    </row>
    <row r="213" spans="1:6" ht="14.4">
      <c r="A213" s="148" t="s">
        <v>344</v>
      </c>
      <c r="B213" s="148" t="s">
        <v>150</v>
      </c>
      <c r="C213" s="148" t="s">
        <v>150</v>
      </c>
      <c r="D213" s="148"/>
      <c r="F213" t="b">
        <v>0</v>
      </c>
    </row>
    <row r="214" spans="1:6" ht="14.4">
      <c r="A214" s="148" t="s">
        <v>345</v>
      </c>
      <c r="B214" s="148" t="s">
        <v>163</v>
      </c>
      <c r="C214" s="148" t="s">
        <v>163</v>
      </c>
      <c r="D214" s="148"/>
      <c r="F214" t="b">
        <v>0</v>
      </c>
    </row>
    <row r="215" spans="1:6" ht="14.4">
      <c r="A215" s="148" t="s">
        <v>346</v>
      </c>
      <c r="B215" s="148" t="s">
        <v>163</v>
      </c>
      <c r="C215" s="148" t="s">
        <v>163</v>
      </c>
      <c r="D215" s="148"/>
      <c r="F215" t="b">
        <v>0</v>
      </c>
    </row>
    <row r="216" spans="1:6" ht="14.4">
      <c r="A216" s="148" t="s">
        <v>347</v>
      </c>
      <c r="B216" s="148" t="s">
        <v>163</v>
      </c>
      <c r="C216" s="148" t="s">
        <v>163</v>
      </c>
      <c r="D216" s="148"/>
      <c r="F216" t="b">
        <v>0</v>
      </c>
    </row>
    <row r="217" spans="1:6" ht="14.4">
      <c r="A217" s="148" t="s">
        <v>348</v>
      </c>
      <c r="B217" s="148" t="s">
        <v>150</v>
      </c>
      <c r="C217" s="148" t="s">
        <v>150</v>
      </c>
      <c r="D217" s="148"/>
      <c r="F217" t="b">
        <v>0</v>
      </c>
    </row>
    <row r="218" spans="1:6" ht="14.4">
      <c r="A218" s="148" t="s">
        <v>349</v>
      </c>
      <c r="B218" s="148" t="s">
        <v>163</v>
      </c>
      <c r="C218" s="148" t="s">
        <v>163</v>
      </c>
      <c r="D218" s="148"/>
      <c r="F218" t="b">
        <v>0</v>
      </c>
    </row>
    <row r="219" spans="1:6" ht="14.4">
      <c r="A219" s="148" t="s">
        <v>350</v>
      </c>
      <c r="B219" s="148"/>
      <c r="C219" s="148"/>
      <c r="D219" s="148"/>
      <c r="F219" t="b">
        <v>0</v>
      </c>
    </row>
    <row r="220" spans="1:6" ht="14.4">
      <c r="A220" s="148" t="s">
        <v>351</v>
      </c>
      <c r="B220" s="148" t="s">
        <v>163</v>
      </c>
      <c r="C220" s="148" t="s">
        <v>163</v>
      </c>
      <c r="D220" s="148"/>
      <c r="F220" t="b">
        <v>0</v>
      </c>
    </row>
    <row r="221" spans="1:6" ht="14.4">
      <c r="A221" s="148" t="s">
        <v>655</v>
      </c>
      <c r="B221" s="148"/>
      <c r="C221" s="148"/>
      <c r="D221" s="148"/>
      <c r="F221" t="b">
        <v>0</v>
      </c>
    </row>
    <row r="222" spans="1:6" ht="14.4">
      <c r="A222" s="148" t="s">
        <v>656</v>
      </c>
      <c r="B222" s="148"/>
      <c r="C222" s="148"/>
      <c r="D222" s="148"/>
      <c r="F222" t="b">
        <v>0</v>
      </c>
    </row>
    <row r="223" spans="1:6" ht="14.4">
      <c r="A223" s="148" t="s">
        <v>657</v>
      </c>
      <c r="B223" s="148"/>
      <c r="C223" s="148"/>
      <c r="D223" s="148"/>
      <c r="F223" t="b">
        <v>0</v>
      </c>
    </row>
    <row r="224" spans="1:6" ht="14.4">
      <c r="A224" s="148" t="s">
        <v>658</v>
      </c>
      <c r="B224" s="148"/>
      <c r="C224" s="148"/>
      <c r="D224" s="148"/>
      <c r="F224" t="b">
        <v>0</v>
      </c>
    </row>
    <row r="225" spans="1:6" ht="14.4">
      <c r="A225" s="148" t="s">
        <v>659</v>
      </c>
      <c r="B225" s="148"/>
      <c r="C225" s="148"/>
      <c r="D225" s="148"/>
      <c r="F225" t="b">
        <v>0</v>
      </c>
    </row>
    <row r="226" spans="1:6" ht="14.4">
      <c r="A226" s="148" t="s">
        <v>660</v>
      </c>
      <c r="B226" s="148"/>
      <c r="C226" s="148"/>
      <c r="D226" s="148"/>
      <c r="F226" t="b">
        <v>0</v>
      </c>
    </row>
    <row r="227" spans="1:6" ht="14.4">
      <c r="A227" s="148" t="s">
        <v>661</v>
      </c>
      <c r="B227" s="148"/>
      <c r="C227" s="148"/>
      <c r="D227" s="148"/>
      <c r="F227" t="b">
        <v>0</v>
      </c>
    </row>
    <row r="228" spans="1:6" ht="14.4">
      <c r="A228" s="148" t="s">
        <v>662</v>
      </c>
      <c r="B228" s="148"/>
      <c r="C228" s="148"/>
      <c r="D228" s="148"/>
      <c r="F228" t="b">
        <v>0</v>
      </c>
    </row>
    <row r="229" spans="1:6" ht="14.4">
      <c r="A229" s="148" t="s">
        <v>663</v>
      </c>
      <c r="B229" s="148"/>
      <c r="C229" s="148"/>
      <c r="D229" s="148"/>
      <c r="F229" t="b">
        <v>0</v>
      </c>
    </row>
    <row r="230" spans="1:6" ht="14.4">
      <c r="A230" s="148" t="s">
        <v>664</v>
      </c>
      <c r="B230" s="148"/>
      <c r="C230" s="148"/>
      <c r="D230" s="148"/>
      <c r="F230" t="b">
        <v>0</v>
      </c>
    </row>
    <row r="231" spans="1:6" ht="14.4">
      <c r="A231" s="148" t="s">
        <v>665</v>
      </c>
      <c r="B231" s="148"/>
      <c r="C231" s="148"/>
      <c r="D231" s="148"/>
      <c r="F231" t="b">
        <v>0</v>
      </c>
    </row>
    <row r="232" spans="1:6" ht="14.4">
      <c r="A232" s="148" t="s">
        <v>666</v>
      </c>
      <c r="B232" s="148"/>
      <c r="C232" s="148"/>
      <c r="D232" s="148"/>
      <c r="F232" t="b">
        <v>0</v>
      </c>
    </row>
    <row r="233" spans="1:6" ht="14.4">
      <c r="A233" s="148" t="s">
        <v>667</v>
      </c>
      <c r="B233" s="148"/>
      <c r="C233" s="148"/>
      <c r="D233" s="148"/>
      <c r="F233" t="b">
        <v>0</v>
      </c>
    </row>
    <row r="234" spans="1:6" ht="14.4">
      <c r="A234" s="148" t="s">
        <v>668</v>
      </c>
      <c r="B234" s="148"/>
      <c r="C234" s="148"/>
      <c r="D234" s="148"/>
      <c r="F234" t="b">
        <v>0</v>
      </c>
    </row>
    <row r="235" spans="1:6" ht="14.4">
      <c r="A235" s="148" t="s">
        <v>669</v>
      </c>
      <c r="B235" s="148"/>
      <c r="C235" s="148"/>
      <c r="D235" s="148"/>
      <c r="F235" t="b">
        <v>0</v>
      </c>
    </row>
    <row r="236" spans="1:6" ht="14.4">
      <c r="A236" s="148" t="s">
        <v>670</v>
      </c>
      <c r="B236" s="148"/>
      <c r="C236" s="148"/>
      <c r="D236" s="148"/>
      <c r="F236" t="b">
        <v>0</v>
      </c>
    </row>
    <row r="237" spans="1:6" ht="14.4">
      <c r="A237" s="148" t="s">
        <v>671</v>
      </c>
      <c r="B237" s="148"/>
      <c r="C237" s="148"/>
      <c r="D237" s="148"/>
      <c r="F237" t="b">
        <v>0</v>
      </c>
    </row>
    <row r="238" spans="1:6" ht="14.4">
      <c r="A238" s="148" t="s">
        <v>672</v>
      </c>
      <c r="B238" s="148"/>
      <c r="C238" s="148"/>
      <c r="D238" s="148"/>
      <c r="F238" t="b">
        <v>0</v>
      </c>
    </row>
    <row r="239" spans="1:6" ht="14.4">
      <c r="A239" s="148" t="s">
        <v>673</v>
      </c>
      <c r="B239" s="148"/>
      <c r="C239" s="148"/>
      <c r="D239" s="148"/>
      <c r="F239" t="b">
        <v>0</v>
      </c>
    </row>
    <row r="240" spans="1:6" ht="14.4">
      <c r="A240" s="148" t="s">
        <v>674</v>
      </c>
      <c r="B240" s="148"/>
      <c r="C240" s="148"/>
      <c r="D240" s="148"/>
      <c r="F240" t="b">
        <v>0</v>
      </c>
    </row>
    <row r="241" spans="1:6" ht="14.4">
      <c r="A241" s="148" t="s">
        <v>675</v>
      </c>
      <c r="B241" s="148"/>
      <c r="C241" s="148"/>
      <c r="D241" s="148"/>
      <c r="F241" t="b">
        <v>0</v>
      </c>
    </row>
    <row r="242" spans="1:6" ht="14.4">
      <c r="A242" s="148" t="s">
        <v>676</v>
      </c>
      <c r="B242" s="148"/>
      <c r="C242" s="148"/>
      <c r="D242" s="148"/>
      <c r="F242" t="b">
        <v>0</v>
      </c>
    </row>
    <row r="243" spans="1:6" ht="14.4">
      <c r="A243" s="148" t="s">
        <v>677</v>
      </c>
      <c r="B243" s="148"/>
      <c r="C243" s="148"/>
      <c r="D243" s="148"/>
      <c r="F243" t="b">
        <v>0</v>
      </c>
    </row>
    <row r="244" spans="1:6" ht="14.4">
      <c r="A244" s="148" t="s">
        <v>678</v>
      </c>
      <c r="B244" s="148"/>
      <c r="C244" s="148"/>
      <c r="D244" s="148"/>
      <c r="F244" t="b">
        <v>0</v>
      </c>
    </row>
    <row r="245" spans="1:6" ht="14.4">
      <c r="A245" s="148" t="s">
        <v>679</v>
      </c>
      <c r="B245" s="148"/>
      <c r="C245" s="148"/>
      <c r="D245" s="148"/>
      <c r="F245" t="b">
        <v>0</v>
      </c>
    </row>
    <row r="246" spans="1:6" ht="14.4">
      <c r="A246" s="148" t="s">
        <v>680</v>
      </c>
      <c r="B246" s="148"/>
      <c r="C246" s="148"/>
      <c r="D246" s="148"/>
      <c r="F246" t="b">
        <v>0</v>
      </c>
    </row>
    <row r="247" spans="1:6" ht="14.4">
      <c r="A247" s="148" t="s">
        <v>742</v>
      </c>
      <c r="B247" s="148"/>
      <c r="C247" s="148"/>
      <c r="D247" s="148" t="s">
        <v>683</v>
      </c>
      <c r="E247">
        <v>3200</v>
      </c>
      <c r="F247" t="b">
        <v>0</v>
      </c>
    </row>
    <row r="248" spans="1:6" ht="14.4">
      <c r="A248" s="148" t="s">
        <v>743</v>
      </c>
      <c r="B248" s="148"/>
      <c r="C248" s="148"/>
      <c r="D248" s="148" t="s">
        <v>683</v>
      </c>
      <c r="E248">
        <v>3200</v>
      </c>
      <c r="F248" t="b">
        <v>0</v>
      </c>
    </row>
    <row r="249" spans="1:6" ht="14.4">
      <c r="A249" s="148" t="s">
        <v>744</v>
      </c>
      <c r="B249" s="148"/>
      <c r="C249" s="148"/>
      <c r="D249" s="148" t="s">
        <v>683</v>
      </c>
      <c r="E249">
        <v>3200</v>
      </c>
      <c r="F249" t="b">
        <v>0</v>
      </c>
    </row>
    <row r="250" spans="1:6" ht="14.4">
      <c r="A250" s="148" t="s">
        <v>745</v>
      </c>
      <c r="B250" s="148"/>
      <c r="C250" s="148"/>
      <c r="D250" s="148" t="s">
        <v>683</v>
      </c>
      <c r="E250">
        <v>3200</v>
      </c>
      <c r="F250" t="b">
        <v>0</v>
      </c>
    </row>
    <row r="251" spans="1:6" ht="14.4">
      <c r="A251" s="148" t="s">
        <v>746</v>
      </c>
      <c r="B251" s="148"/>
      <c r="C251" s="148"/>
      <c r="D251" s="148" t="s">
        <v>683</v>
      </c>
      <c r="E251">
        <v>3200</v>
      </c>
      <c r="F251" t="b">
        <v>0</v>
      </c>
    </row>
    <row r="252" spans="1:6" ht="14.4">
      <c r="A252" s="148" t="s">
        <v>747</v>
      </c>
      <c r="B252" s="148"/>
      <c r="C252" s="148"/>
      <c r="D252" s="148" t="s">
        <v>683</v>
      </c>
      <c r="E252">
        <v>3200</v>
      </c>
      <c r="F252" t="b">
        <v>0</v>
      </c>
    </row>
    <row r="253" spans="1:6" ht="14.4">
      <c r="A253" s="148" t="s">
        <v>748</v>
      </c>
      <c r="B253" s="148"/>
      <c r="C253" s="148"/>
      <c r="D253" s="148" t="s">
        <v>203</v>
      </c>
      <c r="E253">
        <v>3200</v>
      </c>
      <c r="F253" t="b">
        <v>0</v>
      </c>
    </row>
    <row r="254" spans="1:6" ht="14.4">
      <c r="A254" s="148" t="s">
        <v>759</v>
      </c>
      <c r="B254" s="148"/>
      <c r="C254" s="148"/>
      <c r="D254" s="148" t="s">
        <v>178</v>
      </c>
      <c r="E254">
        <v>3200</v>
      </c>
      <c r="F254" t="b">
        <v>0</v>
      </c>
    </row>
    <row r="255" spans="1:6" ht="14.4">
      <c r="A255" s="148" t="s">
        <v>760</v>
      </c>
      <c r="B255" s="148"/>
      <c r="C255" s="148"/>
      <c r="D255" s="148" t="s">
        <v>178</v>
      </c>
      <c r="E255">
        <v>3200</v>
      </c>
      <c r="F255" t="b">
        <v>0</v>
      </c>
    </row>
    <row r="256" spans="1:6" ht="14.4">
      <c r="A256" s="148" t="s">
        <v>761</v>
      </c>
      <c r="B256" s="148" t="s">
        <v>163</v>
      </c>
      <c r="C256" s="148"/>
      <c r="D256" s="148" t="s">
        <v>178</v>
      </c>
      <c r="E256">
        <v>3200</v>
      </c>
      <c r="F256" t="b">
        <v>0</v>
      </c>
    </row>
    <row r="257" spans="1:6" ht="14.4">
      <c r="A257" s="148" t="s">
        <v>762</v>
      </c>
      <c r="B257" s="148"/>
      <c r="C257" s="148"/>
      <c r="D257" s="148" t="s">
        <v>178</v>
      </c>
      <c r="E257">
        <v>3200</v>
      </c>
      <c r="F257" t="b">
        <v>0</v>
      </c>
    </row>
    <row r="258" spans="1:6" ht="14.4">
      <c r="A258" s="148" t="s">
        <v>763</v>
      </c>
      <c r="B258" s="148"/>
      <c r="C258" s="148"/>
      <c r="D258" s="148" t="s">
        <v>178</v>
      </c>
      <c r="E258">
        <v>3200</v>
      </c>
      <c r="F258" t="b">
        <v>0</v>
      </c>
    </row>
    <row r="259" spans="1:6" ht="14.4">
      <c r="A259" s="148" t="s">
        <v>764</v>
      </c>
      <c r="B259" s="148"/>
      <c r="C259" s="148"/>
      <c r="D259" s="148" t="s">
        <v>178</v>
      </c>
      <c r="E259">
        <v>3200</v>
      </c>
      <c r="F259" t="b">
        <v>0</v>
      </c>
    </row>
    <row r="260" spans="1:6" ht="14.4">
      <c r="A260" s="148" t="s">
        <v>765</v>
      </c>
      <c r="B260" s="148"/>
      <c r="C260" s="148"/>
      <c r="D260" s="148" t="s">
        <v>178</v>
      </c>
      <c r="E260">
        <v>3200</v>
      </c>
      <c r="F260" t="b">
        <v>0</v>
      </c>
    </row>
    <row r="261" spans="1:6" ht="14.4">
      <c r="A261" s="148" t="s">
        <v>766</v>
      </c>
      <c r="B261" s="148"/>
      <c r="C261" s="148"/>
      <c r="D261" s="148" t="s">
        <v>178</v>
      </c>
      <c r="E261">
        <v>3200</v>
      </c>
      <c r="F261" t="b">
        <v>0</v>
      </c>
    </row>
    <row r="262" spans="1:6" ht="14.4">
      <c r="A262" s="148" t="s">
        <v>767</v>
      </c>
      <c r="B262" s="148"/>
      <c r="C262" s="148"/>
      <c r="D262" s="148" t="s">
        <v>178</v>
      </c>
      <c r="E262">
        <v>3200</v>
      </c>
      <c r="F262" t="b">
        <v>0</v>
      </c>
    </row>
    <row r="263" spans="1:6" ht="14.4">
      <c r="A263" s="148" t="s">
        <v>768</v>
      </c>
      <c r="B263" s="148"/>
      <c r="C263" s="148"/>
      <c r="D263" s="148" t="s">
        <v>178</v>
      </c>
      <c r="E263">
        <v>3200</v>
      </c>
      <c r="F263" t="b">
        <v>0</v>
      </c>
    </row>
    <row r="264" spans="1:6" ht="14.4">
      <c r="A264" s="148" t="s">
        <v>702</v>
      </c>
      <c r="B264" s="148"/>
      <c r="C264" s="148"/>
      <c r="D264" s="148" t="s">
        <v>683</v>
      </c>
      <c r="E264">
        <v>3200</v>
      </c>
      <c r="F264" t="b">
        <v>0</v>
      </c>
    </row>
    <row r="265" spans="1:6" ht="14.4">
      <c r="A265" s="148" t="s">
        <v>703</v>
      </c>
      <c r="B265" s="148"/>
      <c r="C265" s="148"/>
      <c r="D265" s="148" t="s">
        <v>203</v>
      </c>
      <c r="E265">
        <v>3200</v>
      </c>
      <c r="F265" t="b">
        <v>0</v>
      </c>
    </row>
    <row r="266" spans="1:6" ht="14.4">
      <c r="A266" s="148" t="s">
        <v>704</v>
      </c>
      <c r="B266" s="148" t="s">
        <v>774</v>
      </c>
      <c r="C266" s="148"/>
      <c r="D266" s="148" t="s">
        <v>203</v>
      </c>
      <c r="E266">
        <v>3200</v>
      </c>
      <c r="F266" t="b">
        <v>0</v>
      </c>
    </row>
    <row r="267" spans="1:6" ht="14.4">
      <c r="A267" s="148" t="s">
        <v>705</v>
      </c>
      <c r="B267" s="148"/>
      <c r="C267" s="148"/>
      <c r="D267" s="148" t="s">
        <v>203</v>
      </c>
      <c r="E267">
        <v>3200</v>
      </c>
      <c r="F267" t="b">
        <v>0</v>
      </c>
    </row>
    <row r="268" spans="1:6" ht="14.4">
      <c r="A268" s="148" t="s">
        <v>706</v>
      </c>
      <c r="B268" s="148"/>
      <c r="C268" s="148"/>
      <c r="D268" s="148" t="s">
        <v>683</v>
      </c>
      <c r="E268">
        <v>3200</v>
      </c>
      <c r="F268" t="b">
        <v>0</v>
      </c>
    </row>
    <row r="269" spans="1:6" ht="14.4">
      <c r="A269" s="148" t="s">
        <v>707</v>
      </c>
      <c r="B269" s="148"/>
      <c r="C269" s="148"/>
      <c r="D269" s="148" t="s">
        <v>683</v>
      </c>
      <c r="E269">
        <v>3200</v>
      </c>
      <c r="F269" t="b">
        <v>0</v>
      </c>
    </row>
    <row r="270" spans="1:6" ht="14.4">
      <c r="A270" s="148" t="s">
        <v>708</v>
      </c>
      <c r="B270" s="148" t="s">
        <v>151</v>
      </c>
      <c r="C270" s="148"/>
      <c r="D270" s="148" t="s">
        <v>683</v>
      </c>
      <c r="E270" t="s">
        <v>741</v>
      </c>
      <c r="F270" t="b">
        <v>1</v>
      </c>
    </row>
    <row r="271" spans="1:6" ht="14.4">
      <c r="A271" s="148" t="s">
        <v>709</v>
      </c>
      <c r="B271" s="148" t="s">
        <v>151</v>
      </c>
      <c r="C271" s="148"/>
      <c r="D271" s="148" t="s">
        <v>683</v>
      </c>
      <c r="E271" t="s">
        <v>741</v>
      </c>
      <c r="F271" t="b">
        <v>0</v>
      </c>
    </row>
    <row r="272" spans="1:6" ht="14.4">
      <c r="A272" s="148" t="s">
        <v>710</v>
      </c>
      <c r="B272" s="148" t="s">
        <v>150</v>
      </c>
      <c r="C272" s="148"/>
      <c r="D272" s="148" t="s">
        <v>683</v>
      </c>
      <c r="E272" t="s">
        <v>741</v>
      </c>
      <c r="F272" t="b">
        <v>1</v>
      </c>
    </row>
    <row r="273" spans="1:6" ht="14.4">
      <c r="A273" s="148" t="s">
        <v>711</v>
      </c>
      <c r="B273" s="148"/>
      <c r="C273" s="148"/>
      <c r="D273" s="148" t="s">
        <v>683</v>
      </c>
      <c r="E273">
        <v>3200</v>
      </c>
      <c r="F273" t="b">
        <v>0</v>
      </c>
    </row>
    <row r="274" spans="1:6" ht="14.4">
      <c r="A274" s="148" t="s">
        <v>712</v>
      </c>
      <c r="B274" s="148"/>
      <c r="C274" s="148"/>
      <c r="D274" s="148" t="s">
        <v>683</v>
      </c>
      <c r="E274">
        <v>3200</v>
      </c>
      <c r="F274" t="b">
        <v>0</v>
      </c>
    </row>
    <row r="275" spans="1:6" ht="14.4">
      <c r="A275" s="148" t="s">
        <v>713</v>
      </c>
      <c r="B275" s="148"/>
      <c r="C275" s="148"/>
      <c r="D275" s="148" t="s">
        <v>203</v>
      </c>
      <c r="E275">
        <v>3200</v>
      </c>
      <c r="F275" t="b">
        <v>0</v>
      </c>
    </row>
    <row r="276" spans="1:6" ht="14.4">
      <c r="A276" s="148" t="s">
        <v>714</v>
      </c>
      <c r="B276" s="148"/>
      <c r="C276" s="148"/>
      <c r="D276" s="148" t="s">
        <v>203</v>
      </c>
      <c r="E276">
        <v>3200</v>
      </c>
      <c r="F276" t="b">
        <v>0</v>
      </c>
    </row>
    <row r="277" spans="1:6" ht="14.4">
      <c r="A277" s="148" t="s">
        <v>715</v>
      </c>
      <c r="B277" s="148"/>
      <c r="C277" s="148"/>
      <c r="D277" s="148" t="s">
        <v>683</v>
      </c>
      <c r="E277">
        <v>3200</v>
      </c>
      <c r="F277" t="b">
        <v>0</v>
      </c>
    </row>
    <row r="278" spans="1:6" ht="14.4">
      <c r="A278" s="148" t="s">
        <v>716</v>
      </c>
      <c r="B278" s="148"/>
      <c r="C278" s="148"/>
      <c r="D278" s="148" t="s">
        <v>683</v>
      </c>
      <c r="E278">
        <v>3200</v>
      </c>
      <c r="F278" t="b">
        <v>0</v>
      </c>
    </row>
    <row r="279" spans="1:6" ht="14.4">
      <c r="A279" s="148" t="s">
        <v>717</v>
      </c>
      <c r="B279" s="148" t="s">
        <v>151</v>
      </c>
      <c r="C279" s="148"/>
      <c r="D279" s="148" t="s">
        <v>683</v>
      </c>
      <c r="E279">
        <v>3200</v>
      </c>
      <c r="F279" t="b">
        <v>0</v>
      </c>
    </row>
    <row r="280" spans="1:6" ht="13.2">
      <c r="A280" t="s">
        <v>718</v>
      </c>
      <c r="B280" t="s">
        <v>151</v>
      </c>
      <c r="D280" t="s">
        <v>683</v>
      </c>
      <c r="E280">
        <v>3200</v>
      </c>
      <c r="F280" t="b">
        <v>0</v>
      </c>
    </row>
    <row r="281" spans="1:6" ht="13.2">
      <c r="A281" t="s">
        <v>719</v>
      </c>
      <c r="B281" t="s">
        <v>150</v>
      </c>
      <c r="D281" t="s">
        <v>683</v>
      </c>
      <c r="E281">
        <v>3200</v>
      </c>
      <c r="F281" t="b">
        <v>0</v>
      </c>
    </row>
    <row r="282" spans="1:6" ht="13.2">
      <c r="A282" t="s">
        <v>720</v>
      </c>
      <c r="D282" t="s">
        <v>683</v>
      </c>
      <c r="E282">
        <v>3200</v>
      </c>
      <c r="F282" t="b">
        <v>0</v>
      </c>
    </row>
  </sheetData>
  <pageMargins left="1.26692913385857" right="1.26692913385857" top="0.75" bottom="0.75" header="0.3" footer="0.3"/>
  <pageSetup horizontalDpi="300" verticalDpi="300" orientation="portrait" scale="6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Template/>
  <Manager/>
  <Company>DPS Computer Services Pty Ltd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Job Sheet</dc:title>
  <dc:subject>Busineass Partner</dc:subject>
  <dc:creator>BUZ Software</dc:creator>
  <cp:keywords/>
  <dc:description>Perpared by DPS Computer Services T/As Software Partners as part of the Business Partner software suite</dc:description>
  <cp:lastModifiedBy>Brandyn - Davidsons Blinds &amp; Shutters</cp:lastModifiedBy>
  <cp:lastPrinted>2026-09-17T00:00:54Z</cp:lastPrinted>
  <dcterms:created xsi:type="dcterms:W3CDTF">2004-01-09T05:29:38Z</dcterms:created>
  <dcterms:modified xsi:type="dcterms:W3CDTF">2026-09-17T00:04:18Z</dcterms:modified>
  <cp:category/>
  <cp:contentType/>
  <cp:contentStatus/>
</cp:coreProperties>
</file>
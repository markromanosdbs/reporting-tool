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bookViews>
    <workbookView xWindow="16635" yWindow="49216" windowWidth="29040" windowHeight="15720" tabRatio="772" firstSheet="7" activeTab="0"/>
  </bookViews>
  <sheets>
    <sheet name="Data" sheetId="8" r:id="rId1"/>
    <sheet name="Job Sheet" sheetId="1" r:id="rId2"/>
    <sheet name="Installation" sheetId="24" r:id="rId3"/>
    <sheet name="Tube Cutting" sheetId="14" r:id="rId4"/>
    <sheet name="Assembly(a)" sheetId="15" r:id="rId5"/>
    <sheet name="Assembly(b)" sheetId="17" r:id="rId6"/>
    <sheet name="Packing" sheetId="19" r:id="rId7"/>
    <sheet name="Electrical Form" sheetId="22" r:id="rId8"/>
    <sheet name="Order Form" sheetId="21" r:id="rId9"/>
    <sheet name="Components" sheetId="23" r:id="rId10"/>
    <sheet name="Labels" sheetId="9" r:id="rId11"/>
    <sheet name="Deductions" sheetId="10" r:id="rId12"/>
    <sheet name="Motor Look Ups" sheetId="11" r:id="rId13"/>
  </sheets>
  <externalReferences>
    <externalReference r:id="rId18"/>
  </externalReferences>
  <definedNames>
    <definedName name="_xleta.N" hidden="1">#NAME?</definedName>
    <definedName name="_xleta.OR" hidden="1">#NAME?</definedName>
    <definedName name="_xleta.SHEET" hidden="1">#NAME?</definedName>
    <definedName name="_xleta.SINGLE" hidden="1">#NAME?</definedName>
    <definedName name="_xleta.SUM" hidden="1">#NAME?</definedName>
    <definedName name="_xleta.SWITCH" hidden="1">#NAME?</definedName>
    <definedName name="_xleta.T" hidden="1">#NAME?</definedName>
    <definedName name="_xlpm.d" hidden="1">#NAME?</definedName>
    <definedName name="_xlpm.DR" hidden="1">#NAME?</definedName>
    <definedName name="_xlpm.G" hidden="1">#NAME?</definedName>
    <definedName name="_xlpm.gate" hidden="1">#NAME?</definedName>
    <definedName name="_xlpm.t" hidden="1">#NAME?</definedName>
    <definedName name="_xlpm.w" hidden="1">#NAME?</definedName>
    <definedName name="_xlpm.WR" hidden="1">#NAME?</definedName>
    <definedName name="_xlpm.wt" hidden="1">#NAME?</definedName>
    <definedName name="CompanyPkId">Data!$BB$2</definedName>
    <definedName name="ControlDeduct" localSheetId="4">Deductions!$I$1:$K$38</definedName>
    <definedName name="ControlDeduct">Deductions!$I$1:$K$38</definedName>
    <definedName name="CustName" localSheetId="4">'Assembly(a)'!$G$2</definedName>
    <definedName name="CustName" localSheetId="5">'Assembly(b)'!$E$2</definedName>
    <definedName name="CustName" localSheetId="8">'Order Form'!$K$3</definedName>
    <definedName name="CustName" localSheetId="6">Packing!$G$2</definedName>
    <definedName name="CustName">'Job Sheet'!$L$2</definedName>
    <definedName name="CustOrdOpt" localSheetId="4">Data!$CE$10:$CK$43</definedName>
    <definedName name="CustOrdOpt">Data!$CE$10:$CK$312</definedName>
    <definedName name="DataSettings">Data!$A$5:$F$22</definedName>
    <definedName name="DriveSets">Deductions!$AE$1:$AF$31</definedName>
    <definedName name="DropAdd">Deductions!$G$2:$H$6</definedName>
    <definedName name="FBAY">Deductions!$BA$3:$BB$4</definedName>
    <definedName name="FBRACKET">Deductions!$BM$3:$BN$9</definedName>
    <definedName name="FCONTROL">Deductions!$AW$3:$AX$22</definedName>
    <definedName name="FDBRACKET">'[1]Deductions'!$BK$3:$BL$82</definedName>
    <definedName name="FDeduct">'[1]Deductions'!$BO$3:$BP$54</definedName>
    <definedName name="FFITTING">Deductions!$AU$3:$AV$7</definedName>
    <definedName name="FGRADING">Deductions!$AO$3:$AP$14</definedName>
    <definedName name="FHEIGHT">Deductions!$AM$3:$AN$13</definedName>
    <definedName name="FitDeduct" localSheetId="4">Deductions!$A$1:$B$5</definedName>
    <definedName name="FitDeduct">Deductions!$A$1:$B$5</definedName>
    <definedName name="FMASTIC">Deductions!$AY$3:$AZ$4</definedName>
    <definedName name="FMOTA">Deductions!$BK$3:$BL$15</definedName>
    <definedName name="FPACKB">Deductions!$BE$3:$BF$17</definedName>
    <definedName name="FPACKL">Deductions!$BG$3:$BH$21</definedName>
    <definedName name="FPACKR">Deductions!$BI$3:$BJ$22</definedName>
    <definedName name="FPACKT">Deductions!$BC$3:$BD$17</definedName>
    <definedName name="FPELMET">'[1]Deductions'!$BM$3:$BN$24</definedName>
    <definedName name="FSURFACE">Deductions!$AS$3:$AT$13</definedName>
    <definedName name="FTAKEDOWN">Deductions!$AQ$3:$AR$6</definedName>
    <definedName name="HeadboxSelection">Deductions!$N$1:$P$6</definedName>
    <definedName name="HeadboxSize">Deductions!$L$1:$M$7</definedName>
    <definedName name="InventoryGroup">Data!$BA$1</definedName>
    <definedName name="JobPickLastRow">Data!$BA$2</definedName>
    <definedName name="Manufacturer">Deductions!$AJ$2:$AK$70</definedName>
    <definedName name="MF12vD">'Motor Look Ups'!$A$348:$A$371</definedName>
    <definedName name="MF12vG">'Motor Look Ups'!$B$348:$AH$371</definedName>
    <definedName name="MF12vW">'Motor Look Ups'!$B$347:$AH$347</definedName>
    <definedName name="MFA240vD">'Motor Look Ups'!$A$404:$A$427</definedName>
    <definedName name="MFA240vG">'Motor Look Ups'!$B$404:$AF$427</definedName>
    <definedName name="MFA240vW">'Motor Look Ups'!$B$403:$AF$403</definedName>
    <definedName name="MFCWPMOD">'Motor Look Ups'!$A$320:$A$343</definedName>
    <definedName name="MFCWPMOG">'Motor Look Ups'!$B$320:$D$343</definedName>
    <definedName name="MFCWPMOW">'Motor Look Ups'!$B$319:$D$319</definedName>
    <definedName name="MFCWR240vD">'Motor Look Ups'!$A$199:$A$222</definedName>
    <definedName name="MFCWR240vG">'Motor Look Ups'!$B$199:$D$222</definedName>
    <definedName name="MFCWR240vW">'Motor Look Ups'!$B$198:$E$198</definedName>
    <definedName name="MFCWS240D">'Motor Look Ups'!$A$227:$A$253</definedName>
    <definedName name="MFCWS240vG">'Motor Look Ups'!$B$227:$D$253</definedName>
    <definedName name="MFCWS240vW">'Motor Look Ups'!$B$226:$D$226</definedName>
    <definedName name="MFSCWS240D">'Job Sheet'!$W$11</definedName>
    <definedName name="MFSR240vD">'Motor Look Ups'!$A$258:$A$281</definedName>
    <definedName name="MFSR240vG">'Motor Look Ups'!$B$258:$D$281</definedName>
    <definedName name="MFSR240vW">'Motor Look Ups'!$B$257:$D$257</definedName>
    <definedName name="MFSS240vD">'Motor Look Ups'!$A$289:$A$312</definedName>
    <definedName name="MFSS240vG">'Motor Look Ups'!$B$289:$D$312</definedName>
    <definedName name="MFSS240vW">'Motor Look Ups'!$B$288:$D$288</definedName>
    <definedName name="MotorGrid">Deductions!$Y$2:$Z$214</definedName>
    <definedName name="MS12vD">'Motor Look Ups'!$A$3:$A$26</definedName>
    <definedName name="MS12vG">'Motor Look Ups'!$B$3:$Y$26</definedName>
    <definedName name="MS12vW">'Motor Look Ups'!$B$2:$Y$2</definedName>
    <definedName name="MSA240vD">'Motor Look Ups'!$A$376:$A$399</definedName>
    <definedName name="MSA240vG">'Motor Look Ups'!$B$376:$P$399</definedName>
    <definedName name="MSA240vW">'Motor Look Ups'!$B$375:$P$375</definedName>
    <definedName name="MSCWP240vMOD">'Motor Look Ups'!$A$171:$A$194</definedName>
    <definedName name="MSCWP240vMOG">'Motor Look Ups'!$B$171:$U$194</definedName>
    <definedName name="MSCWP240vMOW">'Motor Look Ups'!$B$170:$U$170</definedName>
    <definedName name="MSCWPMOD">'Motor Look Ups'!$A$143:$A$166</definedName>
    <definedName name="MSCWPMOG">'Motor Look Ups'!$B$143:$F$166</definedName>
    <definedName name="MSCWPMOW">'Motor Look Ups'!$B$142:$F$142</definedName>
    <definedName name="MSCWR240vD">'Motor Look Ups'!$A$31:$A$54</definedName>
    <definedName name="MSCWR240vG">'Motor Look Ups'!$B$31:$V$54</definedName>
    <definedName name="MSCWR240vW">'Motor Look Ups'!$B$30:$V$30</definedName>
    <definedName name="MSCWS240vD">'Motor Look Ups'!$A$59:$A$82</definedName>
    <definedName name="MSCWS240vG">'Motor Look Ups'!$B$59:$U$82</definedName>
    <definedName name="MSCWS240vW">'Motor Look Ups'!$B$58:$U$58</definedName>
    <definedName name="MSSR240vD">'Motor Look Ups'!$A$87:$A$110</definedName>
    <definedName name="MSSR240vG">'Motor Look Ups'!$B$87:$V$110</definedName>
    <definedName name="MSSR240vW">'Motor Look Ups'!$B$86:$V$86</definedName>
    <definedName name="MSSS240vD">'Motor Look Ups'!$A$115:$A$138</definedName>
    <definedName name="MSSS240vG">'Motor Look Ups'!$B$115:$F$138</definedName>
    <definedName name="MSSS240vW">'Motor Look Ups'!$B$114:$F$114</definedName>
    <definedName name="_xlnm.Print_Area" localSheetId="4">'Assembly(a)'!$A$1:$J$20</definedName>
    <definedName name="_xlnm.Print_Area" localSheetId="5">'Assembly(b)'!$A$1:$J$20</definedName>
    <definedName name="_xlnm.Print_Area" localSheetId="7">'Electrical Form'!$A$1:$M$21</definedName>
    <definedName name="_xlnm.Print_Area" localSheetId="2">Installation!$A$1:$AI$20</definedName>
    <definedName name="_xlnm.Print_Area" localSheetId="1">'Job Sheet'!$A$1:$AR$20</definedName>
    <definedName name="_xlnm.Print_Area" localSheetId="8">'Order Form'!$A$1:$AH$18</definedName>
    <definedName name="_xlnm.Print_Area" localSheetId="6">Packing!$A$1:$X$20</definedName>
    <definedName name="_xlnm.Print_Titles" localSheetId="4">'Assembly(a)'!$1:$10</definedName>
    <definedName name="_xlnm.Print_Titles" localSheetId="5">'Assembly(b)'!$1:$10</definedName>
    <definedName name="_xlnm.Print_Titles" localSheetId="1">'Job Sheet'!$1:$10</definedName>
    <definedName name="_xlnm.Print_Titles" localSheetId="8">'Order Form'!$3:$8</definedName>
    <definedName name="_xlnm.Print_Titles" localSheetId="6">Packing!$1:$10</definedName>
    <definedName name="RightColumn">Data!$BA$3</definedName>
    <definedName name="SecurityClips">Deductions!$AB$2:$AC$10</definedName>
    <definedName name="SideDeduct" localSheetId="4">Deductions!$Q$1:$R$26</definedName>
    <definedName name="SideDeduct">Deductions!$Q$1:$R$26</definedName>
    <definedName name="StripeConfig">Deductions!$S$2:$T$29</definedName>
    <definedName name="UserPkId">Data!$AV$3</definedName>
    <definedName name="WidthAdd">Deductions!$E$2:$F$15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<sst xmlns="http://schemas.openxmlformats.org/spreadsheetml/2006/main" count="6596" uniqueCount="1709">
  <si>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</si>
  <si>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</si>
  <si>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</si>
  <si>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</si>
  <si>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</si>
  <si>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</si>
  <si>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</si>
  <si>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</si>
  <si>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</si>
  <si>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</si>
  <si>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</si>
  <si>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</si>
  <si>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</si>
  <si>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</si>
  <si>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</si>
  <si>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</si>
  <si>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</si>
  <si>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</si>
  <si>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</si>
  <si>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</si>
  <si>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</si>
  <si>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</si>
  <si>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</si>
  <si>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RLSH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</si>
  <si>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</si>
  <si>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</si>
  <si>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</si>
  <si>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</si>
  <si>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</si>
  <si>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</si>
  <si>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</si>
  <si>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</si>
  <si>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</si>
  <si>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</si>
  <si>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</si>
  <si>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</si>
  <si>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</si>
  <si>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</si>
  <si>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</si>
  <si>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</si>
  <si>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</si>
  <si>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</si>
  <si>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</si>
  <si>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</si>
  <si>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</si>
  <si>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</si>
  <si>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</si>
  <si>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</si>
  <si>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</si>
  <si>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</si>
  <si>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</si>
  <si>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</si>
  <si>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</si>
  <si>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</si>
  <si>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</si>
  <si>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</si>
  <si>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</si>
  <si>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</si>
  <si>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</si>
  <si>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</si>
  <si>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</si>
  <si>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</si>
  <si>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</si>
  <si>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</si>
  <si>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</si>
  <si>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</si>
  <si>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</si>
  <si>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</si>
  <si>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</si>
  <si>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</si>
  <si>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</si>
  <si>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</si>
  <si>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</si>
  <si>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</si>
  <si>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</si>
  <si>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</si>
  <si>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</si>
  <si>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</si>
  <si>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</si>
  <si>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</si>
  <si>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</si>
  <si>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</si>
  <si>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</si>
  <si>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</si>
  <si>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</si>
  <si>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</si>
  <si>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</si>
  <si>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</si>
  <si>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</si>
  <si>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</si>
  <si>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</si>
  <si>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</si>
  <si>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</si>
  <si>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</si>
  <si>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</si>
  <si>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</si>
  <si>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</si>
  <si>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</si>
  <si>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</si>
  <si>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</si>
  <si>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</si>
  <si>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</si>
  <si>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</si>
  <si>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</si>
  <si>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</si>
  <si>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</si>
  <si>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</si>
  <si>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</si>
  <si>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</si>
  <si>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</si>
  <si>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</si>
  <si>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</si>
  <si>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</si>
  <si>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</si>
  <si>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</si>
  <si>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</si>
  <si>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</si>
  <si>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</si>
  <si>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</si>
  <si>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</si>
  <si>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</si>
  <si>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</si>
  <si>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</si>
  <si>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</si>
  <si>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</si>
  <si>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</si>
  <si>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</si>
  <si>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</si>
  <si>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</si>
  <si>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</si>
  <si>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</si>
  <si>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</si>
  <si>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</si>
  <si>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</si>
  <si>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</si>
  <si>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</si>
  <si>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Side by Side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</si>
  <si>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</si>
  <si>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</si>
  <si>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</si>
  <si>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</si>
  <si>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</si>
  <si>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</si>
  <si>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</si>
  <si>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</si>
  <si>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Sizes</t>
  </si>
  <si>
    <t>Deduction</t>
  </si>
  <si>
    <t>Controls</t>
  </si>
  <si>
    <t>Face</t>
  </si>
  <si>
    <t>No</t>
  </si>
  <si>
    <t>Reveal</t>
  </si>
  <si>
    <t>Tube Cutting</t>
  </si>
  <si>
    <t>Butt</t>
  </si>
  <si>
    <t>Side by Side(Face)</t>
  </si>
  <si>
    <t>Side by Side(Reveal)</t>
  </si>
  <si>
    <t>Face Fit (Recess Deduction)</t>
  </si>
  <si>
    <t>Recess Fit (5mm Deduction)</t>
  </si>
  <si>
    <t>Recess Fit (7mm Deduction)</t>
  </si>
  <si>
    <t>Recess Fit (10mm Deduction)</t>
  </si>
  <si>
    <t>Recess Fit (15mm Deduction)</t>
  </si>
  <si>
    <t>Recess Fit (20mm Deduction)</t>
  </si>
  <si>
    <t>Installation Deliver or Supply Only</t>
  </si>
  <si>
    <t>Is Rework / Remake</t>
  </si>
  <si>
    <t>Recess Fit (No Deduction)</t>
  </si>
  <si>
    <t>Face Fit (Recess Side by Side Deduction)</t>
  </si>
  <si>
    <t>Entered Width</t>
  </si>
  <si>
    <t>Additional Deductions</t>
  </si>
  <si>
    <t>Face Fit (Recess 5mm Deduction)</t>
  </si>
  <si>
    <t>Phone Number</t>
  </si>
  <si>
    <t>Deductions</t>
  </si>
  <si>
    <t>A</t>
  </si>
  <si>
    <t>Control Option</t>
  </si>
  <si>
    <t>Motor Tails</t>
  </si>
  <si>
    <t>12v ODS System</t>
  </si>
  <si>
    <t>205mm</t>
  </si>
  <si>
    <t>Controller</t>
  </si>
  <si>
    <t>Slat Stripe Colour</t>
  </si>
  <si>
    <t>Slat Type &amp; Colour</t>
  </si>
  <si>
    <t>Headbox Colour</t>
  </si>
  <si>
    <t>Side Guide Colour</t>
  </si>
  <si>
    <t>ROLLER SHUTTER Job Sheet</t>
  </si>
  <si>
    <t>Slat Stripe Configuration</t>
  </si>
  <si>
    <t>Headbox Size</t>
  </si>
  <si>
    <t>Locking Bottom Bar</t>
  </si>
  <si>
    <t>Axle Width</t>
  </si>
  <si>
    <t>Side Guide Length</t>
  </si>
  <si>
    <t>Motorised</t>
  </si>
  <si>
    <t>Strap Winch</t>
  </si>
  <si>
    <t>Salento Cable Winch</t>
  </si>
  <si>
    <t>150mm</t>
  </si>
  <si>
    <t>165mm</t>
  </si>
  <si>
    <t>180mm</t>
  </si>
  <si>
    <t>2 Main/2 Stripe/2 Main/2 Stripe/Rest in Main Colour</t>
  </si>
  <si>
    <t>Stripe Configuration</t>
  </si>
  <si>
    <t>No Stripe</t>
  </si>
  <si>
    <t>2 Main/2 Stripe/2 Main/1 Stripe/Rest in Main Colour</t>
  </si>
  <si>
    <t>2 Main/2 Stripe/1 Main/1 Stripe/Rest in Main Colour</t>
  </si>
  <si>
    <t>2 Main/2 Stripe/Rest in Main Colour</t>
  </si>
  <si>
    <t>Number of Main Slats</t>
  </si>
  <si>
    <t>Number of Stripe Slats</t>
  </si>
  <si>
    <t>Axle Length</t>
  </si>
  <si>
    <t>Slat Stripe Configuration From Bottom Up</t>
  </si>
  <si>
    <t xml:space="preserve">ROLLER SHUTTER Tube Cutting </t>
  </si>
  <si>
    <t>ROLLER SHUTTER Packing</t>
  </si>
  <si>
    <t>Hole Plugs</t>
  </si>
  <si>
    <t>Axle Idle</t>
  </si>
  <si>
    <t>Guide Entry Flares</t>
  </si>
  <si>
    <t>Width</t>
  </si>
  <si>
    <t>Security Clips</t>
  </si>
  <si>
    <t>No. of Clips</t>
  </si>
  <si>
    <t>Crown &amp; Drive Sets</t>
  </si>
  <si>
    <t>Motor</t>
  </si>
  <si>
    <t>Drive</t>
  </si>
  <si>
    <t>Included with Motor</t>
  </si>
  <si>
    <t>Packing</t>
  </si>
  <si>
    <t>230mm</t>
  </si>
  <si>
    <t>Slat Length</t>
  </si>
  <si>
    <t>B/Rail Length</t>
  </si>
  <si>
    <t>B/Rail Colour</t>
  </si>
  <si>
    <t>Motor Extras</t>
  </si>
  <si>
    <t>Headbox Back Width</t>
  </si>
  <si>
    <t>Headbox Cover Width</t>
  </si>
  <si>
    <t>Side Guide</t>
  </si>
  <si>
    <t>4 Main/2 Stripe/4 Main/2 Stripe/Rest in Main colour</t>
  </si>
  <si>
    <t>Headbox Cutting Width</t>
  </si>
  <si>
    <t>Shutter Width</t>
  </si>
  <si>
    <t>Shutter Drop</t>
  </si>
  <si>
    <t>(++)</t>
  </si>
  <si>
    <t>Width Additions</t>
  </si>
  <si>
    <t>Entered Drop</t>
  </si>
  <si>
    <t>Drop Additions</t>
  </si>
  <si>
    <t>Additions</t>
  </si>
  <si>
    <t>(--)</t>
  </si>
  <si>
    <t>(+-)</t>
  </si>
  <si>
    <t>(-+)</t>
  </si>
  <si>
    <t>No. Perf Slats</t>
  </si>
  <si>
    <t>No. Unperf Slats</t>
  </si>
  <si>
    <t>No. Stripe Slats</t>
  </si>
  <si>
    <t>Total Slats</t>
  </si>
  <si>
    <t>Thru-Overlap</t>
  </si>
  <si>
    <t>Brackets</t>
  </si>
  <si>
    <t>14 Main/2 Stripe/3 Main/2 Stripe/Rest in Main colour</t>
  </si>
  <si>
    <t>Qty of Stripes</t>
  </si>
  <si>
    <t>ROLLER SHUTTER Order Form</t>
  </si>
  <si>
    <t>Order Form</t>
  </si>
  <si>
    <t>Slat &amp; B/Rail Width</t>
  </si>
  <si>
    <t>Guide Stops</t>
  </si>
  <si>
    <t>Electrical Form</t>
  </si>
  <si>
    <t>Electrician Required</t>
  </si>
  <si>
    <t>House Construction</t>
  </si>
  <si>
    <t>Roof Style</t>
  </si>
  <si>
    <t>Switchboard Upgrade</t>
  </si>
  <si>
    <t>Number of Storeys</t>
  </si>
  <si>
    <t>M</t>
  </si>
  <si>
    <t>3 Main/2 Stripe/2 Main/1 Stripe/2 Main/2 Stripe/Rest in Main Colour</t>
  </si>
  <si>
    <t>Angles and Packers for Top</t>
  </si>
  <si>
    <t>Angles and Packers for Bottom</t>
  </si>
  <si>
    <t>Angles and Packers for Left</t>
  </si>
  <si>
    <t>Angles and Packers for Right</t>
  </si>
  <si>
    <t>Look Up</t>
  </si>
  <si>
    <t>No. of Stripe Slats</t>
  </si>
  <si>
    <t>2 Main/3 Stripe/Rest in Main Colour</t>
  </si>
  <si>
    <t/>
  </si>
  <si>
    <t>L10 ODS Motor</t>
  </si>
  <si>
    <t>T20 ODS Motor</t>
  </si>
  <si>
    <t>T35 ODS Motor</t>
  </si>
  <si>
    <t>12v Motors Standard Slat</t>
  </si>
  <si>
    <t>12v Motors FireSafe Slat</t>
  </si>
  <si>
    <t>Motor Type</t>
  </si>
  <si>
    <t>Motor Selection</t>
  </si>
  <si>
    <t>Wall Plate</t>
  </si>
  <si>
    <t>Customer.Warning</t>
  </si>
  <si>
    <t>Customer.WarningColour</t>
  </si>
  <si>
    <t>3 Main/1 Stripe/1 Main/1 Stripe/Rest in Main Colour</t>
  </si>
  <si>
    <t>None</t>
  </si>
  <si>
    <t>Wall Switch</t>
  </si>
  <si>
    <t>CW5 10nm Switch Short Motor</t>
  </si>
  <si>
    <t>Slat</t>
  </si>
  <si>
    <t>Controllers</t>
  </si>
  <si>
    <t>Motor Grid</t>
  </si>
  <si>
    <t>Controller &amp; Charger</t>
  </si>
  <si>
    <t>RF Controller &amp; Charger</t>
  </si>
  <si>
    <t>RF Controller, Charger &amp; Single Channel Remote</t>
  </si>
  <si>
    <t>RF Controller, Charger &amp; 9 Channel Remote</t>
  </si>
  <si>
    <t>Control</t>
  </si>
  <si>
    <t>Somfy Motorised</t>
  </si>
  <si>
    <t>Firesafe 12v ODS System</t>
  </si>
  <si>
    <t>Firesafe Motorised</t>
  </si>
  <si>
    <t>Firesafe Somfy Motorised</t>
  </si>
  <si>
    <t>240v CW Remote Motors Standard Slat</t>
  </si>
  <si>
    <t>240v CW Switch Motors Standard Slat</t>
  </si>
  <si>
    <t>240v Somfy Remote Motors Standard Slat</t>
  </si>
  <si>
    <t>240v Somfy Switch Motors Standard Slat</t>
  </si>
  <si>
    <t>240v CW Remote Motors FireSafe Slat</t>
  </si>
  <si>
    <t>240v CW Switch Motors FireSafe Slat</t>
  </si>
  <si>
    <t>240v Somfy Remote Motors FireSafe Slat</t>
  </si>
  <si>
    <t>240v Somfy Switch Motors FireSafe Slat</t>
  </si>
  <si>
    <t>Check Motor Options</t>
  </si>
  <si>
    <t>Somfy 20nm Remote Motor</t>
  </si>
  <si>
    <t>Motor Grid Selection</t>
  </si>
  <si>
    <t>T6 ODS Motor</t>
  </si>
  <si>
    <t>Home Automation</t>
  </si>
  <si>
    <t>Somfy 20nm Switch Motor</t>
  </si>
  <si>
    <t xml:space="preserve">Supplied with Shutter </t>
  </si>
  <si>
    <t>Firesafe Strap Winch</t>
  </si>
  <si>
    <t>Firesafe Salento Cable Winch</t>
  </si>
  <si>
    <t>Firesafe Spring Loaded</t>
  </si>
  <si>
    <t>Please Supply Shutters Unassembled</t>
  </si>
  <si>
    <t>Blinds Fit on</t>
  </si>
  <si>
    <t>4 Main/3 Stripe/3 Main/2 Stripe/Rest in Main colour</t>
  </si>
  <si>
    <t>42mm Standard Slat</t>
  </si>
  <si>
    <t>36mm Extruded Slat</t>
  </si>
  <si>
    <t>36mm Fire Safe Slat</t>
  </si>
  <si>
    <t xml:space="preserve">CW5R Supplied with Shutter </t>
  </si>
  <si>
    <t>Side Guide Size</t>
  </si>
  <si>
    <t>1 Main/2 Stripe/Rest in Main Colour</t>
  </si>
  <si>
    <t>68mm</t>
  </si>
  <si>
    <t>53mm Standard</t>
  </si>
  <si>
    <t>Spring</t>
  </si>
  <si>
    <t>Guide Bottom Caps</t>
  </si>
  <si>
    <t>240v CWP Manual Override Remote Motors Standard Slat</t>
  </si>
  <si>
    <t>CWP Manual Override 30Nm Motor with Inline Receiver</t>
  </si>
  <si>
    <t>240v CWP Manual Override Motors Standard Slat</t>
  </si>
  <si>
    <t xml:space="preserve">CW5 Supplied with Shutter </t>
  </si>
  <si>
    <t>240v CWP Manual Override Motors FireSafe Slat</t>
  </si>
  <si>
    <t>CWP Manual Override Motor Supplied with Shutter</t>
  </si>
  <si>
    <t>CW5R 10nm Remote Short Motor</t>
  </si>
  <si>
    <t>CW5R 10nm Switch Motor with Inline Connector</t>
  </si>
  <si>
    <t>3 Main/2 Stripe/2 Main/1 Stripe/Rest in Main Colour</t>
  </si>
  <si>
    <t>1 Main/2 Stripe/1 Main/1 Stripe/Rest in Main Colour</t>
  </si>
  <si>
    <t>Firesafe Manual Override Motorised</t>
  </si>
  <si>
    <t>Manual Override Motorised</t>
  </si>
  <si>
    <t>Motor Look Ups</t>
  </si>
  <si>
    <t>3 Main/2 Stripe/Rest in Main Colour</t>
  </si>
  <si>
    <t>3 Main/3 Stripe/2 Main/2 Stripe/2 Main/1 Stripe/Rest in Main Colour</t>
  </si>
  <si>
    <t>3 Main/2 Stripe/2 Main/2 Stripe/Rest in Main Colour</t>
  </si>
  <si>
    <t>CW5 10nm Short Switch Motor with Inline Receiver</t>
  </si>
  <si>
    <t>240v Acmeda Remote Motors Standard Slat</t>
  </si>
  <si>
    <t>Acmeda External 15nm Remote Motor</t>
  </si>
  <si>
    <t>Acmeda External 50nm Remote Motor</t>
  </si>
  <si>
    <t>Dune</t>
  </si>
  <si>
    <t>Manufacturer</t>
  </si>
  <si>
    <t>Anodised Silver</t>
  </si>
  <si>
    <t>Cream</t>
  </si>
  <si>
    <t>TBA</t>
  </si>
  <si>
    <t>Custom Powdercoat</t>
  </si>
  <si>
    <t>Clear Beige</t>
  </si>
  <si>
    <t>White</t>
  </si>
  <si>
    <t>Beige</t>
  </si>
  <si>
    <t>Black</t>
  </si>
  <si>
    <t>Brown</t>
  </si>
  <si>
    <t>Mag Cream</t>
  </si>
  <si>
    <t>GREEN</t>
  </si>
  <si>
    <t>Shale Grey</t>
  </si>
  <si>
    <t>RED</t>
  </si>
  <si>
    <t>Woodland Grey</t>
  </si>
  <si>
    <t>Deep Ocean Blue</t>
  </si>
  <si>
    <t>Monument</t>
  </si>
  <si>
    <t>Jasper</t>
  </si>
  <si>
    <t>Bronze</t>
  </si>
  <si>
    <t>Mushroom</t>
  </si>
  <si>
    <t>Silver</t>
  </si>
  <si>
    <t>Surfmist</t>
  </si>
  <si>
    <t>Grey</t>
  </si>
  <si>
    <t>Colour</t>
  </si>
  <si>
    <t>Davidson's</t>
  </si>
  <si>
    <t>1 Stripe/2 Main/2 Stripe/ Rest in Main Colour</t>
  </si>
  <si>
    <t>Email</t>
  </si>
  <si>
    <t>CWP 5 Channel Wall Mounted Remote</t>
  </si>
  <si>
    <t>CWP 8 Channel Remote with Timer</t>
  </si>
  <si>
    <t>CWP Key Ring Remote</t>
  </si>
  <si>
    <t>Acmeda 5 Channel White Remote</t>
  </si>
  <si>
    <t>No Controller or Charger</t>
  </si>
  <si>
    <t>4 Main/3 Stripe/Rest in Main Colour</t>
  </si>
  <si>
    <t>5 Main/3 Stripe/2 Main/2 Stripe/Rest in Main Colour</t>
  </si>
  <si>
    <t>4 Main/2 Stripe/3 Main/2 Stripe/Rest in Main Colour</t>
  </si>
  <si>
    <t>4 Main/4 Stripe/4 Main/2 Stripe/4 Main/1 Stripe/Rest in Main Colour</t>
  </si>
  <si>
    <t>Not Required</t>
  </si>
  <si>
    <t>Somfy 2 Channel White Remote</t>
  </si>
  <si>
    <t>Somfy Single Channel Silver Remote</t>
  </si>
  <si>
    <t>Somfy Single Channel White Remote</t>
  </si>
  <si>
    <t>Somfy 2 Channel Silver Remote</t>
  </si>
  <si>
    <t>Somfy 5 Channel Silver Remote</t>
  </si>
  <si>
    <t>Somfy 5 Channel White Remote</t>
  </si>
  <si>
    <t>Somfy 15 Channel Silver Remote</t>
  </si>
  <si>
    <t>Somfy 15 Channel White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</si>
  <si>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</si>
  <si>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</si>
  <si>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</si>
  <si>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</si>
  <si>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</si>
  <si>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</si>
  <si>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5 Channel Wall Mounted Smoove Remote White with Black Cover Plate</t>
  </si>
  <si>
    <t>Somfy 5 Channel Wall Mounted Smoove Remote White</t>
  </si>
  <si>
    <t>Somfy 5 Channel Wall Mounted Smoove Remote White with Silver Cover Plate</t>
  </si>
  <si>
    <t>2 Main/1 Stripe/1 Main/1 Stripe/Rest in Main Colour</t>
  </si>
  <si>
    <t>CW Products</t>
  </si>
  <si>
    <t>Weight Bar</t>
  </si>
  <si>
    <t>Slat Type</t>
  </si>
  <si>
    <t>Slat Colour</t>
  </si>
  <si>
    <t>Fixing</t>
  </si>
  <si>
    <t>Motor Accessories</t>
  </si>
  <si>
    <t>Acmeda External Motor</t>
  </si>
  <si>
    <t>Manual Override Operation</t>
  </si>
  <si>
    <t>Crank Handle</t>
  </si>
  <si>
    <t>Acmeda 1 Channel White Remote</t>
  </si>
  <si>
    <t>Acmeda 5 Channel Black Remote</t>
  </si>
  <si>
    <t>Acmeda 1 Channel Black Remote</t>
  </si>
  <si>
    <t>Quote No.</t>
  </si>
  <si>
    <t>Line No</t>
  </si>
  <si>
    <t>Order Item Code</t>
  </si>
  <si>
    <t>Business Name</t>
  </si>
  <si>
    <t>Quote Ref</t>
  </si>
  <si>
    <t>Star Awning Bracket</t>
  </si>
  <si>
    <t>Molex Connection</t>
  </si>
  <si>
    <t>1 Channel Remote - White</t>
  </si>
  <si>
    <t>1 Channel Remote - Black</t>
  </si>
  <si>
    <t>5 Channel Remote - White</t>
  </si>
  <si>
    <t>5 Channel Remote - Black</t>
  </si>
  <si>
    <t>10 Channel Remote - White</t>
  </si>
  <si>
    <t>10 Channel Remote - Black</t>
  </si>
  <si>
    <t>Altus 50 RTS 10/17</t>
  </si>
  <si>
    <t>Altus 50 RTS 15/17</t>
  </si>
  <si>
    <t>Zamack Bracket without thread</t>
  </si>
  <si>
    <t>Connexoon</t>
  </si>
  <si>
    <t>Tahoma Switch</t>
  </si>
  <si>
    <t>Components</t>
  </si>
  <si>
    <t>10-001-105</t>
  </si>
  <si>
    <t>10-014-101</t>
  </si>
  <si>
    <t>10-002-127</t>
  </si>
  <si>
    <t>10-003-148</t>
  </si>
  <si>
    <t>10-004-165</t>
  </si>
  <si>
    <t>10-005-186</t>
  </si>
  <si>
    <t>10-006-209</t>
  </si>
  <si>
    <t>10-007-243</t>
  </si>
  <si>
    <t>10-008-263</t>
  </si>
  <si>
    <t>10-009-283</t>
  </si>
  <si>
    <t>10-010-305</t>
  </si>
  <si>
    <t>10-018-101</t>
  </si>
  <si>
    <t>10-011-325</t>
  </si>
  <si>
    <t>10-013-101</t>
  </si>
  <si>
    <t>10-015-101</t>
  </si>
  <si>
    <t>10-020-101</t>
  </si>
  <si>
    <t>10-022-127</t>
  </si>
  <si>
    <t>10-023-127</t>
  </si>
  <si>
    <t>10-101-473</t>
  </si>
  <si>
    <t>10-114-101</t>
  </si>
  <si>
    <t>10-102-504</t>
  </si>
  <si>
    <t>10-103-519</t>
  </si>
  <si>
    <t>10-104-569</t>
  </si>
  <si>
    <t>10-105-588</t>
  </si>
  <si>
    <t>10-106-609</t>
  </si>
  <si>
    <t>10-107-621</t>
  </si>
  <si>
    <t>10-108-633</t>
  </si>
  <si>
    <t>10-109-636</t>
  </si>
  <si>
    <t>10-110-641</t>
  </si>
  <si>
    <t>10-118-101</t>
  </si>
  <si>
    <t>10-111-644</t>
  </si>
  <si>
    <t>10-113-101</t>
  </si>
  <si>
    <t>10-115-101</t>
  </si>
  <si>
    <t>10-120-101</t>
  </si>
  <si>
    <t>10-122-500</t>
  </si>
  <si>
    <t>10-123-500</t>
  </si>
  <si>
    <t>Security Springs</t>
  </si>
  <si>
    <t>21-119-085</t>
  </si>
  <si>
    <t>21-114-100</t>
  </si>
  <si>
    <t>21-102-185</t>
  </si>
  <si>
    <t>21-103-237</t>
  </si>
  <si>
    <t>21-104-100</t>
  </si>
  <si>
    <t>21-105-407</t>
  </si>
  <si>
    <t>21-110-102</t>
  </si>
  <si>
    <t>21-118-100</t>
  </si>
  <si>
    <t>21-116-615</t>
  </si>
  <si>
    <t>21-115-100</t>
  </si>
  <si>
    <t>21-122-185</t>
  </si>
  <si>
    <t>21-123-185</t>
  </si>
  <si>
    <t>21-999-811</t>
  </si>
  <si>
    <t>Steel Weight Bar</t>
  </si>
  <si>
    <t>10-999-820</t>
  </si>
  <si>
    <t>20-101-152</t>
  </si>
  <si>
    <t>20-114-153</t>
  </si>
  <si>
    <t>20-102-252</t>
  </si>
  <si>
    <t>20-103-352</t>
  </si>
  <si>
    <t>20-104-652</t>
  </si>
  <si>
    <t>20-105-552</t>
  </si>
  <si>
    <t>20-110-652</t>
  </si>
  <si>
    <t>20-118-153</t>
  </si>
  <si>
    <t>20-115-152</t>
  </si>
  <si>
    <t>20-122-152</t>
  </si>
  <si>
    <t>20-101-102</t>
  </si>
  <si>
    <t>20-114-103</t>
  </si>
  <si>
    <t>20-102-202</t>
  </si>
  <si>
    <t>20-103-302</t>
  </si>
  <si>
    <t>20-104-602</t>
  </si>
  <si>
    <t>20-105-502</t>
  </si>
  <si>
    <t>20-110-602</t>
  </si>
  <si>
    <t>20-118-102</t>
  </si>
  <si>
    <t>20-115-102</t>
  </si>
  <si>
    <t>20-122-102</t>
  </si>
  <si>
    <t>20-101-103</t>
  </si>
  <si>
    <t>20-114-104</t>
  </si>
  <si>
    <t>20-102-203</t>
  </si>
  <si>
    <t>20-103-303</t>
  </si>
  <si>
    <t>20-104-603</t>
  </si>
  <si>
    <t>20-105-503</t>
  </si>
  <si>
    <t>20-110-603</t>
  </si>
  <si>
    <t>20-118-103</t>
  </si>
  <si>
    <t>20-115-103</t>
  </si>
  <si>
    <t>20-122-103</t>
  </si>
  <si>
    <t>20-101-153</t>
  </si>
  <si>
    <t>20-114-154</t>
  </si>
  <si>
    <t>20-102-253</t>
  </si>
  <si>
    <t>20-103-353</t>
  </si>
  <si>
    <t>20-104-653</t>
  </si>
  <si>
    <t>20-105-553</t>
  </si>
  <si>
    <t>20-110-653</t>
  </si>
  <si>
    <t>20-118-154</t>
  </si>
  <si>
    <t>20-115-153</t>
  </si>
  <si>
    <t>20-122-153</t>
  </si>
  <si>
    <t>20-101-116</t>
  </si>
  <si>
    <t>20-114-105</t>
  </si>
  <si>
    <t>20-102-216</t>
  </si>
  <si>
    <t>20-103-316</t>
  </si>
  <si>
    <t>20-104-604</t>
  </si>
  <si>
    <t>20-110-604</t>
  </si>
  <si>
    <t>20-118-104</t>
  </si>
  <si>
    <t>20-115-104</t>
  </si>
  <si>
    <t>20-101-166</t>
  </si>
  <si>
    <t>20-114-155</t>
  </si>
  <si>
    <t>20-102-266</t>
  </si>
  <si>
    <t>20-103-366</t>
  </si>
  <si>
    <t>20-104-654</t>
  </si>
  <si>
    <t>20-110-654</t>
  </si>
  <si>
    <t>20-118-155</t>
  </si>
  <si>
    <t>20-115-154</t>
  </si>
  <si>
    <t>21-101-152</t>
  </si>
  <si>
    <t>21-114-180</t>
  </si>
  <si>
    <t>21-102-172</t>
  </si>
  <si>
    <t>21-103-216</t>
  </si>
  <si>
    <t>21-104-180</t>
  </si>
  <si>
    <t>21-105-372</t>
  </si>
  <si>
    <t>21-110-180</t>
  </si>
  <si>
    <t>21-118-180</t>
  </si>
  <si>
    <t>21-115-180</t>
  </si>
  <si>
    <t>21-122-180</t>
  </si>
  <si>
    <t>21-123-180</t>
  </si>
  <si>
    <t>21-101-153</t>
  </si>
  <si>
    <t>21-114-205</t>
  </si>
  <si>
    <t>21-102-173</t>
  </si>
  <si>
    <t>21-103-217</t>
  </si>
  <si>
    <t>21-104-205</t>
  </si>
  <si>
    <t>21-105-373</t>
  </si>
  <si>
    <t>21-110-205</t>
  </si>
  <si>
    <t>21-118-205</t>
  </si>
  <si>
    <t>21-115-205</t>
  </si>
  <si>
    <t>21-122-205</t>
  </si>
  <si>
    <t>21-123-205</t>
  </si>
  <si>
    <t>21-101-154</t>
  </si>
  <si>
    <t>21-114-230</t>
  </si>
  <si>
    <t>21-102-175</t>
  </si>
  <si>
    <t>21-103-120</t>
  </si>
  <si>
    <t>21-104-230</t>
  </si>
  <si>
    <t>21-110-230</t>
  </si>
  <si>
    <t>21-118-230</t>
  </si>
  <si>
    <t>21-115-230</t>
  </si>
  <si>
    <t>21-122-230</t>
  </si>
  <si>
    <t>21-119-093</t>
  </si>
  <si>
    <t>21-114-193</t>
  </si>
  <si>
    <t>21-102-193</t>
  </si>
  <si>
    <t>21-103-257</t>
  </si>
  <si>
    <t>21-104-193</t>
  </si>
  <si>
    <t>21-105-431</t>
  </si>
  <si>
    <t>21-110-100</t>
  </si>
  <si>
    <t>21-118-101</t>
  </si>
  <si>
    <t>21-116-693</t>
  </si>
  <si>
    <t>21-115-101</t>
  </si>
  <si>
    <t>21-122-193</t>
  </si>
  <si>
    <t>21-101-130</t>
  </si>
  <si>
    <t>21-102-200</t>
  </si>
  <si>
    <t>21-103-270</t>
  </si>
  <si>
    <t>21-104-400</t>
  </si>
  <si>
    <t>21-105-440</t>
  </si>
  <si>
    <t>21-107-500</t>
  </si>
  <si>
    <t>21-108-500</t>
  </si>
  <si>
    <t>21-110-500</t>
  </si>
  <si>
    <t>21-118-130</t>
  </si>
  <si>
    <t>21-113-130</t>
  </si>
  <si>
    <t>21-115-130</t>
  </si>
  <si>
    <t>21-120-130</t>
  </si>
  <si>
    <t>21-122-130</t>
  </si>
  <si>
    <t>21-123-130</t>
  </si>
  <si>
    <t>21-490-101</t>
  </si>
  <si>
    <t>21-490-114</t>
  </si>
  <si>
    <t>21-490-102</t>
  </si>
  <si>
    <t>21-490-103</t>
  </si>
  <si>
    <t>21-490-104</t>
  </si>
  <si>
    <t>21-490-105</t>
  </si>
  <si>
    <t>21-490-110</t>
  </si>
  <si>
    <t>21-490-118</t>
  </si>
  <si>
    <t>21-490-115</t>
  </si>
  <si>
    <t>21-490-122</t>
  </si>
  <si>
    <t>21-490-123</t>
  </si>
  <si>
    <t>21-425-101</t>
  </si>
  <si>
    <t>21-425-114</t>
  </si>
  <si>
    <t>21-425-102</t>
  </si>
  <si>
    <t>21-425-103</t>
  </si>
  <si>
    <t>21-425-104</t>
  </si>
  <si>
    <t>21-425-105</t>
  </si>
  <si>
    <t>21-425-110</t>
  </si>
  <si>
    <t>21-425-118</t>
  </si>
  <si>
    <t>21-425-115</t>
  </si>
  <si>
    <t>21-425-122</t>
  </si>
  <si>
    <t>21-425-123</t>
  </si>
  <si>
    <t>21-440-101</t>
  </si>
  <si>
    <t>21-440-114</t>
  </si>
  <si>
    <t>21-440-102</t>
  </si>
  <si>
    <t>21-440-103</t>
  </si>
  <si>
    <t>21-440-104</t>
  </si>
  <si>
    <t>21-440-105</t>
  </si>
  <si>
    <t>21-440-107</t>
  </si>
  <si>
    <t>21-440-108</t>
  </si>
  <si>
    <t>21-440-110</t>
  </si>
  <si>
    <t>21-440-118</t>
  </si>
  <si>
    <t>21-480-101</t>
  </si>
  <si>
    <t>21-440-115</t>
  </si>
  <si>
    <t>21-440-120</t>
  </si>
  <si>
    <t>21-440-122</t>
  </si>
  <si>
    <t>21-440-123</t>
  </si>
  <si>
    <t>21-450-101</t>
  </si>
  <si>
    <t>21-450-114</t>
  </si>
  <si>
    <t>21-450-102</t>
  </si>
  <si>
    <t>21-450-103</t>
  </si>
  <si>
    <t>21-450-104</t>
  </si>
  <si>
    <t>21-450-105</t>
  </si>
  <si>
    <t>21-450-110</t>
  </si>
  <si>
    <t>21-450-118</t>
  </si>
  <si>
    <t>21-450-115</t>
  </si>
  <si>
    <t>21-450-122</t>
  </si>
  <si>
    <t>21-450-123</t>
  </si>
  <si>
    <t>21-470-101</t>
  </si>
  <si>
    <t>21-470-114</t>
  </si>
  <si>
    <t>21-470-102</t>
  </si>
  <si>
    <t>21-470-103</t>
  </si>
  <si>
    <t>21-470-104</t>
  </si>
  <si>
    <t>21-470-105</t>
  </si>
  <si>
    <t>21-470-110</t>
  </si>
  <si>
    <t>21-470-118</t>
  </si>
  <si>
    <t>21-470-115</t>
  </si>
  <si>
    <t>21-470-122</t>
  </si>
  <si>
    <t>21-470-123</t>
  </si>
  <si>
    <t>60mm Octangle Axle</t>
  </si>
  <si>
    <t>22-999-101L</t>
  </si>
  <si>
    <t>Crank Handle With Hook (L = 160cm)</t>
  </si>
  <si>
    <t>Nickel Plated Crank Handle For Use With Universal Joint</t>
  </si>
  <si>
    <t>Handle Lock (Nylon)</t>
  </si>
  <si>
    <t>Joint 90 Nick 2 Screw Universal Hexagonal Shaft</t>
  </si>
  <si>
    <t>Bell Coupling For Universal Joint</t>
  </si>
  <si>
    <t>Pivot For Universal Joint</t>
  </si>
  <si>
    <t>23-999-521</t>
  </si>
  <si>
    <t>23-104-255</t>
  </si>
  <si>
    <t>23-104-258</t>
  </si>
  <si>
    <t>23-999-545</t>
  </si>
  <si>
    <t>23-999-440</t>
  </si>
  <si>
    <t>23-999-546</t>
  </si>
  <si>
    <t>UPS</t>
  </si>
  <si>
    <t>41-999-708</t>
  </si>
  <si>
    <t>L10 Motor</t>
  </si>
  <si>
    <t>T20 Motor</t>
  </si>
  <si>
    <t>L10 Axle Adaptor</t>
  </si>
  <si>
    <t>T20 Motor Drive Kit</t>
  </si>
  <si>
    <t>T20 Motor Screws</t>
  </si>
  <si>
    <t>ODS Controller</t>
  </si>
  <si>
    <t>ODS Controller RF</t>
  </si>
  <si>
    <t>ODS 3 Way Switch</t>
  </si>
  <si>
    <t>ODS Wall Plate</t>
  </si>
  <si>
    <t>ODS RF 1 Channel Remote</t>
  </si>
  <si>
    <t>ODS RF 9 Channel Remote</t>
  </si>
  <si>
    <t>ODS Charger</t>
  </si>
  <si>
    <t>ODS 2.5m Loom Extension</t>
  </si>
  <si>
    <t>T35 Motor</t>
  </si>
  <si>
    <t>Side Guides</t>
  </si>
  <si>
    <t>50 x 50 Square</t>
  </si>
  <si>
    <t>Top</t>
  </si>
  <si>
    <t>Bottom</t>
  </si>
  <si>
    <t>Left</t>
  </si>
  <si>
    <t>Right</t>
  </si>
  <si>
    <t>Bay Window Flashing</t>
  </si>
  <si>
    <t>Packers</t>
  </si>
  <si>
    <t>25 x 25 Angle</t>
  </si>
  <si>
    <t>25 x 50 Angle</t>
  </si>
  <si>
    <t>25 x 70 Angle</t>
  </si>
  <si>
    <t>Crown 60mm Oct.Tube</t>
  </si>
  <si>
    <t>Drive 60mm Oct.Tube</t>
  </si>
  <si>
    <t>Key Switch</t>
  </si>
  <si>
    <t>Key Switch Relay</t>
  </si>
  <si>
    <t>Orea 50 WT 40/17</t>
  </si>
  <si>
    <t>Somfy Orea 50 WT 40/17</t>
  </si>
  <si>
    <t>Acmeda 15 Channel White Remote</t>
  </si>
  <si>
    <t>Acmeda 15 Channel Black Remote</t>
  </si>
  <si>
    <t>Key Switch &amp; Key Switch Relay</t>
  </si>
  <si>
    <t>2 Main/3 Stripe/3 Main/3 Stripe/3 Main/3 Stripe/Rest in Main Colour</t>
  </si>
  <si>
    <t>CW5 10nm Switch Short Motor with Inline Receiver</t>
  </si>
  <si>
    <t>CWP Manual Override 30Nm Motor</t>
  </si>
  <si>
    <t>Crank Handle For Use With Secret Manual Override System</t>
  </si>
  <si>
    <t>23‑999‑522</t>
  </si>
  <si>
    <t>Hexagonal Shaft For Use With Secret Manual Override System</t>
  </si>
  <si>
    <t>31‑999‑912</t>
  </si>
  <si>
    <t>7mm Hexagonal Adaptor For Use With Secret Manual Override System</t>
  </si>
  <si>
    <t>31‑999‑914</t>
  </si>
  <si>
    <t xml:space="preserve">Eyelet LG-165 </t>
  </si>
  <si>
    <t xml:space="preserve">31‑999‑302 </t>
  </si>
  <si>
    <t>1 Main/1 Stripe/1 Main/2 Stripe/Rest in Main Colour</t>
  </si>
  <si>
    <t>Concrete</t>
  </si>
  <si>
    <t>Yes</t>
  </si>
  <si>
    <t>Bay Window Flashing x 2</t>
  </si>
  <si>
    <t>Installation</t>
  </si>
  <si>
    <t>Less than 2.1m</t>
  </si>
  <si>
    <t>Over a Garden</t>
  </si>
  <si>
    <t>Bay Window Flashing x 1</t>
  </si>
  <si>
    <t>2.1m-2.4m</t>
  </si>
  <si>
    <t>Over an Overgrown Garden/Difficult Access</t>
  </si>
  <si>
    <t>Installers</t>
  </si>
  <si>
    <t>Minutes</t>
  </si>
  <si>
    <t>Measured Width</t>
  </si>
  <si>
    <t>Measured Drop</t>
  </si>
  <si>
    <t>Measured Size</t>
  </si>
  <si>
    <t>Installation Height off Ground</t>
  </si>
  <si>
    <t>Installation Difficulty Grading</t>
  </si>
  <si>
    <t>Take Downs</t>
  </si>
  <si>
    <t xml:space="preserve"> Minutes Allowed</t>
  </si>
  <si>
    <t>ROLLER SHUTTER Installation</t>
  </si>
  <si>
    <t>Shutter Making Drop</t>
  </si>
  <si>
    <t>Shutter Making Width</t>
  </si>
  <si>
    <t>Mastic Behind Shutter</t>
  </si>
  <si>
    <t>Bay Window Flashings</t>
  </si>
  <si>
    <t>Product Requires Check Measure</t>
  </si>
  <si>
    <t>X</t>
  </si>
  <si>
    <t>Bay Window  Flashings</t>
  </si>
  <si>
    <t>Installations</t>
  </si>
  <si>
    <t>Height</t>
  </si>
  <si>
    <t>Grading</t>
  </si>
  <si>
    <t>Fitting Surface</t>
  </si>
  <si>
    <t>Fitting</t>
  </si>
  <si>
    <t>Timber</t>
  </si>
  <si>
    <t>Brick</t>
  </si>
  <si>
    <t>2.4m-2.7m</t>
  </si>
  <si>
    <t>2.7m-3m</t>
  </si>
  <si>
    <t>Plaster</t>
  </si>
  <si>
    <t>3m-3.3m</t>
  </si>
  <si>
    <t>Extreme - Consult Installer</t>
  </si>
  <si>
    <t>Steel</t>
  </si>
  <si>
    <t>3.3m-3.6m</t>
  </si>
  <si>
    <t>Easy</t>
  </si>
  <si>
    <t>Aluminium</t>
  </si>
  <si>
    <t>Over 3.6m</t>
  </si>
  <si>
    <t>Standard</t>
  </si>
  <si>
    <t>Tile</t>
  </si>
  <si>
    <t>Medium</t>
  </si>
  <si>
    <t>Easy Access</t>
  </si>
  <si>
    <t>Mastic</t>
  </si>
  <si>
    <t>25 x 25 Sill Angle</t>
  </si>
  <si>
    <t>25 x 50 Sill Angle</t>
  </si>
  <si>
    <t>25 x 75 Sill Angle</t>
  </si>
  <si>
    <t>8mm Slat</t>
  </si>
  <si>
    <t>22mm Side Guide</t>
  </si>
  <si>
    <t>2 x 22mm Side Guide</t>
  </si>
  <si>
    <t>50mm x 50mm Powder Coated Packer</t>
  </si>
  <si>
    <t>50mm x 50mm Powder Coated Packer with 8mm Slat</t>
  </si>
  <si>
    <t>50mm x 50mm Powder Coated Packer with 22mm Side Guide</t>
  </si>
  <si>
    <t>120mm x 25mm Flashing</t>
  </si>
  <si>
    <t>25 x 25 Sill Angle for Headbox Only</t>
  </si>
  <si>
    <t>25 x 50 Sill Angle for Headbox Only</t>
  </si>
  <si>
    <t>25 x 75 Sill Angle for Headbox Only</t>
  </si>
  <si>
    <t>8mm Slat for Headbox Only</t>
  </si>
  <si>
    <t>22mm Side Guide for Headbox Only</t>
  </si>
  <si>
    <t>3 Way Switch for Bay Windows</t>
  </si>
  <si>
    <t>3 Way Switch for Bay Windows with Wiring Loom</t>
  </si>
  <si>
    <t>Wiring Loom Extension</t>
  </si>
  <si>
    <t>UPS with No Electrician Required</t>
  </si>
  <si>
    <t>UPS with Electrician Required</t>
  </si>
  <si>
    <t>Manual Override Crank Handle 160cm</t>
  </si>
  <si>
    <t>Hidden Manual Override Crank Handle 160cm</t>
  </si>
  <si>
    <t>Corner Telespcopic Bracket  x 1</t>
  </si>
  <si>
    <t>Corner Telespcopic Bracket x 2</t>
  </si>
  <si>
    <t>Bay Telespcopic Bracket x 1</t>
  </si>
  <si>
    <t>AI</t>
  </si>
  <si>
    <t>Hebel</t>
  </si>
  <si>
    <t>Bay Telespcopic Bracket x 2</t>
  </si>
  <si>
    <t>No. of Perf. Slats</t>
  </si>
  <si>
    <t>No. of Unperf. Slats</t>
  </si>
  <si>
    <t>Sign</t>
  </si>
  <si>
    <t>J</t>
  </si>
  <si>
    <t>This should be in column AX</t>
  </si>
  <si>
    <t>Toggle Wall Switch</t>
  </si>
  <si>
    <t>Pulse Pro Automation Hub</t>
  </si>
  <si>
    <t>1 Channel Dry Contact Relay Module</t>
  </si>
  <si>
    <t>USB Repeater</t>
  </si>
  <si>
    <t>Z</t>
  </si>
  <si>
    <t>Too Small to be motorised</t>
  </si>
  <si>
    <t>60mm Oct. Crown &amp; Drives Required</t>
  </si>
  <si>
    <t>Acmeda 60mm Oct. Crown &amp; Drives Required</t>
  </si>
  <si>
    <t>Acmeda Wall Mounted Single Channel White Remote</t>
  </si>
  <si>
    <t>Acmeda Wall Mounted 2 Channel White Remote</t>
  </si>
  <si>
    <t>Acmeda Wall Mounted 15 Channel White Remote</t>
  </si>
  <si>
    <t>T20 Drive Kit with 2 Gold Screws</t>
  </si>
  <si>
    <t>Intermeidate Lock Height from Bottom</t>
  </si>
  <si>
    <t>Manual Override Parts</t>
  </si>
  <si>
    <t>22mm Side Guide + 8mm Slat</t>
  </si>
  <si>
    <t>Altus 50 RTS 6/17</t>
  </si>
  <si>
    <t>Altus 50 RTS 25/17</t>
  </si>
  <si>
    <t>240v Acmeda Remote Motors Firesafe Slat</t>
  </si>
  <si>
    <t>Acmeda External 30nm Remote Motor</t>
  </si>
  <si>
    <t>Motor Components</t>
  </si>
  <si>
    <t>Sticker</t>
  </si>
  <si>
    <t>Somfy Altus 50 RTS 6/17</t>
  </si>
  <si>
    <t>Somfy 60mm Oct. Crown &amp; Drives Required</t>
  </si>
  <si>
    <t>Somfy Altus 50 RTS 10/17</t>
  </si>
  <si>
    <t>Somfy Altus 50 RTS 15/17</t>
  </si>
  <si>
    <t>Somfy Altus 50 RTS 25/17</t>
  </si>
  <si>
    <t>42mm Unperforated Slat</t>
  </si>
  <si>
    <t>Acmeda Push Pro Black Remote with Charger</t>
  </si>
  <si>
    <t>Acmeda Push Pro White Remote with Charger</t>
  </si>
  <si>
    <t>Intermediate Lock Height from Bottom</t>
  </si>
  <si>
    <t>Maxim 10nm Switch Motor</t>
  </si>
  <si>
    <t>Maxim 10nm Switch Motor with Inline Receiver</t>
  </si>
  <si>
    <t>Maxim 20nm Switch Motor</t>
  </si>
  <si>
    <t>Maxim 20nm Remote Motor</t>
  </si>
  <si>
    <t>Maxim 10nm Remote Motor</t>
  </si>
  <si>
    <t>Maxim 1 Channel Remote</t>
  </si>
  <si>
    <t>Maxim 6 Channel Remote</t>
  </si>
  <si>
    <t>Maxim 16 Channel Remote</t>
  </si>
  <si>
    <t>Maxim 1 Channel Wall Mounted Remote</t>
  </si>
  <si>
    <t>Control Side</t>
  </si>
  <si>
    <t>CC</t>
  </si>
  <si>
    <t>Assemble Motor?</t>
  </si>
  <si>
    <t>Motor Side</t>
  </si>
  <si>
    <t>AH</t>
  </si>
  <si>
    <t>ROLLER SHUTTER Assembly (b)</t>
  </si>
  <si>
    <t>ROLLER SHUTTER Assembly (a)</t>
  </si>
  <si>
    <t>Assembly(a)</t>
  </si>
  <si>
    <t>Assembly(b)</t>
  </si>
  <si>
    <t>20-123-102</t>
  </si>
  <si>
    <t>20-123-153</t>
  </si>
  <si>
    <t>20-123-103</t>
  </si>
  <si>
    <t>20-123-154</t>
  </si>
  <si>
    <t>21-123-193</t>
  </si>
  <si>
    <t>30-102-510</t>
  </si>
  <si>
    <t>30-100-520</t>
  </si>
  <si>
    <t>41-100-322</t>
  </si>
  <si>
    <t>41-100-329</t>
  </si>
  <si>
    <t>41-100-340</t>
  </si>
  <si>
    <t>41-100-342</t>
  </si>
  <si>
    <t>MT01-1145-050001</t>
  </si>
  <si>
    <t>MT03-0198-050023</t>
  </si>
  <si>
    <t>MT03-0198-050022</t>
  </si>
  <si>
    <t>MT02-5401-050001</t>
  </si>
  <si>
    <t>MT02-0101-067010</t>
  </si>
  <si>
    <t>MT02-0101-050010</t>
  </si>
  <si>
    <t>MT02-0101-067004</t>
  </si>
  <si>
    <t>MT02-0101-050004</t>
  </si>
  <si>
    <t>MT02-0101-067008</t>
  </si>
  <si>
    <t>MT02-0101-050008</t>
  </si>
  <si>
    <t>MT02-0101-067013</t>
  </si>
  <si>
    <t>MT02-0101-050013</t>
  </si>
  <si>
    <t>MT03-0301-069026</t>
  </si>
  <si>
    <t>Perforated Slat</t>
  </si>
  <si>
    <t>Unperforated Slat</t>
  </si>
  <si>
    <t>180mm Pelmet Back &amp; Cover</t>
  </si>
  <si>
    <t>205mm Pelmet Back &amp; Cover</t>
  </si>
  <si>
    <t>230mm Pelmet Back &amp; Cover</t>
  </si>
  <si>
    <t>25mm x 25mm Angle</t>
  </si>
  <si>
    <t>25mm x 50mm Angle</t>
  </si>
  <si>
    <t>25mm x 70mm Angle</t>
  </si>
  <si>
    <t>50mm x 50mm Square Tube</t>
  </si>
  <si>
    <t>Axle</t>
  </si>
  <si>
    <t>Bottom Bar</t>
  </si>
  <si>
    <t>Standard Side Guides</t>
  </si>
  <si>
    <t>68mm Side Guides</t>
  </si>
  <si>
    <t>180mm Side Frames</t>
  </si>
  <si>
    <t>205mm Side Frames</t>
  </si>
  <si>
    <t>230mm Side Frames</t>
  </si>
  <si>
    <t>Misc.</t>
  </si>
  <si>
    <t>Hole Caps</t>
  </si>
  <si>
    <t>Maxim</t>
  </si>
  <si>
    <t>CWP</t>
  </si>
  <si>
    <t>12v</t>
  </si>
  <si>
    <t>Acmeda</t>
  </si>
  <si>
    <t>Becker</t>
  </si>
  <si>
    <t>Somfy</t>
  </si>
  <si>
    <t>Magnolia Cream</t>
  </si>
  <si>
    <t xml:space="preserve">Monument </t>
  </si>
  <si>
    <t>Green</t>
  </si>
  <si>
    <t>Red</t>
  </si>
  <si>
    <t>Deep Ocean</t>
  </si>
  <si>
    <t>Back - Black</t>
  </si>
  <si>
    <t>Cover - Black</t>
  </si>
  <si>
    <t>Back - Clear Beige</t>
  </si>
  <si>
    <t>Cover - Clear Beige</t>
  </si>
  <si>
    <t>Back - Dune</t>
  </si>
  <si>
    <t>Cover - Dune</t>
  </si>
  <si>
    <t>Back - Magnolia Cream</t>
  </si>
  <si>
    <t>Cover - Magnolia Cream</t>
  </si>
  <si>
    <t>Back - Monument</t>
  </si>
  <si>
    <t>Cover - Monument</t>
  </si>
  <si>
    <t>Back - Shale Grey</t>
  </si>
  <si>
    <t>Cover - Shale Grey</t>
  </si>
  <si>
    <t>Back - White</t>
  </si>
  <si>
    <t>Cover - White</t>
  </si>
  <si>
    <t>Back - Woodland Grey</t>
  </si>
  <si>
    <t>Cover - Woodland Grey</t>
  </si>
  <si>
    <t>Back - Cream</t>
  </si>
  <si>
    <t>Cover - Cream</t>
  </si>
  <si>
    <t>Back - Brown</t>
  </si>
  <si>
    <t>Cover - Brown</t>
  </si>
  <si>
    <t>Back - Surfmist</t>
  </si>
  <si>
    <t>Cover - Surfmist</t>
  </si>
  <si>
    <t>Back - Jasper</t>
  </si>
  <si>
    <t>Cover - Jasper</t>
  </si>
  <si>
    <t>Back - Red</t>
  </si>
  <si>
    <t>Cover - Red</t>
  </si>
  <si>
    <t xml:space="preserve">Brown </t>
  </si>
  <si>
    <t xml:space="preserve">Black </t>
  </si>
  <si>
    <t>Mill Finish</t>
  </si>
  <si>
    <t xml:space="preserve">Surfmist </t>
  </si>
  <si>
    <t xml:space="preserve">Jasper </t>
  </si>
  <si>
    <t>Guide Stop End Cap</t>
  </si>
  <si>
    <t>Slat End Caps</t>
  </si>
  <si>
    <t>Bottom Bar End Cap</t>
  </si>
  <si>
    <t>10nm Remote Motor</t>
  </si>
  <si>
    <t>20nm Remote Motor</t>
  </si>
  <si>
    <t>10nm Switch Motor</t>
  </si>
  <si>
    <t>20nm Switch Motor</t>
  </si>
  <si>
    <t>1 Channel Remote</t>
  </si>
  <si>
    <t>6 Channel Remote</t>
  </si>
  <si>
    <t>16 Channel Remote</t>
  </si>
  <si>
    <t>1 Channel Wall Mounted Remote</t>
  </si>
  <si>
    <t>6 Channel Wall Mounted Remote w/ Timer</t>
  </si>
  <si>
    <t>8 Channel Remote with Timer</t>
  </si>
  <si>
    <t>Key Ring Remote</t>
  </si>
  <si>
    <t>Inline Receiver</t>
  </si>
  <si>
    <t>50nm Remote Motor</t>
  </si>
  <si>
    <t>10nm Short Switch Motor</t>
  </si>
  <si>
    <t>30nm Manual Override Motor</t>
  </si>
  <si>
    <t>50nm Manual Override Motor</t>
  </si>
  <si>
    <t>5 Channel Remote</t>
  </si>
  <si>
    <t>15 Channel Remote</t>
  </si>
  <si>
    <t>45mm FT 15nm Motor</t>
  </si>
  <si>
    <t>AX 30nm Motor</t>
  </si>
  <si>
    <t>45mm 50nm Motor</t>
  </si>
  <si>
    <t>60mm Oct. Drive Wheel</t>
  </si>
  <si>
    <t>60mm Oct. Crown Wheel</t>
  </si>
  <si>
    <t>45mm FT 15nm 12v Motor</t>
  </si>
  <si>
    <t>12v Motor External Battery Pack</t>
  </si>
  <si>
    <t>12v Motor External Battery Charger Pack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</si>
  <si>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</si>
  <si>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</si>
  <si>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</si>
  <si>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</si>
  <si>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</si>
  <si>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</si>
  <si>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1 Channel Wall Mount Remote White</t>
  </si>
  <si>
    <t>5 Channel Wall Mount Remote White</t>
  </si>
  <si>
    <t>15 Channel Wall Mount Remote White</t>
  </si>
  <si>
    <t>Push Pro White Remote</t>
  </si>
  <si>
    <t>Push Pro Black Remote</t>
  </si>
  <si>
    <t>Push Pro Charging Cable</t>
  </si>
  <si>
    <t>Wall Block</t>
  </si>
  <si>
    <t>R12/17CPSF 45mm Motor</t>
  </si>
  <si>
    <t>20nm Motor R20-17-C12a Motor</t>
  </si>
  <si>
    <t>Single Channel Silver Remote</t>
  </si>
  <si>
    <t>Single Channel White Remote</t>
  </si>
  <si>
    <t>2 Channel Silver Remote</t>
  </si>
  <si>
    <t>2 Channel White Remote</t>
  </si>
  <si>
    <t>5 Channel Silver Remote</t>
  </si>
  <si>
    <t>5 Channel White Remote</t>
  </si>
  <si>
    <t>15 Channel Silver Remote</t>
  </si>
  <si>
    <t>15 Channel White Remote</t>
  </si>
  <si>
    <t>Single Channel Wall Mounted Smoove Remote White with Black Cover Plate</t>
  </si>
  <si>
    <t>Single Channel Wall Mounted Smoove Remote White with Silver Cover Plate</t>
  </si>
  <si>
    <t>Single Channel Wall Mounted Smoove Remote White</t>
  </si>
  <si>
    <t>2 Channel Wall Mounted Smoove Remote White with Black Cover Plate</t>
  </si>
  <si>
    <t>2 Channel Wall Mounted Smoove Remote White with Silver Cover Plate</t>
  </si>
  <si>
    <t>2 Channel Wall Mounted Smoove Remote White</t>
  </si>
  <si>
    <t>5 Channel Wall Mounted Smoove Remote White with Black Cover Plate</t>
  </si>
  <si>
    <t>5 Channel Wall Mounted Smoove Remote White with Silver Cover Plate</t>
  </si>
  <si>
    <t>5 Channel Wall Mounted Smoove Remote White</t>
  </si>
  <si>
    <t>Oz Roll</t>
  </si>
  <si>
    <t>Rollease Acmeda</t>
  </si>
  <si>
    <t>Job Tracking Action</t>
  </si>
  <si>
    <t>Dispatch Action</t>
  </si>
  <si>
    <t>Dispatch Date</t>
  </si>
  <si>
    <t>3 Main/1 Stripe/2 Main/1 Stripe/Rest in Main Colour</t>
  </si>
  <si>
    <t>Corner Telescopic Bracket</t>
  </si>
  <si>
    <t>Bay Telescopic Bracket</t>
  </si>
  <si>
    <t>Challenger</t>
  </si>
  <si>
    <t>Motors Too Small</t>
  </si>
  <si>
    <t>OE</t>
  </si>
  <si>
    <t>3 Main/3 Stripe/3 Main/2 Stripe/Rest in Main Colour</t>
  </si>
  <si>
    <t>9a04657b-b905-4c28-a077-7124424ed1ac</t>
  </si>
  <si>
    <t>c4479269-1ca1-47f4-a693-65991a38516c</t>
  </si>
  <si>
    <t>Roller Shutters</t>
  </si>
  <si>
    <t>11/08/2026 12:00:00 AM</t>
  </si>
  <si>
    <t>3/09/2026 11:48:35 AM</t>
  </si>
  <si>
    <t>23/09/2026 12:00:00 AM</t>
  </si>
  <si>
    <t>11804</t>
  </si>
  <si>
    <t>C</t>
  </si>
  <si>
    <t>CROW3358.25</t>
  </si>
  <si>
    <t>Crow, Tahlia</t>
  </si>
  <si>
    <t>25</t>
  </si>
  <si>
    <t>Banff Road</t>
  </si>
  <si>
    <t>Winter Valley</t>
  </si>
  <si>
    <t>VIC</t>
  </si>
  <si>
    <t>3358</t>
  </si>
  <si>
    <t>Australia</t>
  </si>
  <si>
    <t>crowwi60@gmail.com</t>
  </si>
  <si>
    <t>0448445594</t>
  </si>
  <si>
    <t>Head Office</t>
  </si>
  <si>
    <t>Jason Paterson</t>
  </si>
  <si>
    <t>jason@davidsonsblinds.com.au</t>
  </si>
  <si>
    <t>Tahlia</t>
  </si>
  <si>
    <t>Crow</t>
  </si>
  <si>
    <t>Retail Customer</t>
  </si>
  <si>
    <t>mark@davidsonsblinds.com.au</t>
  </si>
  <si>
    <t>crystal@davidsonsblinds.com.au</t>
  </si>
  <si>
    <t>Unassigned installer 1</t>
  </si>
  <si>
    <t>U</t>
  </si>
  <si>
    <t>False</t>
  </si>
  <si>
    <t>a4bfec27-2e8e-4da8-9fb5-45becd0320d7</t>
  </si>
  <si>
    <t>Front Lounge</t>
  </si>
  <si>
    <t>RLSHM331M5</t>
  </si>
  <si>
    <t>RLSH 42mm Standard Slat Monument</t>
  </si>
  <si>
    <t>Production - Roller Shutters</t>
  </si>
  <si>
    <t>0</t>
  </si>
  <si>
    <t>F</t>
  </si>
  <si>
    <t>a4bfec27-2e8e-4da8-9fb5-45becd0320d7|DESCN</t>
  </si>
  <si>
    <t>9019e6c4-8f9b-4d25-82ea-a77a31cc0108</t>
  </si>
  <si>
    <t>DESCN</t>
  </si>
  <si>
    <t>a4bfec27-2e8e-4da8-9fb5-45becd0320d7|SIZE</t>
  </si>
  <si>
    <t>6d8d4d36-fe7e-42ec-877a-7813e5238c21</t>
  </si>
  <si>
    <t>SIZE</t>
  </si>
  <si>
    <t>Opening</t>
  </si>
  <si>
    <t>a4bfec27-2e8e-4da8-9fb5-45becd0320d7|ITEMWIDTH</t>
  </si>
  <si>
    <t>68dfe350-4592-4d9d-9782-8159b2eca659</t>
  </si>
  <si>
    <t>ITEMWIDTH</t>
  </si>
  <si>
    <t>2411</t>
  </si>
  <si>
    <t>a4bfec27-2e8e-4da8-9fb5-45becd0320d7|WIDTHADD</t>
  </si>
  <si>
    <t>0a547710-b19a-44e6-a0e4-5dabb7a3bfd4</t>
  </si>
  <si>
    <t>WIDTHADD</t>
  </si>
  <si>
    <t>a4bfec27-2e8e-4da8-9fb5-45becd0320d7|ITEMHEIGHT</t>
  </si>
  <si>
    <t>260e0c7b-a7f8-488e-827b-c4ab04f22149</t>
  </si>
  <si>
    <t>ITEMHEIGHT</t>
  </si>
  <si>
    <t>2055</t>
  </si>
  <si>
    <t>a4bfec27-2e8e-4da8-9fb5-45becd0320d7|HEIGHTADD</t>
  </si>
  <si>
    <t>9e56ed78-a62c-4e0c-bded-8183164a3485</t>
  </si>
  <si>
    <t>HEIGHTADD</t>
  </si>
  <si>
    <t>(- Box)</t>
  </si>
  <si>
    <t>a4bfec27-2e8e-4da8-9fb5-45becd0320d7|FIT</t>
  </si>
  <si>
    <t>0ae1ec82-c014-410c-ad3a-e6fcc5e8769c</t>
  </si>
  <si>
    <t>FIT</t>
  </si>
  <si>
    <t>a4bfec27-2e8e-4da8-9fb5-45becd0320d7|FIXING</t>
  </si>
  <si>
    <t>21602fb6-c3b2-4cab-97ab-71ca86d39b15</t>
  </si>
  <si>
    <t>FIXING</t>
  </si>
  <si>
    <t>a4bfec27-2e8e-4da8-9fb5-45becd0320d7|STRIPECONFIG</t>
  </si>
  <si>
    <t>f5e986a0-b0c8-474c-b098-5c333bf5600f</t>
  </si>
  <si>
    <t>STRIPECONFIG</t>
  </si>
  <si>
    <t>a4bfec27-2e8e-4da8-9fb5-45becd0320d7|SLATSTRIPE</t>
  </si>
  <si>
    <t>178be2b1-f30c-436a-af2c-647e5a17c31f</t>
  </si>
  <si>
    <t>SLATSTRIPE</t>
  </si>
  <si>
    <t>a4bfec27-2e8e-4da8-9fb5-45becd0320d7|HEADBOXDETAILS</t>
  </si>
  <si>
    <t>772635f0-fe92-4d67-8c54-776a8b078c1f</t>
  </si>
  <si>
    <t>HEADBOXDETAILS</t>
  </si>
  <si>
    <t>Main Slat Colour</t>
  </si>
  <si>
    <t>a4bfec27-2e8e-4da8-9fb5-45becd0320d7|SIDEGUIDE</t>
  </si>
  <si>
    <t>bed53c26-a2c2-4f0c-9e29-f08bdeb99271</t>
  </si>
  <si>
    <t>SIDEGUIDE</t>
  </si>
  <si>
    <t>a4bfec27-2e8e-4da8-9fb5-45becd0320d7|SIDEGUIDECOLOUR</t>
  </si>
  <si>
    <t>6dfcf9c6-3070-42ce-a4b8-4e165e54da46</t>
  </si>
  <si>
    <t>SIDEGUIDECOLOUR</t>
  </si>
  <si>
    <t>a4bfec27-2e8e-4da8-9fb5-45becd0320d7|BRAILCOLOUR</t>
  </si>
  <si>
    <t>060511b5-0b16-4850-9ed2-f623c7fc9037</t>
  </si>
  <si>
    <t>BRAILCOLOUR</t>
  </si>
  <si>
    <t>a4bfec27-2e8e-4da8-9fb5-45becd0320d7|CONTROLTYPE</t>
  </si>
  <si>
    <t>0dddb5da-34d0-4d05-b041-2942fbe481d4</t>
  </si>
  <si>
    <t>CONTROLTYPE</t>
  </si>
  <si>
    <t>a4bfec27-2e8e-4da8-9fb5-45becd0320d7|CONTROLSIDE</t>
  </si>
  <si>
    <t>7b79ebc6-3c4c-43f2-8f0e-89c98b3ea3f0</t>
  </si>
  <si>
    <t>CONTROLSIDE</t>
  </si>
  <si>
    <t>N/A</t>
  </si>
  <si>
    <t>a4bfec27-2e8e-4da8-9fb5-45becd0320d7|CONTROLDETAILS</t>
  </si>
  <si>
    <t>fe6648cb-be24-4ce8-b57b-e767118e0115</t>
  </si>
  <si>
    <t>CONTROLDETAILS</t>
  </si>
  <si>
    <t>a4bfec27-2e8e-4da8-9fb5-45becd0320d7|GUIDESTOPS</t>
  </si>
  <si>
    <t>84419e67-43cb-47b4-8181-f27122527bef</t>
  </si>
  <si>
    <t>GUIDESTOPS</t>
  </si>
  <si>
    <t>a4bfec27-2e8e-4da8-9fb5-45becd0320d7|INSTALLATION</t>
  </si>
  <si>
    <t>a472e657-703d-4234-83c2-349ff73c48ac</t>
  </si>
  <si>
    <t>INSTALLATION</t>
  </si>
  <si>
    <t>a4bfec27-2e8e-4da8-9fb5-45becd0320d7|HANGHEIGHT</t>
  </si>
  <si>
    <t>b801004e-148a-41bb-a657-3f845f462258</t>
  </si>
  <si>
    <t>HANGHEIGHT</t>
  </si>
  <si>
    <t>a4bfec27-2e8e-4da8-9fb5-45becd0320d7|INSTALLG</t>
  </si>
  <si>
    <t>8e1e15a1-9821-483b-80cb-19c1e1fe1762</t>
  </si>
  <si>
    <t>INSTALLG</t>
  </si>
  <si>
    <t>a4bfec27-2e8e-4da8-9fb5-45becd0320d7|TAKEDOWN</t>
  </si>
  <si>
    <t>c4d56c23-2ba0-46ef-8857-601c8b4a313b</t>
  </si>
  <si>
    <t>TAKEDOWN</t>
  </si>
  <si>
    <t>a4bfec27-2e8e-4da8-9fb5-45becd0320d7|CHECKM</t>
  </si>
  <si>
    <t>6177dd9f-7a76-40cc-8d86-10ff1b145b54</t>
  </si>
  <si>
    <t>CHECKM</t>
  </si>
  <si>
    <t>a4bfec27-2e8e-4da8-9fb5-45becd0320d7|ELECTRICIAN</t>
  </si>
  <si>
    <t>62c828b0-67b0-41df-a3e3-bd2fca162e62</t>
  </si>
  <si>
    <t>ELECTRICIAN</t>
  </si>
  <si>
    <t>a4bfec27-2e8e-4da8-9fb5-45becd0320d7|HOUSECONSTRUCTION</t>
  </si>
  <si>
    <t>76ec0908-04fe-493f-acc7-6bf2413b9a42</t>
  </si>
  <si>
    <t>HOUSECONSTRUCTION</t>
  </si>
  <si>
    <t>a4bfec27-2e8e-4da8-9fb5-45becd0320d7|ROOF</t>
  </si>
  <si>
    <t>70e175b9-767a-41e2-89ca-1fddbdb8955d</t>
  </si>
  <si>
    <t>ROOF</t>
  </si>
  <si>
    <t>Pitched Iron</t>
  </si>
  <si>
    <t>a4bfec27-2e8e-4da8-9fb5-45becd0320d7|SWITCHBOARD</t>
  </si>
  <si>
    <t>a7dc3825-2f46-4a4c-99fc-2256e6ab6966</t>
  </si>
  <si>
    <t>SWITCHBOARD</t>
  </si>
  <si>
    <t>a4bfec27-2e8e-4da8-9fb5-45becd0320d7|STOREYS</t>
  </si>
  <si>
    <t>34dcd6d1-7b96-48d0-89f5-310c557fbfc3</t>
  </si>
  <si>
    <t>STOREYS</t>
  </si>
  <si>
    <t>1</t>
  </si>
  <si>
    <t>a4bfec27-2e8e-4da8-9fb5-45becd0320d7|STOREYSFIT</t>
  </si>
  <si>
    <t>6f358422-9874-4369-87e6-d9b3567508fa</t>
  </si>
  <si>
    <t>STOREYSFIT</t>
  </si>
  <si>
    <t>1st Storey</t>
  </si>
  <si>
    <t>a4bfec27-2e8e-4da8-9fb5-45becd0320d7|SIDEBYSIDE</t>
  </si>
  <si>
    <t>0fd57621-4529-486a-bb91-9269ca78a01f</t>
  </si>
  <si>
    <t>SIDEBYSIDE</t>
  </si>
  <si>
    <t>a4bfec27-2e8e-4da8-9fb5-45becd0320d7|NOTESQ</t>
  </si>
  <si>
    <t>c9ba10c1-ac13-4a83-b73f-b3c547efd132</t>
  </si>
  <si>
    <t>NOTESQ</t>
  </si>
  <si>
    <t xml:space="preserve">Awning window. Need to ensure window awning is closed enough not to impede shutter, otherwise may cause damage.  </t>
  </si>
  <si>
    <t>d91e2e08-46d1-4eb3-ad8f-997f01acb0f6</t>
  </si>
  <si>
    <t>Master</t>
  </si>
  <si>
    <t>d91e2e08-46d1-4eb3-ad8f-997f01acb0f6|DESCN</t>
  </si>
  <si>
    <t>0e87e605-43af-4ab8-8cc3-75842cdcc4c6</t>
  </si>
  <si>
    <t>d91e2e08-46d1-4eb3-ad8f-997f01acb0f6|SIZE</t>
  </si>
  <si>
    <t>acc00d29-d392-4b50-8da3-32aa511c3ed5</t>
  </si>
  <si>
    <t>d91e2e08-46d1-4eb3-ad8f-997f01acb0f6|ITEMWIDTH</t>
  </si>
  <si>
    <t>e985c74f-ef20-4aea-b620-ecbed5f4831a</t>
  </si>
  <si>
    <t>1813</t>
  </si>
  <si>
    <t>d91e2e08-46d1-4eb3-ad8f-997f01acb0f6|WIDTHADD</t>
  </si>
  <si>
    <t>5fd8a77c-5643-4f9f-9191-325cf9e43d7c</t>
  </si>
  <si>
    <t>d91e2e08-46d1-4eb3-ad8f-997f01acb0f6|ITEMHEIGHT</t>
  </si>
  <si>
    <t>5da75638-16fe-4cd6-93de-6e851114571a</t>
  </si>
  <si>
    <t>1450</t>
  </si>
  <si>
    <t>d91e2e08-46d1-4eb3-ad8f-997f01acb0f6|HEIGHTADD</t>
  </si>
  <si>
    <t>0891bbcc-c30c-44b6-bbcf-afeed68a2bcc</t>
  </si>
  <si>
    <t>d91e2e08-46d1-4eb3-ad8f-997f01acb0f6|FIT</t>
  </si>
  <si>
    <t>153b4f07-4123-4730-bf02-c9df69895845</t>
  </si>
  <si>
    <t>d91e2e08-46d1-4eb3-ad8f-997f01acb0f6|FIXING</t>
  </si>
  <si>
    <t>27ca8421-a363-43f0-80cb-b659e5a61f17</t>
  </si>
  <si>
    <t>d91e2e08-46d1-4eb3-ad8f-997f01acb0f6|STRIPECONFIG</t>
  </si>
  <si>
    <t>1f21bc8e-43cc-4c5e-855a-13c78cc3e893</t>
  </si>
  <si>
    <t>d91e2e08-46d1-4eb3-ad8f-997f01acb0f6|SLATSTRIPE</t>
  </si>
  <si>
    <t>6dccf607-4c1c-4875-8ba8-e6558505d7d8</t>
  </si>
  <si>
    <t>d91e2e08-46d1-4eb3-ad8f-997f01acb0f6|HEADBOXDETAILS</t>
  </si>
  <si>
    <t>21370c87-9c94-4691-a2e2-3fce9c50b116</t>
  </si>
  <si>
    <t>d91e2e08-46d1-4eb3-ad8f-997f01acb0f6|SIDEGUIDE</t>
  </si>
  <si>
    <t>f94e6c7e-425a-4913-b925-d9dbf33444aa</t>
  </si>
  <si>
    <t>d91e2e08-46d1-4eb3-ad8f-997f01acb0f6|SIDEGUIDECOLOUR</t>
  </si>
  <si>
    <t>73919e7a-a38c-47f1-aef0-ffdc328db609</t>
  </si>
  <si>
    <t>d91e2e08-46d1-4eb3-ad8f-997f01acb0f6|BRAILCOLOUR</t>
  </si>
  <si>
    <t>6ed8edee-55e2-4bbf-854b-616fe0395d24</t>
  </si>
  <si>
    <t>d91e2e08-46d1-4eb3-ad8f-997f01acb0f6|CONTROLTYPE</t>
  </si>
  <si>
    <t>98cff94e-097a-487e-a80d-ee4a075fbb1f</t>
  </si>
  <si>
    <t>d91e2e08-46d1-4eb3-ad8f-997f01acb0f6|CONTROLSIDE</t>
  </si>
  <si>
    <t>568690f3-2ba1-48b8-ac57-15b87c56a41a</t>
  </si>
  <si>
    <t>d91e2e08-46d1-4eb3-ad8f-997f01acb0f6|CONTROLDETAILS</t>
  </si>
  <si>
    <t>1a9d831b-bbc7-4df4-8004-d837d2194d60</t>
  </si>
  <si>
    <t>d91e2e08-46d1-4eb3-ad8f-997f01acb0f6|GUIDESTOPS</t>
  </si>
  <si>
    <t>2d4ecb34-e1b5-4ac2-99dc-7e45d2dda637</t>
  </si>
  <si>
    <t>d91e2e08-46d1-4eb3-ad8f-997f01acb0f6|INSTALLATION</t>
  </si>
  <si>
    <t>38f14c97-ecaf-4c17-aa4a-6d04c984ae93</t>
  </si>
  <si>
    <t>d91e2e08-46d1-4eb3-ad8f-997f01acb0f6|HANGHEIGHT</t>
  </si>
  <si>
    <t>681612f8-d4ef-4ecf-bf94-752a01f4e53b</t>
  </si>
  <si>
    <t>d91e2e08-46d1-4eb3-ad8f-997f01acb0f6|INSTALLG</t>
  </si>
  <si>
    <t>45d1f985-2af5-4154-a4e1-3bdf8003e0b5</t>
  </si>
  <si>
    <t>d91e2e08-46d1-4eb3-ad8f-997f01acb0f6|TAKEDOWN</t>
  </si>
  <si>
    <t>dd2d8942-11b1-4146-898f-78ff1edecb0c</t>
  </si>
  <si>
    <t>d91e2e08-46d1-4eb3-ad8f-997f01acb0f6|CHECKM</t>
  </si>
  <si>
    <t>415c28e7-765e-4ffd-be72-51bdbb0d1af1</t>
  </si>
  <si>
    <t>d91e2e08-46d1-4eb3-ad8f-997f01acb0f6|ELECTRICIAN</t>
  </si>
  <si>
    <t>2ec267f3-ecb5-46ac-9194-018b7aa48195</t>
  </si>
  <si>
    <t>d91e2e08-46d1-4eb3-ad8f-997f01acb0f6|HOUSECONSTRUCTION</t>
  </si>
  <si>
    <t>4c7e30d4-1eab-452c-b1f9-04a612549778</t>
  </si>
  <si>
    <t>d91e2e08-46d1-4eb3-ad8f-997f01acb0f6|ROOF</t>
  </si>
  <si>
    <t>9e0d65f2-fa2d-4b44-99b5-b1031f8269f4</t>
  </si>
  <si>
    <t>d91e2e08-46d1-4eb3-ad8f-997f01acb0f6|SWITCHBOARD</t>
  </si>
  <si>
    <t>4b15d040-4a64-4061-9f6b-4a3be482ecad</t>
  </si>
  <si>
    <t>d91e2e08-46d1-4eb3-ad8f-997f01acb0f6|STOREYS</t>
  </si>
  <si>
    <t>14016d18-675c-4f33-b70c-306ca1451e7a</t>
  </si>
  <si>
    <t>d91e2e08-46d1-4eb3-ad8f-997f01acb0f6|STOREYSFIT</t>
  </si>
  <si>
    <t>b80989aa-f4ca-43fc-90c2-bf104f6b1e8f</t>
  </si>
  <si>
    <t>d91e2e08-46d1-4eb3-ad8f-997f01acb0f6|SIDEBYSIDE</t>
  </si>
  <si>
    <t>1e095d66-253b-4e3f-aa13-23a440a65cb4</t>
  </si>
  <si>
    <t>1954979d-6f15-4a4b-b182-9fdda71bb03b</t>
  </si>
  <si>
    <t>Ensuite</t>
  </si>
  <si>
    <t>1954979d-6f15-4a4b-b182-9fdda71bb03b|DESCN</t>
  </si>
  <si>
    <t>e8529ef7-c688-47b9-b863-7731d2a7fff3</t>
  </si>
  <si>
    <t>1954979d-6f15-4a4b-b182-9fdda71bb03b|SIZE</t>
  </si>
  <si>
    <t>a25fce61-b060-46bf-b660-4e9e10642148</t>
  </si>
  <si>
    <t>1954979d-6f15-4a4b-b182-9fdda71bb03b|ITEMWIDTH</t>
  </si>
  <si>
    <t>640eca8c-d2ad-4a15-b530-f407673f74ce</t>
  </si>
  <si>
    <t>610</t>
  </si>
  <si>
    <t>1954979d-6f15-4a4b-b182-9fdda71bb03b|WIDTHADD</t>
  </si>
  <si>
    <t>cd9dcfac-c3a7-40a3-9df6-01c4b20bb47e</t>
  </si>
  <si>
    <t>1954979d-6f15-4a4b-b182-9fdda71bb03b|ITEMHEIGHT</t>
  </si>
  <si>
    <t>d94f1750-2868-4aff-a6dc-1259ddc6f536</t>
  </si>
  <si>
    <t>1954979d-6f15-4a4b-b182-9fdda71bb03b|HEIGHTADD</t>
  </si>
  <si>
    <t>46de145b-a2a6-4252-a44e-fc7931d35f2a</t>
  </si>
  <si>
    <t>1954979d-6f15-4a4b-b182-9fdda71bb03b|FIT</t>
  </si>
  <si>
    <t>199b1344-33c6-4d1d-b5f4-4e76a4c21127</t>
  </si>
  <si>
    <t>1954979d-6f15-4a4b-b182-9fdda71bb03b|FIXING</t>
  </si>
  <si>
    <t>b9330a10-ef8f-48d3-9cd3-cb1537f862ce</t>
  </si>
  <si>
    <t>1954979d-6f15-4a4b-b182-9fdda71bb03b|STRIPECONFIG</t>
  </si>
  <si>
    <t>9aafee06-c0fb-4936-835f-1d89a2456d44</t>
  </si>
  <si>
    <t>1954979d-6f15-4a4b-b182-9fdda71bb03b|SLATSTRIPE</t>
  </si>
  <si>
    <t>7cdc5190-6d0c-4a3b-b71d-c5113c55e5b7</t>
  </si>
  <si>
    <t>1954979d-6f15-4a4b-b182-9fdda71bb03b|HEADBOXDETAILS</t>
  </si>
  <si>
    <t>254a6b16-7c22-415a-8bf7-0e69bef2f470</t>
  </si>
  <si>
    <t>1954979d-6f15-4a4b-b182-9fdda71bb03b|SIDEGUIDE</t>
  </si>
  <si>
    <t>bea0a178-a81e-4f1b-b286-ceca6997748d</t>
  </si>
  <si>
    <t>1954979d-6f15-4a4b-b182-9fdda71bb03b|SIDEGUIDECOLOUR</t>
  </si>
  <si>
    <t>7cdef23e-c511-46cb-a5fb-71140a3f3bbd</t>
  </si>
  <si>
    <t>1954979d-6f15-4a4b-b182-9fdda71bb03b|BRAILCOLOUR</t>
  </si>
  <si>
    <t>eb941f16-516a-4516-986c-219e86668546</t>
  </si>
  <si>
    <t>1954979d-6f15-4a4b-b182-9fdda71bb03b|CONTROLTYPE</t>
  </si>
  <si>
    <t>d4f6e2cc-cd70-48bd-baae-e9436fa2b4d3</t>
  </si>
  <si>
    <t>1954979d-6f15-4a4b-b182-9fdda71bb03b|CONTROLSIDE</t>
  </si>
  <si>
    <t>4b494dba-4355-45dc-82da-ede93aa8d803</t>
  </si>
  <si>
    <t>1954979d-6f15-4a4b-b182-9fdda71bb03b|CONTROLDETAILS</t>
  </si>
  <si>
    <t>93cc7260-ac7b-46e3-a988-cde512bb5eba</t>
  </si>
  <si>
    <t>1954979d-6f15-4a4b-b182-9fdda71bb03b|GUIDESTOPS</t>
  </si>
  <si>
    <t>4e2b07a7-3ef9-4ca1-942d-c5e9d9ed875e</t>
  </si>
  <si>
    <t>1954979d-6f15-4a4b-b182-9fdda71bb03b|INSTALLATION</t>
  </si>
  <si>
    <t>33135302-49cc-4b07-9856-51dae8dc96df</t>
  </si>
  <si>
    <t>1954979d-6f15-4a4b-b182-9fdda71bb03b|HANGHEIGHT</t>
  </si>
  <si>
    <t>c6dfb64e-e0ba-4da8-8460-9a0dbaf9630c</t>
  </si>
  <si>
    <t>1954979d-6f15-4a4b-b182-9fdda71bb03b|INSTALLG</t>
  </si>
  <si>
    <t>f651f1a3-0790-4c3a-913c-055bbfb3991e</t>
  </si>
  <si>
    <t>1954979d-6f15-4a4b-b182-9fdda71bb03b|TAKEDOWN</t>
  </si>
  <si>
    <t>42692a0f-da91-4778-ab3e-351f07b89160</t>
  </si>
  <si>
    <t>1954979d-6f15-4a4b-b182-9fdda71bb03b|CHECKM</t>
  </si>
  <si>
    <t>57f042a2-bd6b-4184-832c-8a5928453ea6</t>
  </si>
  <si>
    <t>1954979d-6f15-4a4b-b182-9fdda71bb03b|ELECTRICIAN</t>
  </si>
  <si>
    <t>ee926bab-d2f9-4c82-aea8-eee6e65ed532</t>
  </si>
  <si>
    <t>1954979d-6f15-4a4b-b182-9fdda71bb03b|HOUSECONSTRUCTION</t>
  </si>
  <si>
    <t>16153f5b-6f84-4367-b33b-d8ff6130739e</t>
  </si>
  <si>
    <t>1954979d-6f15-4a4b-b182-9fdda71bb03b|ROOF</t>
  </si>
  <si>
    <t>250363dd-2000-4c3f-8f05-1c63b1627d25</t>
  </si>
  <si>
    <t>1954979d-6f15-4a4b-b182-9fdda71bb03b|SWITCHBOARD</t>
  </si>
  <si>
    <t>cd8ea519-6f18-45ae-8a3d-f4ca17a51bb5</t>
  </si>
  <si>
    <t>1954979d-6f15-4a4b-b182-9fdda71bb03b|STOREYS</t>
  </si>
  <si>
    <t>9e863266-2128-4740-8ed2-ca79ea24d63f</t>
  </si>
  <si>
    <t>1954979d-6f15-4a4b-b182-9fdda71bb03b|STOREYSFIT</t>
  </si>
  <si>
    <t>28863152-0226-4428-91a1-ee6997bc807e</t>
  </si>
  <si>
    <t>1954979d-6f15-4a4b-b182-9fdda71bb03b|SIDEBYSIDE</t>
  </si>
  <si>
    <t>c7da6a46-5558-4a7a-b7c0-28b8397011d0</t>
  </si>
  <si>
    <t>3e6caa16-a590-4763-94c9-1f3a0bb0eade</t>
  </si>
  <si>
    <t>Bath</t>
  </si>
  <si>
    <t>3e6caa16-a590-4763-94c9-1f3a0bb0eade|DESCN</t>
  </si>
  <si>
    <t>5336f970-7a22-4894-8c3b-cab3b7f27943</t>
  </si>
  <si>
    <t>3e6caa16-a590-4763-94c9-1f3a0bb0eade|SIZE</t>
  </si>
  <si>
    <t>f8b5d3d0-c81b-4448-8a16-8b34d5cba796</t>
  </si>
  <si>
    <t>3e6caa16-a590-4763-94c9-1f3a0bb0eade|ITEMWIDTH</t>
  </si>
  <si>
    <t>f8a74885-96b1-4fe7-9e6c-f82b9972b4dc</t>
  </si>
  <si>
    <t>1454</t>
  </si>
  <si>
    <t>3e6caa16-a590-4763-94c9-1f3a0bb0eade|WIDTHADD</t>
  </si>
  <si>
    <t>cf883ab4-303e-400c-8686-71c2c76af5ef</t>
  </si>
  <si>
    <t>3e6caa16-a590-4763-94c9-1f3a0bb0eade|ITEMHEIGHT</t>
  </si>
  <si>
    <t>3a08f239-6626-4762-af2b-725c49818f9c</t>
  </si>
  <si>
    <t>1280</t>
  </si>
  <si>
    <t>3e6caa16-a590-4763-94c9-1f3a0bb0eade|HEIGHTADD</t>
  </si>
  <si>
    <t>2a30a50a-c344-4c17-8391-613a60ea4595</t>
  </si>
  <si>
    <t>3e6caa16-a590-4763-94c9-1f3a0bb0eade|FIT</t>
  </si>
  <si>
    <t>866fae3a-c0fd-42e7-86dd-708591194a28</t>
  </si>
  <si>
    <t>3e6caa16-a590-4763-94c9-1f3a0bb0eade|FIXING</t>
  </si>
  <si>
    <t>1057efef-ae06-49bd-aee4-ddf8b6eef60d</t>
  </si>
  <si>
    <t>3e6caa16-a590-4763-94c9-1f3a0bb0eade|STRIPECONFIG</t>
  </si>
  <si>
    <t>9cfee0f1-e43c-4555-9dfd-c721febc74fa</t>
  </si>
  <si>
    <t>3e6caa16-a590-4763-94c9-1f3a0bb0eade|SLATSTRIPE</t>
  </si>
  <si>
    <t>92980e18-bda5-4104-a1e9-e1235eff8180</t>
  </si>
  <si>
    <t>3e6caa16-a590-4763-94c9-1f3a0bb0eade|HEADBOXDETAILS</t>
  </si>
  <si>
    <t>be6ab77c-4b05-4937-97e7-a3c783f71cfa</t>
  </si>
  <si>
    <t>3e6caa16-a590-4763-94c9-1f3a0bb0eade|SIDEGUIDE</t>
  </si>
  <si>
    <t>6f26707f-6ff6-4888-8b56-3258be8478cd</t>
  </si>
  <si>
    <t>3e6caa16-a590-4763-94c9-1f3a0bb0eade|SIDEGUIDECOLOUR</t>
  </si>
  <si>
    <t>046fade6-688a-49cf-94d3-3489f565c3ff</t>
  </si>
  <si>
    <t>3e6caa16-a590-4763-94c9-1f3a0bb0eade|BRAILCOLOUR</t>
  </si>
  <si>
    <t>d561daf5-1aba-4a6f-90d5-5ead953ed1ed</t>
  </si>
  <si>
    <t>3e6caa16-a590-4763-94c9-1f3a0bb0eade|CONTROLTYPE</t>
  </si>
  <si>
    <t>2a401624-bfe7-4cfb-a250-20d5d543f877</t>
  </si>
  <si>
    <t>3e6caa16-a590-4763-94c9-1f3a0bb0eade|CONTROLSIDE</t>
  </si>
  <si>
    <t>6c2ab060-146a-44e7-a8dd-26c94940473d</t>
  </si>
  <si>
    <t>3e6caa16-a590-4763-94c9-1f3a0bb0eade|CONTROLDETAILS</t>
  </si>
  <si>
    <t>471468fa-144d-4e29-8e8c-ea480261f9cc</t>
  </si>
  <si>
    <t>3e6caa16-a590-4763-94c9-1f3a0bb0eade|GUIDESTOPS</t>
  </si>
  <si>
    <t>f7e8ff34-a4de-40bc-8eee-7b0f2b377783</t>
  </si>
  <si>
    <t>3e6caa16-a590-4763-94c9-1f3a0bb0eade|INSTALLATION</t>
  </si>
  <si>
    <t>f15d3f36-41b2-44d6-84b7-aad221240671</t>
  </si>
  <si>
    <t>3e6caa16-a590-4763-94c9-1f3a0bb0eade|HANGHEIGHT</t>
  </si>
  <si>
    <t>bc2270fc-514e-433f-90b8-6a7774ab79b3</t>
  </si>
  <si>
    <t>3e6caa16-a590-4763-94c9-1f3a0bb0eade|INSTALLG</t>
  </si>
  <si>
    <t>e0a396f3-9fc8-4825-91b8-973268930f15</t>
  </si>
  <si>
    <t>3e6caa16-a590-4763-94c9-1f3a0bb0eade|TAKEDOWN</t>
  </si>
  <si>
    <t>189c6324-721b-4deb-9eb7-766d3966e591</t>
  </si>
  <si>
    <t>3e6caa16-a590-4763-94c9-1f3a0bb0eade|CHECKM</t>
  </si>
  <si>
    <t>7e4f18ea-21f7-4235-8ebc-d0140f801b39</t>
  </si>
  <si>
    <t>3e6caa16-a590-4763-94c9-1f3a0bb0eade|ELECTRICIAN</t>
  </si>
  <si>
    <t>fdc2bf16-dd80-4872-b3b0-f7875bd1b292</t>
  </si>
  <si>
    <t>3e6caa16-a590-4763-94c9-1f3a0bb0eade|HOUSECONSTRUCTION</t>
  </si>
  <si>
    <t>f19bddd9-2fc2-4111-9219-743b51fc2d0a</t>
  </si>
  <si>
    <t>3e6caa16-a590-4763-94c9-1f3a0bb0eade|ROOF</t>
  </si>
  <si>
    <t>8a3b39ad-f6d4-438b-b020-c61c8c7a8555</t>
  </si>
  <si>
    <t>3e6caa16-a590-4763-94c9-1f3a0bb0eade|SWITCHBOARD</t>
  </si>
  <si>
    <t>f03b9059-46f2-4e6c-93c4-09937018ede3</t>
  </si>
  <si>
    <t>3e6caa16-a590-4763-94c9-1f3a0bb0eade|STOREYS</t>
  </si>
  <si>
    <t>ec30b90d-e156-4ee1-9be7-631f64ff0b83</t>
  </si>
  <si>
    <t>3e6caa16-a590-4763-94c9-1f3a0bb0eade|STOREYSFIT</t>
  </si>
  <si>
    <t>fe0e8df5-1bf7-4986-9566-275499b48a3d</t>
  </si>
  <si>
    <t>3e6caa16-a590-4763-94c9-1f3a0bb0eade|SIDEBYSIDE</t>
  </si>
  <si>
    <t>201801a9-b446-4e71-98ff-6f63dee47af8</t>
  </si>
  <si>
    <t>a9c67415-4eab-4217-b4b2-1a4d0289c4db</t>
  </si>
  <si>
    <t>Bed 2</t>
  </si>
  <si>
    <t>a9c67415-4eab-4217-b4b2-1a4d0289c4db|DESCN</t>
  </si>
  <si>
    <t>67d3eae2-cd55-488b-8b36-2a9fee05e67e</t>
  </si>
  <si>
    <t>a9c67415-4eab-4217-b4b2-1a4d0289c4db|SIZE</t>
  </si>
  <si>
    <t>254aeb40-64b0-4870-b8e3-3c7b57f8b3b8</t>
  </si>
  <si>
    <t>a9c67415-4eab-4217-b4b2-1a4d0289c4db|ITEMWIDTH</t>
  </si>
  <si>
    <t>f41145ee-6751-4009-84c0-2bdac9a13281</t>
  </si>
  <si>
    <t>a9c67415-4eab-4217-b4b2-1a4d0289c4db|WIDTHADD</t>
  </si>
  <si>
    <t>d7060faa-da7d-4ff4-8575-c55959b1fa16</t>
  </si>
  <si>
    <t>a9c67415-4eab-4217-b4b2-1a4d0289c4db|ITEMHEIGHT</t>
  </si>
  <si>
    <t>9f0437f3-f84a-42be-9646-531503076d06</t>
  </si>
  <si>
    <t>a9c67415-4eab-4217-b4b2-1a4d0289c4db|HEIGHTADD</t>
  </si>
  <si>
    <t>eb551494-4a4b-4670-b045-26a2e1e8fedf</t>
  </si>
  <si>
    <t>a9c67415-4eab-4217-b4b2-1a4d0289c4db|FIT</t>
  </si>
  <si>
    <t>8957be3d-a2df-4f24-8065-307ea6c85a83</t>
  </si>
  <si>
    <t>a9c67415-4eab-4217-b4b2-1a4d0289c4db|FIXING</t>
  </si>
  <si>
    <t>c1561f0c-2cf1-456d-bb26-497b09c66a4c</t>
  </si>
  <si>
    <t>a9c67415-4eab-4217-b4b2-1a4d0289c4db|STRIPECONFIG</t>
  </si>
  <si>
    <t>1cd6b6e5-a644-4776-86c5-61df0e7905d4</t>
  </si>
  <si>
    <t>a9c67415-4eab-4217-b4b2-1a4d0289c4db|SLATSTRIPE</t>
  </si>
  <si>
    <t>be2f945d-39f5-48ff-b27f-1adf14b836e4</t>
  </si>
  <si>
    <t>a9c67415-4eab-4217-b4b2-1a4d0289c4db|HEADBOXDETAILS</t>
  </si>
  <si>
    <t>a2a7508e-9c23-4c3b-87b5-dbaa48f2b123</t>
  </si>
  <si>
    <t>a9c67415-4eab-4217-b4b2-1a4d0289c4db|SIDEGUIDE</t>
  </si>
  <si>
    <t>0b9f35fd-25f6-4b4c-b5f7-96264fa71397</t>
  </si>
  <si>
    <t>a9c67415-4eab-4217-b4b2-1a4d0289c4db|SIDEGUIDECOLOUR</t>
  </si>
  <si>
    <t>bc8d14c5-73e2-4c52-889c-d74b8abbc763</t>
  </si>
  <si>
    <t>a9c67415-4eab-4217-b4b2-1a4d0289c4db|BRAILCOLOUR</t>
  </si>
  <si>
    <t>e3877cb4-b5ee-4199-b38d-11660c8a119f</t>
  </si>
  <si>
    <t>a9c67415-4eab-4217-b4b2-1a4d0289c4db|CONTROLTYPE</t>
  </si>
  <si>
    <t>1d09c208-de78-4ca2-801d-fc6736effd51</t>
  </si>
  <si>
    <t>a9c67415-4eab-4217-b4b2-1a4d0289c4db|CONTROLSIDE</t>
  </si>
  <si>
    <t>4c087c93-b985-490f-a624-245f0859d6dc</t>
  </si>
  <si>
    <t>a9c67415-4eab-4217-b4b2-1a4d0289c4db|CONTROLDETAILS</t>
  </si>
  <si>
    <t>eaf9d46a-6a13-4f58-9687-92fb111039c7</t>
  </si>
  <si>
    <t>a9c67415-4eab-4217-b4b2-1a4d0289c4db|GUIDESTOPS</t>
  </si>
  <si>
    <t>350a419c-1503-48db-b343-95954bef998d</t>
  </si>
  <si>
    <t>a9c67415-4eab-4217-b4b2-1a4d0289c4db|INSTALLATION</t>
  </si>
  <si>
    <t>351dbea4-2f80-4ffb-9c94-62d647f8a8e7</t>
  </si>
  <si>
    <t>a9c67415-4eab-4217-b4b2-1a4d0289c4db|HANGHEIGHT</t>
  </si>
  <si>
    <t>305e6958-4146-4d72-a016-7cb61675a245</t>
  </si>
  <si>
    <t>a9c67415-4eab-4217-b4b2-1a4d0289c4db|INSTALLG</t>
  </si>
  <si>
    <t>ead6cde7-3a43-439c-8ba3-738359ba614f</t>
  </si>
  <si>
    <t>a9c67415-4eab-4217-b4b2-1a4d0289c4db|TAKEDOWN</t>
  </si>
  <si>
    <t>3e7af8ec-5ce4-471f-9b1d-afeefc10c46b</t>
  </si>
  <si>
    <t>a9c67415-4eab-4217-b4b2-1a4d0289c4db|CHECKM</t>
  </si>
  <si>
    <t>019023b2-a529-4f59-9588-06c32e2a3953</t>
  </si>
  <si>
    <t>a9c67415-4eab-4217-b4b2-1a4d0289c4db|ELECTRICIAN</t>
  </si>
  <si>
    <t>a4999aeb-6707-4cf8-bbea-96e4dec8e11b</t>
  </si>
  <si>
    <t>a9c67415-4eab-4217-b4b2-1a4d0289c4db|HOUSECONSTRUCTION</t>
  </si>
  <si>
    <t>9867fabd-1ab4-4386-b9e6-2747275b72dc</t>
  </si>
  <si>
    <t>a9c67415-4eab-4217-b4b2-1a4d0289c4db|ROOF</t>
  </si>
  <si>
    <t>cc5da3fd-7e7e-4d67-a9b3-c8b47de604cc</t>
  </si>
  <si>
    <t>a9c67415-4eab-4217-b4b2-1a4d0289c4db|SWITCHBOARD</t>
  </si>
  <si>
    <t>a71b083b-bd6e-4326-aec2-fdbe93786975</t>
  </si>
  <si>
    <t>a9c67415-4eab-4217-b4b2-1a4d0289c4db|STOREYS</t>
  </si>
  <si>
    <t>9cd6bd93-d413-49f0-b335-8aeb31e81a44</t>
  </si>
  <si>
    <t>a9c67415-4eab-4217-b4b2-1a4d0289c4db|STOREYSFIT</t>
  </si>
  <si>
    <t>4660a6be-7d8e-4ec1-9edc-c7bb0c7a251a</t>
  </si>
  <si>
    <t>a9c67415-4eab-4217-b4b2-1a4d0289c4db|SIDEBYSIDE</t>
  </si>
  <si>
    <t>bd1fa6cc-c503-4bf9-b236-e823af602fce</t>
  </si>
  <si>
    <t>e3b07edc-5054-492d-9778-01fb4a38bf79</t>
  </si>
  <si>
    <t>Bed 3</t>
  </si>
  <si>
    <t>RLSHM584T60</t>
  </si>
  <si>
    <t>RLSH 42mm Standard Slat Dune</t>
  </si>
  <si>
    <t>e3b07edc-5054-492d-9778-01fb4a38bf79|DESCN</t>
  </si>
  <si>
    <t>47e5cdbb-c4d4-4efc-88be-ccfd23002c2d</t>
  </si>
  <si>
    <t>e3b07edc-5054-492d-9778-01fb4a38bf79|SIZE</t>
  </si>
  <si>
    <t>032df7e7-3962-4c52-9a6b-44b908c1ed78</t>
  </si>
  <si>
    <t>e3b07edc-5054-492d-9778-01fb4a38bf79|ITEMWIDTH</t>
  </si>
  <si>
    <t>f94d49c5-7882-405b-877c-9ff2e29b808e</t>
  </si>
  <si>
    <t>1812</t>
  </si>
  <si>
    <t>e3b07edc-5054-492d-9778-01fb4a38bf79|WIDTHADD</t>
  </si>
  <si>
    <t>bce80c79-ca6d-4c06-80a9-1c90d2c6911f</t>
  </si>
  <si>
    <t>e3b07edc-5054-492d-9778-01fb4a38bf79|ITEMHEIGHT</t>
  </si>
  <si>
    <t>dd3c9d44-5a76-4968-b1b5-f134f2acf4cc</t>
  </si>
  <si>
    <t>e3b07edc-5054-492d-9778-01fb4a38bf79|HEIGHTADD</t>
  </si>
  <si>
    <t>51125335-7b27-4635-a9a6-c7b6409cdd20</t>
  </si>
  <si>
    <t>e3b07edc-5054-492d-9778-01fb4a38bf79|FIT</t>
  </si>
  <si>
    <t>7d7dd799-139a-4f8c-8e4c-649a98bf1bec</t>
  </si>
  <si>
    <t>e3b07edc-5054-492d-9778-01fb4a38bf79|FIXING</t>
  </si>
  <si>
    <t>ffd319ac-c258-4916-912f-503838ea9668</t>
  </si>
  <si>
    <t>e3b07edc-5054-492d-9778-01fb4a38bf79|STRIPECONFIG</t>
  </si>
  <si>
    <t>5bef1d72-6ef4-49cb-9eea-23a37d4453d9</t>
  </si>
  <si>
    <t>e3b07edc-5054-492d-9778-01fb4a38bf79|SLATSTRIPE</t>
  </si>
  <si>
    <t>7413c1e9-09f8-46a4-8dc1-984e21539a07</t>
  </si>
  <si>
    <t>e3b07edc-5054-492d-9778-01fb4a38bf79|HEADBOXDETAILS</t>
  </si>
  <si>
    <t>ef667b79-3381-4ca5-835c-fb362e14d149</t>
  </si>
  <si>
    <t>e3b07edc-5054-492d-9778-01fb4a38bf79|SIDEGUIDE</t>
  </si>
  <si>
    <t>cef36e81-5d98-4d5d-aa49-dbf044a139ce</t>
  </si>
  <si>
    <t>e3b07edc-5054-492d-9778-01fb4a38bf79|SIDEGUIDECOLOUR</t>
  </si>
  <si>
    <t>1d0e577e-6bbb-43ef-95d2-ad8daca30782</t>
  </si>
  <si>
    <t>e3b07edc-5054-492d-9778-01fb4a38bf79|BRAILCOLOUR</t>
  </si>
  <si>
    <t>950c0a38-53fb-4f00-80f0-d6101a1766ac</t>
  </si>
  <si>
    <t>e3b07edc-5054-492d-9778-01fb4a38bf79|CONTROLTYPE</t>
  </si>
  <si>
    <t>1e10edd2-80f2-464c-8751-88c9cf22dd1c</t>
  </si>
  <si>
    <t>e3b07edc-5054-492d-9778-01fb4a38bf79|CONTROLSIDE</t>
  </si>
  <si>
    <t>1015bedb-13d3-4dae-a203-16787a917a9b</t>
  </si>
  <si>
    <t>e3b07edc-5054-492d-9778-01fb4a38bf79|CONTROLDETAILS</t>
  </si>
  <si>
    <t>f33d43a6-3199-42b8-b00d-8da070f8cda0</t>
  </si>
  <si>
    <t>e3b07edc-5054-492d-9778-01fb4a38bf79|GUIDESTOPS</t>
  </si>
  <si>
    <t>203db659-536c-438d-9aad-df14abbfade3</t>
  </si>
  <si>
    <t>e3b07edc-5054-492d-9778-01fb4a38bf79|INSTALLATION</t>
  </si>
  <si>
    <t>1f05ffed-7150-4d33-8035-c8cda67fb8ab</t>
  </si>
  <si>
    <t>e3b07edc-5054-492d-9778-01fb4a38bf79|HANGHEIGHT</t>
  </si>
  <si>
    <t>9155a5a2-3830-41e3-9892-543e8fad995c</t>
  </si>
  <si>
    <t>e3b07edc-5054-492d-9778-01fb4a38bf79|INSTALLG</t>
  </si>
  <si>
    <t>9b2ea8a8-438b-4954-b45b-6f8a64994053</t>
  </si>
  <si>
    <t>e3b07edc-5054-492d-9778-01fb4a38bf79|TAKEDOWN</t>
  </si>
  <si>
    <t>809bd407-fb1b-41ab-9bb8-792cab5d1f7e</t>
  </si>
  <si>
    <t>e3b07edc-5054-492d-9778-01fb4a38bf79|CHECKM</t>
  </si>
  <si>
    <t>2b42070b-6875-4076-80e4-00a72570d0a5</t>
  </si>
  <si>
    <t>e3b07edc-5054-492d-9778-01fb4a38bf79|ELECTRICIAN</t>
  </si>
  <si>
    <t>cc80e651-5d07-43d7-a5c2-2242d4b31e99</t>
  </si>
  <si>
    <t>e3b07edc-5054-492d-9778-01fb4a38bf79|HOUSECONSTRUCTION</t>
  </si>
  <si>
    <t>55bda0f3-265d-4279-bacc-cf78720fe1e5</t>
  </si>
  <si>
    <t>e3b07edc-5054-492d-9778-01fb4a38bf79|ROOF</t>
  </si>
  <si>
    <t>deeef63c-7666-47f9-9ad6-cc04914df3bd</t>
  </si>
  <si>
    <t>e3b07edc-5054-492d-9778-01fb4a38bf79|SWITCHBOARD</t>
  </si>
  <si>
    <t>9e3f5c71-eed5-45a3-ae2f-7d4e4fbfbf7b</t>
  </si>
  <si>
    <t>e3b07edc-5054-492d-9778-01fb4a38bf79|STOREYS</t>
  </si>
  <si>
    <t>805abb16-daee-40e3-951b-ff224af0e234</t>
  </si>
  <si>
    <t>e3b07edc-5054-492d-9778-01fb4a38bf79|STOREYSFIT</t>
  </si>
  <si>
    <t>a93a71a2-b6a0-44fe-91e8-7fd6e1dfa6e7</t>
  </si>
  <si>
    <t>e3b07edc-5054-492d-9778-01fb4a38bf79|SIDEBYSIDE</t>
  </si>
  <si>
    <t>541c60a4-a93e-4afe-a966-bf4182b2b464</t>
  </si>
  <si>
    <t>294ec06b-9658-498e-9716-a0b090062aad</t>
  </si>
  <si>
    <t>Rumpus</t>
  </si>
  <si>
    <t>294ec06b-9658-498e-9716-a0b090062aad|DESCN</t>
  </si>
  <si>
    <t>d0adaf57-c7ba-4994-ac74-2e7dbfe97f17</t>
  </si>
  <si>
    <t>294ec06b-9658-498e-9716-a0b090062aad|SIZE</t>
  </si>
  <si>
    <t>ec543db6-caad-4bcc-bd1b-dfc497936c56</t>
  </si>
  <si>
    <t>294ec06b-9658-498e-9716-a0b090062aad|ITEMWIDTH</t>
  </si>
  <si>
    <t>6b4961ad-7f57-4bc7-a647-fccdc9803e24</t>
  </si>
  <si>
    <t>294ec06b-9658-498e-9716-a0b090062aad|WIDTHADD</t>
  </si>
  <si>
    <t>98f36738-cb36-4465-9cef-2ce015ddaba9</t>
  </si>
  <si>
    <t>294ec06b-9658-498e-9716-a0b090062aad|ITEMHEIGHT</t>
  </si>
  <si>
    <t>5136a8e1-6d87-4140-a1f8-af940359bfaf</t>
  </si>
  <si>
    <t>294ec06b-9658-498e-9716-a0b090062aad|HEIGHTADD</t>
  </si>
  <si>
    <t>44997483-f446-47fc-a063-fa8500a0ee0a</t>
  </si>
  <si>
    <t>294ec06b-9658-498e-9716-a0b090062aad|FIT</t>
  </si>
  <si>
    <t>b1022051-8af6-4235-8664-0eb1112b11e1</t>
  </si>
  <si>
    <t>294ec06b-9658-498e-9716-a0b090062aad|FIXING</t>
  </si>
  <si>
    <t>2e3d6ad5-b41b-44a6-940d-b984aa39a840</t>
  </si>
  <si>
    <t>294ec06b-9658-498e-9716-a0b090062aad|STRIPECONFIG</t>
  </si>
  <si>
    <t>afc7bf3e-6265-4fdb-9531-5faa9aab42c8</t>
  </si>
  <si>
    <t>294ec06b-9658-498e-9716-a0b090062aad|SLATSTRIPE</t>
  </si>
  <si>
    <t>e28efc37-4411-43fd-bf4f-5249e9cac8c0</t>
  </si>
  <si>
    <t>294ec06b-9658-498e-9716-a0b090062aad|HEADBOXDETAILS</t>
  </si>
  <si>
    <t>15dedf81-2b53-44d5-8d62-3637026b15c0</t>
  </si>
  <si>
    <t>294ec06b-9658-498e-9716-a0b090062aad|SIDEGUIDE</t>
  </si>
  <si>
    <t>61e5e313-6ed9-49e6-a815-e09de54a147c</t>
  </si>
  <si>
    <t>294ec06b-9658-498e-9716-a0b090062aad|SIDEGUIDECOLOUR</t>
  </si>
  <si>
    <t>52394d09-d9ec-4594-b262-c76c21547eb2</t>
  </si>
  <si>
    <t>294ec06b-9658-498e-9716-a0b090062aad|BRAILCOLOUR</t>
  </si>
  <si>
    <t>1889f0e7-cdde-4acd-8d96-147b177348e7</t>
  </si>
  <si>
    <t>294ec06b-9658-498e-9716-a0b090062aad|CONTROLTYPE</t>
  </si>
  <si>
    <t>05a70613-4c03-4530-a5dc-288bd7c5a204</t>
  </si>
  <si>
    <t>294ec06b-9658-498e-9716-a0b090062aad|CONTROLSIDE</t>
  </si>
  <si>
    <t>77d1844a-4dad-45b2-8d4b-6a6101809883</t>
  </si>
  <si>
    <t>294ec06b-9658-498e-9716-a0b090062aad|CONTROLDETAILS</t>
  </si>
  <si>
    <t>2aa5fede-b4e5-48ed-b4d7-4c3d80b01861</t>
  </si>
  <si>
    <t>294ec06b-9658-498e-9716-a0b090062aad|GUIDESTOPS</t>
  </si>
  <si>
    <t>ee4b9054-db6f-41c2-99ac-84098fa3c3f3</t>
  </si>
  <si>
    <t>294ec06b-9658-498e-9716-a0b090062aad|INSTALLATION</t>
  </si>
  <si>
    <t>abbc0dfc-cef9-4e59-9d00-869abb830e5b</t>
  </si>
  <si>
    <t>294ec06b-9658-498e-9716-a0b090062aad|HANGHEIGHT</t>
  </si>
  <si>
    <t>67942b9a-0bdc-4082-993d-a9f40ec5e081</t>
  </si>
  <si>
    <t>294ec06b-9658-498e-9716-a0b090062aad|INSTALLG</t>
  </si>
  <si>
    <t>d09e06ca-53cf-43db-9b5c-ac3c2e6b3a2f</t>
  </si>
  <si>
    <t>294ec06b-9658-498e-9716-a0b090062aad|TAKEDOWN</t>
  </si>
  <si>
    <t>6b4b2084-a8e4-46b3-8085-770a5f7aa9d9</t>
  </si>
  <si>
    <t>294ec06b-9658-498e-9716-a0b090062aad|CHECKM</t>
  </si>
  <si>
    <t>4da5ff73-81c1-4073-8a30-db8da4b99b8d</t>
  </si>
  <si>
    <t>294ec06b-9658-498e-9716-a0b090062aad|ELECTRICIAN</t>
  </si>
  <si>
    <t>cbb77a7c-c51a-47ac-a313-3636db662257</t>
  </si>
  <si>
    <t>294ec06b-9658-498e-9716-a0b090062aad|HOUSECONSTRUCTION</t>
  </si>
  <si>
    <t>7b777480-d9fa-4a79-aca3-822ecde59736</t>
  </si>
  <si>
    <t>294ec06b-9658-498e-9716-a0b090062aad|ROOF</t>
  </si>
  <si>
    <t>88b550b6-1076-484d-9733-eca4796cfbe0</t>
  </si>
  <si>
    <t>294ec06b-9658-498e-9716-a0b090062aad|SWITCHBOARD</t>
  </si>
  <si>
    <t>64f72d62-803e-4831-8f1f-28882960896a</t>
  </si>
  <si>
    <t>294ec06b-9658-498e-9716-a0b090062aad|STOREYS</t>
  </si>
  <si>
    <t>73d84e1c-3759-45c4-b84a-a33775181fbf</t>
  </si>
  <si>
    <t>294ec06b-9658-498e-9716-a0b090062aad|STOREYSFIT</t>
  </si>
  <si>
    <t>30c63ee5-11c6-49fa-89d2-e29d38757115</t>
  </si>
  <si>
    <t>294ec06b-9658-498e-9716-a0b090062aad|SIDEBYSIDE</t>
  </si>
  <si>
    <t>17a742a1-83a5-459e-b80b-dd478c4b1668</t>
  </si>
  <si>
    <t>436134e2-773b-457f-bfe9-dd08f3b7ed4b</t>
  </si>
  <si>
    <t>Bed 4</t>
  </si>
  <si>
    <t>436134e2-773b-457f-bfe9-dd08f3b7ed4b|DESCN</t>
  </si>
  <si>
    <t>b99af25b-2684-4c03-a609-957444b5a07c</t>
  </si>
  <si>
    <t>436134e2-773b-457f-bfe9-dd08f3b7ed4b|SIZE</t>
  </si>
  <si>
    <t>6f4ffc2a-c15d-4ecb-87ae-fca9cf9ff946</t>
  </si>
  <si>
    <t>436134e2-773b-457f-bfe9-dd08f3b7ed4b|ITEMWIDTH</t>
  </si>
  <si>
    <t>d7ac7968-0348-4153-888c-03a73b401afa</t>
  </si>
  <si>
    <t>1811</t>
  </si>
  <si>
    <t>436134e2-773b-457f-bfe9-dd08f3b7ed4b|WIDTHADD</t>
  </si>
  <si>
    <t>2f385d4e-5b35-445b-a827-0ae66214061d</t>
  </si>
  <si>
    <t>436134e2-773b-457f-bfe9-dd08f3b7ed4b|ITEMHEIGHT</t>
  </si>
  <si>
    <t>fcab1533-491e-42b0-93c7-b5c70e3fbcca</t>
  </si>
  <si>
    <t>436134e2-773b-457f-bfe9-dd08f3b7ed4b|HEIGHTADD</t>
  </si>
  <si>
    <t>b8a1e30d-8264-4ed5-833e-194e127aadf2</t>
  </si>
  <si>
    <t>436134e2-773b-457f-bfe9-dd08f3b7ed4b|FIT</t>
  </si>
  <si>
    <t>d187ba5a-ce4a-4b13-9c8e-f020aaefb485</t>
  </si>
  <si>
    <t>436134e2-773b-457f-bfe9-dd08f3b7ed4b|FIXING</t>
  </si>
  <si>
    <t>13cd9254-8cfb-4ebc-8a42-d5c8482a4ce2</t>
  </si>
  <si>
    <t>436134e2-773b-457f-bfe9-dd08f3b7ed4b|STRIPECONFIG</t>
  </si>
  <si>
    <t>bc01f795-4368-47ae-9b18-48e90266dde7</t>
  </si>
  <si>
    <t>436134e2-773b-457f-bfe9-dd08f3b7ed4b|SLATSTRIPE</t>
  </si>
  <si>
    <t>562a10da-da4d-4aaf-9c76-59a7ad015f42</t>
  </si>
  <si>
    <t>436134e2-773b-457f-bfe9-dd08f3b7ed4b|HEADBOXDETAILS</t>
  </si>
  <si>
    <t>20c27421-c4eb-4a6e-9f47-a42630f62cb9</t>
  </si>
  <si>
    <t>436134e2-773b-457f-bfe9-dd08f3b7ed4b|SIDEGUIDE</t>
  </si>
  <si>
    <t>d4ada49f-b19c-4ee0-9711-67479ad0c588</t>
  </si>
  <si>
    <t>436134e2-773b-457f-bfe9-dd08f3b7ed4b|SIDEGUIDECOLOUR</t>
  </si>
  <si>
    <t>4b1ab6af-6a25-43ba-ad3b-494f486426ed</t>
  </si>
  <si>
    <t>436134e2-773b-457f-bfe9-dd08f3b7ed4b|BRAILCOLOUR</t>
  </si>
  <si>
    <t>8e2b3284-0bb5-4322-a6b5-8d777f9986db</t>
  </si>
  <si>
    <t>436134e2-773b-457f-bfe9-dd08f3b7ed4b|CONTROLTYPE</t>
  </si>
  <si>
    <t>5c732095-f36e-440f-84c1-e79a15c90493</t>
  </si>
  <si>
    <t>436134e2-773b-457f-bfe9-dd08f3b7ed4b|CONTROLSIDE</t>
  </si>
  <si>
    <t>4405d9c3-585a-41ad-8ebe-d510950ff28e</t>
  </si>
  <si>
    <t>436134e2-773b-457f-bfe9-dd08f3b7ed4b|CONTROLDETAILS</t>
  </si>
  <si>
    <t>a227b13c-97b2-4223-a3cd-e825d82cfa2f</t>
  </si>
  <si>
    <t>436134e2-773b-457f-bfe9-dd08f3b7ed4b|GUIDESTOPS</t>
  </si>
  <si>
    <t>077036b5-6edf-497c-bda1-4b3170bab5ba</t>
  </si>
  <si>
    <t>436134e2-773b-457f-bfe9-dd08f3b7ed4b|INSTALLATION</t>
  </si>
  <si>
    <t>8ed4c52b-7a2a-4ffc-9806-df1a957fdb23</t>
  </si>
  <si>
    <t>436134e2-773b-457f-bfe9-dd08f3b7ed4b|HANGHEIGHT</t>
  </si>
  <si>
    <t>ccec89a9-07d5-4f94-8d43-7a169bcff477</t>
  </si>
  <si>
    <t>436134e2-773b-457f-bfe9-dd08f3b7ed4b|INSTALLG</t>
  </si>
  <si>
    <t>ff98fabe-5dd4-47b6-8d77-93b1673bb3ee</t>
  </si>
  <si>
    <t>436134e2-773b-457f-bfe9-dd08f3b7ed4b|TAKEDOWN</t>
  </si>
  <si>
    <t>52ae60ea-1446-4ff4-a747-ae04d5297692</t>
  </si>
  <si>
    <t>436134e2-773b-457f-bfe9-dd08f3b7ed4b|CHECKM</t>
  </si>
  <si>
    <t>26c95016-b0c4-466c-a96e-f994f48933d9</t>
  </si>
  <si>
    <t>436134e2-773b-457f-bfe9-dd08f3b7ed4b|ELECTRICIAN</t>
  </si>
  <si>
    <t>7d13b834-1097-4e47-99f5-3bb316c17274</t>
  </si>
  <si>
    <t>436134e2-773b-457f-bfe9-dd08f3b7ed4b|HOUSECONSTRUCTION</t>
  </si>
  <si>
    <t>a7a94916-7b20-4963-8cf5-bb4ca4949acb</t>
  </si>
  <si>
    <t>436134e2-773b-457f-bfe9-dd08f3b7ed4b|ROOF</t>
  </si>
  <si>
    <t>5ee86513-dbad-4606-8611-f7f19ee19e6d</t>
  </si>
  <si>
    <t>436134e2-773b-457f-bfe9-dd08f3b7ed4b|SWITCHBOARD</t>
  </si>
  <si>
    <t>a05e23b6-f02c-420d-a825-72919145ba71</t>
  </si>
  <si>
    <t>436134e2-773b-457f-bfe9-dd08f3b7ed4b|STOREYS</t>
  </si>
  <si>
    <t>c5126336-238b-420b-b848-33bb0eea4bd9</t>
  </si>
  <si>
    <t>436134e2-773b-457f-bfe9-dd08f3b7ed4b|STOREYSFIT</t>
  </si>
  <si>
    <t>dcca30dc-c969-48eb-a54b-b0aecd35b761</t>
  </si>
  <si>
    <t>436134e2-773b-457f-bfe9-dd08f3b7ed4b|SIDEBYSIDE</t>
  </si>
  <si>
    <t>e1357f6e-cf62-48f3-a2ce-da6de3ff6b39</t>
  </si>
  <si>
    <t>27178a26-cd4b-4d00-a4f3-d10fce9b32e5</t>
  </si>
  <si>
    <t>Slider</t>
  </si>
  <si>
    <t>27178a26-cd4b-4d00-a4f3-d10fce9b32e5|DESCN</t>
  </si>
  <si>
    <t>455189ac-f6d8-4e26-ba6a-d7867eed74c5</t>
  </si>
  <si>
    <t>27178a26-cd4b-4d00-a4f3-d10fce9b32e5|SIZE</t>
  </si>
  <si>
    <t>d1b957b8-bd58-4d6b-afc7-3c66b71fde9e</t>
  </si>
  <si>
    <t>27178a26-cd4b-4d00-a4f3-d10fce9b32e5|ITEMWIDTH</t>
  </si>
  <si>
    <t>6ebb55d9-9e5c-4432-9900-e7482552be1e</t>
  </si>
  <si>
    <t>27178a26-cd4b-4d00-a4f3-d10fce9b32e5|WIDTHADD</t>
  </si>
  <si>
    <t>906e45cb-ea8f-4e85-9d33-fea191e05ae7</t>
  </si>
  <si>
    <t>27178a26-cd4b-4d00-a4f3-d10fce9b32e5|ITEMHEIGHT</t>
  </si>
  <si>
    <t>7177dc8c-4e9a-426e-b13a-30a788a0dca8</t>
  </si>
  <si>
    <t>2390</t>
  </si>
  <si>
    <t>27178a26-cd4b-4d00-a4f3-d10fce9b32e5|HEIGHTADD</t>
  </si>
  <si>
    <t>e94d5f39-d9b3-4ce2-acd0-3b76d59cbe14</t>
  </si>
  <si>
    <t>27178a26-cd4b-4d00-a4f3-d10fce9b32e5|FIT</t>
  </si>
  <si>
    <t>46d0f208-5420-41b5-852b-19556c633092</t>
  </si>
  <si>
    <t>27178a26-cd4b-4d00-a4f3-d10fce9b32e5|FIXING</t>
  </si>
  <si>
    <t>c4d695e2-4271-4cc2-a36a-ee4dcb1aa9c8</t>
  </si>
  <si>
    <t>27178a26-cd4b-4d00-a4f3-d10fce9b32e5|STRIPECONFIG</t>
  </si>
  <si>
    <t>f1d88d1d-00a9-46d8-b716-7d6c0ee48d6a</t>
  </si>
  <si>
    <t>27178a26-cd4b-4d00-a4f3-d10fce9b32e5|SLATSTRIPE</t>
  </si>
  <si>
    <t>37532b89-6527-4681-afbf-6527efc9c89a</t>
  </si>
  <si>
    <t>27178a26-cd4b-4d00-a4f3-d10fce9b32e5|HEADBOXDETAILS</t>
  </si>
  <si>
    <t>36eec4d4-631b-4275-b4a0-07b74ed43035</t>
  </si>
  <si>
    <t>27178a26-cd4b-4d00-a4f3-d10fce9b32e5|SIDEGUIDE</t>
  </si>
  <si>
    <t>4333ae75-b44e-4f1e-ba17-4b1572c22c7a</t>
  </si>
  <si>
    <t>27178a26-cd4b-4d00-a4f3-d10fce9b32e5|SIDEGUIDECOLOUR</t>
  </si>
  <si>
    <t>ba08d38f-935a-47ca-961b-cece8f95b8b3</t>
  </si>
  <si>
    <t>27178a26-cd4b-4d00-a4f3-d10fce9b32e5|BRAILCOLOUR</t>
  </si>
  <si>
    <t>34f367b9-1810-4a80-8483-769c5aa63926</t>
  </si>
  <si>
    <t>27178a26-cd4b-4d00-a4f3-d10fce9b32e5|CONTROLTYPE</t>
  </si>
  <si>
    <t>a210ee3d-67d1-47a0-9130-33f4e2f2abcb</t>
  </si>
  <si>
    <t>27178a26-cd4b-4d00-a4f3-d10fce9b32e5|CONTROLSIDE</t>
  </si>
  <si>
    <t>4076ee07-f6d1-4d95-81b9-c0f395644b8c</t>
  </si>
  <si>
    <t>27178a26-cd4b-4d00-a4f3-d10fce9b32e5|CONTROLDETAILS</t>
  </si>
  <si>
    <t>7b28c236-e1fe-4290-8275-88af37465e35</t>
  </si>
  <si>
    <t>27178a26-cd4b-4d00-a4f3-d10fce9b32e5|GUIDESTOPS</t>
  </si>
  <si>
    <t>8f388e10-76ae-4bf0-9b75-a6da119448e7</t>
  </si>
  <si>
    <t>27178a26-cd4b-4d00-a4f3-d10fce9b32e5|INSTALLATION</t>
  </si>
  <si>
    <t>488e6b20-db9e-4607-9971-9b060cab0a7b</t>
  </si>
  <si>
    <t>27178a26-cd4b-4d00-a4f3-d10fce9b32e5|HANGHEIGHT</t>
  </si>
  <si>
    <t>3f0d2d67-e384-4068-b486-d91f71a4d785</t>
  </si>
  <si>
    <t>27178a26-cd4b-4d00-a4f3-d10fce9b32e5|INSTALLG</t>
  </si>
  <si>
    <t>604d676a-a41f-4335-8d38-8be1ed379787</t>
  </si>
  <si>
    <t>27178a26-cd4b-4d00-a4f3-d10fce9b32e5|TAKEDOWN</t>
  </si>
  <si>
    <t>3a493761-3c71-433d-9837-05151e011097</t>
  </si>
  <si>
    <t>27178a26-cd4b-4d00-a4f3-d10fce9b32e5|CHECKM</t>
  </si>
  <si>
    <t>a0d868ce-4316-49be-8ff6-7de27b30c647</t>
  </si>
  <si>
    <t>27178a26-cd4b-4d00-a4f3-d10fce9b32e5|ELECTRICIAN</t>
  </si>
  <si>
    <t>5e6de52a-0e67-4082-8fd8-832256348b0e</t>
  </si>
  <si>
    <t>27178a26-cd4b-4d00-a4f3-d10fce9b32e5|HOUSECONSTRUCTION</t>
  </si>
  <si>
    <t>ec2cfd8c-477a-424a-8dce-a80212764e73</t>
  </si>
  <si>
    <t>27178a26-cd4b-4d00-a4f3-d10fce9b32e5|ROOF</t>
  </si>
  <si>
    <t>1f1986ae-e0a7-4918-b075-902f14c5a589</t>
  </si>
  <si>
    <t>27178a26-cd4b-4d00-a4f3-d10fce9b32e5|SWITCHBOARD</t>
  </si>
  <si>
    <t>b2f5e745-75c2-4166-b8d0-ee4462624841</t>
  </si>
  <si>
    <t>27178a26-cd4b-4d00-a4f3-d10fce9b32e5|STOREYS</t>
  </si>
  <si>
    <t>3c99d5d6-db21-42e5-bff4-e37ef088531d</t>
  </si>
  <si>
    <t>27178a26-cd4b-4d00-a4f3-d10fce9b32e5|STOREYSFIT</t>
  </si>
  <si>
    <t>287522b4-5c01-4f89-980c-78546b2bda59</t>
  </si>
  <si>
    <t>27178a26-cd4b-4d00-a4f3-d10fce9b32e5|SIDEBYSIDE</t>
  </si>
  <si>
    <t>b4aeeca9-4ee3-475f-965b-e498a949a7c4</t>
  </si>
  <si>
    <t>e0edfadd-f7a2-4879-b2f0-d85fcdcef911</t>
  </si>
  <si>
    <t>Lounge</t>
  </si>
  <si>
    <t>e0edfadd-f7a2-4879-b2f0-d85fcdcef911|DESCN</t>
  </si>
  <si>
    <t>790dbc79-ead8-4640-b605-b92fd20ad02d</t>
  </si>
  <si>
    <t>e0edfadd-f7a2-4879-b2f0-d85fcdcef911|SIZE</t>
  </si>
  <si>
    <t>21821b51-c445-4a12-a596-8a6fb1f52f63</t>
  </si>
  <si>
    <t>e0edfadd-f7a2-4879-b2f0-d85fcdcef911|ITEMWIDTH</t>
  </si>
  <si>
    <t>4fc0acd8-b695-43d1-b62b-af6467e306f7</t>
  </si>
  <si>
    <t>e0edfadd-f7a2-4879-b2f0-d85fcdcef911|WIDTHADD</t>
  </si>
  <si>
    <t>cd964e23-392d-47ad-a72c-5021e1f39f37</t>
  </si>
  <si>
    <t>e0edfadd-f7a2-4879-b2f0-d85fcdcef911|ITEMHEIGHT</t>
  </si>
  <si>
    <t>7516e036-1fa3-448f-b6b0-6d45f9c602ff</t>
  </si>
  <si>
    <t>e0edfadd-f7a2-4879-b2f0-d85fcdcef911|HEIGHTADD</t>
  </si>
  <si>
    <t>80df3ed3-0fd8-4105-8081-a96947133f2f</t>
  </si>
  <si>
    <t>e0edfadd-f7a2-4879-b2f0-d85fcdcef911|FIT</t>
  </si>
  <si>
    <t>8ae8b1c6-b340-464a-bb31-e5298ad01761</t>
  </si>
  <si>
    <t>e0edfadd-f7a2-4879-b2f0-d85fcdcef911|FIXING</t>
  </si>
  <si>
    <t>3a832803-ae72-46e9-b101-12e85d90e013</t>
  </si>
  <si>
    <t>e0edfadd-f7a2-4879-b2f0-d85fcdcef911|STRIPECONFIG</t>
  </si>
  <si>
    <t>31e02d69-cc20-45c5-a19a-5edba553fcc8</t>
  </si>
  <si>
    <t>e0edfadd-f7a2-4879-b2f0-d85fcdcef911|SLATSTRIPE</t>
  </si>
  <si>
    <t>d033a993-0a02-46d3-9b2f-b1a31a0f2eac</t>
  </si>
  <si>
    <t>e0edfadd-f7a2-4879-b2f0-d85fcdcef911|HEADBOXDETAILS</t>
  </si>
  <si>
    <t>0d87c518-7177-42b0-8ddb-6a18bf577bc1</t>
  </si>
  <si>
    <t>e0edfadd-f7a2-4879-b2f0-d85fcdcef911|SIDEGUIDE</t>
  </si>
  <si>
    <t>a77c2744-2102-4802-824e-b78c69d585e7</t>
  </si>
  <si>
    <t>e0edfadd-f7a2-4879-b2f0-d85fcdcef911|SIDEGUIDECOLOUR</t>
  </si>
  <si>
    <t>c430bdf6-f35e-41a1-b50d-c55e6d6f27f0</t>
  </si>
  <si>
    <t>e0edfadd-f7a2-4879-b2f0-d85fcdcef911|BRAILCOLOUR</t>
  </si>
  <si>
    <t>874c9441-d9b2-45f7-9bfd-7f09a16473cf</t>
  </si>
  <si>
    <t>e0edfadd-f7a2-4879-b2f0-d85fcdcef911|CONTROLTYPE</t>
  </si>
  <si>
    <t>5eb75422-2fb2-4d66-9784-f55b1e8ff879</t>
  </si>
  <si>
    <t>e0edfadd-f7a2-4879-b2f0-d85fcdcef911|CONTROLSIDE</t>
  </si>
  <si>
    <t>77f4dc7c-104f-49bb-9ab7-aa3a678f6e42</t>
  </si>
  <si>
    <t>e0edfadd-f7a2-4879-b2f0-d85fcdcef911|CONTROLDETAILS</t>
  </si>
  <si>
    <t>29f5ee9e-ae10-4aef-b1d8-33372d1133ff</t>
  </si>
  <si>
    <t>e0edfadd-f7a2-4879-b2f0-d85fcdcef911|GUIDESTOPS</t>
  </si>
  <si>
    <t>985744c4-eed5-4c9a-a09f-b2cb678bb7a8</t>
  </si>
  <si>
    <t>e0edfadd-f7a2-4879-b2f0-d85fcdcef911|INSTALLATION</t>
  </si>
  <si>
    <t>5872dbd2-c4b9-4df2-bee0-a24e5836cbe9</t>
  </si>
  <si>
    <t>e0edfadd-f7a2-4879-b2f0-d85fcdcef911|HANGHEIGHT</t>
  </si>
  <si>
    <t>bec45876-f6f1-4f89-815e-e0251dea4061</t>
  </si>
  <si>
    <t>e0edfadd-f7a2-4879-b2f0-d85fcdcef911|INSTALLG</t>
  </si>
  <si>
    <t>9a663713-370e-46ff-9f2f-9d0a98d91f2c</t>
  </si>
  <si>
    <t>e0edfadd-f7a2-4879-b2f0-d85fcdcef911|TAKEDOWN</t>
  </si>
  <si>
    <t>2623fafb-0b31-4336-a4d2-4d8c17c20523</t>
  </si>
  <si>
    <t>e0edfadd-f7a2-4879-b2f0-d85fcdcef911|CHECKM</t>
  </si>
  <si>
    <t>e9058b57-5735-4625-ad44-90eef6f6f33c</t>
  </si>
  <si>
    <t>e0edfadd-f7a2-4879-b2f0-d85fcdcef911|ELECTRICIAN</t>
  </si>
  <si>
    <t>6a3d0bdb-c87d-4e66-b7cb-079f289b4a75</t>
  </si>
  <si>
    <t>e0edfadd-f7a2-4879-b2f0-d85fcdcef911|HOUSECONSTRUCTION</t>
  </si>
  <si>
    <t>bad1db02-09ff-4629-98b7-be781850a292</t>
  </si>
  <si>
    <t>e0edfadd-f7a2-4879-b2f0-d85fcdcef911|ROOF</t>
  </si>
  <si>
    <t>d198b309-8c66-42b6-ab5a-3f2d98fcaf10</t>
  </si>
  <si>
    <t>e0edfadd-f7a2-4879-b2f0-d85fcdcef911|SWITCHBOARD</t>
  </si>
  <si>
    <t>61823cb0-a219-46bf-8011-9de3cea5fe2c</t>
  </si>
  <si>
    <t>e0edfadd-f7a2-4879-b2f0-d85fcdcef911|STOREYS</t>
  </si>
  <si>
    <t>54303f86-250d-4a6a-ad26-d4b9d9c74051</t>
  </si>
  <si>
    <t>e0edfadd-f7a2-4879-b2f0-d85fcdcef911|STOREYSFIT</t>
  </si>
  <si>
    <t>1771b244-88d4-4b63-b35f-5808c9bfa5ef</t>
  </si>
  <si>
    <t>e0edfadd-f7a2-4879-b2f0-d85fcdcef911|SIDEBYSIDE</t>
  </si>
  <si>
    <t>7576bc2b-7a2b-4cba-b1d7-b7351331734c</t>
  </si>
  <si>
    <t>|CHECKMEAS</t>
  </si>
  <si>
    <t>70eeb2dc-6777-4088-8963-2ebf440fff55</t>
  </si>
  <si>
    <t>Extras</t>
  </si>
  <si>
    <t>CHECKMEAS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</si>
</sst>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"/>
    <numFmt numFmtId="165" formatCode="0.0"/>
  </numFmts>
  <fonts count="61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i/>
      <sz val="26"/>
      <name val="Arial"/>
      <family val="2"/>
    </font>
    <font>
      <sz val="11"/>
      <name val="Calibri"/>
      <family val="2"/>
      <scheme val="minor"/>
    </font>
    <font>
      <sz val="20"/>
      <name val="Arial"/>
      <family val="2"/>
    </font>
    <font>
      <b/>
      <sz val="36"/>
      <name val="Arial"/>
      <family val="2"/>
    </font>
    <font>
      <b/>
      <sz val="28"/>
      <name val="Arial"/>
      <family val="2"/>
    </font>
    <font>
      <b/>
      <u val="single"/>
      <sz val="28"/>
      <name val="Arial"/>
      <family val="2"/>
    </font>
    <font>
      <sz val="28"/>
      <name val="Arial"/>
      <family val="2"/>
    </font>
    <font>
      <b/>
      <sz val="11"/>
      <color rgb="FFFFFFFF"/>
      <name val="Calibri"/>
      <family val="2"/>
      <scheme val="minor"/>
    </font>
    <font>
      <b/>
      <sz val="72"/>
      <color theme="0"/>
      <name val="Arial"/>
      <family val="2"/>
    </font>
    <font>
      <b/>
      <u val="single"/>
      <sz val="36"/>
      <name val="Arial"/>
      <family val="2"/>
    </font>
    <font>
      <sz val="36"/>
      <name val="Arial"/>
      <family val="2"/>
    </font>
    <font>
      <i/>
      <sz val="36"/>
      <name val="Arial"/>
      <family val="2"/>
    </font>
    <font>
      <i/>
      <sz val="18"/>
      <name val="Arial"/>
      <family val="2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9"/>
      <color indexed="8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sz val="30"/>
      <name val="Arial"/>
      <family val="2"/>
    </font>
    <font>
      <b/>
      <sz val="26"/>
      <color rgb="FFFF0000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b/>
      <sz val="9"/>
      <color rgb="FF000000"/>
      <name val="Arial"/>
      <family val="2"/>
    </font>
    <font>
      <i/>
      <sz val="48"/>
      <name val="Arial"/>
      <family val="2"/>
    </font>
    <font>
      <sz val="28"/>
      <color rgb="FFFF0000"/>
      <name val="Arial"/>
      <family val="2"/>
    </font>
  </fonts>
  <fills count="41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4500002264977"/>
        <bgColor indexed="64"/>
      </patternFill>
    </fill>
    <fill>
      <patternFill patternType="solid">
        <fgColor theme="0" tint="-0.144800007343292"/>
        <bgColor indexed="64"/>
      </patternFill>
    </fill>
    <fill>
      <patternFill patternType="solid">
        <fgColor theme="0" tint="-0.144769996404648"/>
        <bgColor indexed="64"/>
      </patternFill>
    </fill>
    <fill>
      <patternFill patternType="solid">
        <fgColor theme="0" tint="-0.148310005664825"/>
        <bgColor indexed="64"/>
      </patternFill>
    </fill>
    <fill>
      <patternFill patternType="solid">
        <fgColor theme="0" tint="-0.148369997739792"/>
        <bgColor indexed="64"/>
      </patternFill>
    </fill>
    <fill>
      <patternFill patternType="solid">
        <fgColor theme="0" tint="-0.14800000190734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8579999804497"/>
        <bgColor indexed="64"/>
      </patternFill>
    </fill>
    <fill>
      <patternFill patternType="solid">
        <fgColor theme="5" tint="0.799860000610352"/>
        <bgColor indexed="64"/>
      </patternFill>
    </fill>
    <fill>
      <patternFill patternType="solid">
        <fgColor theme="5" tint="0.599749982357025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548000097274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5070001482964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/>
      <bottom style="thin"/>
    </border>
    <border>
      <left style="thin"/>
      <right style="thin"/>
      <top/>
      <bottom/>
    </border>
    <border>
      <left style="thin"/>
      <right style="thin"/>
      <top style="thin"/>
      <bottom/>
    </border>
    <border>
      <left style="thin"/>
      <right style="thin"/>
      <top style="thin"/>
      <bottom style="thin"/>
    </border>
    <border>
      <left/>
      <right style="thin"/>
      <top style="thin"/>
      <bottom style="thin"/>
    </border>
    <border>
      <left/>
      <right/>
      <top style="thin"/>
      <bottom style="thin"/>
    </border>
    <border>
      <left style="thin"/>
      <right/>
      <top style="thin"/>
      <bottom style="thin"/>
    </border>
    <border>
      <left/>
      <right/>
      <top/>
      <bottom style="thin"/>
    </border>
    <border>
      <left style="medium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medium"/>
      <bottom style="thin"/>
    </border>
    <border>
      <left style="thin"/>
      <right style="medium"/>
      <top style="medium"/>
      <bottom style="thin"/>
    </border>
    <border>
      <left style="thin">
        <color rgb="FFFFFFFF"/>
      </left>
      <right style="thin">
        <color rgb="FFFFFFFF"/>
      </right>
      <top style="medium"/>
      <bottom/>
    </border>
    <border>
      <left style="medium"/>
      <right/>
      <top style="medium"/>
      <bottom/>
    </border>
    <border>
      <left style="medium"/>
      <right style="thin">
        <color rgb="FFFFFFFF"/>
      </right>
      <top style="medium"/>
      <bottom/>
    </border>
    <border>
      <left style="medium"/>
      <right style="medium"/>
      <top style="medium"/>
      <bottom/>
    </border>
    <border>
      <left style="medium"/>
      <right style="thin"/>
      <top/>
      <bottom style="thin"/>
    </border>
    <border>
      <left style="thin"/>
      <right style="medium"/>
      <top/>
      <bottom style="thin"/>
    </border>
    <border>
      <left style="medium"/>
      <right/>
      <top style="thin"/>
      <bottom style="thin"/>
    </border>
    <border>
      <left style="medium"/>
      <right/>
      <top style="thin"/>
      <bottom style="medium"/>
    </border>
    <border>
      <left style="medium"/>
      <right/>
      <top style="medium"/>
      <bottom style="thin"/>
    </border>
    <border>
      <left style="medium"/>
      <right/>
      <top/>
      <bottom/>
    </border>
    <border>
      <left style="medium"/>
      <right style="thin">
        <color rgb="FFFFFFFF"/>
      </right>
      <top/>
      <bottom/>
    </border>
    <border>
      <left style="thin">
        <color rgb="FFFFFFFF"/>
      </left>
      <right style="thin">
        <color rgb="FFFFFFFF"/>
      </right>
      <top/>
      <bottom/>
    </border>
    <border>
      <left style="thin"/>
      <right/>
      <top style="thin"/>
      <bottom/>
    </border>
    <border>
      <left/>
      <right style="thin"/>
      <top style="thin"/>
      <bottom/>
    </border>
    <border>
      <left style="thin"/>
      <right/>
      <top/>
      <bottom/>
    </border>
    <border>
      <left/>
      <right style="thin"/>
      <top/>
      <bottom/>
    </border>
    <border>
      <left style="thin"/>
      <right/>
      <top/>
      <bottom style="thin"/>
    </border>
    <border>
      <left/>
      <right style="thin"/>
      <top/>
      <bottom style="thin"/>
    </border>
    <border>
      <left/>
      <right/>
      <top style="thin"/>
      <bottom/>
    </border>
    <border>
      <left style="medium"/>
      <right/>
      <top style="medium"/>
      <bottom style="medium"/>
    </border>
    <border>
      <left/>
      <right style="medium"/>
      <top style="medium"/>
      <bottom style="medium"/>
    </border>
    <border>
      <left/>
      <right/>
      <top style="medium"/>
      <bottom style="medium"/>
    </border>
    <border>
      <left/>
      <right/>
      <top style="medium"/>
      <bottom/>
    </border>
    <border>
      <left/>
      <right style="medium"/>
      <top style="medium"/>
      <bottom/>
    </border>
  </borders>
  <cellStyleXfs count="103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318">
    <xf numFmtId="0" fontId="0" fillId="0" borderId="0" xfId="0"/>
    <xf numFmtId="0" fontId="27" fillId="0" borderId="11" xfId="0" applyFont="1" applyBorder="1" applyAlignment="1" applyProtection="1">
      <alignment horizontal="center" vertical="center" wrapText="1"/>
      <protection hidden="1"/>
    </xf>
    <xf numFmtId="0" fontId="27" fillId="0" borderId="12" xfId="0" applyFont="1" applyBorder="1" applyAlignment="1" applyProtection="1">
      <alignment horizontal="center" vertical="center" wrapText="1"/>
      <protection hidden="1"/>
    </xf>
    <xf numFmtId="0" fontId="27" fillId="0" borderId="13" xfId="0" applyFont="1" applyBorder="1" applyAlignment="1" applyProtection="1">
      <alignment horizontal="center" vertical="center" wrapText="1"/>
      <protection hidden="1"/>
    </xf>
    <xf numFmtId="0" fontId="58" fillId="21" borderId="14" xfId="0" applyFont="1" applyFill="1" applyBorder="1" applyAlignment="1" applyProtection="1">
      <alignment horizontal="left" vertical="center" wrapText="1"/>
      <protection locked="0"/>
    </xf>
    <xf numFmtId="0" fontId="29" fillId="0" borderId="14" xfId="0" applyFont="1" applyBorder="1" applyAlignment="1" applyProtection="1">
      <alignment horizontal="center" vertical="center" wrapText="1"/>
      <protection locked="0"/>
    </xf>
    <xf numFmtId="0" fontId="29" fillId="0" borderId="14" xfId="0" applyFont="1" applyBorder="1" applyAlignment="1" applyProtection="1">
      <alignment horizontal="center" vertical="center" wrapText="1"/>
      <protection hidden="1"/>
    </xf>
    <xf numFmtId="0" fontId="30" fillId="0" borderId="14" xfId="0" applyFont="1" applyBorder="1" applyAlignment="1" applyProtection="1">
      <alignment horizontal="center" vertical="center" wrapText="1"/>
      <protection hidden="1" locked="0"/>
    </xf>
    <xf numFmtId="0" fontId="34" fillId="0" borderId="15" xfId="0" applyFont="1" applyBorder="1" applyAlignment="1">
      <alignment horizontal="center"/>
    </xf>
    <xf numFmtId="0" fontId="34" fillId="0" borderId="16" xfId="0" applyFont="1" applyBorder="1" applyAlignment="1">
      <alignment horizontal="center"/>
    </xf>
    <xf numFmtId="0" fontId="34" fillId="0" borderId="17" xfId="0" applyFont="1" applyBorder="1" applyAlignment="1">
      <alignment horizontal="center"/>
    </xf>
    <xf numFmtId="0" fontId="27" fillId="0" borderId="14" xfId="0" applyFont="1" applyBorder="1" applyAlignment="1">
      <alignment horizontal="center" vertical="center" wrapText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15" borderId="14" xfId="0" applyFont="1" applyFill="1" applyBorder="1" applyAlignment="1" applyProtection="1">
      <alignment horizontal="center" vertical="center" wrapText="1"/>
      <protection hidden="1"/>
    </xf>
    <xf numFmtId="0" fontId="5" fillId="0" borderId="18" xfId="0" applyFont="1" applyBorder="1" applyAlignment="1">
      <alignment horizontal="center" vertical="center"/>
    </xf>
    <xf numFmtId="14" fontId="29" fillId="15" borderId="14" xfId="0" applyNumberFormat="1" applyFont="1" applyFill="1" applyBorder="1" applyAlignment="1" applyProtection="1">
      <alignment horizontal="center" vertical="center" wrapText="1"/>
      <protection locked="0"/>
    </xf>
    <xf numFmtId="0" fontId="34" fillId="0" borderId="14" xfId="0" applyFont="1" applyBorder="1" applyAlignment="1">
      <alignment horizontal="center" vertical="center" wrapText="1"/>
    </xf>
    <xf numFmtId="0" fontId="29" fillId="0" borderId="14" xfId="0" applyFont="1" applyBorder="1" applyAlignment="1" applyProtection="1">
      <alignment horizontal="center" vertical="center" wrapText="1"/>
      <protection locked="0"/>
    </xf>
    <xf numFmtId="0" fontId="29" fillId="15" borderId="14" xfId="0" applyFont="1" applyFill="1" applyBorder="1" applyAlignment="1">
      <alignment horizontal="center" vertical="center" wrapText="1"/>
    </xf>
    <xf numFmtId="0" fontId="29" fillId="15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4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1" fillId="21" borderId="0" xfId="85" applyFill="1">
      <alignment/>
      <protection/>
    </xf>
    <xf numFmtId="0" fontId="1" fillId="0" borderId="0" xfId="85">
      <alignment/>
      <protection/>
    </xf>
    <xf numFmtId="0" fontId="0" fillId="0" borderId="14" xfId="0" applyBorder="1"/>
    <xf numFmtId="0" fontId="29" fillId="0" borderId="14" xfId="0" applyFont="1" applyBorder="1" applyAlignment="1" applyProtection="1">
      <alignment horizontal="center" vertical="center" wrapText="1"/>
      <protection hidden="1" locked="0"/>
    </xf>
    <xf numFmtId="0" fontId="34" fillId="0" borderId="14" xfId="0" applyFont="1" applyBorder="1" applyAlignment="1" applyProtection="1">
      <alignment horizontal="center" vertical="center" wrapText="1"/>
      <protection hidden="1" locked="0"/>
    </xf>
    <xf numFmtId="0" fontId="34" fillId="0" borderId="14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34" fillId="0" borderId="0" xfId="0" applyFont="1" applyAlignment="1">
      <alignment vertical="center"/>
    </xf>
    <xf numFmtId="0" fontId="34" fillId="0" borderId="0" xfId="0" applyFont="1"/>
    <xf numFmtId="0" fontId="37" fillId="0" borderId="0" xfId="0" applyFont="1"/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28" fillId="0" borderId="0" xfId="0" applyFont="1"/>
    <xf numFmtId="0" fontId="28" fillId="0" borderId="0" xfId="0" applyFont="1" applyAlignment="1">
      <alignment horizontal="center"/>
    </xf>
    <xf numFmtId="164" fontId="0" fillId="0" borderId="0" xfId="0" applyNumberFormat="1"/>
    <xf numFmtId="0" fontId="28" fillId="0" borderId="11" xfId="0" applyFont="1" applyBorder="1" applyAlignment="1" applyProtection="1">
      <alignment horizontal="center" vertical="center" wrapText="1"/>
      <protection hidden="1" locked="0"/>
    </xf>
    <xf numFmtId="1" fontId="28" fillId="0" borderId="11" xfId="0" applyNumberFormat="1" applyFont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34" fillId="0" borderId="0" xfId="0" applyFont="1" applyAlignment="1">
      <alignment horizontal="center"/>
    </xf>
    <xf numFmtId="0" fontId="38" fillId="0" borderId="0" xfId="0" applyFont="1"/>
    <xf numFmtId="0" fontId="0" fillId="0" borderId="0" xfId="0" applyAlignment="1">
      <alignment horizontal="center" vertical="center" wrapText="1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28" fillId="0" borderId="0" xfId="0" applyFont="1" applyAlignment="1">
      <alignment horizontal="left" wrapText="1"/>
    </xf>
    <xf numFmtId="0" fontId="34" fillId="0" borderId="0" xfId="0" applyFont="1" applyAlignment="1">
      <alignment horizontal="right" vertical="center" wrapText="1"/>
    </xf>
    <xf numFmtId="0" fontId="34" fillId="0" borderId="0" xfId="0" applyFont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hidden="1" locked="0"/>
    </xf>
    <xf numFmtId="0" fontId="34" fillId="0" borderId="0" xfId="0" applyFont="1" applyAlignment="1" applyProtection="1">
      <alignment horizontal="center" vertical="center" wrapText="1"/>
      <protection hidden="1" locked="0"/>
    </xf>
    <xf numFmtId="0" fontId="34" fillId="0" borderId="0" xfId="0" applyFont="1" applyAlignment="1">
      <alignment wrapText="1"/>
    </xf>
    <xf numFmtId="0" fontId="43" fillId="22" borderId="25" xfId="0" applyFont="1" applyFill="1" applyBorder="1"/>
    <xf numFmtId="0" fontId="43" fillId="22" borderId="26" xfId="0" applyFont="1" applyFill="1" applyBorder="1"/>
    <xf numFmtId="0" fontId="43" fillId="22" borderId="27" xfId="0" applyFont="1" applyFill="1" applyBorder="1"/>
    <xf numFmtId="0" fontId="4" fillId="0" borderId="26" xfId="0" applyFont="1" applyBorder="1"/>
    <xf numFmtId="0" fontId="4" fillId="0" borderId="28" xfId="0" applyFont="1" applyBorder="1"/>
    <xf numFmtId="0" fontId="0" fillId="0" borderId="29" xfId="0" applyBorder="1"/>
    <xf numFmtId="0" fontId="0" fillId="0" borderId="30" xfId="0" applyBorder="1"/>
    <xf numFmtId="0" fontId="43" fillId="22" borderId="31" xfId="0" applyFont="1" applyFill="1" applyBorder="1"/>
    <xf numFmtId="0" fontId="43" fillId="22" borderId="32" xfId="0" applyFont="1" applyFill="1" applyBorder="1"/>
    <xf numFmtId="0" fontId="43" fillId="22" borderId="33" xfId="0" applyFont="1" applyFill="1" applyBorder="1"/>
    <xf numFmtId="0" fontId="1" fillId="0" borderId="19" xfId="85" applyBorder="1">
      <alignment/>
      <protection/>
    </xf>
    <xf numFmtId="0" fontId="1" fillId="0" borderId="20" xfId="85" applyBorder="1">
      <alignment/>
      <protection/>
    </xf>
    <xf numFmtId="0" fontId="1" fillId="0" borderId="21" xfId="85" applyBorder="1">
      <alignment/>
      <protection/>
    </xf>
    <xf numFmtId="0" fontId="1" fillId="0" borderId="22" xfId="85" applyBorder="1">
      <alignment/>
      <protection/>
    </xf>
    <xf numFmtId="0" fontId="29" fillId="23" borderId="14" xfId="0" applyFont="1" applyFill="1" applyBorder="1" applyAlignment="1" applyProtection="1">
      <alignment horizontal="center" vertical="center" wrapText="1"/>
      <protection hidden="1" locked="0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46" fillId="0" borderId="14" xfId="0" applyFont="1" applyBorder="1" applyAlignment="1" applyProtection="1">
      <alignment horizontal="center" vertical="center" wrapText="1"/>
      <protection hidden="1" locked="0"/>
    </xf>
    <xf numFmtId="1" fontId="47" fillId="0" borderId="14" xfId="0" applyNumberFormat="1" applyFont="1" applyBorder="1" applyAlignment="1" applyProtection="1">
      <alignment horizontal="center" vertical="center" wrapText="1"/>
      <protection hidden="1" locked="0"/>
    </xf>
    <xf numFmtId="0" fontId="28" fillId="0" borderId="14" xfId="0" applyFont="1" applyBorder="1" applyAlignment="1" applyProtection="1">
      <alignment horizontal="center" vertical="center" wrapText="1"/>
      <protection locked="0"/>
    </xf>
    <xf numFmtId="0" fontId="28" fillId="0" borderId="14" xfId="0" applyFont="1" applyBorder="1" applyAlignment="1" applyProtection="1">
      <alignment horizontal="center" vertical="center" wrapText="1"/>
      <protection hidden="1" locked="0"/>
    </xf>
    <xf numFmtId="0" fontId="48" fillId="0" borderId="14" xfId="0" applyFont="1" applyBorder="1" applyAlignment="1" applyProtection="1">
      <alignment horizontal="center" vertical="center" wrapText="1"/>
      <protection hidden="1" locked="0"/>
    </xf>
    <xf numFmtId="0" fontId="43" fillId="22" borderId="14" xfId="0" applyFont="1" applyFill="1" applyBorder="1"/>
    <xf numFmtId="0" fontId="49" fillId="21" borderId="0" xfId="85" applyFont="1" applyFill="1" applyAlignment="1">
      <alignment horizontal="center" vertical="center"/>
      <protection/>
    </xf>
    <xf numFmtId="0" fontId="28" fillId="0" borderId="14" xfId="0" applyFont="1" applyBorder="1" applyAlignment="1">
      <alignment horizontal="center" vertical="center" wrapText="1"/>
    </xf>
    <xf numFmtId="0" fontId="29" fillId="24" borderId="14" xfId="0" applyFont="1" applyFill="1" applyBorder="1" applyAlignment="1" applyProtection="1">
      <alignment horizontal="center" vertical="center" wrapText="1"/>
      <protection locked="0"/>
    </xf>
    <xf numFmtId="0" fontId="28" fillId="24" borderId="14" xfId="0" applyFont="1" applyFill="1" applyBorder="1" applyAlignment="1" applyProtection="1">
      <alignment horizontal="center" vertical="center" wrapText="1"/>
      <protection locked="0"/>
    </xf>
    <xf numFmtId="0" fontId="28" fillId="25" borderId="14" xfId="0" applyFont="1" applyFill="1" applyBorder="1" applyAlignment="1" applyProtection="1">
      <alignment horizontal="center" vertical="center" wrapText="1"/>
      <protection hidden="1" locked="0"/>
    </xf>
    <xf numFmtId="0" fontId="28" fillId="26" borderId="14" xfId="0" applyFont="1" applyFill="1" applyBorder="1" applyAlignment="1" applyProtection="1">
      <alignment horizontal="center" vertical="center" wrapText="1"/>
      <protection hidden="1" locked="0"/>
    </xf>
    <xf numFmtId="0" fontId="46" fillId="0" borderId="14" xfId="0" applyFont="1" applyBorder="1" applyAlignment="1">
      <alignment horizontal="right" vertical="center" wrapText="1"/>
    </xf>
    <xf numFmtId="0" fontId="0" fillId="0" borderId="12" xfId="0" applyBorder="1"/>
    <xf numFmtId="1" fontId="34" fillId="0" borderId="14" xfId="0" applyNumberFormat="1" applyFont="1" applyBorder="1" applyAlignment="1" applyProtection="1">
      <alignment horizontal="center" vertical="center" wrapText="1"/>
      <protection hidden="1" locked="0"/>
    </xf>
    <xf numFmtId="0" fontId="2" fillId="0" borderId="0" xfId="0" applyFont="1" applyAlignment="1">
      <alignment horizontal="center" textRotation="90" wrapText="1"/>
    </xf>
    <xf numFmtId="0" fontId="2" fillId="0" borderId="0" xfId="0" applyFont="1" applyAlignment="1">
      <alignment horizontal="center" vertical="center" wrapText="1"/>
    </xf>
    <xf numFmtId="0" fontId="50" fillId="0" borderId="0" xfId="0" applyFont="1" applyAlignment="1">
      <alignment textRotation="90"/>
    </xf>
    <xf numFmtId="1" fontId="34" fillId="0" borderId="0" xfId="0" applyNumberFormat="1" applyFont="1" applyAlignment="1">
      <alignment vertical="center"/>
    </xf>
    <xf numFmtId="1" fontId="34" fillId="0" borderId="0" xfId="0" applyNumberFormat="1" applyFont="1"/>
    <xf numFmtId="1" fontId="0" fillId="0" borderId="0" xfId="0" applyNumberFormat="1"/>
    <xf numFmtId="0" fontId="28" fillId="0" borderId="14" xfId="0" applyFont="1" applyBorder="1" applyAlignment="1">
      <alignment horizontal="left"/>
    </xf>
    <xf numFmtId="0" fontId="27" fillId="0" borderId="0" xfId="0" applyFont="1" applyAlignment="1" applyProtection="1">
      <alignment horizontal="center" vertical="center" wrapText="1"/>
      <protection hidden="1"/>
    </xf>
    <xf numFmtId="165" fontId="0" fillId="0" borderId="0" xfId="0" applyNumberFormat="1"/>
    <xf numFmtId="1" fontId="28" fillId="0" borderId="14" xfId="0" applyNumberFormat="1" applyFont="1" applyBorder="1" applyAlignment="1" applyProtection="1">
      <alignment horizontal="center" vertical="center" wrapText="1"/>
      <protection hidden="1" locked="0"/>
    </xf>
    <xf numFmtId="0" fontId="34" fillId="27" borderId="14" xfId="0" applyFont="1" applyFill="1" applyBorder="1" applyAlignment="1" applyProtection="1">
      <alignment horizontal="center" vertical="center" wrapText="1"/>
      <protection hidden="1" locked="0"/>
    </xf>
    <xf numFmtId="0" fontId="34" fillId="28" borderId="14" xfId="0" applyFont="1" applyFill="1" applyBorder="1" applyAlignment="1" applyProtection="1">
      <alignment horizontal="center" vertical="center" wrapText="1"/>
      <protection hidden="1" locked="0"/>
    </xf>
    <xf numFmtId="0" fontId="27" fillId="21" borderId="14" xfId="0" applyFont="1" applyFill="1" applyBorder="1" applyAlignment="1" applyProtection="1">
      <alignment horizontal="center" vertical="center" wrapText="1"/>
      <protection locked="0"/>
    </xf>
    <xf numFmtId="0" fontId="34" fillId="0" borderId="14" xfId="0" applyFont="1" applyBorder="1"/>
    <xf numFmtId="0" fontId="29" fillId="29" borderId="14" xfId="0" applyFont="1" applyFill="1" applyBorder="1" applyAlignment="1" applyProtection="1">
      <alignment horizontal="center" vertical="center" wrapText="1"/>
      <protection locked="0"/>
    </xf>
    <xf numFmtId="0" fontId="29" fillId="29" borderId="14" xfId="0" applyFont="1" applyFill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horizontal="center" vertical="center"/>
    </xf>
    <xf numFmtId="0" fontId="49" fillId="30" borderId="0" xfId="85" applyFont="1" applyFill="1" applyAlignment="1">
      <alignment horizontal="center" vertical="center" wrapText="1"/>
      <protection/>
    </xf>
    <xf numFmtId="0" fontId="0" fillId="15" borderId="0" xfId="0" applyFill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0" borderId="18" xfId="0" applyBorder="1"/>
    <xf numFmtId="0" fontId="34" fillId="31" borderId="14" xfId="0" applyFont="1" applyFill="1" applyBorder="1" applyAlignment="1" applyProtection="1">
      <alignment horizontal="center" vertical="center" wrapText="1"/>
      <protection hidden="1" locked="0"/>
    </xf>
    <xf numFmtId="0" fontId="43" fillId="22" borderId="34" xfId="0" applyFont="1" applyFill="1" applyBorder="1"/>
    <xf numFmtId="0" fontId="43" fillId="22" borderId="35" xfId="0" applyFont="1" applyFill="1" applyBorder="1"/>
    <xf numFmtId="0" fontId="43" fillId="22" borderId="36" xfId="0" applyFont="1" applyFill="1" applyBorder="1"/>
    <xf numFmtId="0" fontId="53" fillId="0" borderId="14" xfId="0" applyFont="1" applyBorder="1" applyAlignment="1" applyProtection="1">
      <alignment horizontal="center" vertical="center" wrapText="1"/>
      <protection hidden="1" locked="0"/>
    </xf>
    <xf numFmtId="0" fontId="39" fillId="0" borderId="14" xfId="0" applyFont="1" applyBorder="1" applyAlignment="1" applyProtection="1">
      <alignment horizontal="center" vertical="center" wrapText="1"/>
      <protection hidden="1" locked="0"/>
    </xf>
    <xf numFmtId="1" fontId="39" fillId="0" borderId="14" xfId="0" applyNumberFormat="1" applyFont="1" applyBorder="1" applyAlignment="1" applyProtection="1">
      <alignment horizontal="center" vertical="center" wrapText="1"/>
      <protection hidden="1" locked="0"/>
    </xf>
    <xf numFmtId="0" fontId="54" fillId="0" borderId="14" xfId="0" applyFont="1" applyBorder="1" applyAlignment="1" applyProtection="1">
      <alignment horizontal="center" vertical="center" wrapText="1"/>
      <protection hidden="1" locked="0"/>
    </xf>
    <xf numFmtId="0" fontId="40" fillId="27" borderId="14" xfId="0" applyFont="1" applyFill="1" applyBorder="1" applyAlignment="1" applyProtection="1">
      <alignment horizontal="center" vertical="center" wrapText="1"/>
      <protection hidden="1" locked="0"/>
    </xf>
    <xf numFmtId="0" fontId="46" fillId="27" borderId="14" xfId="0" applyFont="1" applyFill="1" applyBorder="1" applyAlignment="1" applyProtection="1">
      <alignment horizontal="center" vertical="center" wrapText="1"/>
      <protection hidden="1" locked="0"/>
    </xf>
    <xf numFmtId="0" fontId="38" fillId="0" borderId="14" xfId="0" applyFont="1" applyBorder="1" applyAlignment="1">
      <alignment horizontal="right" vertical="top"/>
    </xf>
    <xf numFmtId="1" fontId="0" fillId="0" borderId="18" xfId="0" applyNumberFormat="1" applyBorder="1"/>
    <xf numFmtId="0" fontId="32" fillId="0" borderId="14" xfId="0" applyFont="1" applyBorder="1" applyAlignment="1">
      <alignment horizontal="right" vertical="top"/>
    </xf>
    <xf numFmtId="165" fontId="51" fillId="32" borderId="14" xfId="0" applyNumberFormat="1" applyFont="1" applyFill="1" applyBorder="1" applyAlignment="1">
      <alignment horizontal="center" vertical="center" textRotation="90"/>
    </xf>
    <xf numFmtId="165" fontId="51" fillId="0" borderId="14" xfId="0" applyNumberFormat="1" applyFont="1" applyBorder="1" applyAlignment="1">
      <alignment horizontal="center" vertical="center" textRotation="90"/>
    </xf>
    <xf numFmtId="165" fontId="50" fillId="0" borderId="14" xfId="0" applyNumberFormat="1" applyFont="1" applyBorder="1" applyAlignment="1">
      <alignment textRotation="90"/>
    </xf>
    <xf numFmtId="165" fontId="50" fillId="32" borderId="14" xfId="0" applyNumberFormat="1" applyFont="1" applyFill="1" applyBorder="1" applyAlignment="1">
      <alignment horizontal="center" vertical="center" textRotation="90"/>
    </xf>
    <xf numFmtId="165" fontId="50" fillId="32" borderId="14" xfId="0" applyNumberFormat="1" applyFont="1" applyFill="1" applyBorder="1" applyAlignment="1">
      <alignment textRotation="90"/>
    </xf>
    <xf numFmtId="1" fontId="51" fillId="0" borderId="14" xfId="0" applyNumberFormat="1" applyFont="1" applyBorder="1" applyAlignment="1">
      <alignment horizontal="center" vertical="center" textRotation="90"/>
    </xf>
    <xf numFmtId="1" fontId="51" fillId="32" borderId="14" xfId="0" applyNumberFormat="1" applyFont="1" applyFill="1" applyBorder="1" applyAlignment="1">
      <alignment horizontal="center" vertical="center" textRotation="90"/>
    </xf>
    <xf numFmtId="1" fontId="50" fillId="0" borderId="14" xfId="0" applyNumberFormat="1" applyFont="1" applyBorder="1" applyAlignment="1">
      <alignment textRotation="90"/>
    </xf>
    <xf numFmtId="2" fontId="50" fillId="32" borderId="14" xfId="0" applyNumberFormat="1" applyFont="1" applyFill="1" applyBorder="1" applyAlignment="1">
      <alignment textRotation="90"/>
    </xf>
    <xf numFmtId="1" fontId="50" fillId="32" borderId="14" xfId="0" applyNumberFormat="1" applyFont="1" applyFill="1" applyBorder="1" applyAlignment="1">
      <alignment textRotation="90"/>
    </xf>
    <xf numFmtId="1" fontId="50" fillId="33" borderId="14" xfId="0" applyNumberFormat="1" applyFont="1" applyFill="1" applyBorder="1" applyAlignment="1">
      <alignment textRotation="90"/>
    </xf>
    <xf numFmtId="0" fontId="50" fillId="32" borderId="14" xfId="0" applyFont="1" applyFill="1" applyBorder="1" applyAlignment="1">
      <alignment textRotation="90"/>
    </xf>
    <xf numFmtId="0" fontId="56" fillId="0" borderId="0" xfId="0" applyFont="1" applyAlignment="1">
      <alignment horizontal="center" vertical="center"/>
    </xf>
    <xf numFmtId="2" fontId="56" fillId="32" borderId="14" xfId="0" applyNumberFormat="1" applyFont="1" applyFill="1" applyBorder="1" applyAlignment="1">
      <alignment horizontal="center" vertical="center"/>
    </xf>
    <xf numFmtId="1" fontId="57" fillId="32" borderId="14" xfId="0" applyNumberFormat="1" applyFont="1" applyFill="1" applyBorder="1" applyAlignment="1">
      <alignment horizontal="center" vertical="center"/>
    </xf>
    <xf numFmtId="165" fontId="50" fillId="32" borderId="14" xfId="0" applyNumberFormat="1" applyFont="1" applyFill="1" applyBorder="1" applyAlignment="1">
      <alignment horizontal="center" textRotation="90" wrapText="1"/>
    </xf>
    <xf numFmtId="165" fontId="50" fillId="0" borderId="14" xfId="0" applyNumberFormat="1" applyFont="1" applyBorder="1" applyAlignment="1">
      <alignment horizontal="center" textRotation="90" wrapText="1"/>
    </xf>
    <xf numFmtId="1" fontId="2" fillId="0" borderId="14" xfId="0" applyNumberFormat="1" applyFont="1" applyBorder="1" applyAlignment="1">
      <alignment horizontal="center" textRotation="90" wrapText="1"/>
    </xf>
    <xf numFmtId="1" fontId="2" fillId="32" borderId="14" xfId="0" applyNumberFormat="1" applyFont="1" applyFill="1" applyBorder="1" applyAlignment="1">
      <alignment horizontal="center" textRotation="90" wrapText="1"/>
    </xf>
    <xf numFmtId="2" fontId="2" fillId="32" borderId="14" xfId="0" applyNumberFormat="1" applyFont="1" applyFill="1" applyBorder="1" applyAlignment="1">
      <alignment horizontal="center" textRotation="90" wrapText="1"/>
    </xf>
    <xf numFmtId="165" fontId="2" fillId="32" borderId="14" xfId="0" applyNumberFormat="1" applyFont="1" applyFill="1" applyBorder="1" applyAlignment="1">
      <alignment horizontal="center" textRotation="90" wrapText="1"/>
    </xf>
    <xf numFmtId="1" fontId="50" fillId="0" borderId="14" xfId="0" applyNumberFormat="1" applyFont="1" applyBorder="1" applyAlignment="1">
      <alignment horizontal="center" textRotation="90" wrapText="1"/>
    </xf>
    <xf numFmtId="1" fontId="50" fillId="32" borderId="14" xfId="0" applyNumberFormat="1" applyFont="1" applyFill="1" applyBorder="1" applyAlignment="1">
      <alignment horizontal="center" textRotation="90" wrapText="1"/>
    </xf>
    <xf numFmtId="1" fontId="50" fillId="33" borderId="14" xfId="0" applyNumberFormat="1" applyFont="1" applyFill="1" applyBorder="1" applyAlignment="1">
      <alignment horizontal="center" textRotation="90" wrapText="1"/>
    </xf>
    <xf numFmtId="0" fontId="2" fillId="32" borderId="14" xfId="0" applyFont="1" applyFill="1" applyBorder="1" applyAlignment="1">
      <alignment horizontal="center" textRotation="90" wrapText="1"/>
    </xf>
    <xf numFmtId="0" fontId="2" fillId="0" borderId="14" xfId="0" applyFont="1" applyBorder="1" applyAlignment="1">
      <alignment horizontal="center" textRotation="90" wrapText="1"/>
    </xf>
    <xf numFmtId="0" fontId="2" fillId="33" borderId="14" xfId="0" applyFont="1" applyFill="1" applyBorder="1" applyAlignment="1">
      <alignment horizontal="center" textRotation="90" wrapText="1"/>
    </xf>
    <xf numFmtId="1" fontId="2" fillId="33" borderId="14" xfId="0" applyNumberFormat="1" applyFont="1" applyFill="1" applyBorder="1" applyAlignment="1">
      <alignment horizontal="center" textRotation="90" wrapText="1"/>
    </xf>
    <xf numFmtId="1" fontId="56" fillId="0" borderId="16" xfId="0" applyNumberFormat="1" applyFont="1" applyBorder="1" applyAlignment="1">
      <alignment horizontal="center" vertical="center"/>
    </xf>
    <xf numFmtId="0" fontId="42" fillId="0" borderId="14" xfId="0" applyFont="1" applyBorder="1" applyAlignment="1" applyProtection="1">
      <alignment horizontal="center" vertical="center" wrapText="1"/>
      <protection locked="0"/>
    </xf>
    <xf numFmtId="165" fontId="0" fillId="0" borderId="18" xfId="0" applyNumberFormat="1" applyBorder="1"/>
    <xf numFmtId="0" fontId="32" fillId="0" borderId="14" xfId="0" applyFont="1" applyBorder="1" applyAlignment="1" applyProtection="1">
      <alignment horizontal="center" vertical="center" wrapText="1"/>
      <protection hidden="1" locked="0"/>
    </xf>
    <xf numFmtId="0" fontId="42" fillId="0" borderId="14" xfId="0" applyFont="1" applyBorder="1" applyAlignment="1" applyProtection="1">
      <alignment horizontal="center" vertical="center" wrapText="1"/>
      <protection hidden="1" locked="0"/>
    </xf>
    <xf numFmtId="1" fontId="59" fillId="0" borderId="14" xfId="0" applyNumberFormat="1" applyFont="1" applyBorder="1" applyAlignment="1" applyProtection="1">
      <alignment horizontal="center" vertical="center" wrapText="1"/>
      <protection hidden="1" locked="0"/>
    </xf>
    <xf numFmtId="0" fontId="34" fillId="0" borderId="14" xfId="0" applyFont="1" applyBorder="1" applyAlignment="1">
      <alignment horizontal="right" vertical="top"/>
    </xf>
    <xf numFmtId="0" fontId="42" fillId="0" borderId="14" xfId="0" applyFont="1" applyBorder="1" applyAlignment="1">
      <alignment horizontal="center" vertical="center" wrapText="1"/>
    </xf>
    <xf numFmtId="0" fontId="60" fillId="0" borderId="17" xfId="0" applyFont="1" applyBorder="1" applyAlignment="1" applyProtection="1">
      <alignment horizontal="center" vertical="center" wrapText="1"/>
      <protection hidden="1" locked="0"/>
    </xf>
    <xf numFmtId="0" fontId="42" fillId="0" borderId="17" xfId="0" applyFont="1" applyBorder="1" applyAlignment="1" applyProtection="1">
      <alignment horizontal="center" vertical="center" wrapText="1"/>
      <protection hidden="1" locked="0"/>
    </xf>
    <xf numFmtId="0" fontId="34" fillId="0" borderId="14" xfId="0" applyFont="1" applyBorder="1" applyAlignment="1" applyProtection="1">
      <alignment horizontal="right" vertical="top" wrapText="1"/>
      <protection hidden="1" locked="0"/>
    </xf>
    <xf numFmtId="1" fontId="39" fillId="27" borderId="14" xfId="0" applyNumberFormat="1" applyFont="1" applyFill="1" applyBorder="1" applyAlignment="1" applyProtection="1">
      <alignment horizontal="center" vertical="center" wrapText="1"/>
      <protection hidden="1" locked="0"/>
    </xf>
    <xf numFmtId="0" fontId="29" fillId="0" borderId="14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0" fontId="27" fillId="24" borderId="14" xfId="0" applyFont="1" applyFill="1" applyBorder="1" applyAlignment="1" applyProtection="1">
      <alignment horizontal="center" vertical="center" wrapText="1"/>
      <protection hidden="1"/>
    </xf>
    <xf numFmtId="0" fontId="27" fillId="15" borderId="14" xfId="0" applyFont="1" applyFill="1" applyBorder="1" applyAlignment="1" applyProtection="1">
      <alignment horizontal="center" vertical="center" textRotation="90" wrapText="1"/>
      <protection hidden="1"/>
    </xf>
    <xf numFmtId="0" fontId="29" fillId="15" borderId="14" xfId="0" applyFont="1" applyFill="1" applyBorder="1" applyAlignment="1">
      <alignment horizontal="center" vertical="center" wrapText="1"/>
    </xf>
    <xf numFmtId="14" fontId="29" fillId="15" borderId="14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14" xfId="0" applyFont="1" applyFill="1" applyBorder="1" applyAlignment="1" applyProtection="1">
      <alignment horizontal="center" vertical="center" wrapText="1"/>
      <protection locked="0"/>
    </xf>
    <xf numFmtId="0" fontId="27" fillId="26" borderId="14" xfId="0" applyFont="1" applyFill="1" applyBorder="1" applyAlignment="1">
      <alignment horizontal="center" vertical="center" wrapText="1"/>
    </xf>
    <xf numFmtId="0" fontId="34" fillId="0" borderId="14" xfId="0" applyFont="1" applyBorder="1" applyAlignment="1">
      <alignment horizontal="center" vertical="center" wrapText="1"/>
    </xf>
    <xf numFmtId="14" fontId="29" fillId="15" borderId="14" xfId="0" applyNumberFormat="1" applyFont="1" applyFill="1" applyBorder="1" applyAlignment="1" applyProtection="1">
      <alignment horizontal="center" wrapText="1"/>
      <protection locked="0"/>
    </xf>
    <xf numFmtId="0" fontId="29" fillId="34" borderId="14" xfId="0" applyFont="1" applyFill="1" applyBorder="1" applyAlignment="1" applyProtection="1">
      <alignment horizontal="center" vertical="center" wrapText="1"/>
      <protection hidden="1"/>
    </xf>
    <xf numFmtId="0" fontId="34" fillId="0" borderId="14" xfId="0" applyFont="1" applyBorder="1" applyAlignment="1" applyProtection="1">
      <alignment horizontal="center" wrapText="1"/>
      <protection hidden="1"/>
    </xf>
    <xf numFmtId="0" fontId="27" fillId="25" borderId="14" xfId="0" applyFont="1" applyFill="1" applyBorder="1" applyAlignment="1">
      <alignment horizontal="center" vertical="center" wrapText="1"/>
    </xf>
    <xf numFmtId="0" fontId="34" fillId="0" borderId="14" xfId="0" applyFont="1" applyBorder="1" applyAlignment="1">
      <alignment horizontal="center"/>
    </xf>
    <xf numFmtId="1" fontId="27" fillId="0" borderId="14" xfId="0" applyNumberFormat="1" applyFont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locked="0"/>
    </xf>
    <xf numFmtId="0" fontId="27" fillId="21" borderId="14" xfId="0" applyFont="1" applyFill="1" applyBorder="1" applyAlignment="1" applyProtection="1">
      <alignment horizontal="center" vertical="center" wrapText="1"/>
      <protection locked="0"/>
    </xf>
    <xf numFmtId="0" fontId="27" fillId="29" borderId="14" xfId="0" applyFont="1" applyFill="1" applyBorder="1" applyAlignment="1" applyProtection="1">
      <alignment horizontal="center" vertical="center" wrapText="1"/>
      <protection hidden="1"/>
    </xf>
    <xf numFmtId="0" fontId="40" fillId="0" borderId="14" xfId="0" applyFont="1" applyBorder="1" applyAlignment="1" applyProtection="1">
      <alignment horizontal="center" vertical="center" wrapText="1"/>
      <protection hidden="1"/>
    </xf>
    <xf numFmtId="0" fontId="33" fillId="30" borderId="14" xfId="0" applyFont="1" applyFill="1" applyBorder="1" applyAlignment="1" applyProtection="1">
      <alignment horizontal="center" wrapText="1"/>
      <protection hidden="1" locked="0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14" fontId="40" fillId="0" borderId="14" xfId="0" applyNumberFormat="1" applyFont="1" applyBorder="1" applyAlignment="1" applyProtection="1">
      <alignment horizontal="center" vertical="center" wrapText="1"/>
      <protection locked="0"/>
    </xf>
    <xf numFmtId="14" fontId="40" fillId="15" borderId="14" xfId="0" applyNumberFormat="1" applyFont="1" applyFill="1" applyBorder="1" applyAlignment="1" applyProtection="1">
      <alignment horizontal="center" vertical="center" wrapText="1"/>
      <protection locked="0"/>
    </xf>
    <xf numFmtId="0" fontId="40" fillId="15" borderId="14" xfId="0" applyFont="1" applyFill="1" applyBorder="1" applyAlignment="1">
      <alignment horizontal="center" vertical="center" wrapText="1"/>
    </xf>
    <xf numFmtId="0" fontId="40" fillId="0" borderId="14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0" fillId="15" borderId="14" xfId="0" applyFont="1" applyFill="1" applyBorder="1" applyAlignment="1" applyProtection="1">
      <alignment horizontal="center" vertical="center" wrapText="1"/>
      <protection locked="0"/>
    </xf>
    <xf numFmtId="0" fontId="29" fillId="27" borderId="14" xfId="0" applyFont="1" applyFill="1" applyBorder="1" applyAlignment="1" applyProtection="1">
      <alignment horizontal="center" vertical="center" wrapText="1"/>
      <protection hidden="1"/>
    </xf>
    <xf numFmtId="0" fontId="29" fillId="15" borderId="14" xfId="0" applyFont="1" applyFill="1" applyBorder="1" applyAlignment="1" applyProtection="1">
      <alignment horizontal="center" vertical="center" wrapText="1"/>
      <protection hidden="1"/>
    </xf>
    <xf numFmtId="0" fontId="31" fillId="28" borderId="14" xfId="0" applyFont="1" applyFill="1" applyBorder="1" applyAlignment="1" applyProtection="1">
      <alignment horizontal="center" vertical="center" wrapText="1"/>
      <protection hidden="1"/>
    </xf>
    <xf numFmtId="0" fontId="40" fillId="0" borderId="14" xfId="0" applyFont="1" applyBorder="1" applyAlignment="1" applyProtection="1">
      <alignment horizontal="center" wrapText="1"/>
      <protection hidden="1"/>
    </xf>
    <xf numFmtId="0" fontId="29" fillId="15" borderId="14" xfId="0" applyFont="1" applyFill="1" applyBorder="1" applyAlignment="1" applyProtection="1">
      <alignment horizontal="center" vertical="center" textRotation="90" wrapText="1"/>
      <protection hidden="1"/>
    </xf>
    <xf numFmtId="14" fontId="40" fillId="15" borderId="14" xfId="0" applyNumberFormat="1" applyFont="1" applyFill="1" applyBorder="1" applyAlignment="1" applyProtection="1">
      <alignment horizontal="center" wrapText="1"/>
      <protection locked="0"/>
    </xf>
    <xf numFmtId="0" fontId="40" fillId="34" borderId="14" xfId="0" applyFont="1" applyFill="1" applyBorder="1" applyAlignment="1" applyProtection="1">
      <alignment horizontal="center" vertical="center" wrapText="1"/>
      <protection hidden="1"/>
    </xf>
    <xf numFmtId="0" fontId="42" fillId="0" borderId="14" xfId="0" applyFont="1" applyBorder="1" applyAlignment="1" applyProtection="1">
      <alignment horizontal="center" vertical="center" wrapText="1"/>
      <protection locked="0"/>
    </xf>
    <xf numFmtId="0" fontId="29" fillId="31" borderId="14" xfId="0" applyFont="1" applyFill="1" applyBorder="1" applyAlignment="1" applyProtection="1">
      <alignment horizontal="center" vertical="center" wrapText="1"/>
      <protection hidden="1"/>
    </xf>
    <xf numFmtId="0" fontId="44" fillId="35" borderId="14" xfId="0" applyFont="1" applyFill="1" applyBorder="1" applyAlignment="1" applyProtection="1">
      <alignment horizontal="center" vertical="center" wrapText="1"/>
      <protection hidden="1" locked="0"/>
    </xf>
    <xf numFmtId="0" fontId="39" fillId="0" borderId="17" xfId="0" applyFont="1" applyBorder="1" applyAlignment="1" applyProtection="1">
      <alignment horizontal="center" vertical="center" wrapText="1"/>
      <protection hidden="1"/>
    </xf>
    <xf numFmtId="0" fontId="39" fillId="0" borderId="15" xfId="0" applyFont="1" applyBorder="1" applyAlignment="1" applyProtection="1">
      <alignment horizontal="center" vertical="center" wrapText="1"/>
      <protection hidden="1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39" fillId="0" borderId="14" xfId="0" applyFont="1" applyBorder="1" applyAlignment="1" applyProtection="1">
      <alignment horizontal="center" vertical="center" wrapText="1"/>
      <protection hidden="1"/>
    </xf>
    <xf numFmtId="0" fontId="39" fillId="34" borderId="14" xfId="0" applyFont="1" applyFill="1" applyBorder="1" applyAlignment="1" applyProtection="1">
      <alignment horizontal="center" vertical="center" wrapText="1"/>
      <protection hidden="1"/>
    </xf>
    <xf numFmtId="14" fontId="39" fillId="15" borderId="14" xfId="0" applyNumberFormat="1" applyFont="1" applyFill="1" applyBorder="1" applyAlignment="1" applyProtection="1">
      <alignment horizontal="center" wrapText="1"/>
      <protection locked="0"/>
    </xf>
    <xf numFmtId="14" fontId="39" fillId="15" borderId="14" xfId="0" applyNumberFormat="1" applyFont="1" applyFill="1" applyBorder="1" applyAlignment="1" applyProtection="1">
      <alignment horizontal="center" vertical="center" wrapText="1"/>
      <protection locked="0"/>
    </xf>
    <xf numFmtId="0" fontId="39" fillId="15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 applyProtection="1">
      <alignment horizontal="center" vertical="center" wrapText="1"/>
      <protection locked="0"/>
    </xf>
    <xf numFmtId="0" fontId="39" fillId="15" borderId="14" xfId="0" applyFont="1" applyFill="1" applyBorder="1" applyAlignment="1" applyProtection="1">
      <alignment horizontal="center" vertical="center" wrapText="1"/>
      <protection locked="0"/>
    </xf>
    <xf numFmtId="0" fontId="39" fillId="15" borderId="14" xfId="0" applyFont="1" applyFill="1" applyBorder="1" applyAlignment="1" applyProtection="1">
      <alignment horizontal="center" vertical="center" textRotation="90" wrapText="1"/>
      <protection hidden="1"/>
    </xf>
    <xf numFmtId="0" fontId="39" fillId="15" borderId="14" xfId="0" applyFont="1" applyFill="1" applyBorder="1" applyAlignment="1" applyProtection="1">
      <alignment horizontal="center" vertical="center" wrapText="1"/>
      <protection hidden="1"/>
    </xf>
    <xf numFmtId="0" fontId="45" fillId="0" borderId="14" xfId="0" applyFont="1" applyBorder="1" applyAlignment="1">
      <alignment horizontal="center" vertical="center" wrapText="1"/>
    </xf>
    <xf numFmtId="0" fontId="46" fillId="0" borderId="14" xfId="0" applyFont="1" applyBorder="1" applyAlignment="1" applyProtection="1">
      <alignment horizontal="center" wrapText="1"/>
      <protection hidden="1"/>
    </xf>
    <xf numFmtId="0" fontId="46" fillId="0" borderId="14" xfId="0" applyFont="1" applyBorder="1" applyAlignment="1">
      <alignment horizontal="center" vertical="center" wrapText="1"/>
    </xf>
    <xf numFmtId="14" fontId="39" fillId="0" borderId="14" xfId="0" applyNumberFormat="1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0" fontId="55" fillId="0" borderId="13" xfId="0" applyFont="1" applyBorder="1" applyAlignment="1" applyProtection="1">
      <alignment horizontal="center" vertical="center" wrapText="1"/>
      <protection hidden="1"/>
    </xf>
    <xf numFmtId="0" fontId="55" fillId="0" borderId="12" xfId="0" applyFont="1" applyBorder="1" applyAlignment="1" applyProtection="1">
      <alignment horizontal="center" vertical="center" wrapText="1"/>
      <protection hidden="1"/>
    </xf>
    <xf numFmtId="0" fontId="55" fillId="0" borderId="11" xfId="0" applyFont="1" applyBorder="1" applyAlignment="1" applyProtection="1">
      <alignment horizontal="center" vertical="center" wrapText="1"/>
      <protection hidden="1"/>
    </xf>
    <xf numFmtId="0" fontId="29" fillId="0" borderId="13" xfId="0" applyFont="1" applyBorder="1" applyAlignment="1" applyProtection="1">
      <alignment horizontal="center" vertical="center" wrapText="1"/>
      <protection hidden="1"/>
    </xf>
    <xf numFmtId="0" fontId="29" fillId="0" borderId="12" xfId="0" applyFont="1" applyBorder="1" applyAlignment="1" applyProtection="1">
      <alignment horizontal="center" vertical="center" wrapText="1"/>
      <protection hidden="1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29" fillId="0" borderId="17" xfId="0" applyFont="1" applyBorder="1" applyAlignment="1" applyProtection="1">
      <alignment horizontal="center" vertical="center" wrapText="1"/>
      <protection locked="0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29" fillId="0" borderId="15" xfId="0" applyFont="1" applyBorder="1" applyAlignment="1" applyProtection="1">
      <alignment horizontal="center" vertical="center" wrapText="1"/>
      <protection locked="0"/>
    </xf>
    <xf numFmtId="0" fontId="29" fillId="0" borderId="37" xfId="0" applyFont="1" applyBorder="1" applyAlignment="1" applyProtection="1">
      <alignment horizontal="center" vertical="center" wrapText="1"/>
      <protection hidden="1"/>
    </xf>
    <xf numFmtId="0" fontId="29" fillId="0" borderId="38" xfId="0" applyFont="1" applyBorder="1" applyAlignment="1" applyProtection="1">
      <alignment horizontal="center" vertical="center" wrapText="1"/>
      <protection hidden="1"/>
    </xf>
    <xf numFmtId="0" fontId="29" fillId="0" borderId="39" xfId="0" applyFont="1" applyBorder="1" applyAlignment="1" applyProtection="1">
      <alignment horizontal="center" vertical="center" wrapText="1"/>
      <protection hidden="1"/>
    </xf>
    <xf numFmtId="0" fontId="29" fillId="0" borderId="40" xfId="0" applyFont="1" applyBorder="1" applyAlignment="1" applyProtection="1">
      <alignment horizontal="center" vertical="center" wrapText="1"/>
      <protection hidden="1"/>
    </xf>
    <xf numFmtId="0" fontId="29" fillId="0" borderId="41" xfId="0" applyFont="1" applyBorder="1" applyAlignment="1" applyProtection="1">
      <alignment horizontal="center" vertical="center" wrapText="1"/>
      <protection hidden="1"/>
    </xf>
    <xf numFmtId="0" fontId="29" fillId="0" borderId="42" xfId="0" applyFont="1" applyBorder="1" applyAlignment="1" applyProtection="1">
      <alignment horizontal="center" vertical="center" wrapText="1"/>
      <protection hidden="1"/>
    </xf>
    <xf numFmtId="0" fontId="44" fillId="36" borderId="14" xfId="0" applyFont="1" applyFill="1" applyBorder="1" applyAlignment="1" applyProtection="1">
      <alignment horizontal="center" vertical="center" wrapText="1"/>
      <protection hidden="1" locked="0"/>
    </xf>
    <xf numFmtId="0" fontId="34" fillId="0" borderId="14" xfId="0" applyFont="1" applyBorder="1" applyAlignment="1" applyProtection="1">
      <alignment horizontal="center" vertical="center" wrapText="1"/>
      <protection locked="0"/>
    </xf>
    <xf numFmtId="0" fontId="29" fillId="0" borderId="14" xfId="0" applyFont="1" applyBorder="1" applyAlignment="1">
      <alignment horizontal="center" vertical="center"/>
    </xf>
    <xf numFmtId="0" fontId="34" fillId="0" borderId="14" xfId="0" applyFont="1" applyBorder="1" applyAlignment="1" applyProtection="1">
      <alignment horizontal="center" vertical="center" wrapText="1"/>
      <protection hidden="1"/>
    </xf>
    <xf numFmtId="0" fontId="34" fillId="0" borderId="17" xfId="0" applyFont="1" applyBorder="1" applyAlignment="1" applyProtection="1">
      <alignment horizontal="center" vertical="center" wrapText="1"/>
      <protection hidden="1" locked="0"/>
    </xf>
    <xf numFmtId="0" fontId="34" fillId="0" borderId="15" xfId="0" applyFont="1" applyBorder="1" applyAlignment="1" applyProtection="1">
      <alignment horizontal="center" vertical="center" wrapText="1"/>
      <protection hidden="1" locked="0"/>
    </xf>
    <xf numFmtId="0" fontId="52" fillId="0" borderId="14" xfId="0" applyFont="1" applyBorder="1" applyAlignment="1" applyProtection="1">
      <alignment horizontal="center" vertical="center" wrapText="1"/>
      <protection hidden="1"/>
    </xf>
    <xf numFmtId="0" fontId="44" fillId="37" borderId="14" xfId="0" applyFont="1" applyFill="1" applyBorder="1" applyAlignment="1" applyProtection="1">
      <alignment horizontal="center" vertical="center" wrapText="1"/>
      <protection hidden="1" locked="0"/>
    </xf>
    <xf numFmtId="0" fontId="34" fillId="0" borderId="37" xfId="0" applyFont="1" applyBorder="1" applyAlignment="1" applyProtection="1">
      <alignment horizontal="center" vertical="center" wrapText="1"/>
      <protection locked="0"/>
    </xf>
    <xf numFmtId="0" fontId="34" fillId="0" borderId="43" xfId="0" applyFont="1" applyBorder="1" applyAlignment="1" applyProtection="1">
      <alignment horizontal="center" vertical="center" wrapText="1"/>
      <protection locked="0"/>
    </xf>
    <xf numFmtId="0" fontId="34" fillId="0" borderId="38" xfId="0" applyFont="1" applyBorder="1" applyAlignment="1" applyProtection="1">
      <alignment horizontal="center" vertical="center" wrapText="1"/>
      <protection locked="0"/>
    </xf>
    <xf numFmtId="0" fontId="34" fillId="0" borderId="39" xfId="0" applyFont="1" applyBorder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 vertical="center" wrapText="1"/>
      <protection locked="0"/>
    </xf>
    <xf numFmtId="0" fontId="34" fillId="0" borderId="40" xfId="0" applyFont="1" applyBorder="1" applyAlignment="1" applyProtection="1">
      <alignment horizontal="center" vertical="center" wrapText="1"/>
      <protection locked="0"/>
    </xf>
    <xf numFmtId="0" fontId="34" fillId="0" borderId="41" xfId="0" applyFont="1" applyBorder="1" applyAlignment="1" applyProtection="1">
      <alignment horizontal="center" vertical="center" wrapText="1"/>
      <protection locked="0"/>
    </xf>
    <xf numFmtId="0" fontId="34" fillId="0" borderId="18" xfId="0" applyFont="1" applyBorder="1" applyAlignment="1" applyProtection="1">
      <alignment horizontal="center" vertical="center" wrapText="1"/>
      <protection locked="0"/>
    </xf>
    <xf numFmtId="0" fontId="34" fillId="0" borderId="42" xfId="0" applyFont="1" applyBorder="1" applyAlignment="1" applyProtection="1">
      <alignment horizontal="center" vertical="center" wrapText="1"/>
      <protection locked="0"/>
    </xf>
    <xf numFmtId="0" fontId="29" fillId="0" borderId="17" xfId="0" applyFont="1" applyBorder="1" applyAlignment="1" applyProtection="1">
      <alignment horizontal="center" vertical="center" wrapText="1"/>
      <protection hidden="1"/>
    </xf>
    <xf numFmtId="0" fontId="29" fillId="0" borderId="16" xfId="0" applyFont="1" applyBorder="1" applyAlignment="1" applyProtection="1">
      <alignment horizontal="center" vertical="center" wrapText="1"/>
      <protection hidden="1"/>
    </xf>
    <xf numFmtId="0" fontId="29" fillId="0" borderId="15" xfId="0" applyFont="1" applyBorder="1" applyAlignment="1" applyProtection="1">
      <alignment horizontal="center" vertical="center" wrapText="1"/>
      <protection hidden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2" fillId="0" borderId="15" xfId="0" applyFont="1" applyBorder="1" applyAlignment="1" applyProtection="1">
      <alignment horizontal="center" vertical="center" wrapText="1"/>
      <protection locked="0"/>
    </xf>
    <xf numFmtId="0" fontId="30" fillId="38" borderId="14" xfId="0" applyFont="1" applyFill="1" applyBorder="1" applyAlignment="1" applyProtection="1">
      <alignment horizontal="center" vertical="center" wrapText="1"/>
      <protection hidden="1" locked="0"/>
    </xf>
    <xf numFmtId="0" fontId="39" fillId="39" borderId="14" xfId="0" applyFont="1" applyFill="1" applyBorder="1" applyAlignment="1">
      <alignment horizontal="center" vertical="center" wrapText="1"/>
    </xf>
    <xf numFmtId="0" fontId="27" fillId="23" borderId="14" xfId="0" applyFont="1" applyFill="1" applyBorder="1" applyAlignment="1" applyProtection="1">
      <alignment horizontal="center" vertical="center" wrapText="1"/>
      <protection hidden="1"/>
    </xf>
    <xf numFmtId="1" fontId="56" fillId="0" borderId="17" xfId="0" applyNumberFormat="1" applyFont="1" applyBorder="1" applyAlignment="1">
      <alignment horizontal="center" vertical="center"/>
    </xf>
    <xf numFmtId="1" fontId="56" fillId="0" borderId="16" xfId="0" applyNumberFormat="1" applyFont="1" applyBorder="1" applyAlignment="1">
      <alignment horizontal="center" vertical="center"/>
    </xf>
    <xf numFmtId="1" fontId="56" fillId="0" borderId="15" xfId="0" applyNumberFormat="1" applyFont="1" applyBorder="1" applyAlignment="1">
      <alignment horizontal="center" vertical="center"/>
    </xf>
    <xf numFmtId="1" fontId="57" fillId="0" borderId="17" xfId="0" applyNumberFormat="1" applyFont="1" applyBorder="1" applyAlignment="1">
      <alignment horizontal="center" vertical="center"/>
    </xf>
    <xf numFmtId="1" fontId="57" fillId="0" borderId="16" xfId="0" applyNumberFormat="1" applyFont="1" applyBorder="1" applyAlignment="1">
      <alignment horizontal="center" vertical="center"/>
    </xf>
    <xf numFmtId="1" fontId="57" fillId="0" borderId="15" xfId="0" applyNumberFormat="1" applyFont="1" applyBorder="1" applyAlignment="1">
      <alignment horizontal="center" vertical="center"/>
    </xf>
    <xf numFmtId="1" fontId="56" fillId="32" borderId="17" xfId="0" applyNumberFormat="1" applyFont="1" applyFill="1" applyBorder="1" applyAlignment="1">
      <alignment horizontal="center" vertical="center"/>
    </xf>
    <xf numFmtId="1" fontId="56" fillId="32" borderId="15" xfId="0" applyNumberFormat="1" applyFont="1" applyFill="1" applyBorder="1" applyAlignment="1">
      <alignment horizontal="center" vertical="center"/>
    </xf>
    <xf numFmtId="1" fontId="57" fillId="32" borderId="17" xfId="0" applyNumberFormat="1" applyFont="1" applyFill="1" applyBorder="1" applyAlignment="1">
      <alignment horizontal="center" vertical="center"/>
    </xf>
    <xf numFmtId="1" fontId="57" fillId="32" borderId="16" xfId="0" applyNumberFormat="1" applyFont="1" applyFill="1" applyBorder="1" applyAlignment="1">
      <alignment horizontal="center" vertical="center"/>
    </xf>
    <xf numFmtId="1" fontId="57" fillId="32" borderId="15" xfId="0" applyNumberFormat="1" applyFont="1" applyFill="1" applyBorder="1" applyAlignment="1">
      <alignment horizontal="center" vertical="center"/>
    </xf>
    <xf numFmtId="1" fontId="56" fillId="33" borderId="17" xfId="0" applyNumberFormat="1" applyFont="1" applyFill="1" applyBorder="1" applyAlignment="1">
      <alignment horizontal="center" vertical="center"/>
    </xf>
    <xf numFmtId="1" fontId="56" fillId="33" borderId="16" xfId="0" applyNumberFormat="1" applyFont="1" applyFill="1" applyBorder="1" applyAlignment="1">
      <alignment horizontal="center" vertical="center"/>
    </xf>
    <xf numFmtId="1" fontId="56" fillId="33" borderId="15" xfId="0" applyNumberFormat="1" applyFont="1" applyFill="1" applyBorder="1" applyAlignment="1">
      <alignment horizontal="center" vertical="center"/>
    </xf>
    <xf numFmtId="1" fontId="56" fillId="32" borderId="16" xfId="0" applyNumberFormat="1" applyFont="1" applyFill="1" applyBorder="1" applyAlignment="1">
      <alignment horizontal="center" vertical="center"/>
    </xf>
    <xf numFmtId="165" fontId="57" fillId="32" borderId="17" xfId="0" applyNumberFormat="1" applyFont="1" applyFill="1" applyBorder="1" applyAlignment="1">
      <alignment horizontal="center" vertical="center"/>
    </xf>
    <xf numFmtId="165" fontId="57" fillId="32" borderId="16" xfId="0" applyNumberFormat="1" applyFont="1" applyFill="1" applyBorder="1" applyAlignment="1">
      <alignment horizontal="center" vertical="center"/>
    </xf>
    <xf numFmtId="165" fontId="57" fillId="32" borderId="15" xfId="0" applyNumberFormat="1" applyFont="1" applyFill="1" applyBorder="1" applyAlignment="1">
      <alignment horizontal="center" vertical="center"/>
    </xf>
    <xf numFmtId="165" fontId="57" fillId="0" borderId="17" xfId="0" applyNumberFormat="1" applyFont="1" applyBorder="1" applyAlignment="1">
      <alignment horizontal="center" vertical="center"/>
    </xf>
    <xf numFmtId="165" fontId="57" fillId="0" borderId="16" xfId="0" applyNumberFormat="1" applyFont="1" applyBorder="1" applyAlignment="1">
      <alignment horizontal="center" vertical="center"/>
    </xf>
    <xf numFmtId="165" fontId="57" fillId="0" borderId="15" xfId="0" applyNumberFormat="1" applyFont="1" applyBorder="1" applyAlignment="1">
      <alignment horizontal="center" vertical="center"/>
    </xf>
    <xf numFmtId="165" fontId="56" fillId="32" borderId="17" xfId="0" applyNumberFormat="1" applyFont="1" applyFill="1" applyBorder="1" applyAlignment="1">
      <alignment horizontal="center" vertical="center"/>
    </xf>
    <xf numFmtId="165" fontId="56" fillId="32" borderId="16" xfId="0" applyNumberFormat="1" applyFont="1" applyFill="1" applyBorder="1" applyAlignment="1">
      <alignment horizontal="center" vertical="center"/>
    </xf>
    <xf numFmtId="165" fontId="56" fillId="32" borderId="15" xfId="0" applyNumberFormat="1" applyFont="1" applyFill="1" applyBorder="1" applyAlignment="1">
      <alignment horizontal="center" vertical="center"/>
    </xf>
    <xf numFmtId="0" fontId="0" fillId="40" borderId="44" xfId="0" applyFill="1" applyBorder="1" applyAlignment="1">
      <alignment horizontal="center"/>
    </xf>
    <xf numFmtId="0" fontId="0" fillId="40" borderId="45" xfId="0" applyFill="1" applyBorder="1" applyAlignment="1">
      <alignment horizontal="center"/>
    </xf>
    <xf numFmtId="0" fontId="4" fillId="40" borderId="44" xfId="0" applyFont="1" applyFill="1" applyBorder="1" applyAlignment="1">
      <alignment horizontal="center"/>
    </xf>
    <xf numFmtId="0" fontId="4" fillId="40" borderId="45" xfId="0" applyFont="1" applyFill="1" applyBorder="1" applyAlignment="1">
      <alignment horizontal="center"/>
    </xf>
    <xf numFmtId="0" fontId="49" fillId="30" borderId="0" xfId="85" applyFont="1" applyFill="1" applyAlignment="1">
      <alignment horizontal="center" vertical="center"/>
      <protection/>
    </xf>
    <xf numFmtId="0" fontId="0" fillId="0" borderId="14" xfId="0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17" xfId="0" applyFont="1" applyBorder="1" applyAlignment="1">
      <alignment horizontal="left"/>
    </xf>
    <xf numFmtId="0" fontId="4" fillId="0" borderId="16" xfId="0" applyFont="1" applyBorder="1" applyAlignment="1">
      <alignment horizontal="left"/>
    </xf>
    <xf numFmtId="0" fontId="4" fillId="0" borderId="15" xfId="0" applyFont="1" applyBorder="1" applyAlignment="1">
      <alignment horizontal="left"/>
    </xf>
    <xf numFmtId="0" fontId="4" fillId="0" borderId="44" xfId="0" applyFont="1" applyBorder="1" applyAlignment="1">
      <alignment horizontal="left"/>
    </xf>
    <xf numFmtId="0" fontId="4" fillId="0" borderId="46" xfId="0" applyFont="1" applyBorder="1" applyAlignment="1">
      <alignment horizontal="left"/>
    </xf>
    <xf numFmtId="0" fontId="4" fillId="0" borderId="14" xfId="0" applyFont="1" applyBorder="1" applyAlignment="1">
      <alignment horizontal="left" vertical="center"/>
    </xf>
    <xf numFmtId="0" fontId="4" fillId="0" borderId="26" xfId="0" applyFont="1" applyBorder="1" applyAlignment="1">
      <alignment horizontal="left"/>
    </xf>
    <xf numFmtId="0" fontId="4" fillId="0" borderId="47" xfId="0" applyFont="1" applyBorder="1" applyAlignment="1">
      <alignment horizontal="left"/>
    </xf>
    <xf numFmtId="0" fontId="4" fillId="0" borderId="48" xfId="0" applyFont="1" applyBorder="1" applyAlignment="1">
      <alignment horizontal="left"/>
    </xf>
    <xf numFmtId="0" fontId="1" fillId="0" borderId="0" xfId="85" applyFill="1">
      <alignment/>
      <protection/>
    </xf>
    <xf numFmtId="0" fontId="39" fillId="27" borderId="14" xfId="0" applyFont="1" applyFill="1" applyBorder="1" applyAlignment="1" applyProtection="1">
      <alignment horizontal="center" vertical="center" wrapText="1"/>
      <protection hidden="1" locked="0"/>
    </xf>
  </cellXfs>
  <cellStyles count="89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microsoft.com/office/2006/relationships/vbaProject" Target="vbaProject.bin" /><Relationship Id="rId15" Type="http://schemas.openxmlformats.org/officeDocument/2006/relationships/styles" Target="styles.xml" /><Relationship Id="rId16" Type="http://schemas.openxmlformats.org/officeDocument/2006/relationships/sharedStrings" Target="sharedStrings.xml" /><Relationship Id="rId17" Type="http://schemas.openxmlformats.org/officeDocument/2006/relationships/theme" Target="theme/theme1.xml" /><Relationship Id="rId18" Type="http://schemas.openxmlformats.org/officeDocument/2006/relationships/externalLink" Target="externalLinks/externalLink1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20250713.1251_Roller%20Blinds_Job_Sheet_BUZ_Brax_Window_Treatments_20230407073321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Job Sheet"/>
      <sheetName val="Installation"/>
      <sheetName val="Fabric Cutting"/>
      <sheetName val="Tube Cutting"/>
      <sheetName val="Assembly(a)"/>
      <sheetName val="Assembly(b)"/>
      <sheetName val="Bagging"/>
      <sheetName val="Electrical Form"/>
      <sheetName val="Upholstered Pelmet Order Form"/>
      <sheetName val="Components"/>
      <sheetName val="Labels"/>
      <sheetName val="Deductions"/>
      <sheetName val="Component Colour Matching"/>
      <sheetName val="Tube Size &amp; Chain Dro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AY3" t="str">
            <v>Less than 2.1m</v>
          </cell>
          <cell r="BK3" t="str">
            <v>Single</v>
          </cell>
          <cell r="BL3" t="str">
            <v>No</v>
          </cell>
          <cell r="BM3" t="str">
            <v>None</v>
          </cell>
          <cell r="BN3">
            <v>0</v>
          </cell>
          <cell r="BO3" t="str">
            <v>No</v>
          </cell>
          <cell r="BP3">
            <v>0</v>
          </cell>
        </row>
        <row r="4">
          <cell r="BK4" t="str">
            <v>Single with Covers</v>
          </cell>
          <cell r="BL4" t="str">
            <v>No</v>
          </cell>
          <cell r="BM4" t="str">
            <v>Straight Upholstered Pelmet</v>
          </cell>
          <cell r="BN4">
            <v>5</v>
          </cell>
          <cell r="BO4" t="str">
            <v>Side by Side(Face)</v>
          </cell>
          <cell r="BP4">
            <v>2</v>
          </cell>
        </row>
        <row r="5">
          <cell r="BK5" t="str">
            <v>Dual Opposite Side</v>
          </cell>
          <cell r="BL5" t="str">
            <v>Yes</v>
          </cell>
          <cell r="BM5" t="str">
            <v>Shaped Upholstered Pelmet</v>
          </cell>
          <cell r="BN5">
            <v>5</v>
          </cell>
          <cell r="BO5" t="str">
            <v>Side by Side(Reveal)</v>
          </cell>
          <cell r="BP5">
            <v>2</v>
          </cell>
        </row>
        <row r="6">
          <cell r="BK6" t="str">
            <v>Dual Same Side</v>
          </cell>
          <cell r="BL6" t="str">
            <v>Yes</v>
          </cell>
          <cell r="BM6" t="str">
            <v>Straight Bonded Pelmet</v>
          </cell>
          <cell r="BN6">
            <v>5</v>
          </cell>
          <cell r="BO6" t="str">
            <v>Thru</v>
          </cell>
          <cell r="BP6">
            <v>0</v>
          </cell>
        </row>
        <row r="7">
          <cell r="BK7" t="str">
            <v>Slimline Dual Top Blind Front Roll LHS Control</v>
          </cell>
          <cell r="BL7" t="str">
            <v>Yes</v>
          </cell>
          <cell r="BM7" t="str">
            <v>Aluminium Valance</v>
          </cell>
          <cell r="BN7">
            <v>5</v>
          </cell>
          <cell r="BO7" t="str">
            <v>Butt</v>
          </cell>
          <cell r="BP7">
            <v>2</v>
          </cell>
        </row>
        <row r="8">
          <cell r="BK8" t="str">
            <v>Slimline Dual Top Blind Front Roll RHS Control</v>
          </cell>
          <cell r="BL8" t="str">
            <v>Yes</v>
          </cell>
          <cell r="BM8" t="str">
            <v>Aluminium Valance - Fabric Covered</v>
          </cell>
          <cell r="BN8">
            <v>5</v>
          </cell>
          <cell r="BO8" t="str">
            <v>Butt Extension Bracket</v>
          </cell>
          <cell r="BP8">
            <v>2</v>
          </cell>
        </row>
        <row r="9">
          <cell r="BK9" t="str">
            <v>Slimline Dual Top Blind Back Roll LHS Control</v>
          </cell>
          <cell r="BL9" t="str">
            <v>Yes</v>
          </cell>
          <cell r="BM9" t="str">
            <v>Aluminium Pelmet</v>
          </cell>
          <cell r="BN9">
            <v>5</v>
          </cell>
          <cell r="BO9" t="str">
            <v>Butt 60mm Bracket</v>
          </cell>
          <cell r="BP9">
            <v>2</v>
          </cell>
        </row>
        <row r="10">
          <cell r="BK10" t="str">
            <v>Slimline Dual Top Blind Back Roll RHS Control</v>
          </cell>
          <cell r="BL10" t="str">
            <v>Yes</v>
          </cell>
          <cell r="BM10" t="str">
            <v>Square Cassette</v>
          </cell>
          <cell r="BN10">
            <v>5</v>
          </cell>
          <cell r="BO10" t="str">
            <v>Bay - Face Fit (1 End Butting)</v>
          </cell>
          <cell r="BP10">
            <v>0</v>
          </cell>
        </row>
        <row r="11">
          <cell r="BK11" t="str">
            <v>Single Extension</v>
          </cell>
          <cell r="BL11" t="str">
            <v>No</v>
          </cell>
          <cell r="BM11" t="str">
            <v>Square Cassette with Side Channels</v>
          </cell>
          <cell r="BN11">
            <v>15</v>
          </cell>
          <cell r="BO11" t="str">
            <v>Bay - Face Fit (Both Ends Butting)</v>
          </cell>
          <cell r="BP11">
            <v>0</v>
          </cell>
        </row>
        <row r="12">
          <cell r="BK12" t="str">
            <v>Single Extension with Covers</v>
          </cell>
          <cell r="BL12" t="str">
            <v>No</v>
          </cell>
          <cell r="BM12" t="str">
            <v>Round Cassette</v>
          </cell>
          <cell r="BN12">
            <v>5</v>
          </cell>
          <cell r="BO12" t="str">
            <v>Face Fit (Recess Deduction)</v>
          </cell>
          <cell r="BP12">
            <v>0</v>
          </cell>
        </row>
        <row r="13">
          <cell r="BK13" t="str">
            <v>60mm Tube Single</v>
          </cell>
          <cell r="BL13" t="str">
            <v>No</v>
          </cell>
          <cell r="BM13" t="str">
            <v>Round Cassette with Side Channels</v>
          </cell>
          <cell r="BN13">
            <v>15</v>
          </cell>
          <cell r="BO13" t="str">
            <v>Face Fit (Recess Side by Side Deduction)</v>
          </cell>
          <cell r="BP13">
            <v>0</v>
          </cell>
        </row>
        <row r="14">
          <cell r="BK14" t="str">
            <v>Linked</v>
          </cell>
          <cell r="BL14" t="str">
            <v>No</v>
          </cell>
          <cell r="BM14" t="str">
            <v>Side Channels</v>
          </cell>
          <cell r="BN14">
            <v>5</v>
          </cell>
          <cell r="BO14" t="str">
            <v>Face Fit (Recess 5mm Deduction)</v>
          </cell>
          <cell r="BP14">
            <v>0</v>
          </cell>
        </row>
        <row r="15">
          <cell r="BK15" t="str">
            <v>Single Extension Linked</v>
          </cell>
          <cell r="BL15" t="str">
            <v>No</v>
          </cell>
          <cell r="BM15" t="str">
            <v>Zipscreen Hooding</v>
          </cell>
          <cell r="BN15">
            <v>20</v>
          </cell>
          <cell r="BO15" t="str">
            <v>Face Fit (Recess 10mm Deduction)</v>
          </cell>
          <cell r="BP15">
            <v>0</v>
          </cell>
        </row>
        <row r="16">
          <cell r="BK16" t="str">
            <v>Linked 60mm</v>
          </cell>
          <cell r="BL16" t="str">
            <v>No</v>
          </cell>
          <cell r="BO16" t="str">
            <v>Recess Fit (No Deduction)</v>
          </cell>
          <cell r="BP16">
            <v>0</v>
          </cell>
        </row>
        <row r="17">
          <cell r="BK17" t="str">
            <v>Dual Linked</v>
          </cell>
          <cell r="BL17" t="str">
            <v>No</v>
          </cell>
          <cell r="BO17" t="str">
            <v>Recess Fit (5mm Deduction)</v>
          </cell>
          <cell r="BP17">
            <v>0</v>
          </cell>
        </row>
        <row r="18">
          <cell r="BK18" t="str">
            <v>Dual Slimline Linked Top Blind Front Roll</v>
          </cell>
          <cell r="BL18" t="str">
            <v>Yes</v>
          </cell>
          <cell r="BO18" t="str">
            <v>Recess Fit (7mm Deduction)</v>
          </cell>
          <cell r="BP18">
            <v>0</v>
          </cell>
        </row>
        <row r="19">
          <cell r="BK19" t="str">
            <v>Dual Slimline Linked Top Blind Back Roll</v>
          </cell>
          <cell r="BL19" t="str">
            <v>Yes</v>
          </cell>
          <cell r="BO19" t="str">
            <v>Recess Fit (10mm Deduction)</v>
          </cell>
          <cell r="BP19">
            <v>0</v>
          </cell>
        </row>
        <row r="20">
          <cell r="BK20" t="str">
            <v>Dual Linked 60mm</v>
          </cell>
          <cell r="BL20" t="str">
            <v>Yes</v>
          </cell>
          <cell r="BO20" t="str">
            <v>Recess Fit (15mm Deduction)</v>
          </cell>
          <cell r="BP20">
            <v>0</v>
          </cell>
        </row>
        <row r="21">
          <cell r="BK21" t="str">
            <v>45 Degree Linked</v>
          </cell>
          <cell r="BL21" t="str">
            <v>No</v>
          </cell>
          <cell r="BO21" t="str">
            <v>Recess Fit (20mm Deduction)</v>
          </cell>
          <cell r="BP21">
            <v>0</v>
          </cell>
        </row>
        <row r="22">
          <cell r="BK22" t="str">
            <v>90 Degree Linked</v>
          </cell>
          <cell r="BL22" t="str">
            <v>No</v>
          </cell>
          <cell r="BO22" t="str">
            <v>1 Blind inside an Existing Aluminium Pelmet</v>
          </cell>
          <cell r="BP22">
            <v>5</v>
          </cell>
        </row>
        <row r="23">
          <cell r="BK23" t="str">
            <v>Slimline Dual Top Blind Front Roll LHS Control &amp; Dual Slimline Linked Top Blind Front Roll</v>
          </cell>
          <cell r="BL23" t="str">
            <v>Yes</v>
          </cell>
          <cell r="BO23" t="str">
            <v>2 Blinds inside an Existing Aluminium Pelmet</v>
          </cell>
          <cell r="BP23">
            <v>5</v>
          </cell>
        </row>
        <row r="24">
          <cell r="BK24" t="str">
            <v>Slimline Dual Top Blind Front Roll RHS Control &amp; Dual Slimline Linked Top Blind Front Roll</v>
          </cell>
          <cell r="BL24" t="str">
            <v>Yes</v>
          </cell>
          <cell r="BO24" t="str">
            <v>3 Blinds inside an Existing Aluminium Pelmet</v>
          </cell>
          <cell r="BP24">
            <v>5</v>
          </cell>
        </row>
        <row r="25">
          <cell r="BK25" t="str">
            <v>Slimline Dual Top Blind Back Roll LHS Control &amp; Dual Slimline Linked Top Blind Front Roll</v>
          </cell>
          <cell r="BL25" t="str">
            <v>Yes</v>
          </cell>
          <cell r="BO25" t="str">
            <v>1 Blind inside an Existing Cassette</v>
          </cell>
          <cell r="BP25">
            <v>10</v>
          </cell>
        </row>
        <row r="26">
          <cell r="BK26" t="str">
            <v>Slimline Dual Top Blind Back Roll RHS Control &amp; Dual Slimline Linked Top Blind Front Roll</v>
          </cell>
          <cell r="BL26" t="str">
            <v>Yes</v>
          </cell>
          <cell r="BO26" t="str">
            <v>2 Blinds inside an Existing Cassette</v>
          </cell>
          <cell r="BP26">
            <v>10</v>
          </cell>
        </row>
        <row r="27">
          <cell r="BK27" t="str">
            <v>Slimline Dual Top Blind Front Roll LHS Control &amp; Dual Slimline Linked Top Blind Back Roll</v>
          </cell>
          <cell r="BL27" t="str">
            <v>Yes</v>
          </cell>
          <cell r="BO27" t="str">
            <v>3 Blinds inside an Existing Cassette</v>
          </cell>
          <cell r="BP27">
            <v>10</v>
          </cell>
        </row>
        <row r="28">
          <cell r="BK28" t="str">
            <v>Slimline Dual Top Blind Front Roll RHS Control &amp; Dual Slimline Linked Top Blind Back Roll</v>
          </cell>
          <cell r="BL28" t="str">
            <v>Yes</v>
          </cell>
          <cell r="BO28" t="str">
            <v>Outside of Bracket to Outside of Link Bracket</v>
          </cell>
          <cell r="BP28">
            <v>0</v>
          </cell>
        </row>
        <row r="29">
          <cell r="BK29" t="str">
            <v>Slimline Dual Top Blind Back Roll LHS Control &amp; Dual Slimline Linked Top Blind BackRoll</v>
          </cell>
          <cell r="BL29" t="str">
            <v>Yes</v>
          </cell>
          <cell r="BO29" t="str">
            <v>Outside of Link Bracket to Outside of Link Bracket</v>
          </cell>
          <cell r="BP29">
            <v>0</v>
          </cell>
        </row>
        <row r="30">
          <cell r="BK30" t="str">
            <v>Slimline Dual Top Blind Back Roll RHS Control &amp; Dual Slimline Linked Top Blind Back Roll</v>
          </cell>
          <cell r="BL30" t="str">
            <v>Yes</v>
          </cell>
          <cell r="BO30" t="str">
            <v>Outside of Bracket to Centre of Link Bracket</v>
          </cell>
          <cell r="BP30">
            <v>0</v>
          </cell>
        </row>
        <row r="31">
          <cell r="BK31" t="str">
            <v>Single &amp; Single Linked</v>
          </cell>
          <cell r="BL31" t="str">
            <v>No</v>
          </cell>
          <cell r="BO31" t="str">
            <v>Outside of Link Bracket to Centre of Link Bracket</v>
          </cell>
          <cell r="BP31">
            <v>0</v>
          </cell>
        </row>
        <row r="32">
          <cell r="BK32" t="str">
            <v>Single with Covers &amp; Single Linked</v>
          </cell>
          <cell r="BL32" t="str">
            <v>No</v>
          </cell>
          <cell r="BO32" t="str">
            <v>Inside of Bracket to Inside of Link Bracket</v>
          </cell>
          <cell r="BP32">
            <v>0</v>
          </cell>
        </row>
        <row r="33">
          <cell r="BK33" t="str">
            <v>Single Extension &amp; Single Extension Linked</v>
          </cell>
          <cell r="BL33" t="str">
            <v>No</v>
          </cell>
          <cell r="BO33" t="str">
            <v>Inside of Link Bracket to Inside of Link Bracket</v>
          </cell>
          <cell r="BP33">
            <v>0</v>
          </cell>
        </row>
        <row r="34">
          <cell r="BK34" t="str">
            <v>Dual Same Side &amp; Dual Linked</v>
          </cell>
          <cell r="BL34" t="str">
            <v>Yes</v>
          </cell>
          <cell r="BO34" t="str">
            <v>Thru (Dual Same Side)</v>
          </cell>
          <cell r="BP34">
            <v>0</v>
          </cell>
        </row>
        <row r="35">
          <cell r="BK35" t="str">
            <v>Spring Single</v>
          </cell>
          <cell r="BL35" t="str">
            <v>No</v>
          </cell>
          <cell r="BO35" t="str">
            <v>Butt (Dual Same Side)</v>
          </cell>
          <cell r="BP35">
            <v>2</v>
          </cell>
        </row>
        <row r="36">
          <cell r="BK36" t="str">
            <v>Linked(2 Sets)</v>
          </cell>
          <cell r="BL36" t="str">
            <v>No</v>
          </cell>
          <cell r="BO36" t="str">
            <v>Thru (Dual Same Side Slimline)</v>
          </cell>
          <cell r="BP36">
            <v>0</v>
          </cell>
        </row>
        <row r="37">
          <cell r="BK37" t="str">
            <v>Single Extension Linked(2 Sets)|OPRLLK</v>
          </cell>
          <cell r="BL37" t="str">
            <v>No</v>
          </cell>
          <cell r="BO37" t="str">
            <v>Butt (Dual Same Side Slimline)</v>
          </cell>
          <cell r="BP37">
            <v>2</v>
          </cell>
        </row>
        <row r="38">
          <cell r="BK38" t="str">
            <v>Linked 60mm(2 Sets)|OPRLLK</v>
          </cell>
          <cell r="BL38" t="str">
            <v>No</v>
          </cell>
          <cell r="BO38" t="str">
            <v>Thru (Recess Fit, Front Measurement)</v>
          </cell>
          <cell r="BP38">
            <v>0</v>
          </cell>
        </row>
        <row r="39">
          <cell r="BK39" t="str">
            <v>Dual Linked(2 Sets)|OPRLLK</v>
          </cell>
          <cell r="BL39" t="str">
            <v>Yes</v>
          </cell>
          <cell r="BO39" t="str">
            <v>Butt (Recess Fit, Front Measurement)</v>
          </cell>
          <cell r="BP39">
            <v>2</v>
          </cell>
        </row>
        <row r="40">
          <cell r="BK40" t="str">
            <v>Dual Slimline Linked Top Blind Back Roll(2 Sets)|OPRLLK</v>
          </cell>
          <cell r="BL40" t="str">
            <v>Yes</v>
          </cell>
          <cell r="BO40" t="str">
            <v>Inside of Bracket to Inside of Bracket</v>
          </cell>
          <cell r="BP40">
            <v>0</v>
          </cell>
        </row>
        <row r="41">
          <cell r="BK41" t="str">
            <v>Dual Slimline Linked Top Blind Front Roll(2 Sets)|OPRLLK</v>
          </cell>
          <cell r="BL41" t="str">
            <v>Yes</v>
          </cell>
          <cell r="BO41" t="str">
            <v>Butts Both Ends</v>
          </cell>
          <cell r="BP41">
            <v>2</v>
          </cell>
        </row>
        <row r="42">
          <cell r="BK42" t="str">
            <v>Dual Linked 60mm(2 Sets)|OPRLLK</v>
          </cell>
          <cell r="BL42" t="str">
            <v>Yes</v>
          </cell>
          <cell r="BO42" t="str">
            <v>Skirting Board Each Side</v>
          </cell>
          <cell r="BP42">
            <v>2</v>
          </cell>
        </row>
        <row r="43">
          <cell r="BK43" t="str">
            <v>Not Required</v>
          </cell>
          <cell r="BL43" t="str">
            <v>Yes</v>
          </cell>
          <cell r="BO43" t="str">
            <v>Skirting Board 1 Side</v>
          </cell>
          <cell r="BP43">
            <v>2</v>
          </cell>
        </row>
      </sheetData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312"/>
  <sheetViews>
    <sheetView tabSelected="1" workbookViewId="0" topLeftCell="A1">
      <selection pane="topLeft" activeCell="AY19" sqref="AY19"/>
    </sheetView>
  </sheetViews>
  <sheetFormatPr defaultColWidth="9.44140625" defaultRowHeight="13.5"/>
  <cols>
    <col min="1" max="1" width="27.1428571428571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20.5714285714286" customWidth="1"/>
    <col min="56" max="56" width="47.4285714285714" customWidth="1"/>
    <col min="57" max="57" width="8.42857142857143" bestFit="1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1428571428571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43.5714285714286" bestFit="1" customWidth="1"/>
    <col min="89" max="89" width="13.5714285714286" style="54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28"/>
      <c r="AW1" s="28"/>
      <c r="AX1" s="32" t="s">
        <v>792</v>
      </c>
      <c r="AY1" s="29"/>
      <c r="AZ1" s="29" t="s">
        <v>16</v>
      </c>
      <c r="BA1" s="31" t="s">
        <v>23</v>
      </c>
      <c r="BB1" s="29"/>
      <c r="BC1" s="29"/>
      <c r="BD1" s="29"/>
      <c r="BE1" s="29"/>
      <c r="BF1" s="29"/>
      <c r="BG1" s="29" t="s">
        <v>10</v>
      </c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4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</row>
    <row r="2" spans="48:123" ht="13.2">
      <c r="AV2" s="30"/>
      <c r="AW2" s="30"/>
      <c r="AX2" s="30"/>
      <c r="AY2" s="31"/>
      <c r="AZ2" s="29" t="s">
        <v>14</v>
      </c>
      <c r="BA2" s="33">
        <v>20</v>
      </c>
      <c r="BB2" s="29" t="s">
        <v>26</v>
      </c>
      <c r="BC2" s="29"/>
      <c r="BD2" s="29"/>
      <c r="BE2" s="29"/>
      <c r="BF2" s="29"/>
      <c r="BG2" s="29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50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</row>
    <row r="3" spans="48:123" ht="13.2">
      <c r="AV3" s="30" t="s">
        <v>25</v>
      </c>
      <c r="AW3" s="30"/>
      <c r="AX3" s="30"/>
      <c r="AY3" s="31"/>
      <c r="AZ3" s="31" t="s">
        <v>17</v>
      </c>
      <c r="BA3" s="31" t="s">
        <v>18</v>
      </c>
      <c r="BB3" s="31"/>
      <c r="BC3" s="31"/>
      <c r="BD3" s="29"/>
      <c r="BE3" s="29"/>
      <c r="BF3" s="29"/>
      <c r="BG3" s="29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50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</row>
    <row r="4" spans="48:127" ht="13.2">
      <c r="AV4" s="25" t="s">
        <v>0</v>
      </c>
      <c r="AW4" s="25" t="s">
        <v>19</v>
      </c>
      <c r="AX4" s="25" t="s">
        <v>1</v>
      </c>
      <c r="AY4" s="25" t="s">
        <v>2</v>
      </c>
      <c r="AZ4" s="25" t="s">
        <v>22</v>
      </c>
      <c r="BA4" s="25" t="s">
        <v>20</v>
      </c>
      <c r="BB4" s="22" t="s">
        <v>27</v>
      </c>
      <c r="BC4" s="22" t="s">
        <v>3</v>
      </c>
      <c r="BD4" s="22" t="s">
        <v>28</v>
      </c>
      <c r="BE4" s="22" t="s">
        <v>29</v>
      </c>
      <c r="BF4" s="22" t="s">
        <v>30</v>
      </c>
      <c r="BG4" s="22" t="s">
        <v>6</v>
      </c>
      <c r="BH4" s="22" t="s">
        <v>31</v>
      </c>
      <c r="BI4" s="22" t="s">
        <v>32</v>
      </c>
      <c r="BJ4" s="22" t="s">
        <v>33</v>
      </c>
      <c r="BK4" s="22" t="s">
        <v>34</v>
      </c>
      <c r="BL4" s="22" t="s">
        <v>35</v>
      </c>
      <c r="BM4" s="22" t="s">
        <v>36</v>
      </c>
      <c r="BN4" s="22" t="s">
        <v>37</v>
      </c>
      <c r="BO4" s="25" t="s">
        <v>38</v>
      </c>
      <c r="BP4" s="25" t="s">
        <v>39</v>
      </c>
      <c r="BQ4" s="25" t="s">
        <v>24</v>
      </c>
      <c r="BR4" s="25" t="s">
        <v>40</v>
      </c>
      <c r="BS4" s="20" t="s">
        <v>41</v>
      </c>
      <c r="BT4" s="20" t="s">
        <v>42</v>
      </c>
      <c r="BU4" s="20" t="s">
        <v>43</v>
      </c>
      <c r="BV4" s="20" t="s">
        <v>44</v>
      </c>
      <c r="BW4" s="20" t="s">
        <v>45</v>
      </c>
      <c r="BX4" s="20" t="s">
        <v>46</v>
      </c>
      <c r="BY4" s="20" t="s">
        <v>47</v>
      </c>
      <c r="BZ4" s="20" t="s">
        <v>48</v>
      </c>
      <c r="CA4" s="20" t="s">
        <v>49</v>
      </c>
      <c r="CB4" s="20" t="s">
        <v>50</v>
      </c>
      <c r="CC4" s="20" t="s">
        <v>51</v>
      </c>
      <c r="CD4" s="20" t="s">
        <v>52</v>
      </c>
      <c r="CE4" s="20" t="s">
        <v>53</v>
      </c>
      <c r="CF4" s="20" t="s">
        <v>54</v>
      </c>
      <c r="CG4" s="20"/>
      <c r="CH4" s="20" t="s">
        <v>55</v>
      </c>
      <c r="CI4" s="20" t="s">
        <v>56</v>
      </c>
      <c r="CJ4" s="20" t="s">
        <v>57</v>
      </c>
      <c r="CK4" s="51" t="s">
        <v>58</v>
      </c>
      <c r="CL4" s="20" t="s">
        <v>59</v>
      </c>
      <c r="CM4" s="20" t="s">
        <v>60</v>
      </c>
      <c r="CN4" s="20" t="s">
        <v>61</v>
      </c>
      <c r="CO4" s="20" t="s">
        <v>62</v>
      </c>
      <c r="CP4" s="20" t="s">
        <v>63</v>
      </c>
      <c r="CQ4" s="20" t="s">
        <v>64</v>
      </c>
      <c r="CR4" s="20" t="s">
        <v>65</v>
      </c>
      <c r="CS4" s="20" t="s">
        <v>66</v>
      </c>
      <c r="CT4" s="20" t="s">
        <v>67</v>
      </c>
      <c r="CU4" s="20" t="s">
        <v>68</v>
      </c>
      <c r="CV4" s="20" t="s">
        <v>69</v>
      </c>
      <c r="CW4" s="20" t="s">
        <v>70</v>
      </c>
      <c r="CX4" s="20" t="s">
        <v>71</v>
      </c>
      <c r="CY4" s="20" t="s">
        <v>72</v>
      </c>
      <c r="CZ4" s="20" t="s">
        <v>73</v>
      </c>
      <c r="DA4" s="20" t="s">
        <v>74</v>
      </c>
      <c r="DB4" s="20" t="s">
        <v>75</v>
      </c>
      <c r="DC4" s="20" t="s">
        <v>76</v>
      </c>
      <c r="DD4" s="20" t="s">
        <v>77</v>
      </c>
      <c r="DE4" s="20" t="s">
        <v>78</v>
      </c>
      <c r="DF4" s="20" t="s">
        <v>79</v>
      </c>
      <c r="DG4" s="20" t="s">
        <v>80</v>
      </c>
      <c r="DH4" s="20" t="s">
        <v>81</v>
      </c>
      <c r="DI4" s="20" t="s">
        <v>82</v>
      </c>
      <c r="DJ4" s="20" t="s">
        <v>83</v>
      </c>
      <c r="DK4" s="20" t="s">
        <v>84</v>
      </c>
      <c r="DL4" s="20" t="s">
        <v>85</v>
      </c>
      <c r="DM4" s="20" t="s">
        <v>86</v>
      </c>
      <c r="DN4" s="20" t="s">
        <v>87</v>
      </c>
      <c r="DO4" s="20" t="s">
        <v>88</v>
      </c>
      <c r="DP4" s="20" t="s">
        <v>89</v>
      </c>
      <c r="DQ4" s="20" t="s">
        <v>90</v>
      </c>
      <c r="DR4" s="20" t="s">
        <v>91</v>
      </c>
      <c r="DS4" s="20" t="s">
        <v>92</v>
      </c>
      <c r="DT4" t="s">
        <v>138</v>
      </c>
      <c r="DU4" t="s">
        <v>162</v>
      </c>
      <c r="DV4" t="s">
        <v>271</v>
      </c>
      <c r="DW4" t="s">
        <v>272</v>
      </c>
    </row>
    <row r="5" spans="1:127" ht="17.4">
      <c r="A5" s="14" t="s">
        <v>124</v>
      </c>
      <c r="B5" s="14"/>
      <c r="C5" s="14"/>
      <c r="D5" s="14"/>
      <c r="E5" s="14"/>
      <c r="F5" s="14"/>
      <c r="AV5" t="s">
        <v>998</v>
      </c>
      <c r="AW5" s="26" t="s">
        <v>999</v>
      </c>
      <c r="AX5" s="26" t="s">
        <v>1000</v>
      </c>
      <c r="AY5" s="26" t="s">
        <v>1001</v>
      </c>
      <c r="AZ5" s="26" t="s">
        <v>1002</v>
      </c>
      <c r="BA5" s="26" t="s">
        <v>1003</v>
      </c>
      <c r="BC5" s="26" t="s">
        <v>1004</v>
      </c>
      <c r="BD5" s="26" t="s">
        <v>1005</v>
      </c>
      <c r="BE5" t="s">
        <v>1006</v>
      </c>
      <c r="BF5" t="s">
        <v>1007</v>
      </c>
      <c r="BH5" t="s">
        <v>262</v>
      </c>
      <c r="BI5" t="s">
        <v>1008</v>
      </c>
      <c r="BJ5" t="s">
        <v>262</v>
      </c>
      <c r="BK5" t="s">
        <v>1009</v>
      </c>
      <c r="BM5" t="s">
        <v>1010</v>
      </c>
      <c r="BN5" t="s">
        <v>1011</v>
      </c>
      <c r="BO5" s="20" t="s">
        <v>1012</v>
      </c>
      <c r="BP5" s="24" t="s">
        <v>1013</v>
      </c>
      <c r="BQ5" s="24"/>
      <c r="BR5" s="24" t="s">
        <v>1014</v>
      </c>
      <c r="BS5" s="20" t="s">
        <v>262</v>
      </c>
      <c r="BT5" s="20" t="s">
        <v>1015</v>
      </c>
      <c r="BU5" s="20"/>
      <c r="BV5" s="20"/>
      <c r="BW5" s="20"/>
      <c r="BX5" s="20"/>
      <c r="BY5" s="20" t="s">
        <v>1016</v>
      </c>
      <c r="BZ5" s="20" t="s">
        <v>262</v>
      </c>
      <c r="CA5" s="20" t="s">
        <v>262</v>
      </c>
      <c r="CB5" s="20" t="s">
        <v>262</v>
      </c>
      <c r="CC5" s="20" t="s">
        <v>262</v>
      </c>
      <c r="CD5" s="20" t="s">
        <v>262</v>
      </c>
      <c r="CE5" s="20" t="s">
        <v>1017</v>
      </c>
      <c r="CF5" s="20" t="s">
        <v>262</v>
      </c>
      <c r="CG5" s="20"/>
      <c r="CH5" s="20"/>
      <c r="CI5" s="20" t="s">
        <v>262</v>
      </c>
      <c r="CJ5" s="20" t="s">
        <v>1008</v>
      </c>
      <c r="CK5" s="51" t="s">
        <v>262</v>
      </c>
      <c r="CL5" s="20" t="s">
        <v>1009</v>
      </c>
      <c r="CM5" s="20"/>
      <c r="CN5" s="20" t="s">
        <v>1010</v>
      </c>
      <c r="CO5" s="20" t="s">
        <v>1011</v>
      </c>
      <c r="CP5" s="20" t="s">
        <v>1012</v>
      </c>
      <c r="CQ5" s="20" t="s">
        <v>1013</v>
      </c>
      <c r="CR5" s="20">
        <v>0</v>
      </c>
      <c r="CS5" s="20">
        <v>0</v>
      </c>
      <c r="CT5" s="20"/>
      <c r="CU5" s="20" t="s">
        <v>1019</v>
      </c>
      <c r="CV5" s="20" t="s">
        <v>1020</v>
      </c>
      <c r="CW5" s="20"/>
      <c r="CX5" s="20" t="s">
        <v>1019</v>
      </c>
      <c r="CY5" s="20" t="s">
        <v>1020</v>
      </c>
      <c r="CZ5" s="20" t="s">
        <v>1021</v>
      </c>
      <c r="DA5" s="20" t="s">
        <v>262</v>
      </c>
      <c r="DB5" s="20" t="s">
        <v>1015</v>
      </c>
      <c r="DC5" s="20"/>
      <c r="DD5" s="20"/>
      <c r="DE5" s="20"/>
      <c r="DF5" s="20"/>
      <c r="DG5" s="20" t="s">
        <v>1022</v>
      </c>
      <c r="DH5" s="20">
        <v>0</v>
      </c>
      <c r="DI5" s="20">
        <v>12727.2733</v>
      </c>
      <c r="DJ5" s="20" t="s">
        <v>1018</v>
      </c>
      <c r="DK5" s="20" t="s">
        <v>1014</v>
      </c>
      <c r="DL5" s="20" t="s">
        <v>262</v>
      </c>
      <c r="DM5" s="20">
        <v>0</v>
      </c>
      <c r="DN5" s="20">
        <v>0</v>
      </c>
      <c r="DO5" s="20">
        <v>0</v>
      </c>
      <c r="DP5" s="20">
        <v>0</v>
      </c>
      <c r="DQ5" s="20">
        <v>14000.0002</v>
      </c>
      <c r="DR5" s="20" t="s">
        <v>1023</v>
      </c>
      <c r="DS5" s="20" t="s">
        <v>1024</v>
      </c>
      <c r="DT5" t="s">
        <v>1025</v>
      </c>
      <c r="DU5" t="s">
        <v>1026</v>
      </c>
    </row>
    <row r="6" spans="1:123" ht="13.2">
      <c r="A6" s="35" t="s">
        <v>125</v>
      </c>
      <c r="B6" s="35" t="s">
        <v>126</v>
      </c>
      <c r="C6" s="35" t="s">
        <v>127</v>
      </c>
      <c r="D6" s="35" t="s">
        <v>128</v>
      </c>
      <c r="E6" s="35" t="s">
        <v>129</v>
      </c>
      <c r="F6" s="35" t="s">
        <v>130</v>
      </c>
      <c r="AV6" s="20"/>
      <c r="AW6" s="20"/>
      <c r="AX6" s="20"/>
      <c r="AY6" s="24"/>
      <c r="AZ6" s="24"/>
      <c r="BA6" s="20"/>
      <c r="BO6" s="20"/>
      <c r="BP6" s="20"/>
      <c r="BQ6" s="20"/>
      <c r="BR6" s="20"/>
      <c r="BS6" s="20"/>
      <c r="BT6" s="24"/>
      <c r="BU6" s="24"/>
      <c r="BV6" s="24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51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</row>
    <row r="7" spans="1:123" ht="13.2">
      <c r="A7" s="39" t="s">
        <v>131</v>
      </c>
      <c r="B7" s="39">
        <v>11</v>
      </c>
      <c r="C7" s="39">
        <v>20</v>
      </c>
      <c r="D7" s="39" t="s">
        <v>833</v>
      </c>
      <c r="E7" s="39" t="b">
        <v>1</v>
      </c>
      <c r="F7" s="39">
        <v>1</v>
      </c>
      <c r="AV7" s="20"/>
      <c r="AW7" s="20"/>
      <c r="AX7" s="20"/>
      <c r="AY7" s="20"/>
      <c r="AZ7" s="20"/>
      <c r="BA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51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</row>
    <row r="8" spans="1:123" ht="13.2">
      <c r="A8" s="39" t="s">
        <v>715</v>
      </c>
      <c r="B8" s="39">
        <v>11</v>
      </c>
      <c r="C8" s="39">
        <v>20</v>
      </c>
      <c r="D8" s="39" t="s">
        <v>785</v>
      </c>
      <c r="E8" s="39" t="b">
        <v>1</v>
      </c>
      <c r="F8" s="39">
        <v>1</v>
      </c>
      <c r="AV8" s="20"/>
      <c r="AW8" s="20"/>
      <c r="AX8" s="20"/>
      <c r="AY8" s="20"/>
      <c r="AZ8" s="20"/>
      <c r="BA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51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</row>
    <row r="9" spans="1:123" ht="13.2">
      <c r="A9" s="39" t="s">
        <v>151</v>
      </c>
      <c r="B9" s="39">
        <v>11</v>
      </c>
      <c r="C9" s="39">
        <v>20</v>
      </c>
      <c r="D9" s="39" t="s">
        <v>797</v>
      </c>
      <c r="E9" s="39" t="b">
        <v>1</v>
      </c>
      <c r="F9" s="39">
        <v>1</v>
      </c>
      <c r="AV9" s="20"/>
      <c r="AW9" s="20"/>
      <c r="AX9" s="20"/>
      <c r="AY9" s="20"/>
      <c r="AZ9" s="20"/>
      <c r="BA9" s="20"/>
      <c r="BP9" s="20"/>
      <c r="BQ9" s="20"/>
      <c r="BR9" s="20"/>
      <c r="BS9" s="20"/>
      <c r="BT9" s="20"/>
      <c r="BU9" s="20"/>
      <c r="BV9" s="20"/>
      <c r="BW9" s="20"/>
      <c r="BX9" s="21"/>
      <c r="BY9" s="21"/>
      <c r="BZ9" s="21"/>
      <c r="CA9" s="21"/>
      <c r="CB9" s="20"/>
      <c r="CC9" s="20"/>
      <c r="CD9" s="20"/>
      <c r="CE9" s="20"/>
      <c r="CF9" s="20"/>
      <c r="CG9" s="20"/>
      <c r="CH9" s="20"/>
      <c r="CI9" s="20"/>
      <c r="CJ9" s="20"/>
      <c r="CK9" s="51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</row>
    <row r="10" spans="1:123" ht="13.2">
      <c r="A10" s="39" t="s">
        <v>839</v>
      </c>
      <c r="B10" s="39">
        <v>11</v>
      </c>
      <c r="C10" s="39">
        <v>20</v>
      </c>
      <c r="D10" s="39" t="s">
        <v>791</v>
      </c>
      <c r="E10" s="39" t="b">
        <v>1</v>
      </c>
      <c r="F10" s="39">
        <v>1</v>
      </c>
      <c r="AV10" s="22" t="s">
        <v>0</v>
      </c>
      <c r="AW10" s="22" t="s">
        <v>13</v>
      </c>
      <c r="AX10" s="22" t="s">
        <v>93</v>
      </c>
      <c r="AY10" s="22" t="s">
        <v>1</v>
      </c>
      <c r="AZ10" s="22" t="s">
        <v>94</v>
      </c>
      <c r="BA10" s="22" t="s">
        <v>95</v>
      </c>
      <c r="BB10" s="22" t="s">
        <v>96</v>
      </c>
      <c r="BC10" s="22" t="s">
        <v>6</v>
      </c>
      <c r="BD10" s="22" t="s">
        <v>97</v>
      </c>
      <c r="BE10" s="22" t="s">
        <v>98</v>
      </c>
      <c r="BF10" s="22" t="s">
        <v>99</v>
      </c>
      <c r="BG10" s="22" t="s">
        <v>82</v>
      </c>
      <c r="BH10" s="22" t="s">
        <v>100</v>
      </c>
      <c r="BI10" s="22" t="s">
        <v>101</v>
      </c>
      <c r="BJ10" s="22" t="s">
        <v>102</v>
      </c>
      <c r="BK10" s="22" t="s">
        <v>103</v>
      </c>
      <c r="BL10" s="22" t="s">
        <v>104</v>
      </c>
      <c r="BM10" s="22" t="s">
        <v>105</v>
      </c>
      <c r="BN10" t="s">
        <v>106</v>
      </c>
      <c r="BO10" s="22" t="s">
        <v>107</v>
      </c>
      <c r="BP10" s="22" t="s">
        <v>108</v>
      </c>
      <c r="BQ10" s="22" t="s">
        <v>109</v>
      </c>
      <c r="BR10" s="22" t="s">
        <v>110</v>
      </c>
      <c r="BS10" s="22" t="s">
        <v>111</v>
      </c>
      <c r="BT10" s="21" t="s">
        <v>139</v>
      </c>
      <c r="BU10" s="21" t="s">
        <v>140</v>
      </c>
      <c r="BV10" s="21" t="s">
        <v>141</v>
      </c>
      <c r="BW10" s="21" t="s">
        <v>144</v>
      </c>
      <c r="BX10" s="21"/>
      <c r="BY10" s="21"/>
      <c r="BZ10" s="21"/>
      <c r="CA10" s="21" t="s">
        <v>112</v>
      </c>
      <c r="CB10" s="21" t="s">
        <v>0</v>
      </c>
      <c r="CC10" s="21" t="s">
        <v>0</v>
      </c>
      <c r="CD10" s="21" t="s">
        <v>21</v>
      </c>
      <c r="CE10" s="21" t="s">
        <v>112</v>
      </c>
      <c r="CF10" s="21" t="s">
        <v>0</v>
      </c>
      <c r="CG10" s="21" t="s">
        <v>0</v>
      </c>
      <c r="CH10" s="21" t="s">
        <v>21</v>
      </c>
      <c r="CI10" s="21" t="s">
        <v>1</v>
      </c>
      <c r="CJ10" s="21" t="s">
        <v>113</v>
      </c>
      <c r="CK10" s="52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</row>
    <row r="11" spans="1:123" ht="13.2">
      <c r="A11" s="39" t="s">
        <v>840</v>
      </c>
      <c r="B11" s="39">
        <v>11</v>
      </c>
      <c r="C11" s="39">
        <v>20</v>
      </c>
      <c r="D11" s="39" t="s">
        <v>791</v>
      </c>
      <c r="E11" s="39" t="b">
        <v>1</v>
      </c>
      <c r="F11" s="39">
        <v>1</v>
      </c>
      <c r="AV11" t="s">
        <v>1027</v>
      </c>
      <c r="AW11">
        <v>1</v>
      </c>
      <c r="AX11" t="s">
        <v>1000</v>
      </c>
      <c r="AY11" t="s">
        <v>1028</v>
      </c>
      <c r="AZ11">
        <v>1</v>
      </c>
      <c r="BA11">
        <v>2411</v>
      </c>
      <c r="BB11">
        <v>2055</v>
      </c>
      <c r="BC11" t="s">
        <v>262</v>
      </c>
      <c r="BD11" t="s">
        <v>1029</v>
      </c>
      <c r="BE11" t="s">
        <v>1030</v>
      </c>
      <c r="BF11" s="57">
        <v>46269</v>
      </c>
      <c r="BG11">
        <v>1595.6637</v>
      </c>
      <c r="BH11">
        <v>0</v>
      </c>
      <c r="BI11">
        <v>159.5664</v>
      </c>
      <c r="BJ11">
        <v>1678</v>
      </c>
      <c r="BK11">
        <v>-82.3361</v>
      </c>
      <c r="BL11">
        <v>932</v>
      </c>
      <c r="BM11" t="s">
        <v>1031</v>
      </c>
      <c r="BN11" t="s">
        <v>310</v>
      </c>
      <c r="BO11" t="s">
        <v>357</v>
      </c>
      <c r="BR11" s="26" t="s">
        <v>262</v>
      </c>
      <c r="BS11" s="23" t="s">
        <v>262</v>
      </c>
      <c r="BT11" s="23" t="s">
        <v>1032</v>
      </c>
      <c r="BU11" s="23">
        <v>0</v>
      </c>
      <c r="BV11" s="23" t="s">
        <v>262</v>
      </c>
      <c r="BW11" s="23" t="s">
        <v>1033</v>
      </c>
      <c r="BX11" s="23"/>
      <c r="BY11" s="23"/>
      <c r="BZ11" s="23"/>
      <c r="CA11" s="23"/>
      <c r="CB11" s="23"/>
      <c r="CC11" s="23"/>
      <c r="CD11" s="23"/>
      <c r="CE11" s="23" t="s">
        <v>1034</v>
      </c>
      <c r="CF11" s="23" t="s">
        <v>1035</v>
      </c>
      <c r="CG11" s="23" t="s">
        <v>1035</v>
      </c>
      <c r="CH11" s="23" t="s">
        <v>1027</v>
      </c>
      <c r="CI11" s="23" t="s">
        <v>1036</v>
      </c>
      <c r="CJ11" s="23" t="s">
        <v>1028</v>
      </c>
      <c r="CK11" s="5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</row>
    <row r="12" spans="1:123" ht="13.2">
      <c r="A12" s="39" t="s">
        <v>214</v>
      </c>
      <c r="B12" s="39">
        <v>11</v>
      </c>
      <c r="C12" s="39">
        <v>20</v>
      </c>
      <c r="D12" s="39" t="s">
        <v>736</v>
      </c>
      <c r="E12" s="39" t="b">
        <v>1</v>
      </c>
      <c r="F12" s="39">
        <v>1</v>
      </c>
      <c r="AV12" t="s">
        <v>1137</v>
      </c>
      <c r="AW12">
        <v>2</v>
      </c>
      <c r="AX12" t="s">
        <v>1000</v>
      </c>
      <c r="AY12" t="s">
        <v>1138</v>
      </c>
      <c r="AZ12">
        <v>1</v>
      </c>
      <c r="BA12">
        <v>1813</v>
      </c>
      <c r="BB12">
        <v>1450</v>
      </c>
      <c r="BC12" t="s">
        <v>262</v>
      </c>
      <c r="BD12" t="s">
        <v>1029</v>
      </c>
      <c r="BE12" t="s">
        <v>1030</v>
      </c>
      <c r="BF12" s="57">
        <v>46269</v>
      </c>
      <c r="BG12">
        <v>1249.5246</v>
      </c>
      <c r="BH12">
        <v>0</v>
      </c>
      <c r="BI12">
        <v>124.9524</v>
      </c>
      <c r="BJ12">
        <v>1314</v>
      </c>
      <c r="BK12">
        <v>-64.4754</v>
      </c>
      <c r="BL12">
        <v>746</v>
      </c>
      <c r="BM12" t="s">
        <v>1031</v>
      </c>
      <c r="BN12" t="s">
        <v>310</v>
      </c>
      <c r="BO12" t="s">
        <v>357</v>
      </c>
      <c r="BR12" s="26" t="s">
        <v>262</v>
      </c>
      <c r="BS12" s="23" t="s">
        <v>262</v>
      </c>
      <c r="BT12" s="23" t="s">
        <v>1032</v>
      </c>
      <c r="BU12" s="23">
        <v>0</v>
      </c>
      <c r="BV12" s="23" t="s">
        <v>262</v>
      </c>
      <c r="BW12" s="23" t="s">
        <v>1033</v>
      </c>
      <c r="BX12" s="23"/>
      <c r="BY12" s="23"/>
      <c r="BZ12" s="23"/>
      <c r="CA12" s="23"/>
      <c r="CB12" s="23"/>
      <c r="CC12" s="23"/>
      <c r="CD12" s="23"/>
      <c r="CE12" s="23" t="s">
        <v>1037</v>
      </c>
      <c r="CF12" s="23" t="s">
        <v>1038</v>
      </c>
      <c r="CG12" s="23" t="s">
        <v>1038</v>
      </c>
      <c r="CH12" s="27" t="s">
        <v>1027</v>
      </c>
      <c r="CI12" s="23" t="s">
        <v>1039</v>
      </c>
      <c r="CJ12" s="27" t="s">
        <v>1040</v>
      </c>
      <c r="CK12" s="53"/>
      <c r="CL12" s="27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</row>
    <row r="13" spans="1:123" ht="13.2">
      <c r="A13" s="39" t="s">
        <v>247</v>
      </c>
      <c r="B13" s="39">
        <v>11</v>
      </c>
      <c r="C13" s="39">
        <v>20</v>
      </c>
      <c r="D13" s="39" t="s">
        <v>253</v>
      </c>
      <c r="E13" s="39" t="b">
        <v>1</v>
      </c>
      <c r="F13" s="39">
        <v>1</v>
      </c>
      <c r="AV13" t="s">
        <v>1201</v>
      </c>
      <c r="AW13">
        <v>3</v>
      </c>
      <c r="AX13" t="s">
        <v>1000</v>
      </c>
      <c r="AY13" t="s">
        <v>1202</v>
      </c>
      <c r="AZ13">
        <v>1</v>
      </c>
      <c r="BA13">
        <v>610</v>
      </c>
      <c r="BB13">
        <v>1450</v>
      </c>
      <c r="BC13" t="s">
        <v>262</v>
      </c>
      <c r="BD13" t="s">
        <v>1029</v>
      </c>
      <c r="BE13" t="s">
        <v>1030</v>
      </c>
      <c r="BF13" s="57">
        <v>46269</v>
      </c>
      <c r="BG13">
        <v>956.6376</v>
      </c>
      <c r="BH13">
        <v>0</v>
      </c>
      <c r="BI13">
        <v>95.6637</v>
      </c>
      <c r="BJ13">
        <v>1006</v>
      </c>
      <c r="BK13">
        <v>-49.3624</v>
      </c>
      <c r="BL13">
        <v>588</v>
      </c>
      <c r="BM13" t="s">
        <v>1031</v>
      </c>
      <c r="BN13" t="s">
        <v>310</v>
      </c>
      <c r="BO13" t="s">
        <v>357</v>
      </c>
      <c r="BR13" s="26" t="s">
        <v>262</v>
      </c>
      <c r="BS13" s="23" t="s">
        <v>262</v>
      </c>
      <c r="BT13" s="23" t="s">
        <v>1032</v>
      </c>
      <c r="BU13" s="23">
        <v>0</v>
      </c>
      <c r="BV13" s="23" t="s">
        <v>262</v>
      </c>
      <c r="BW13" s="23" t="s">
        <v>1033</v>
      </c>
      <c r="BX13" s="23"/>
      <c r="BY13" s="23"/>
      <c r="BZ13" s="23"/>
      <c r="CA13" s="23"/>
      <c r="CB13" s="23"/>
      <c r="CC13" s="23"/>
      <c r="CD13" s="23"/>
      <c r="CE13" s="23" t="s">
        <v>1041</v>
      </c>
      <c r="CF13" s="23" t="s">
        <v>1042</v>
      </c>
      <c r="CG13" s="23" t="s">
        <v>1042</v>
      </c>
      <c r="CH13" s="27" t="s">
        <v>1027</v>
      </c>
      <c r="CI13" s="23" t="s">
        <v>1043</v>
      </c>
      <c r="CJ13" s="27" t="s">
        <v>1044</v>
      </c>
      <c r="CK13" s="53"/>
      <c r="CL13" s="27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</row>
    <row r="14" spans="1:123" ht="13.2">
      <c r="A14" s="39" t="s">
        <v>244</v>
      </c>
      <c r="B14" s="39">
        <v>9</v>
      </c>
      <c r="C14" s="39">
        <v>18</v>
      </c>
      <c r="D14" s="39" t="s">
        <v>836</v>
      </c>
      <c r="E14" s="39" t="b">
        <v>1</v>
      </c>
      <c r="F14" s="39">
        <v>1</v>
      </c>
      <c r="AV14" t="s">
        <v>1264</v>
      </c>
      <c r="AW14">
        <v>4</v>
      </c>
      <c r="AX14" t="s">
        <v>1000</v>
      </c>
      <c r="AY14" t="s">
        <v>1265</v>
      </c>
      <c r="AZ14">
        <v>1</v>
      </c>
      <c r="BA14">
        <v>1454</v>
      </c>
      <c r="BB14">
        <v>1280</v>
      </c>
      <c r="BC14" t="s">
        <v>262</v>
      </c>
      <c r="BD14" t="s">
        <v>1029</v>
      </c>
      <c r="BE14" t="s">
        <v>1030</v>
      </c>
      <c r="BF14" s="57">
        <v>46269</v>
      </c>
      <c r="BG14">
        <v>1097.3755</v>
      </c>
      <c r="BH14">
        <v>0</v>
      </c>
      <c r="BI14">
        <v>109.7375</v>
      </c>
      <c r="BJ14">
        <v>1154</v>
      </c>
      <c r="BK14">
        <v>-56.6245</v>
      </c>
      <c r="BL14">
        <v>664</v>
      </c>
      <c r="BM14" t="s">
        <v>1031</v>
      </c>
      <c r="BN14" t="s">
        <v>310</v>
      </c>
      <c r="BO14" t="s">
        <v>357</v>
      </c>
      <c r="BR14" s="26" t="s">
        <v>262</v>
      </c>
      <c r="BS14" s="23" t="s">
        <v>262</v>
      </c>
      <c r="BT14" s="23" t="s">
        <v>1032</v>
      </c>
      <c r="BU14" s="23">
        <v>0</v>
      </c>
      <c r="BV14" s="23" t="s">
        <v>262</v>
      </c>
      <c r="BW14" s="23" t="s">
        <v>1033</v>
      </c>
      <c r="BX14" s="23"/>
      <c r="BY14" s="23"/>
      <c r="BZ14" s="23"/>
      <c r="CA14" s="23"/>
      <c r="CB14" s="23"/>
      <c r="CC14" s="23"/>
      <c r="CD14" s="23"/>
      <c r="CE14" s="23" t="s">
        <v>1045</v>
      </c>
      <c r="CF14" s="23" t="s">
        <v>1046</v>
      </c>
      <c r="CG14" s="23" t="s">
        <v>1046</v>
      </c>
      <c r="CH14" s="27" t="s">
        <v>1027</v>
      </c>
      <c r="CI14" s="23" t="s">
        <v>1047</v>
      </c>
      <c r="CJ14" s="27" t="s">
        <v>227</v>
      </c>
      <c r="CK14" s="53">
        <v>23.7733</v>
      </c>
      <c r="CL14" s="27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</row>
    <row r="15" spans="1:123" ht="13.2">
      <c r="A15" s="39" t="s">
        <v>426</v>
      </c>
      <c r="B15" s="39">
        <v>5</v>
      </c>
      <c r="C15" s="39">
        <v>14</v>
      </c>
      <c r="D15" s="39" t="s">
        <v>996</v>
      </c>
      <c r="E15" s="39" t="b">
        <v>0</v>
      </c>
      <c r="F15" s="39">
        <v>0</v>
      </c>
      <c r="AV15" t="s">
        <v>1328</v>
      </c>
      <c r="AW15">
        <v>5</v>
      </c>
      <c r="AX15" t="s">
        <v>1000</v>
      </c>
      <c r="AY15" t="s">
        <v>1329</v>
      </c>
      <c r="AZ15">
        <v>1</v>
      </c>
      <c r="BA15">
        <v>1813</v>
      </c>
      <c r="BB15">
        <v>1450</v>
      </c>
      <c r="BC15" t="s">
        <v>262</v>
      </c>
      <c r="BD15" t="s">
        <v>1029</v>
      </c>
      <c r="BE15" t="s">
        <v>1030</v>
      </c>
      <c r="BF15" s="57">
        <v>46269</v>
      </c>
      <c r="BG15">
        <v>1249.5246</v>
      </c>
      <c r="BH15">
        <v>0</v>
      </c>
      <c r="BI15">
        <v>124.9524</v>
      </c>
      <c r="BJ15">
        <v>1314</v>
      </c>
      <c r="BK15">
        <v>-64.4754</v>
      </c>
      <c r="BL15">
        <v>746</v>
      </c>
      <c r="BM15" t="s">
        <v>1031</v>
      </c>
      <c r="BN15" t="s">
        <v>310</v>
      </c>
      <c r="BO15" t="s">
        <v>357</v>
      </c>
      <c r="BR15" s="26" t="s">
        <v>262</v>
      </c>
      <c r="BS15" s="23" t="s">
        <v>262</v>
      </c>
      <c r="BT15" s="27" t="s">
        <v>1032</v>
      </c>
      <c r="BU15" s="27">
        <v>0</v>
      </c>
      <c r="BV15" s="23" t="s">
        <v>262</v>
      </c>
      <c r="BW15" s="23" t="s">
        <v>1033</v>
      </c>
      <c r="BX15" s="23"/>
      <c r="BY15" s="23"/>
      <c r="BZ15" s="23"/>
      <c r="CA15" s="23"/>
      <c r="CB15" s="23"/>
      <c r="CC15" s="23"/>
      <c r="CD15" s="23"/>
      <c r="CE15" s="23" t="s">
        <v>1048</v>
      </c>
      <c r="CF15" s="23" t="s">
        <v>1049</v>
      </c>
      <c r="CG15" s="23" t="s">
        <v>1049</v>
      </c>
      <c r="CH15" s="23" t="s">
        <v>1027</v>
      </c>
      <c r="CI15" s="23" t="s">
        <v>1050</v>
      </c>
      <c r="CJ15" s="23" t="s">
        <v>1051</v>
      </c>
      <c r="CK15" s="53"/>
      <c r="CL15" s="23"/>
      <c r="CM15" s="27"/>
      <c r="CN15" s="27"/>
      <c r="CO15" s="27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</row>
    <row r="16" spans="1:123" ht="13.2">
      <c r="A16" s="39" t="s">
        <v>132</v>
      </c>
      <c r="B16" s="39">
        <v>11</v>
      </c>
      <c r="C16" s="39">
        <v>20</v>
      </c>
      <c r="D16" s="39" t="s">
        <v>133</v>
      </c>
      <c r="E16" s="39" t="b">
        <v>0</v>
      </c>
      <c r="F16" s="39">
        <v>3</v>
      </c>
      <c r="AV16" t="s">
        <v>1390</v>
      </c>
      <c r="AW16">
        <v>6</v>
      </c>
      <c r="AX16" t="s">
        <v>1000</v>
      </c>
      <c r="AY16" t="s">
        <v>1391</v>
      </c>
      <c r="AZ16">
        <v>1</v>
      </c>
      <c r="BA16">
        <v>1812</v>
      </c>
      <c r="BB16">
        <v>1450</v>
      </c>
      <c r="BC16" t="s">
        <v>262</v>
      </c>
      <c r="BD16" t="s">
        <v>1392</v>
      </c>
      <c r="BE16" t="s">
        <v>1393</v>
      </c>
      <c r="BF16" s="57">
        <v>46269</v>
      </c>
      <c r="BG16">
        <v>1249.5246</v>
      </c>
      <c r="BH16">
        <v>0</v>
      </c>
      <c r="BI16">
        <v>124.9524</v>
      </c>
      <c r="BJ16">
        <v>1314</v>
      </c>
      <c r="BK16">
        <v>-64.4754</v>
      </c>
      <c r="BL16">
        <v>746</v>
      </c>
      <c r="BM16" t="s">
        <v>1031</v>
      </c>
      <c r="BN16" t="s">
        <v>310</v>
      </c>
      <c r="BO16" t="s">
        <v>340</v>
      </c>
      <c r="BR16" s="26" t="s">
        <v>262</v>
      </c>
      <c r="BS16" s="23" t="s">
        <v>262</v>
      </c>
      <c r="BT16" s="27" t="s">
        <v>1032</v>
      </c>
      <c r="BU16" s="27">
        <v>0</v>
      </c>
      <c r="BV16" s="23" t="s">
        <v>262</v>
      </c>
      <c r="BW16" s="23" t="s">
        <v>1033</v>
      </c>
      <c r="BX16" s="23"/>
      <c r="BY16" s="23"/>
      <c r="BZ16" s="23"/>
      <c r="CA16" s="23"/>
      <c r="CB16" s="23"/>
      <c r="CC16" s="23"/>
      <c r="CD16" s="23"/>
      <c r="CE16" s="23" t="s">
        <v>1052</v>
      </c>
      <c r="CF16" s="23" t="s">
        <v>1053</v>
      </c>
      <c r="CG16" s="23" t="s">
        <v>1053</v>
      </c>
      <c r="CH16" s="23" t="s">
        <v>1027</v>
      </c>
      <c r="CI16" s="23" t="s">
        <v>1054</v>
      </c>
      <c r="CJ16" s="23" t="s">
        <v>1055</v>
      </c>
      <c r="CK16" s="53"/>
      <c r="CL16" s="23"/>
      <c r="CM16" s="27"/>
      <c r="CN16" s="27"/>
      <c r="CO16" s="27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</row>
    <row r="17" spans="1:123" ht="13.2">
      <c r="A17" s="39" t="s">
        <v>169</v>
      </c>
      <c r="B17" s="39">
        <v>0</v>
      </c>
      <c r="C17" s="39">
        <v>0</v>
      </c>
      <c r="D17" s="39" t="s">
        <v>170</v>
      </c>
      <c r="E17" s="39" t="b">
        <v>0</v>
      </c>
      <c r="F17" s="39">
        <v>0</v>
      </c>
      <c r="AV17" t="s">
        <v>1455</v>
      </c>
      <c r="AW17">
        <v>7</v>
      </c>
      <c r="AX17" t="s">
        <v>1000</v>
      </c>
      <c r="AY17" t="s">
        <v>1456</v>
      </c>
      <c r="AZ17">
        <v>1</v>
      </c>
      <c r="BA17">
        <v>1812</v>
      </c>
      <c r="BB17">
        <v>1450</v>
      </c>
      <c r="BC17" t="s">
        <v>262</v>
      </c>
      <c r="BD17" t="s">
        <v>1392</v>
      </c>
      <c r="BE17" t="s">
        <v>1393</v>
      </c>
      <c r="BF17" s="57">
        <v>46269</v>
      </c>
      <c r="BG17">
        <v>1249.5246</v>
      </c>
      <c r="BH17">
        <v>0</v>
      </c>
      <c r="BI17">
        <v>124.9524</v>
      </c>
      <c r="BJ17">
        <v>1314</v>
      </c>
      <c r="BK17">
        <v>-64.4754</v>
      </c>
      <c r="BL17">
        <v>746</v>
      </c>
      <c r="BM17" t="s">
        <v>1031</v>
      </c>
      <c r="BN17" t="s">
        <v>310</v>
      </c>
      <c r="BO17" t="s">
        <v>340</v>
      </c>
      <c r="BR17" s="26" t="s">
        <v>262</v>
      </c>
      <c r="BS17" s="23" t="s">
        <v>262</v>
      </c>
      <c r="BT17" s="23" t="s">
        <v>1032</v>
      </c>
      <c r="BU17" s="23">
        <v>0</v>
      </c>
      <c r="BV17" s="23" t="s">
        <v>262</v>
      </c>
      <c r="BW17" s="23" t="s">
        <v>1033</v>
      </c>
      <c r="BX17" s="23"/>
      <c r="BY17" s="23"/>
      <c r="BZ17" s="23"/>
      <c r="CA17" s="23"/>
      <c r="CB17" s="23"/>
      <c r="CC17" s="23"/>
      <c r="CD17" s="23"/>
      <c r="CE17" s="23" t="s">
        <v>1056</v>
      </c>
      <c r="CF17" s="23" t="s">
        <v>1057</v>
      </c>
      <c r="CG17" s="23" t="s">
        <v>1057</v>
      </c>
      <c r="CH17" s="23" t="s">
        <v>1027</v>
      </c>
      <c r="CI17" s="23" t="s">
        <v>1058</v>
      </c>
      <c r="CJ17" s="23" t="s">
        <v>148</v>
      </c>
      <c r="CK17" s="53"/>
      <c r="CL17" s="23"/>
      <c r="CM17" s="27"/>
      <c r="CN17" s="27"/>
      <c r="CO17" s="27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</row>
    <row r="18" spans="1:123" ht="13.2">
      <c r="A18" s="39" t="s">
        <v>332</v>
      </c>
      <c r="B18" s="39">
        <v>0</v>
      </c>
      <c r="C18" s="39">
        <v>0</v>
      </c>
      <c r="D18" s="39" t="s">
        <v>170</v>
      </c>
      <c r="E18" s="39" t="b">
        <v>0</v>
      </c>
      <c r="F18" s="39">
        <v>0</v>
      </c>
      <c r="AV18" t="s">
        <v>1517</v>
      </c>
      <c r="AW18">
        <v>8</v>
      </c>
      <c r="AX18" t="s">
        <v>1000</v>
      </c>
      <c r="AY18" t="s">
        <v>1518</v>
      </c>
      <c r="AZ18">
        <v>1</v>
      </c>
      <c r="BA18">
        <v>1811</v>
      </c>
      <c r="BB18">
        <v>1450</v>
      </c>
      <c r="BC18" t="s">
        <v>262</v>
      </c>
      <c r="BD18" t="s">
        <v>1392</v>
      </c>
      <c r="BE18" t="s">
        <v>1393</v>
      </c>
      <c r="BF18" s="57">
        <v>46269</v>
      </c>
      <c r="BG18">
        <v>1249.5246</v>
      </c>
      <c r="BH18">
        <v>0</v>
      </c>
      <c r="BI18">
        <v>124.9524</v>
      </c>
      <c r="BJ18">
        <v>1314</v>
      </c>
      <c r="BK18">
        <v>-64.4754</v>
      </c>
      <c r="BL18">
        <v>746</v>
      </c>
      <c r="BM18" t="s">
        <v>1031</v>
      </c>
      <c r="BN18" t="s">
        <v>310</v>
      </c>
      <c r="BO18" t="s">
        <v>340</v>
      </c>
      <c r="BR18" s="26" t="s">
        <v>262</v>
      </c>
      <c r="BS18" s="23" t="s">
        <v>262</v>
      </c>
      <c r="BT18" s="23" t="s">
        <v>1032</v>
      </c>
      <c r="BU18" s="23">
        <v>0</v>
      </c>
      <c r="BV18" s="23" t="s">
        <v>262</v>
      </c>
      <c r="BW18" s="23" t="s">
        <v>1033</v>
      </c>
      <c r="BX18" s="23"/>
      <c r="BY18" s="23"/>
      <c r="BZ18" s="23"/>
      <c r="CA18" s="23"/>
      <c r="CB18" s="23"/>
      <c r="CC18" s="23"/>
      <c r="CD18" s="23"/>
      <c r="CE18" s="23" t="s">
        <v>1059</v>
      </c>
      <c r="CF18" s="23" t="s">
        <v>1060</v>
      </c>
      <c r="CG18" s="23" t="s">
        <v>1060</v>
      </c>
      <c r="CH18" s="23" t="s">
        <v>1027</v>
      </c>
      <c r="CI18" s="23" t="s">
        <v>1061</v>
      </c>
      <c r="CJ18" s="23" t="s">
        <v>744</v>
      </c>
      <c r="CK18" s="53"/>
      <c r="CL18" s="23"/>
      <c r="CM18" s="27"/>
      <c r="CN18" s="27"/>
      <c r="CO18" s="27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</row>
    <row r="19" spans="1:123" ht="13.2">
      <c r="A19" s="39"/>
      <c r="B19" s="39"/>
      <c r="C19" s="39"/>
      <c r="D19" s="39"/>
      <c r="E19" s="39"/>
      <c r="F19" s="39"/>
      <c r="AV19" t="s">
        <v>1580</v>
      </c>
      <c r="AW19">
        <v>9</v>
      </c>
      <c r="AX19" t="s">
        <v>1000</v>
      </c>
      <c r="AY19" t="s">
        <v>1581</v>
      </c>
      <c r="AZ19">
        <v>1</v>
      </c>
      <c r="BA19">
        <v>2055</v>
      </c>
      <c r="BB19">
        <v>2390</v>
      </c>
      <c r="BC19" t="s">
        <v>262</v>
      </c>
      <c r="BD19" t="s">
        <v>1392</v>
      </c>
      <c r="BE19" t="s">
        <v>1393</v>
      </c>
      <c r="BF19" s="57">
        <v>46269</v>
      </c>
      <c r="BG19">
        <v>1580.4489</v>
      </c>
      <c r="BH19">
        <v>0</v>
      </c>
      <c r="BI19">
        <v>158.0449</v>
      </c>
      <c r="BJ19">
        <v>1662</v>
      </c>
      <c r="BK19">
        <v>-81.5511</v>
      </c>
      <c r="BL19">
        <v>924</v>
      </c>
      <c r="BM19" t="s">
        <v>1031</v>
      </c>
      <c r="BN19" t="s">
        <v>310</v>
      </c>
      <c r="BO19" t="s">
        <v>340</v>
      </c>
      <c r="BR19" s="26" t="s">
        <v>262</v>
      </c>
      <c r="BS19" s="23" t="s">
        <v>262</v>
      </c>
      <c r="BT19" s="23" t="s">
        <v>1032</v>
      </c>
      <c r="BU19" s="23">
        <v>0</v>
      </c>
      <c r="BV19" s="23" t="s">
        <v>262</v>
      </c>
      <c r="BW19" s="23" t="s">
        <v>1033</v>
      </c>
      <c r="BX19" s="23"/>
      <c r="BY19" s="23"/>
      <c r="BZ19" s="23"/>
      <c r="CA19" s="23"/>
      <c r="CB19" s="23"/>
      <c r="CC19" s="23"/>
      <c r="CD19" s="23"/>
      <c r="CE19" s="23" t="s">
        <v>1062</v>
      </c>
      <c r="CF19" s="23" t="s">
        <v>1063</v>
      </c>
      <c r="CG19" s="23" t="s">
        <v>1063</v>
      </c>
      <c r="CH19" s="23" t="s">
        <v>1027</v>
      </c>
      <c r="CI19" s="23" t="s">
        <v>1064</v>
      </c>
      <c r="CJ19" s="23" t="s">
        <v>194</v>
      </c>
      <c r="CK19" s="5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</row>
    <row r="20" spans="48:123" ht="13.2">
      <c r="AV20" t="s">
        <v>1643</v>
      </c>
      <c r="AW20">
        <v>10</v>
      </c>
      <c r="AX20" t="s">
        <v>1000</v>
      </c>
      <c r="AY20" t="s">
        <v>1644</v>
      </c>
      <c r="AZ20">
        <v>1</v>
      </c>
      <c r="BA20">
        <v>1811</v>
      </c>
      <c r="BB20">
        <v>1450</v>
      </c>
      <c r="BC20" t="s">
        <v>262</v>
      </c>
      <c r="BD20" t="s">
        <v>1392</v>
      </c>
      <c r="BE20" t="s">
        <v>1393</v>
      </c>
      <c r="BF20" s="57">
        <v>46269</v>
      </c>
      <c r="BG20">
        <v>1249.5246</v>
      </c>
      <c r="BH20">
        <v>0</v>
      </c>
      <c r="BI20">
        <v>124.9524</v>
      </c>
      <c r="BJ20">
        <v>1314</v>
      </c>
      <c r="BK20">
        <v>-64.4754</v>
      </c>
      <c r="BL20">
        <v>746</v>
      </c>
      <c r="BM20" t="s">
        <v>1031</v>
      </c>
      <c r="BN20" t="s">
        <v>310</v>
      </c>
      <c r="BO20" t="s">
        <v>340</v>
      </c>
      <c r="BR20" s="26" t="s">
        <v>262</v>
      </c>
      <c r="BS20" s="23" t="s">
        <v>262</v>
      </c>
      <c r="BT20" s="23" t="s">
        <v>1032</v>
      </c>
      <c r="BU20" s="23">
        <v>0</v>
      </c>
      <c r="BV20" s="23" t="s">
        <v>262</v>
      </c>
      <c r="BW20" s="23" t="s">
        <v>1033</v>
      </c>
      <c r="BX20" s="23"/>
      <c r="BY20" s="23"/>
      <c r="BZ20" s="23"/>
      <c r="CA20" s="23"/>
      <c r="CB20" s="23"/>
      <c r="CC20" s="23"/>
      <c r="CD20" s="23"/>
      <c r="CE20" s="23" t="s">
        <v>1065</v>
      </c>
      <c r="CF20" s="23" t="s">
        <v>1066</v>
      </c>
      <c r="CG20" s="23" t="s">
        <v>1066</v>
      </c>
      <c r="CH20" s="23" t="s">
        <v>1027</v>
      </c>
      <c r="CI20" s="23" t="s">
        <v>1067</v>
      </c>
      <c r="CJ20" s="23" t="s">
        <v>274</v>
      </c>
      <c r="CK20" s="5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</row>
    <row r="21" spans="48:123" ht="13.2">
      <c r="BF21" s="57"/>
      <c r="BR21" s="26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 t="s">
        <v>1068</v>
      </c>
      <c r="CF21" s="23" t="s">
        <v>1069</v>
      </c>
      <c r="CG21" s="23" t="s">
        <v>1069</v>
      </c>
      <c r="CH21" s="23" t="s">
        <v>1027</v>
      </c>
      <c r="CI21" s="23" t="s">
        <v>1070</v>
      </c>
      <c r="CJ21" s="23" t="s">
        <v>1071</v>
      </c>
      <c r="CK21" s="5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</row>
    <row r="22" spans="48:88" ht="13.2">
      <c r="BF22" s="57"/>
      <c r="BR22" s="26"/>
      <c r="CE22" t="s">
        <v>1072</v>
      </c>
      <c r="CF22" t="s">
        <v>1073</v>
      </c>
      <c r="CG22" t="s">
        <v>1073</v>
      </c>
      <c r="CH22" t="s">
        <v>1027</v>
      </c>
      <c r="CI22" t="s">
        <v>1074</v>
      </c>
      <c r="CJ22" t="s">
        <v>317</v>
      </c>
    </row>
    <row r="23" spans="48:88" ht="13.2">
      <c r="BF23" s="57"/>
      <c r="CE23" t="s">
        <v>1075</v>
      </c>
      <c r="CF23" t="s">
        <v>1076</v>
      </c>
      <c r="CG23" t="s">
        <v>1076</v>
      </c>
      <c r="CH23" t="s">
        <v>1027</v>
      </c>
      <c r="CI23" t="s">
        <v>1077</v>
      </c>
      <c r="CJ23" t="s">
        <v>1071</v>
      </c>
    </row>
    <row r="24" spans="48:88" ht="13.2">
      <c r="BF24" s="57"/>
      <c r="CE24" t="s">
        <v>1078</v>
      </c>
      <c r="CF24" t="s">
        <v>1079</v>
      </c>
      <c r="CG24" t="s">
        <v>1079</v>
      </c>
      <c r="CH24" t="s">
        <v>1027</v>
      </c>
      <c r="CI24" t="s">
        <v>1080</v>
      </c>
      <c r="CJ24" t="s">
        <v>1071</v>
      </c>
    </row>
    <row r="25" spans="48:89" ht="13.2">
      <c r="BF25" s="57"/>
      <c r="CE25" t="s">
        <v>1081</v>
      </c>
      <c r="CF25" t="s">
        <v>1082</v>
      </c>
      <c r="CG25" t="s">
        <v>1082</v>
      </c>
      <c r="CH25" t="s">
        <v>1027</v>
      </c>
      <c r="CI25" t="s">
        <v>1083</v>
      </c>
      <c r="CJ25" t="s">
        <v>186</v>
      </c>
      <c r="CK25" s="54">
        <v>197.7938</v>
      </c>
    </row>
    <row r="26" spans="48:88" ht="13.2">
      <c r="BF26" s="26"/>
      <c r="CE26" t="s">
        <v>1084</v>
      </c>
      <c r="CF26" t="s">
        <v>1085</v>
      </c>
      <c r="CG26" t="s">
        <v>1085</v>
      </c>
      <c r="CH26" t="s">
        <v>1027</v>
      </c>
      <c r="CI26" t="s">
        <v>1086</v>
      </c>
      <c r="CJ26" t="s">
        <v>1087</v>
      </c>
    </row>
    <row r="27" spans="48:88" ht="22.8">
      <c r="AX27" s="23"/>
      <c r="AY27" s="23"/>
      <c r="AZ27" s="36"/>
      <c r="BA27" s="23"/>
      <c r="BF27" s="26"/>
      <c r="CE27" t="s">
        <v>1088</v>
      </c>
      <c r="CF27" t="s">
        <v>1089</v>
      </c>
      <c r="CG27" t="s">
        <v>1089</v>
      </c>
      <c r="CH27" t="s">
        <v>1027</v>
      </c>
      <c r="CI27" t="s">
        <v>1090</v>
      </c>
      <c r="CJ27" t="s">
        <v>793</v>
      </c>
    </row>
    <row r="28" spans="48:88" ht="22.8">
      <c r="AX28" s="23"/>
      <c r="AY28" s="23"/>
      <c r="AZ28" s="36"/>
      <c r="BF28" s="26"/>
      <c r="CE28" t="s">
        <v>1091</v>
      </c>
      <c r="CF28" t="s">
        <v>1092</v>
      </c>
      <c r="CG28" t="s">
        <v>1092</v>
      </c>
      <c r="CH28" t="s">
        <v>1027</v>
      </c>
      <c r="CI28" t="s">
        <v>1093</v>
      </c>
      <c r="CJ28" t="s">
        <v>713</v>
      </c>
    </row>
    <row r="29" spans="48:89" ht="13.2">
      <c r="BF29" s="26"/>
      <c r="CE29" t="s">
        <v>1094</v>
      </c>
      <c r="CF29" t="s">
        <v>1095</v>
      </c>
      <c r="CG29" t="s">
        <v>1095</v>
      </c>
      <c r="CH29" t="s">
        <v>1027</v>
      </c>
      <c r="CI29" t="s">
        <v>1096</v>
      </c>
      <c r="CJ29" t="s">
        <v>715</v>
      </c>
      <c r="CK29" s="54">
        <v>142.6398</v>
      </c>
    </row>
    <row r="30" spans="48:88" ht="13.2">
      <c r="BF30" s="26"/>
      <c r="CE30" t="s">
        <v>1097</v>
      </c>
      <c r="CF30" t="s">
        <v>1098</v>
      </c>
      <c r="CG30" t="s">
        <v>1098</v>
      </c>
      <c r="CH30" t="s">
        <v>1027</v>
      </c>
      <c r="CI30" t="s">
        <v>1099</v>
      </c>
      <c r="CJ30" t="s">
        <v>745</v>
      </c>
    </row>
    <row r="31" spans="48:88" ht="13.2">
      <c r="BF31" s="26"/>
      <c r="CE31" t="s">
        <v>1100</v>
      </c>
      <c r="CF31" t="s">
        <v>1101</v>
      </c>
      <c r="CG31" t="s">
        <v>1101</v>
      </c>
      <c r="CH31" t="s">
        <v>1027</v>
      </c>
      <c r="CI31" t="s">
        <v>1102</v>
      </c>
      <c r="CJ31" t="s">
        <v>717</v>
      </c>
    </row>
    <row r="32" spans="48:88" ht="13.2">
      <c r="BF32" s="26"/>
      <c r="CE32" t="s">
        <v>1103</v>
      </c>
      <c r="CF32" t="s">
        <v>1104</v>
      </c>
      <c r="CG32" t="s">
        <v>1104</v>
      </c>
      <c r="CH32" t="s">
        <v>1027</v>
      </c>
      <c r="CI32" t="s">
        <v>1105</v>
      </c>
      <c r="CJ32" t="s">
        <v>149</v>
      </c>
    </row>
    <row r="33" spans="48:88" ht="13.2">
      <c r="CE33" t="s">
        <v>1106</v>
      </c>
      <c r="CF33" t="s">
        <v>1107</v>
      </c>
      <c r="CG33" t="s">
        <v>1107</v>
      </c>
      <c r="CH33" t="s">
        <v>1027</v>
      </c>
      <c r="CI33" t="s">
        <v>1108</v>
      </c>
      <c r="CJ33" t="s">
        <v>149</v>
      </c>
    </row>
    <row r="34" spans="48:89" ht="13.2">
      <c r="CE34" t="s">
        <v>1109</v>
      </c>
      <c r="CF34" t="s">
        <v>1110</v>
      </c>
      <c r="CG34" t="s">
        <v>1110</v>
      </c>
      <c r="CH34" t="s">
        <v>1027</v>
      </c>
      <c r="CI34" t="s">
        <v>1111</v>
      </c>
      <c r="CJ34" t="s">
        <v>713</v>
      </c>
      <c r="CK34" s="54">
        <v>247.2423</v>
      </c>
    </row>
    <row r="35" spans="48:88" ht="13.2">
      <c r="CE35" t="s">
        <v>1112</v>
      </c>
      <c r="CF35" t="s">
        <v>1113</v>
      </c>
      <c r="CG35" t="s">
        <v>1113</v>
      </c>
      <c r="CH35" t="s">
        <v>1027</v>
      </c>
      <c r="CI35" t="s">
        <v>1114</v>
      </c>
      <c r="CJ35" t="s">
        <v>744</v>
      </c>
    </row>
    <row r="36" spans="48:88" ht="13.2">
      <c r="CE36" t="s">
        <v>1115</v>
      </c>
      <c r="CF36" t="s">
        <v>1116</v>
      </c>
      <c r="CG36" t="s">
        <v>1116</v>
      </c>
      <c r="CH36" t="s">
        <v>1027</v>
      </c>
      <c r="CI36" t="s">
        <v>1117</v>
      </c>
      <c r="CJ36" t="s">
        <v>1118</v>
      </c>
    </row>
    <row r="37" spans="48:88" ht="13.2">
      <c r="CE37" t="s">
        <v>1119</v>
      </c>
      <c r="CF37" t="s">
        <v>1120</v>
      </c>
      <c r="CG37" t="s">
        <v>1120</v>
      </c>
      <c r="CH37" t="s">
        <v>1027</v>
      </c>
      <c r="CI37" t="s">
        <v>1121</v>
      </c>
      <c r="CJ37" t="s">
        <v>149</v>
      </c>
    </row>
    <row r="38" spans="48:88" ht="13.2">
      <c r="CE38" t="s">
        <v>1122</v>
      </c>
      <c r="CF38" t="s">
        <v>1123</v>
      </c>
      <c r="CG38" t="s">
        <v>1123</v>
      </c>
      <c r="CH38" t="s">
        <v>1027</v>
      </c>
      <c r="CI38" t="s">
        <v>1124</v>
      </c>
      <c r="CJ38" t="s">
        <v>1125</v>
      </c>
    </row>
    <row r="39" spans="48:88" ht="13.2">
      <c r="CE39" t="s">
        <v>1126</v>
      </c>
      <c r="CF39" t="s">
        <v>1127</v>
      </c>
      <c r="CG39" t="s">
        <v>1127</v>
      </c>
      <c r="CH39" t="s">
        <v>1027</v>
      </c>
      <c r="CI39" t="s">
        <v>1128</v>
      </c>
      <c r="CJ39" t="s">
        <v>1129</v>
      </c>
    </row>
    <row r="40" spans="48:88" ht="13.2">
      <c r="CE40" t="s">
        <v>1130</v>
      </c>
      <c r="CF40" t="s">
        <v>1131</v>
      </c>
      <c r="CG40" t="s">
        <v>1131</v>
      </c>
      <c r="CH40" t="s">
        <v>1027</v>
      </c>
      <c r="CI40" t="s">
        <v>1132</v>
      </c>
      <c r="CJ40" t="s">
        <v>149</v>
      </c>
    </row>
    <row r="41" spans="48:88" ht="13.2">
      <c r="CE41" t="s">
        <v>1133</v>
      </c>
      <c r="CF41" t="s">
        <v>1134</v>
      </c>
      <c r="CG41" t="s">
        <v>1134</v>
      </c>
      <c r="CH41" t="s">
        <v>1027</v>
      </c>
      <c r="CI41" t="s">
        <v>1135</v>
      </c>
      <c r="CJ41" t="s">
        <v>1136</v>
      </c>
    </row>
    <row r="42" spans="48:88" ht="13.2">
      <c r="CE42" t="s">
        <v>1139</v>
      </c>
      <c r="CF42" t="s">
        <v>1140</v>
      </c>
      <c r="CG42" t="s">
        <v>1140</v>
      </c>
      <c r="CH42" t="s">
        <v>1137</v>
      </c>
      <c r="CI42" t="s">
        <v>1036</v>
      </c>
      <c r="CJ42" t="s">
        <v>1138</v>
      </c>
    </row>
    <row r="43" spans="48:88" ht="13.2">
      <c r="CE43" t="s">
        <v>1141</v>
      </c>
      <c r="CF43" t="s">
        <v>1142</v>
      </c>
      <c r="CG43" t="s">
        <v>1142</v>
      </c>
      <c r="CH43" t="s">
        <v>1137</v>
      </c>
      <c r="CI43" t="s">
        <v>1039</v>
      </c>
      <c r="CJ43" t="s">
        <v>1040</v>
      </c>
    </row>
    <row r="44" spans="48:88" ht="13.2">
      <c r="CE44" t="s">
        <v>1143</v>
      </c>
      <c r="CF44" t="s">
        <v>1144</v>
      </c>
      <c r="CG44" t="s">
        <v>1144</v>
      </c>
      <c r="CH44" t="s">
        <v>1137</v>
      </c>
      <c r="CI44" t="s">
        <v>1043</v>
      </c>
      <c r="CJ44" t="s">
        <v>1145</v>
      </c>
    </row>
    <row r="45" spans="48:89" ht="13.2">
      <c r="CE45" t="s">
        <v>1146</v>
      </c>
      <c r="CF45" t="s">
        <v>1147</v>
      </c>
      <c r="CG45" t="s">
        <v>1147</v>
      </c>
      <c r="CH45" t="s">
        <v>1137</v>
      </c>
      <c r="CI45" t="s">
        <v>1047</v>
      </c>
      <c r="CJ45" t="s">
        <v>227</v>
      </c>
      <c r="CK45" s="54">
        <v>23.7733</v>
      </c>
    </row>
    <row r="46" spans="48:88" ht="13.2">
      <c r="CE46" t="s">
        <v>1148</v>
      </c>
      <c r="CF46" t="s">
        <v>1149</v>
      </c>
      <c r="CG46" t="s">
        <v>1149</v>
      </c>
      <c r="CH46" t="s">
        <v>1137</v>
      </c>
      <c r="CI46" t="s">
        <v>1050</v>
      </c>
      <c r="CJ46" t="s">
        <v>1150</v>
      </c>
    </row>
    <row r="47" spans="48:88" ht="13.2">
      <c r="CE47" t="s">
        <v>1151</v>
      </c>
      <c r="CF47" t="s">
        <v>1152</v>
      </c>
      <c r="CG47" t="s">
        <v>1152</v>
      </c>
      <c r="CH47" t="s">
        <v>1137</v>
      </c>
      <c r="CI47" t="s">
        <v>1054</v>
      </c>
      <c r="CJ47" t="s">
        <v>1055</v>
      </c>
    </row>
    <row r="48" spans="48:88" ht="13.2">
      <c r="CE48" t="s">
        <v>1153</v>
      </c>
      <c r="CF48" t="s">
        <v>1154</v>
      </c>
      <c r="CG48" t="s">
        <v>1154</v>
      </c>
      <c r="CH48" t="s">
        <v>1137</v>
      </c>
      <c r="CI48" t="s">
        <v>1058</v>
      </c>
      <c r="CJ48" t="s">
        <v>148</v>
      </c>
    </row>
    <row r="49" spans="48:88" ht="13.2">
      <c r="CE49" t="s">
        <v>1155</v>
      </c>
      <c r="CF49" t="s">
        <v>1156</v>
      </c>
      <c r="CG49" t="s">
        <v>1156</v>
      </c>
      <c r="CH49" t="s">
        <v>1137</v>
      </c>
      <c r="CI49" t="s">
        <v>1061</v>
      </c>
      <c r="CJ49" t="s">
        <v>744</v>
      </c>
    </row>
    <row r="50" spans="48:88" ht="13.2">
      <c r="CE50" t="s">
        <v>1157</v>
      </c>
      <c r="CF50" t="s">
        <v>1158</v>
      </c>
      <c r="CG50" t="s">
        <v>1158</v>
      </c>
      <c r="CH50" t="s">
        <v>1137</v>
      </c>
      <c r="CI50" t="s">
        <v>1064</v>
      </c>
      <c r="CJ50" t="s">
        <v>194</v>
      </c>
    </row>
    <row r="51" spans="48:88" ht="13.2">
      <c r="CE51" t="s">
        <v>1159</v>
      </c>
      <c r="CF51" t="s">
        <v>1160</v>
      </c>
      <c r="CG51" t="s">
        <v>1160</v>
      </c>
      <c r="CH51" t="s">
        <v>1137</v>
      </c>
      <c r="CI51" t="s">
        <v>1067</v>
      </c>
      <c r="CJ51" t="s">
        <v>274</v>
      </c>
    </row>
    <row r="52" spans="48:88" ht="13.2">
      <c r="CE52" t="s">
        <v>1161</v>
      </c>
      <c r="CF52" t="s">
        <v>1162</v>
      </c>
      <c r="CG52" t="s">
        <v>1162</v>
      </c>
      <c r="CH52" t="s">
        <v>1137</v>
      </c>
      <c r="CI52" t="s">
        <v>1070</v>
      </c>
      <c r="CJ52" t="s">
        <v>1071</v>
      </c>
    </row>
    <row r="53" spans="48:88" ht="13.2">
      <c r="CE53" t="s">
        <v>1163</v>
      </c>
      <c r="CF53" t="s">
        <v>1164</v>
      </c>
      <c r="CG53" t="s">
        <v>1164</v>
      </c>
      <c r="CH53" t="s">
        <v>1137</v>
      </c>
      <c r="CI53" t="s">
        <v>1074</v>
      </c>
      <c r="CJ53" t="s">
        <v>317</v>
      </c>
    </row>
    <row r="54" spans="48:88" ht="13.2">
      <c r="CE54" t="s">
        <v>1165</v>
      </c>
      <c r="CF54" t="s">
        <v>1166</v>
      </c>
      <c r="CG54" t="s">
        <v>1166</v>
      </c>
      <c r="CH54" t="s">
        <v>1137</v>
      </c>
      <c r="CI54" t="s">
        <v>1077</v>
      </c>
      <c r="CJ54" t="s">
        <v>1071</v>
      </c>
    </row>
    <row r="55" spans="48:88" ht="13.2">
      <c r="CE55" t="s">
        <v>1167</v>
      </c>
      <c r="CF55" t="s">
        <v>1168</v>
      </c>
      <c r="CG55" t="s">
        <v>1168</v>
      </c>
      <c r="CH55" t="s">
        <v>1137</v>
      </c>
      <c r="CI55" t="s">
        <v>1080</v>
      </c>
      <c r="CJ55" t="s">
        <v>1071</v>
      </c>
    </row>
    <row r="56" spans="48:89" ht="13.2">
      <c r="CE56" t="s">
        <v>1169</v>
      </c>
      <c r="CF56" t="s">
        <v>1170</v>
      </c>
      <c r="CG56" t="s">
        <v>1170</v>
      </c>
      <c r="CH56" t="s">
        <v>1137</v>
      </c>
      <c r="CI56" t="s">
        <v>1083</v>
      </c>
      <c r="CJ56" t="s">
        <v>186</v>
      </c>
      <c r="CK56" s="54">
        <v>183.5299</v>
      </c>
    </row>
    <row r="57" spans="48:88" ht="13.2">
      <c r="CE57" t="s">
        <v>1171</v>
      </c>
      <c r="CF57" t="s">
        <v>1172</v>
      </c>
      <c r="CG57" t="s">
        <v>1172</v>
      </c>
      <c r="CH57" t="s">
        <v>1137</v>
      </c>
      <c r="CI57" t="s">
        <v>1086</v>
      </c>
      <c r="CJ57" t="s">
        <v>1087</v>
      </c>
    </row>
    <row r="58" spans="48:88" ht="13.2">
      <c r="CE58" t="s">
        <v>1173</v>
      </c>
      <c r="CF58" t="s">
        <v>1174</v>
      </c>
      <c r="CG58" t="s">
        <v>1174</v>
      </c>
      <c r="CH58" t="s">
        <v>1137</v>
      </c>
      <c r="CI58" t="s">
        <v>1090</v>
      </c>
      <c r="CJ58" t="s">
        <v>793</v>
      </c>
    </row>
    <row r="59" spans="48:88" ht="13.2">
      <c r="CE59" t="s">
        <v>1175</v>
      </c>
      <c r="CF59" t="s">
        <v>1176</v>
      </c>
      <c r="CG59" t="s">
        <v>1176</v>
      </c>
      <c r="CH59" t="s">
        <v>1137</v>
      </c>
      <c r="CI59" t="s">
        <v>1093</v>
      </c>
      <c r="CJ59" t="s">
        <v>713</v>
      </c>
    </row>
    <row r="60" spans="48:89" ht="13.2">
      <c r="CE60" t="s">
        <v>1177</v>
      </c>
      <c r="CF60" t="s">
        <v>1178</v>
      </c>
      <c r="CG60" t="s">
        <v>1178</v>
      </c>
      <c r="CH60" t="s">
        <v>1137</v>
      </c>
      <c r="CI60" t="s">
        <v>1096</v>
      </c>
      <c r="CJ60" t="s">
        <v>715</v>
      </c>
      <c r="CK60" s="54">
        <v>142.6398</v>
      </c>
    </row>
    <row r="61" spans="48:88" ht="13.2">
      <c r="CE61" t="s">
        <v>1179</v>
      </c>
      <c r="CF61" t="s">
        <v>1180</v>
      </c>
      <c r="CG61" t="s">
        <v>1180</v>
      </c>
      <c r="CH61" t="s">
        <v>1137</v>
      </c>
      <c r="CI61" t="s">
        <v>1099</v>
      </c>
      <c r="CJ61" t="s">
        <v>745</v>
      </c>
    </row>
    <row r="62" spans="48:88" ht="13.2">
      <c r="CE62" t="s">
        <v>1181</v>
      </c>
      <c r="CF62" t="s">
        <v>1182</v>
      </c>
      <c r="CG62" t="s">
        <v>1182</v>
      </c>
      <c r="CH62" t="s">
        <v>1137</v>
      </c>
      <c r="CI62" t="s">
        <v>1102</v>
      </c>
      <c r="CJ62" t="s">
        <v>758</v>
      </c>
    </row>
    <row r="63" spans="48:88" ht="13.2">
      <c r="CE63" t="s">
        <v>1183</v>
      </c>
      <c r="CF63" t="s">
        <v>1184</v>
      </c>
      <c r="CG63" t="s">
        <v>1184</v>
      </c>
      <c r="CH63" t="s">
        <v>1137</v>
      </c>
      <c r="CI63" t="s">
        <v>1105</v>
      </c>
      <c r="CJ63" t="s">
        <v>149</v>
      </c>
    </row>
    <row r="64" spans="48:88" ht="13.2">
      <c r="CE64" t="s">
        <v>1185</v>
      </c>
      <c r="CF64" t="s">
        <v>1186</v>
      </c>
      <c r="CG64" t="s">
        <v>1186</v>
      </c>
      <c r="CH64" t="s">
        <v>1137</v>
      </c>
      <c r="CI64" t="s">
        <v>1108</v>
      </c>
      <c r="CJ64" t="s">
        <v>149</v>
      </c>
    </row>
    <row r="65" spans="48:89" ht="13.2">
      <c r="CE65" t="s">
        <v>1187</v>
      </c>
      <c r="CF65" t="s">
        <v>1188</v>
      </c>
      <c r="CG65" t="s">
        <v>1188</v>
      </c>
      <c r="CH65" t="s">
        <v>1137</v>
      </c>
      <c r="CI65" t="s">
        <v>1111</v>
      </c>
      <c r="CJ65" t="s">
        <v>713</v>
      </c>
      <c r="CK65" s="54">
        <v>247.2423</v>
      </c>
    </row>
    <row r="66" spans="48:88" ht="13.2">
      <c r="CE66" t="s">
        <v>1189</v>
      </c>
      <c r="CF66" t="s">
        <v>1190</v>
      </c>
      <c r="CG66" t="s">
        <v>1190</v>
      </c>
      <c r="CH66" t="s">
        <v>1137</v>
      </c>
      <c r="CI66" t="s">
        <v>1114</v>
      </c>
      <c r="CJ66" t="s">
        <v>744</v>
      </c>
    </row>
    <row r="67" spans="48:88" ht="13.2">
      <c r="CE67" t="s">
        <v>1191</v>
      </c>
      <c r="CF67" t="s">
        <v>1192</v>
      </c>
      <c r="CG67" t="s">
        <v>1192</v>
      </c>
      <c r="CH67" t="s">
        <v>1137</v>
      </c>
      <c r="CI67" t="s">
        <v>1117</v>
      </c>
      <c r="CJ67" t="s">
        <v>1118</v>
      </c>
    </row>
    <row r="68" spans="48:88" ht="13.2">
      <c r="CE68" t="s">
        <v>1193</v>
      </c>
      <c r="CF68" t="s">
        <v>1194</v>
      </c>
      <c r="CG68" t="s">
        <v>1194</v>
      </c>
      <c r="CH68" t="s">
        <v>1137</v>
      </c>
      <c r="CI68" t="s">
        <v>1121</v>
      </c>
      <c r="CJ68" t="s">
        <v>149</v>
      </c>
    </row>
    <row r="69" spans="48:88" ht="13.2">
      <c r="CE69" t="s">
        <v>1195</v>
      </c>
      <c r="CF69" t="s">
        <v>1196</v>
      </c>
      <c r="CG69" t="s">
        <v>1196</v>
      </c>
      <c r="CH69" t="s">
        <v>1137</v>
      </c>
      <c r="CI69" t="s">
        <v>1124</v>
      </c>
      <c r="CJ69" t="s">
        <v>1125</v>
      </c>
    </row>
    <row r="70" spans="48:88" ht="13.2">
      <c r="CE70" t="s">
        <v>1197</v>
      </c>
      <c r="CF70" t="s">
        <v>1198</v>
      </c>
      <c r="CG70" t="s">
        <v>1198</v>
      </c>
      <c r="CH70" t="s">
        <v>1137</v>
      </c>
      <c r="CI70" t="s">
        <v>1128</v>
      </c>
      <c r="CJ70" t="s">
        <v>1129</v>
      </c>
    </row>
    <row r="71" spans="48:88" ht="13.2">
      <c r="CE71" t="s">
        <v>1199</v>
      </c>
      <c r="CF71" t="s">
        <v>1200</v>
      </c>
      <c r="CG71" t="s">
        <v>1200</v>
      </c>
      <c r="CH71" t="s">
        <v>1137</v>
      </c>
      <c r="CI71" t="s">
        <v>1132</v>
      </c>
      <c r="CJ71" t="s">
        <v>149</v>
      </c>
    </row>
    <row r="72" spans="48:88" ht="13.2">
      <c r="CE72" t="s">
        <v>1203</v>
      </c>
      <c r="CF72" t="s">
        <v>1204</v>
      </c>
      <c r="CG72" t="s">
        <v>1204</v>
      </c>
      <c r="CH72" t="s">
        <v>1201</v>
      </c>
      <c r="CI72" t="s">
        <v>1036</v>
      </c>
      <c r="CJ72" t="s">
        <v>1202</v>
      </c>
    </row>
    <row r="73" spans="48:88" ht="13.2">
      <c r="CE73" t="s">
        <v>1205</v>
      </c>
      <c r="CF73" t="s">
        <v>1206</v>
      </c>
      <c r="CG73" t="s">
        <v>1206</v>
      </c>
      <c r="CH73" t="s">
        <v>1201</v>
      </c>
      <c r="CI73" t="s">
        <v>1039</v>
      </c>
      <c r="CJ73" t="s">
        <v>1040</v>
      </c>
    </row>
    <row r="74" spans="48:88" ht="13.2">
      <c r="CE74" t="s">
        <v>1207</v>
      </c>
      <c r="CF74" t="s">
        <v>1208</v>
      </c>
      <c r="CG74" t="s">
        <v>1208</v>
      </c>
      <c r="CH74" t="s">
        <v>1201</v>
      </c>
      <c r="CI74" t="s">
        <v>1043</v>
      </c>
      <c r="CJ74" t="s">
        <v>1209</v>
      </c>
    </row>
    <row r="75" spans="48:89" ht="13.2">
      <c r="CE75" t="s">
        <v>1210</v>
      </c>
      <c r="CF75" t="s">
        <v>1211</v>
      </c>
      <c r="CG75" t="s">
        <v>1211</v>
      </c>
      <c r="CH75" t="s">
        <v>1201</v>
      </c>
      <c r="CI75" t="s">
        <v>1047</v>
      </c>
      <c r="CJ75" t="s">
        <v>227</v>
      </c>
      <c r="CK75" s="54">
        <v>23.7733</v>
      </c>
    </row>
    <row r="76" spans="48:88" ht="13.2">
      <c r="CE76" t="s">
        <v>1212</v>
      </c>
      <c r="CF76" t="s">
        <v>1213</v>
      </c>
      <c r="CG76" t="s">
        <v>1213</v>
      </c>
      <c r="CH76" t="s">
        <v>1201</v>
      </c>
      <c r="CI76" t="s">
        <v>1050</v>
      </c>
      <c r="CJ76" t="s">
        <v>1150</v>
      </c>
    </row>
    <row r="77" spans="48:88" ht="13.2">
      <c r="CE77" t="s">
        <v>1214</v>
      </c>
      <c r="CF77" t="s">
        <v>1215</v>
      </c>
      <c r="CG77" t="s">
        <v>1215</v>
      </c>
      <c r="CH77" t="s">
        <v>1201</v>
      </c>
      <c r="CI77" t="s">
        <v>1054</v>
      </c>
      <c r="CJ77" t="s">
        <v>1055</v>
      </c>
    </row>
    <row r="78" spans="48:88" ht="13.2">
      <c r="CE78" t="s">
        <v>1216</v>
      </c>
      <c r="CF78" t="s">
        <v>1217</v>
      </c>
      <c r="CG78" t="s">
        <v>1217</v>
      </c>
      <c r="CH78" t="s">
        <v>1201</v>
      </c>
      <c r="CI78" t="s">
        <v>1058</v>
      </c>
      <c r="CJ78" t="s">
        <v>148</v>
      </c>
    </row>
    <row r="79" spans="48:88" ht="13.2">
      <c r="CE79" t="s">
        <v>1218</v>
      </c>
      <c r="CF79" t="s">
        <v>1219</v>
      </c>
      <c r="CG79" t="s">
        <v>1219</v>
      </c>
      <c r="CH79" t="s">
        <v>1201</v>
      </c>
      <c r="CI79" t="s">
        <v>1061</v>
      </c>
      <c r="CJ79" t="s">
        <v>744</v>
      </c>
    </row>
    <row r="80" spans="48:88" ht="13.2">
      <c r="CE80" t="s">
        <v>1220</v>
      </c>
      <c r="CF80" t="s">
        <v>1221</v>
      </c>
      <c r="CG80" t="s">
        <v>1221</v>
      </c>
      <c r="CH80" t="s">
        <v>1201</v>
      </c>
      <c r="CI80" t="s">
        <v>1064</v>
      </c>
      <c r="CJ80" t="s">
        <v>194</v>
      </c>
    </row>
    <row r="81" spans="48:88" ht="13.2">
      <c r="CE81" t="s">
        <v>1222</v>
      </c>
      <c r="CF81" t="s">
        <v>1223</v>
      </c>
      <c r="CG81" t="s">
        <v>1223</v>
      </c>
      <c r="CH81" t="s">
        <v>1201</v>
      </c>
      <c r="CI81" t="s">
        <v>1067</v>
      </c>
      <c r="CJ81" t="s">
        <v>274</v>
      </c>
    </row>
    <row r="82" spans="48:88" ht="13.2">
      <c r="CE82" t="s">
        <v>1224</v>
      </c>
      <c r="CF82" t="s">
        <v>1225</v>
      </c>
      <c r="CG82" t="s">
        <v>1225</v>
      </c>
      <c r="CH82" t="s">
        <v>1201</v>
      </c>
      <c r="CI82" t="s">
        <v>1070</v>
      </c>
      <c r="CJ82" t="s">
        <v>357</v>
      </c>
    </row>
    <row r="83" spans="48:88" ht="13.2">
      <c r="CE83" t="s">
        <v>1226</v>
      </c>
      <c r="CF83" t="s">
        <v>1227</v>
      </c>
      <c r="CG83" t="s">
        <v>1227</v>
      </c>
      <c r="CH83" t="s">
        <v>1201</v>
      </c>
      <c r="CI83" t="s">
        <v>1074</v>
      </c>
      <c r="CJ83" t="s">
        <v>317</v>
      </c>
    </row>
    <row r="84" spans="48:88" ht="13.2">
      <c r="CE84" t="s">
        <v>1228</v>
      </c>
      <c r="CF84" t="s">
        <v>1229</v>
      </c>
      <c r="CG84" t="s">
        <v>1229</v>
      </c>
      <c r="CH84" t="s">
        <v>1201</v>
      </c>
      <c r="CI84" t="s">
        <v>1077</v>
      </c>
      <c r="CJ84" t="s">
        <v>357</v>
      </c>
    </row>
    <row r="85" spans="48:88" ht="13.2">
      <c r="CE85" t="s">
        <v>1230</v>
      </c>
      <c r="CF85" t="s">
        <v>1231</v>
      </c>
      <c r="CG85" t="s">
        <v>1231</v>
      </c>
      <c r="CH85" t="s">
        <v>1201</v>
      </c>
      <c r="CI85" t="s">
        <v>1080</v>
      </c>
      <c r="CJ85" t="s">
        <v>357</v>
      </c>
    </row>
    <row r="86" spans="48:89" ht="13.2">
      <c r="CE86" t="s">
        <v>1232</v>
      </c>
      <c r="CF86" t="s">
        <v>1233</v>
      </c>
      <c r="CG86" t="s">
        <v>1233</v>
      </c>
      <c r="CH86" t="s">
        <v>1201</v>
      </c>
      <c r="CI86" t="s">
        <v>1083</v>
      </c>
      <c r="CJ86" t="s">
        <v>186</v>
      </c>
      <c r="CK86" s="54">
        <v>183.5299</v>
      </c>
    </row>
    <row r="87" spans="48:88" ht="13.2">
      <c r="CE87" t="s">
        <v>1234</v>
      </c>
      <c r="CF87" t="s">
        <v>1235</v>
      </c>
      <c r="CG87" t="s">
        <v>1235</v>
      </c>
      <c r="CH87" t="s">
        <v>1201</v>
      </c>
      <c r="CI87" t="s">
        <v>1086</v>
      </c>
      <c r="CJ87" t="s">
        <v>1087</v>
      </c>
    </row>
    <row r="88" spans="48:88" ht="13.2">
      <c r="CE88" t="s">
        <v>1236</v>
      </c>
      <c r="CF88" t="s">
        <v>1237</v>
      </c>
      <c r="CG88" t="s">
        <v>1237</v>
      </c>
      <c r="CH88" t="s">
        <v>1201</v>
      </c>
      <c r="CI88" t="s">
        <v>1090</v>
      </c>
      <c r="CJ88" t="s">
        <v>793</v>
      </c>
    </row>
    <row r="89" spans="48:88" ht="13.2">
      <c r="CE89" t="s">
        <v>1238</v>
      </c>
      <c r="CF89" t="s">
        <v>1239</v>
      </c>
      <c r="CG89" t="s">
        <v>1239</v>
      </c>
      <c r="CH89" t="s">
        <v>1201</v>
      </c>
      <c r="CI89" t="s">
        <v>1093</v>
      </c>
      <c r="CJ89" t="s">
        <v>713</v>
      </c>
    </row>
    <row r="90" spans="48:89" ht="13.2">
      <c r="CE90" t="s">
        <v>1240</v>
      </c>
      <c r="CF90" t="s">
        <v>1241</v>
      </c>
      <c r="CG90" t="s">
        <v>1241</v>
      </c>
      <c r="CH90" t="s">
        <v>1201</v>
      </c>
      <c r="CI90" t="s">
        <v>1096</v>
      </c>
      <c r="CJ90" t="s">
        <v>715</v>
      </c>
      <c r="CK90" s="54">
        <v>142.6398</v>
      </c>
    </row>
    <row r="91" spans="48:88" ht="13.2">
      <c r="CE91" t="s">
        <v>1242</v>
      </c>
      <c r="CF91" t="s">
        <v>1243</v>
      </c>
      <c r="CG91" t="s">
        <v>1243</v>
      </c>
      <c r="CH91" t="s">
        <v>1201</v>
      </c>
      <c r="CI91" t="s">
        <v>1099</v>
      </c>
      <c r="CJ91" t="s">
        <v>745</v>
      </c>
    </row>
    <row r="92" spans="48:88" ht="13.2">
      <c r="CE92" t="s">
        <v>1244</v>
      </c>
      <c r="CF92" t="s">
        <v>1245</v>
      </c>
      <c r="CG92" t="s">
        <v>1245</v>
      </c>
      <c r="CH92" t="s">
        <v>1201</v>
      </c>
      <c r="CI92" t="s">
        <v>1102</v>
      </c>
      <c r="CJ92" t="s">
        <v>758</v>
      </c>
    </row>
    <row r="93" spans="48:88" ht="13.2">
      <c r="CE93" t="s">
        <v>1246</v>
      </c>
      <c r="CF93" t="s">
        <v>1247</v>
      </c>
      <c r="CG93" t="s">
        <v>1247</v>
      </c>
      <c r="CH93" t="s">
        <v>1201</v>
      </c>
      <c r="CI93" t="s">
        <v>1105</v>
      </c>
      <c r="CJ93" t="s">
        <v>149</v>
      </c>
    </row>
    <row r="94" spans="48:88" ht="13.2">
      <c r="CE94" t="s">
        <v>1248</v>
      </c>
      <c r="CF94" t="s">
        <v>1249</v>
      </c>
      <c r="CG94" t="s">
        <v>1249</v>
      </c>
      <c r="CH94" t="s">
        <v>1201</v>
      </c>
      <c r="CI94" t="s">
        <v>1108</v>
      </c>
      <c r="CJ94" t="s">
        <v>149</v>
      </c>
    </row>
    <row r="95" spans="48:89" ht="13.2">
      <c r="CE95" t="s">
        <v>1250</v>
      </c>
      <c r="CF95" t="s">
        <v>1251</v>
      </c>
      <c r="CG95" t="s">
        <v>1251</v>
      </c>
      <c r="CH95" t="s">
        <v>1201</v>
      </c>
      <c r="CI95" t="s">
        <v>1111</v>
      </c>
      <c r="CJ95" t="s">
        <v>713</v>
      </c>
      <c r="CK95" s="54">
        <v>247.2423</v>
      </c>
    </row>
    <row r="96" spans="48:88" ht="13.2">
      <c r="CE96" t="s">
        <v>1252</v>
      </c>
      <c r="CF96" t="s">
        <v>1253</v>
      </c>
      <c r="CG96" t="s">
        <v>1253</v>
      </c>
      <c r="CH96" t="s">
        <v>1201</v>
      </c>
      <c r="CI96" t="s">
        <v>1114</v>
      </c>
      <c r="CJ96" t="s">
        <v>744</v>
      </c>
    </row>
    <row r="97" spans="48:88" ht="13.2">
      <c r="CE97" t="s">
        <v>1254</v>
      </c>
      <c r="CF97" t="s">
        <v>1255</v>
      </c>
      <c r="CG97" t="s">
        <v>1255</v>
      </c>
      <c r="CH97" t="s">
        <v>1201</v>
      </c>
      <c r="CI97" t="s">
        <v>1117</v>
      </c>
      <c r="CJ97" t="s">
        <v>1118</v>
      </c>
    </row>
    <row r="98" spans="48:88" ht="13.2">
      <c r="CE98" t="s">
        <v>1256</v>
      </c>
      <c r="CF98" t="s">
        <v>1257</v>
      </c>
      <c r="CG98" t="s">
        <v>1257</v>
      </c>
      <c r="CH98" t="s">
        <v>1201</v>
      </c>
      <c r="CI98" t="s">
        <v>1121</v>
      </c>
      <c r="CJ98" t="s">
        <v>149</v>
      </c>
    </row>
    <row r="99" spans="48:88" ht="13.2">
      <c r="CE99" t="s">
        <v>1258</v>
      </c>
      <c r="CF99" t="s">
        <v>1259</v>
      </c>
      <c r="CG99" t="s">
        <v>1259</v>
      </c>
      <c r="CH99" t="s">
        <v>1201</v>
      </c>
      <c r="CI99" t="s">
        <v>1124</v>
      </c>
      <c r="CJ99" t="s">
        <v>1125</v>
      </c>
    </row>
    <row r="100" spans="48:88" ht="13.2">
      <c r="CE100" t="s">
        <v>1260</v>
      </c>
      <c r="CF100" t="s">
        <v>1261</v>
      </c>
      <c r="CG100" t="s">
        <v>1261</v>
      </c>
      <c r="CH100" t="s">
        <v>1201</v>
      </c>
      <c r="CI100" t="s">
        <v>1128</v>
      </c>
      <c r="CJ100" t="s">
        <v>1129</v>
      </c>
    </row>
    <row r="101" spans="83:88" ht="13.2">
      <c r="CE101" t="s">
        <v>1262</v>
      </c>
      <c r="CF101" t="s">
        <v>1263</v>
      </c>
      <c r="CG101" t="s">
        <v>1263</v>
      </c>
      <c r="CH101" t="s">
        <v>1201</v>
      </c>
      <c r="CI101" t="s">
        <v>1132</v>
      </c>
      <c r="CJ101" t="s">
        <v>149</v>
      </c>
    </row>
    <row r="102" spans="83:88" ht="13.2">
      <c r="CE102" t="s">
        <v>1266</v>
      </c>
      <c r="CF102" t="s">
        <v>1267</v>
      </c>
      <c r="CG102" t="s">
        <v>1267</v>
      </c>
      <c r="CH102" t="s">
        <v>1264</v>
      </c>
      <c r="CI102" t="s">
        <v>1036</v>
      </c>
      <c r="CJ102" t="s">
        <v>1265</v>
      </c>
    </row>
    <row r="103" spans="83:88" ht="13.2">
      <c r="CE103" t="s">
        <v>1268</v>
      </c>
      <c r="CF103" t="s">
        <v>1269</v>
      </c>
      <c r="CG103" t="s">
        <v>1269</v>
      </c>
      <c r="CH103" t="s">
        <v>1264</v>
      </c>
      <c r="CI103" t="s">
        <v>1039</v>
      </c>
      <c r="CJ103" t="s">
        <v>1040</v>
      </c>
    </row>
    <row r="104" spans="83:88" ht="13.2">
      <c r="CE104" t="s">
        <v>1270</v>
      </c>
      <c r="CF104" t="s">
        <v>1271</v>
      </c>
      <c r="CG104" t="s">
        <v>1271</v>
      </c>
      <c r="CH104" t="s">
        <v>1264</v>
      </c>
      <c r="CI104" t="s">
        <v>1043</v>
      </c>
      <c r="CJ104" t="s">
        <v>1272</v>
      </c>
    </row>
    <row r="105" spans="83:89" ht="13.2">
      <c r="CE105" t="s">
        <v>1273</v>
      </c>
      <c r="CF105" t="s">
        <v>1274</v>
      </c>
      <c r="CG105" t="s">
        <v>1274</v>
      </c>
      <c r="CH105" t="s">
        <v>1264</v>
      </c>
      <c r="CI105" t="s">
        <v>1047</v>
      </c>
      <c r="CJ105" t="s">
        <v>227</v>
      </c>
      <c r="CK105" s="54">
        <v>23.7733</v>
      </c>
    </row>
    <row r="106" spans="83:88" ht="13.2">
      <c r="CE106" t="s">
        <v>1275</v>
      </c>
      <c r="CF106" t="s">
        <v>1276</v>
      </c>
      <c r="CG106" t="s">
        <v>1276</v>
      </c>
      <c r="CH106" t="s">
        <v>1264</v>
      </c>
      <c r="CI106" t="s">
        <v>1050</v>
      </c>
      <c r="CJ106" t="s">
        <v>1277</v>
      </c>
    </row>
    <row r="107" spans="83:88" ht="13.2">
      <c r="CE107" t="s">
        <v>1278</v>
      </c>
      <c r="CF107" t="s">
        <v>1279</v>
      </c>
      <c r="CG107" t="s">
        <v>1279</v>
      </c>
      <c r="CH107" t="s">
        <v>1264</v>
      </c>
      <c r="CI107" t="s">
        <v>1054</v>
      </c>
      <c r="CJ107" t="s">
        <v>1055</v>
      </c>
    </row>
    <row r="108" spans="83:88" ht="13.2">
      <c r="CE108" t="s">
        <v>1280</v>
      </c>
      <c r="CF108" t="s">
        <v>1281</v>
      </c>
      <c r="CG108" t="s">
        <v>1281</v>
      </c>
      <c r="CH108" t="s">
        <v>1264</v>
      </c>
      <c r="CI108" t="s">
        <v>1058</v>
      </c>
      <c r="CJ108" t="s">
        <v>148</v>
      </c>
    </row>
    <row r="109" spans="83:88" ht="13.2">
      <c r="CE109" t="s">
        <v>1282</v>
      </c>
      <c r="CF109" t="s">
        <v>1283</v>
      </c>
      <c r="CG109" t="s">
        <v>1283</v>
      </c>
      <c r="CH109" t="s">
        <v>1264</v>
      </c>
      <c r="CI109" t="s">
        <v>1061</v>
      </c>
      <c r="CJ109" t="s">
        <v>744</v>
      </c>
    </row>
    <row r="110" spans="83:88" ht="13.2">
      <c r="CE110" t="s">
        <v>1284</v>
      </c>
      <c r="CF110" t="s">
        <v>1285</v>
      </c>
      <c r="CG110" t="s">
        <v>1285</v>
      </c>
      <c r="CH110" t="s">
        <v>1264</v>
      </c>
      <c r="CI110" t="s">
        <v>1064</v>
      </c>
      <c r="CJ110" t="s">
        <v>194</v>
      </c>
    </row>
    <row r="111" spans="83:88" ht="13.2">
      <c r="CE111" t="s">
        <v>1286</v>
      </c>
      <c r="CF111" t="s">
        <v>1287</v>
      </c>
      <c r="CG111" t="s">
        <v>1287</v>
      </c>
      <c r="CH111" t="s">
        <v>1264</v>
      </c>
      <c r="CI111" t="s">
        <v>1067</v>
      </c>
      <c r="CJ111" t="s">
        <v>274</v>
      </c>
    </row>
    <row r="112" spans="83:88" ht="13.2">
      <c r="CE112" t="s">
        <v>1288</v>
      </c>
      <c r="CF112" t="s">
        <v>1289</v>
      </c>
      <c r="CG112" t="s">
        <v>1289</v>
      </c>
      <c r="CH112" t="s">
        <v>1264</v>
      </c>
      <c r="CI112" t="s">
        <v>1070</v>
      </c>
      <c r="CJ112" t="s">
        <v>357</v>
      </c>
    </row>
    <row r="113" spans="83:88" ht="13.2">
      <c r="CE113" t="s">
        <v>1290</v>
      </c>
      <c r="CF113" t="s">
        <v>1291</v>
      </c>
      <c r="CG113" t="s">
        <v>1291</v>
      </c>
      <c r="CH113" t="s">
        <v>1264</v>
      </c>
      <c r="CI113" t="s">
        <v>1074</v>
      </c>
      <c r="CJ113" t="s">
        <v>317</v>
      </c>
    </row>
    <row r="114" spans="83:88" ht="13.2">
      <c r="CE114" t="s">
        <v>1292</v>
      </c>
      <c r="CF114" t="s">
        <v>1293</v>
      </c>
      <c r="CG114" t="s">
        <v>1293</v>
      </c>
      <c r="CH114" t="s">
        <v>1264</v>
      </c>
      <c r="CI114" t="s">
        <v>1077</v>
      </c>
      <c r="CJ114" t="s">
        <v>357</v>
      </c>
    </row>
    <row r="115" spans="83:88" ht="13.2">
      <c r="CE115" t="s">
        <v>1294</v>
      </c>
      <c r="CF115" t="s">
        <v>1295</v>
      </c>
      <c r="CG115" t="s">
        <v>1295</v>
      </c>
      <c r="CH115" t="s">
        <v>1264</v>
      </c>
      <c r="CI115" t="s">
        <v>1080</v>
      </c>
      <c r="CJ115" t="s">
        <v>357</v>
      </c>
    </row>
    <row r="116" spans="83:89" ht="13.2">
      <c r="CE116" t="s">
        <v>1296</v>
      </c>
      <c r="CF116" t="s">
        <v>1297</v>
      </c>
      <c r="CG116" t="s">
        <v>1297</v>
      </c>
      <c r="CH116" t="s">
        <v>1264</v>
      </c>
      <c r="CI116" t="s">
        <v>1083</v>
      </c>
      <c r="CJ116" t="s">
        <v>186</v>
      </c>
      <c r="CK116" s="54">
        <v>183.5299</v>
      </c>
    </row>
    <row r="117" spans="83:88" ht="13.2">
      <c r="CE117" t="s">
        <v>1298</v>
      </c>
      <c r="CF117" t="s">
        <v>1299</v>
      </c>
      <c r="CG117" t="s">
        <v>1299</v>
      </c>
      <c r="CH117" t="s">
        <v>1264</v>
      </c>
      <c r="CI117" t="s">
        <v>1086</v>
      </c>
      <c r="CJ117" t="s">
        <v>1087</v>
      </c>
    </row>
    <row r="118" spans="83:88" ht="13.2">
      <c r="CE118" t="s">
        <v>1300</v>
      </c>
      <c r="CF118" t="s">
        <v>1301</v>
      </c>
      <c r="CG118" t="s">
        <v>1301</v>
      </c>
      <c r="CH118" t="s">
        <v>1264</v>
      </c>
      <c r="CI118" t="s">
        <v>1090</v>
      </c>
      <c r="CJ118" t="s">
        <v>793</v>
      </c>
    </row>
    <row r="119" spans="83:88" ht="13.2">
      <c r="CE119" t="s">
        <v>1302</v>
      </c>
      <c r="CF119" t="s">
        <v>1303</v>
      </c>
      <c r="CG119" t="s">
        <v>1303</v>
      </c>
      <c r="CH119" t="s">
        <v>1264</v>
      </c>
      <c r="CI119" t="s">
        <v>1093</v>
      </c>
      <c r="CJ119" t="s">
        <v>713</v>
      </c>
    </row>
    <row r="120" spans="83:89" ht="13.2">
      <c r="CE120" t="s">
        <v>1304</v>
      </c>
      <c r="CF120" t="s">
        <v>1305</v>
      </c>
      <c r="CG120" t="s">
        <v>1305</v>
      </c>
      <c r="CH120" t="s">
        <v>1264</v>
      </c>
      <c r="CI120" t="s">
        <v>1096</v>
      </c>
      <c r="CJ120" t="s">
        <v>715</v>
      </c>
      <c r="CK120" s="54">
        <v>142.6398</v>
      </c>
    </row>
    <row r="121" spans="83:88" ht="13.2">
      <c r="CE121" t="s">
        <v>1306</v>
      </c>
      <c r="CF121" t="s">
        <v>1307</v>
      </c>
      <c r="CG121" t="s">
        <v>1307</v>
      </c>
      <c r="CH121" t="s">
        <v>1264</v>
      </c>
      <c r="CI121" t="s">
        <v>1099</v>
      </c>
      <c r="CJ121" t="s">
        <v>745</v>
      </c>
    </row>
    <row r="122" spans="83:88" ht="13.2">
      <c r="CE122" t="s">
        <v>1308</v>
      </c>
      <c r="CF122" t="s">
        <v>1309</v>
      </c>
      <c r="CG122" t="s">
        <v>1309</v>
      </c>
      <c r="CH122" t="s">
        <v>1264</v>
      </c>
      <c r="CI122" t="s">
        <v>1102</v>
      </c>
      <c r="CJ122" t="s">
        <v>758</v>
      </c>
    </row>
    <row r="123" spans="83:88" ht="13.2">
      <c r="CE123" t="s">
        <v>1310</v>
      </c>
      <c r="CF123" t="s">
        <v>1311</v>
      </c>
      <c r="CG123" t="s">
        <v>1311</v>
      </c>
      <c r="CH123" t="s">
        <v>1264</v>
      </c>
      <c r="CI123" t="s">
        <v>1105</v>
      </c>
      <c r="CJ123" t="s">
        <v>149</v>
      </c>
    </row>
    <row r="124" spans="83:88" ht="13.2">
      <c r="CE124" t="s">
        <v>1312</v>
      </c>
      <c r="CF124" t="s">
        <v>1313</v>
      </c>
      <c r="CG124" t="s">
        <v>1313</v>
      </c>
      <c r="CH124" t="s">
        <v>1264</v>
      </c>
      <c r="CI124" t="s">
        <v>1108</v>
      </c>
      <c r="CJ124" t="s">
        <v>149</v>
      </c>
    </row>
    <row r="125" spans="83:89" ht="13.2">
      <c r="CE125" t="s">
        <v>1314</v>
      </c>
      <c r="CF125" t="s">
        <v>1315</v>
      </c>
      <c r="CG125" t="s">
        <v>1315</v>
      </c>
      <c r="CH125" t="s">
        <v>1264</v>
      </c>
      <c r="CI125" t="s">
        <v>1111</v>
      </c>
      <c r="CJ125" t="s">
        <v>713</v>
      </c>
      <c r="CK125" s="54">
        <v>247.2423</v>
      </c>
    </row>
    <row r="126" spans="83:88" ht="13.2">
      <c r="CE126" t="s">
        <v>1316</v>
      </c>
      <c r="CF126" t="s">
        <v>1317</v>
      </c>
      <c r="CG126" t="s">
        <v>1317</v>
      </c>
      <c r="CH126" t="s">
        <v>1264</v>
      </c>
      <c r="CI126" t="s">
        <v>1114</v>
      </c>
      <c r="CJ126" t="s">
        <v>744</v>
      </c>
    </row>
    <row r="127" spans="83:88" ht="13.2">
      <c r="CE127" t="s">
        <v>1318</v>
      </c>
      <c r="CF127" t="s">
        <v>1319</v>
      </c>
      <c r="CG127" t="s">
        <v>1319</v>
      </c>
      <c r="CH127" t="s">
        <v>1264</v>
      </c>
      <c r="CI127" t="s">
        <v>1117</v>
      </c>
      <c r="CJ127" t="s">
        <v>1118</v>
      </c>
    </row>
    <row r="128" spans="83:88" ht="13.2">
      <c r="CE128" t="s">
        <v>1320</v>
      </c>
      <c r="CF128" t="s">
        <v>1321</v>
      </c>
      <c r="CG128" t="s">
        <v>1321</v>
      </c>
      <c r="CH128" t="s">
        <v>1264</v>
      </c>
      <c r="CI128" t="s">
        <v>1121</v>
      </c>
      <c r="CJ128" t="s">
        <v>149</v>
      </c>
    </row>
    <row r="129" spans="83:88" ht="13.2">
      <c r="CE129" t="s">
        <v>1322</v>
      </c>
      <c r="CF129" t="s">
        <v>1323</v>
      </c>
      <c r="CG129" t="s">
        <v>1323</v>
      </c>
      <c r="CH129" t="s">
        <v>1264</v>
      </c>
      <c r="CI129" t="s">
        <v>1124</v>
      </c>
      <c r="CJ129" t="s">
        <v>1125</v>
      </c>
    </row>
    <row r="130" spans="83:88" ht="13.2">
      <c r="CE130" t="s">
        <v>1324</v>
      </c>
      <c r="CF130" t="s">
        <v>1325</v>
      </c>
      <c r="CG130" t="s">
        <v>1325</v>
      </c>
      <c r="CH130" t="s">
        <v>1264</v>
      </c>
      <c r="CI130" t="s">
        <v>1128</v>
      </c>
      <c r="CJ130" t="s">
        <v>1129</v>
      </c>
    </row>
    <row r="131" spans="83:88" ht="13.2">
      <c r="CE131" t="s">
        <v>1326</v>
      </c>
      <c r="CF131" t="s">
        <v>1327</v>
      </c>
      <c r="CG131" t="s">
        <v>1327</v>
      </c>
      <c r="CH131" t="s">
        <v>1264</v>
      </c>
      <c r="CI131" t="s">
        <v>1132</v>
      </c>
      <c r="CJ131" t="s">
        <v>149</v>
      </c>
    </row>
    <row r="132" spans="83:88" ht="13.2">
      <c r="CE132" t="s">
        <v>1330</v>
      </c>
      <c r="CF132" t="s">
        <v>1331</v>
      </c>
      <c r="CG132" t="s">
        <v>1331</v>
      </c>
      <c r="CH132" t="s">
        <v>1328</v>
      </c>
      <c r="CI132" t="s">
        <v>1036</v>
      </c>
      <c r="CJ132" t="s">
        <v>1329</v>
      </c>
    </row>
    <row r="133" spans="83:88" ht="13.2">
      <c r="CE133" t="s">
        <v>1332</v>
      </c>
      <c r="CF133" t="s">
        <v>1333</v>
      </c>
      <c r="CG133" t="s">
        <v>1333</v>
      </c>
      <c r="CH133" t="s">
        <v>1328</v>
      </c>
      <c r="CI133" t="s">
        <v>1039</v>
      </c>
      <c r="CJ133" t="s">
        <v>1040</v>
      </c>
    </row>
    <row r="134" spans="83:88" ht="13.2">
      <c r="CE134" t="s">
        <v>1334</v>
      </c>
      <c r="CF134" t="s">
        <v>1335</v>
      </c>
      <c r="CG134" t="s">
        <v>1335</v>
      </c>
      <c r="CH134" t="s">
        <v>1328</v>
      </c>
      <c r="CI134" t="s">
        <v>1043</v>
      </c>
      <c r="CJ134" t="s">
        <v>1145</v>
      </c>
    </row>
    <row r="135" spans="83:89" ht="13.2">
      <c r="CE135" t="s">
        <v>1336</v>
      </c>
      <c r="CF135" t="s">
        <v>1337</v>
      </c>
      <c r="CG135" t="s">
        <v>1337</v>
      </c>
      <c r="CH135" t="s">
        <v>1328</v>
      </c>
      <c r="CI135" t="s">
        <v>1047</v>
      </c>
      <c r="CJ135" t="s">
        <v>227</v>
      </c>
      <c r="CK135" s="54">
        <v>23.7733</v>
      </c>
    </row>
    <row r="136" spans="83:88" ht="13.2">
      <c r="CE136" t="s">
        <v>1338</v>
      </c>
      <c r="CF136" t="s">
        <v>1339</v>
      </c>
      <c r="CG136" t="s">
        <v>1339</v>
      </c>
      <c r="CH136" t="s">
        <v>1328</v>
      </c>
      <c r="CI136" t="s">
        <v>1050</v>
      </c>
      <c r="CJ136" t="s">
        <v>1150</v>
      </c>
    </row>
    <row r="137" spans="83:88" ht="13.2">
      <c r="CE137" t="s">
        <v>1340</v>
      </c>
      <c r="CF137" t="s">
        <v>1341</v>
      </c>
      <c r="CG137" t="s">
        <v>1341</v>
      </c>
      <c r="CH137" t="s">
        <v>1328</v>
      </c>
      <c r="CI137" t="s">
        <v>1054</v>
      </c>
      <c r="CJ137" t="s">
        <v>1055</v>
      </c>
    </row>
    <row r="138" spans="83:88" ht="13.2">
      <c r="CE138" t="s">
        <v>1342</v>
      </c>
      <c r="CF138" t="s">
        <v>1343</v>
      </c>
      <c r="CG138" t="s">
        <v>1343</v>
      </c>
      <c r="CH138" t="s">
        <v>1328</v>
      </c>
      <c r="CI138" t="s">
        <v>1058</v>
      </c>
      <c r="CJ138" t="s">
        <v>148</v>
      </c>
    </row>
    <row r="139" spans="83:88" ht="13.2">
      <c r="CE139" t="s">
        <v>1344</v>
      </c>
      <c r="CF139" t="s">
        <v>1345</v>
      </c>
      <c r="CG139" t="s">
        <v>1345</v>
      </c>
      <c r="CH139" t="s">
        <v>1328</v>
      </c>
      <c r="CI139" t="s">
        <v>1061</v>
      </c>
      <c r="CJ139" t="s">
        <v>744</v>
      </c>
    </row>
    <row r="140" spans="83:88" ht="13.2">
      <c r="CE140" t="s">
        <v>1346</v>
      </c>
      <c r="CF140" t="s">
        <v>1347</v>
      </c>
      <c r="CG140" t="s">
        <v>1347</v>
      </c>
      <c r="CH140" t="s">
        <v>1328</v>
      </c>
      <c r="CI140" t="s">
        <v>1064</v>
      </c>
      <c r="CJ140" t="s">
        <v>194</v>
      </c>
    </row>
    <row r="141" spans="83:88" ht="13.2">
      <c r="CE141" t="s">
        <v>1348</v>
      </c>
      <c r="CF141" t="s">
        <v>1349</v>
      </c>
      <c r="CG141" t="s">
        <v>1349</v>
      </c>
      <c r="CH141" t="s">
        <v>1328</v>
      </c>
      <c r="CI141" t="s">
        <v>1067</v>
      </c>
      <c r="CJ141" t="s">
        <v>274</v>
      </c>
    </row>
    <row r="142" spans="83:88" ht="13.2">
      <c r="CE142" t="s">
        <v>1350</v>
      </c>
      <c r="CF142" t="s">
        <v>1351</v>
      </c>
      <c r="CG142" t="s">
        <v>1351</v>
      </c>
      <c r="CH142" t="s">
        <v>1328</v>
      </c>
      <c r="CI142" t="s">
        <v>1070</v>
      </c>
      <c r="CJ142" t="s">
        <v>357</v>
      </c>
    </row>
    <row r="143" spans="83:88" ht="13.2">
      <c r="CE143" t="s">
        <v>1352</v>
      </c>
      <c r="CF143" t="s">
        <v>1353</v>
      </c>
      <c r="CG143" t="s">
        <v>1353</v>
      </c>
      <c r="CH143" t="s">
        <v>1328</v>
      </c>
      <c r="CI143" t="s">
        <v>1074</v>
      </c>
      <c r="CJ143" t="s">
        <v>317</v>
      </c>
    </row>
    <row r="144" spans="83:88" ht="13.2">
      <c r="CE144" t="s">
        <v>1354</v>
      </c>
      <c r="CF144" t="s">
        <v>1355</v>
      </c>
      <c r="CG144" t="s">
        <v>1355</v>
      </c>
      <c r="CH144" t="s">
        <v>1328</v>
      </c>
      <c r="CI144" t="s">
        <v>1077</v>
      </c>
      <c r="CJ144" t="s">
        <v>357</v>
      </c>
    </row>
    <row r="145" spans="83:88" ht="13.2">
      <c r="CE145" t="s">
        <v>1356</v>
      </c>
      <c r="CF145" t="s">
        <v>1357</v>
      </c>
      <c r="CG145" t="s">
        <v>1357</v>
      </c>
      <c r="CH145" t="s">
        <v>1328</v>
      </c>
      <c r="CI145" t="s">
        <v>1080</v>
      </c>
      <c r="CJ145" t="s">
        <v>357</v>
      </c>
    </row>
    <row r="146" spans="83:89" ht="13.2">
      <c r="CE146" t="s">
        <v>1358</v>
      </c>
      <c r="CF146" t="s">
        <v>1359</v>
      </c>
      <c r="CG146" t="s">
        <v>1359</v>
      </c>
      <c r="CH146" t="s">
        <v>1328</v>
      </c>
      <c r="CI146" t="s">
        <v>1083</v>
      </c>
      <c r="CJ146" t="s">
        <v>186</v>
      </c>
      <c r="CK146" s="54">
        <v>183.5299</v>
      </c>
    </row>
    <row r="147" spans="83:88" ht="13.2">
      <c r="CE147" t="s">
        <v>1360</v>
      </c>
      <c r="CF147" t="s">
        <v>1361</v>
      </c>
      <c r="CG147" t="s">
        <v>1361</v>
      </c>
      <c r="CH147" t="s">
        <v>1328</v>
      </c>
      <c r="CI147" t="s">
        <v>1086</v>
      </c>
      <c r="CJ147" t="s">
        <v>1087</v>
      </c>
    </row>
    <row r="148" spans="83:88" ht="13.2">
      <c r="CE148" t="s">
        <v>1362</v>
      </c>
      <c r="CF148" t="s">
        <v>1363</v>
      </c>
      <c r="CG148" t="s">
        <v>1363</v>
      </c>
      <c r="CH148" t="s">
        <v>1328</v>
      </c>
      <c r="CI148" t="s">
        <v>1090</v>
      </c>
      <c r="CJ148" t="s">
        <v>793</v>
      </c>
    </row>
    <row r="149" spans="83:88" ht="13.2">
      <c r="CE149" t="s">
        <v>1364</v>
      </c>
      <c r="CF149" t="s">
        <v>1365</v>
      </c>
      <c r="CG149" t="s">
        <v>1365</v>
      </c>
      <c r="CH149" t="s">
        <v>1328</v>
      </c>
      <c r="CI149" t="s">
        <v>1093</v>
      </c>
      <c r="CJ149" t="s">
        <v>713</v>
      </c>
    </row>
    <row r="150" spans="83:89" ht="13.2">
      <c r="CE150" t="s">
        <v>1366</v>
      </c>
      <c r="CF150" t="s">
        <v>1367</v>
      </c>
      <c r="CG150" t="s">
        <v>1367</v>
      </c>
      <c r="CH150" t="s">
        <v>1328</v>
      </c>
      <c r="CI150" t="s">
        <v>1096</v>
      </c>
      <c r="CJ150" t="s">
        <v>715</v>
      </c>
      <c r="CK150" s="54">
        <v>142.6398</v>
      </c>
    </row>
    <row r="151" spans="83:88" ht="13.2">
      <c r="CE151" t="s">
        <v>1368</v>
      </c>
      <c r="CF151" t="s">
        <v>1369</v>
      </c>
      <c r="CG151" t="s">
        <v>1369</v>
      </c>
      <c r="CH151" t="s">
        <v>1328</v>
      </c>
      <c r="CI151" t="s">
        <v>1099</v>
      </c>
      <c r="CJ151" t="s">
        <v>745</v>
      </c>
    </row>
    <row r="152" spans="83:88" ht="13.2">
      <c r="CE152" t="s">
        <v>1370</v>
      </c>
      <c r="CF152" t="s">
        <v>1371</v>
      </c>
      <c r="CG152" t="s">
        <v>1371</v>
      </c>
      <c r="CH152" t="s">
        <v>1328</v>
      </c>
      <c r="CI152" t="s">
        <v>1102</v>
      </c>
      <c r="CJ152" t="s">
        <v>758</v>
      </c>
    </row>
    <row r="153" spans="83:88" ht="13.2">
      <c r="CE153" t="s">
        <v>1372</v>
      </c>
      <c r="CF153" t="s">
        <v>1373</v>
      </c>
      <c r="CG153" t="s">
        <v>1373</v>
      </c>
      <c r="CH153" t="s">
        <v>1328</v>
      </c>
      <c r="CI153" t="s">
        <v>1105</v>
      </c>
      <c r="CJ153" t="s">
        <v>149</v>
      </c>
    </row>
    <row r="154" spans="83:88" ht="13.2">
      <c r="CE154" t="s">
        <v>1374</v>
      </c>
      <c r="CF154" t="s">
        <v>1375</v>
      </c>
      <c r="CG154" t="s">
        <v>1375</v>
      </c>
      <c r="CH154" t="s">
        <v>1328</v>
      </c>
      <c r="CI154" t="s">
        <v>1108</v>
      </c>
      <c r="CJ154" t="s">
        <v>149</v>
      </c>
    </row>
    <row r="155" spans="83:89" ht="13.2">
      <c r="CE155" t="s">
        <v>1376</v>
      </c>
      <c r="CF155" t="s">
        <v>1377</v>
      </c>
      <c r="CG155" t="s">
        <v>1377</v>
      </c>
      <c r="CH155" t="s">
        <v>1328</v>
      </c>
      <c r="CI155" t="s">
        <v>1111</v>
      </c>
      <c r="CJ155" t="s">
        <v>713</v>
      </c>
      <c r="CK155" s="54">
        <v>247.2423</v>
      </c>
    </row>
    <row r="156" spans="83:88" ht="13.2">
      <c r="CE156" t="s">
        <v>1378</v>
      </c>
      <c r="CF156" t="s">
        <v>1379</v>
      </c>
      <c r="CG156" t="s">
        <v>1379</v>
      </c>
      <c r="CH156" t="s">
        <v>1328</v>
      </c>
      <c r="CI156" t="s">
        <v>1114</v>
      </c>
      <c r="CJ156" t="s">
        <v>744</v>
      </c>
    </row>
    <row r="157" spans="83:88" ht="13.2">
      <c r="CE157" t="s">
        <v>1380</v>
      </c>
      <c r="CF157" t="s">
        <v>1381</v>
      </c>
      <c r="CG157" t="s">
        <v>1381</v>
      </c>
      <c r="CH157" t="s">
        <v>1328</v>
      </c>
      <c r="CI157" t="s">
        <v>1117</v>
      </c>
      <c r="CJ157" t="s">
        <v>1118</v>
      </c>
    </row>
    <row r="158" spans="83:88" ht="13.2">
      <c r="CE158" t="s">
        <v>1382</v>
      </c>
      <c r="CF158" t="s">
        <v>1383</v>
      </c>
      <c r="CG158" t="s">
        <v>1383</v>
      </c>
      <c r="CH158" t="s">
        <v>1328</v>
      </c>
      <c r="CI158" t="s">
        <v>1121</v>
      </c>
      <c r="CJ158" t="s">
        <v>149</v>
      </c>
    </row>
    <row r="159" spans="83:88" ht="13.2">
      <c r="CE159" t="s">
        <v>1384</v>
      </c>
      <c r="CF159" t="s">
        <v>1385</v>
      </c>
      <c r="CG159" t="s">
        <v>1385</v>
      </c>
      <c r="CH159" t="s">
        <v>1328</v>
      </c>
      <c r="CI159" t="s">
        <v>1124</v>
      </c>
      <c r="CJ159" t="s">
        <v>1125</v>
      </c>
    </row>
    <row r="160" spans="83:88" ht="13.2">
      <c r="CE160" t="s">
        <v>1386</v>
      </c>
      <c r="CF160" t="s">
        <v>1387</v>
      </c>
      <c r="CG160" t="s">
        <v>1387</v>
      </c>
      <c r="CH160" t="s">
        <v>1328</v>
      </c>
      <c r="CI160" t="s">
        <v>1128</v>
      </c>
      <c r="CJ160" t="s">
        <v>1129</v>
      </c>
    </row>
    <row r="161" spans="83:88" ht="13.2">
      <c r="CE161" t="s">
        <v>1388</v>
      </c>
      <c r="CF161" t="s">
        <v>1389</v>
      </c>
      <c r="CG161" t="s">
        <v>1389</v>
      </c>
      <c r="CH161" t="s">
        <v>1328</v>
      </c>
      <c r="CI161" t="s">
        <v>1132</v>
      </c>
      <c r="CJ161" t="s">
        <v>149</v>
      </c>
    </row>
    <row r="162" spans="83:88" ht="13.2">
      <c r="CE162" t="s">
        <v>1394</v>
      </c>
      <c r="CF162" t="s">
        <v>1395</v>
      </c>
      <c r="CG162" t="s">
        <v>1395</v>
      </c>
      <c r="CH162" t="s">
        <v>1390</v>
      </c>
      <c r="CI162" t="s">
        <v>1036</v>
      </c>
      <c r="CJ162" t="s">
        <v>1391</v>
      </c>
    </row>
    <row r="163" spans="83:88" ht="13.2">
      <c r="CE163" t="s">
        <v>1396</v>
      </c>
      <c r="CF163" t="s">
        <v>1397</v>
      </c>
      <c r="CG163" t="s">
        <v>1397</v>
      </c>
      <c r="CH163" t="s">
        <v>1390</v>
      </c>
      <c r="CI163" t="s">
        <v>1039</v>
      </c>
      <c r="CJ163" t="s">
        <v>1040</v>
      </c>
    </row>
    <row r="164" spans="83:88" ht="13.2">
      <c r="CE164" t="s">
        <v>1398</v>
      </c>
      <c r="CF164" t="s">
        <v>1399</v>
      </c>
      <c r="CG164" t="s">
        <v>1399</v>
      </c>
      <c r="CH164" t="s">
        <v>1390</v>
      </c>
      <c r="CI164" t="s">
        <v>1043</v>
      </c>
      <c r="CJ164" t="s">
        <v>1400</v>
      </c>
    </row>
    <row r="165" spans="83:89" ht="13.2">
      <c r="CE165" t="s">
        <v>1401</v>
      </c>
      <c r="CF165" t="s">
        <v>1402</v>
      </c>
      <c r="CG165" t="s">
        <v>1402</v>
      </c>
      <c r="CH165" t="s">
        <v>1390</v>
      </c>
      <c r="CI165" t="s">
        <v>1047</v>
      </c>
      <c r="CJ165" t="s">
        <v>227</v>
      </c>
      <c r="CK165" s="54">
        <v>23.7733</v>
      </c>
    </row>
    <row r="166" spans="83:88" ht="13.2">
      <c r="CE166" t="s">
        <v>1403</v>
      </c>
      <c r="CF166" t="s">
        <v>1404</v>
      </c>
      <c r="CG166" t="s">
        <v>1404</v>
      </c>
      <c r="CH166" t="s">
        <v>1390</v>
      </c>
      <c r="CI166" t="s">
        <v>1050</v>
      </c>
      <c r="CJ166" t="s">
        <v>1150</v>
      </c>
    </row>
    <row r="167" spans="83:88" ht="13.2">
      <c r="CE167" t="s">
        <v>1405</v>
      </c>
      <c r="CF167" t="s">
        <v>1406</v>
      </c>
      <c r="CG167" t="s">
        <v>1406</v>
      </c>
      <c r="CH167" t="s">
        <v>1390</v>
      </c>
      <c r="CI167" t="s">
        <v>1054</v>
      </c>
      <c r="CJ167" t="s">
        <v>1055</v>
      </c>
    </row>
    <row r="168" spans="83:88" ht="13.2">
      <c r="CE168" t="s">
        <v>1407</v>
      </c>
      <c r="CF168" t="s">
        <v>1408</v>
      </c>
      <c r="CG168" t="s">
        <v>1408</v>
      </c>
      <c r="CH168" t="s">
        <v>1390</v>
      </c>
      <c r="CI168" t="s">
        <v>1058</v>
      </c>
      <c r="CJ168" t="s">
        <v>148</v>
      </c>
    </row>
    <row r="169" spans="83:88" ht="13.2">
      <c r="CE169" t="s">
        <v>1409</v>
      </c>
      <c r="CF169" t="s">
        <v>1410</v>
      </c>
      <c r="CG169" t="s">
        <v>1410</v>
      </c>
      <c r="CH169" t="s">
        <v>1390</v>
      </c>
      <c r="CI169" t="s">
        <v>1061</v>
      </c>
      <c r="CJ169" t="s">
        <v>744</v>
      </c>
    </row>
    <row r="170" spans="83:88" ht="13.2">
      <c r="CE170" t="s">
        <v>1411</v>
      </c>
      <c r="CF170" t="s">
        <v>1412</v>
      </c>
      <c r="CG170" t="s">
        <v>1412</v>
      </c>
      <c r="CH170" t="s">
        <v>1390</v>
      </c>
      <c r="CI170" t="s">
        <v>1064</v>
      </c>
      <c r="CJ170" t="s">
        <v>194</v>
      </c>
    </row>
    <row r="171" spans="83:88" ht="13.2">
      <c r="CE171" t="s">
        <v>1413</v>
      </c>
      <c r="CF171" t="s">
        <v>1414</v>
      </c>
      <c r="CG171" t="s">
        <v>1414</v>
      </c>
      <c r="CH171" t="s">
        <v>1390</v>
      </c>
      <c r="CI171" t="s">
        <v>1067</v>
      </c>
      <c r="CJ171" t="s">
        <v>274</v>
      </c>
    </row>
    <row r="172" spans="83:88" ht="13.2">
      <c r="CE172" t="s">
        <v>1415</v>
      </c>
      <c r="CF172" t="s">
        <v>1416</v>
      </c>
      <c r="CG172" t="s">
        <v>1416</v>
      </c>
      <c r="CH172" t="s">
        <v>1390</v>
      </c>
      <c r="CI172" t="s">
        <v>1070</v>
      </c>
      <c r="CJ172" t="s">
        <v>357</v>
      </c>
    </row>
    <row r="173" spans="83:88" ht="13.2">
      <c r="CE173" t="s">
        <v>1417</v>
      </c>
      <c r="CF173" t="s">
        <v>1418</v>
      </c>
      <c r="CG173" t="s">
        <v>1418</v>
      </c>
      <c r="CH173" t="s">
        <v>1390</v>
      </c>
      <c r="CI173" t="s">
        <v>1074</v>
      </c>
      <c r="CJ173" t="s">
        <v>317</v>
      </c>
    </row>
    <row r="174" spans="83:88" ht="13.2">
      <c r="CE174" t="s">
        <v>1419</v>
      </c>
      <c r="CF174" t="s">
        <v>1420</v>
      </c>
      <c r="CG174" t="s">
        <v>1420</v>
      </c>
      <c r="CH174" t="s">
        <v>1390</v>
      </c>
      <c r="CI174" t="s">
        <v>1077</v>
      </c>
      <c r="CJ174" t="s">
        <v>357</v>
      </c>
    </row>
    <row r="175" spans="83:88" ht="13.2">
      <c r="CE175" t="s">
        <v>1421</v>
      </c>
      <c r="CF175" t="s">
        <v>1422</v>
      </c>
      <c r="CG175" t="s">
        <v>1422</v>
      </c>
      <c r="CH175" t="s">
        <v>1390</v>
      </c>
      <c r="CI175" t="s">
        <v>1080</v>
      </c>
      <c r="CJ175" t="s">
        <v>357</v>
      </c>
    </row>
    <row r="176" spans="83:89" ht="13.2">
      <c r="CE176" t="s">
        <v>1423</v>
      </c>
      <c r="CF176" t="s">
        <v>1424</v>
      </c>
      <c r="CG176" t="s">
        <v>1424</v>
      </c>
      <c r="CH176" t="s">
        <v>1390</v>
      </c>
      <c r="CI176" t="s">
        <v>1083</v>
      </c>
      <c r="CJ176" t="s">
        <v>186</v>
      </c>
      <c r="CK176" s="54">
        <v>183.5299</v>
      </c>
    </row>
    <row r="177" spans="83:88" ht="13.2">
      <c r="CE177" t="s">
        <v>1425</v>
      </c>
      <c r="CF177" t="s">
        <v>1426</v>
      </c>
      <c r="CG177" t="s">
        <v>1426</v>
      </c>
      <c r="CH177" t="s">
        <v>1390</v>
      </c>
      <c r="CI177" t="s">
        <v>1086</v>
      </c>
      <c r="CJ177" t="s">
        <v>1087</v>
      </c>
    </row>
    <row r="178" spans="83:88" ht="13.2">
      <c r="CE178" t="s">
        <v>1427</v>
      </c>
      <c r="CF178" t="s">
        <v>1428</v>
      </c>
      <c r="CG178" t="s">
        <v>1428</v>
      </c>
      <c r="CH178" t="s">
        <v>1390</v>
      </c>
      <c r="CI178" t="s">
        <v>1090</v>
      </c>
      <c r="CJ178" t="s">
        <v>793</v>
      </c>
    </row>
    <row r="179" spans="83:88" ht="13.2">
      <c r="CE179" t="s">
        <v>1429</v>
      </c>
      <c r="CF179" t="s">
        <v>1430</v>
      </c>
      <c r="CG179" t="s">
        <v>1430</v>
      </c>
      <c r="CH179" t="s">
        <v>1390</v>
      </c>
      <c r="CI179" t="s">
        <v>1093</v>
      </c>
      <c r="CJ179" t="s">
        <v>713</v>
      </c>
    </row>
    <row r="180" spans="83:89" ht="13.2">
      <c r="CE180" t="s">
        <v>1431</v>
      </c>
      <c r="CF180" t="s">
        <v>1432</v>
      </c>
      <c r="CG180" t="s">
        <v>1432</v>
      </c>
      <c r="CH180" t="s">
        <v>1390</v>
      </c>
      <c r="CI180" t="s">
        <v>1096</v>
      </c>
      <c r="CJ180" t="s">
        <v>715</v>
      </c>
      <c r="CK180" s="54">
        <v>142.6398</v>
      </c>
    </row>
    <row r="181" spans="83:88" ht="13.2">
      <c r="CE181" t="s">
        <v>1433</v>
      </c>
      <c r="CF181" t="s">
        <v>1434</v>
      </c>
      <c r="CG181" t="s">
        <v>1434</v>
      </c>
      <c r="CH181" t="s">
        <v>1390</v>
      </c>
      <c r="CI181" t="s">
        <v>1099</v>
      </c>
      <c r="CJ181" t="s">
        <v>745</v>
      </c>
    </row>
    <row r="182" spans="83:88" ht="13.2">
      <c r="CE182" t="s">
        <v>1435</v>
      </c>
      <c r="CF182" t="s">
        <v>1436</v>
      </c>
      <c r="CG182" t="s">
        <v>1436</v>
      </c>
      <c r="CH182" t="s">
        <v>1390</v>
      </c>
      <c r="CI182" t="s">
        <v>1102</v>
      </c>
      <c r="CJ182" t="s">
        <v>758</v>
      </c>
    </row>
    <row r="183" spans="83:88" ht="13.2">
      <c r="CE183" t="s">
        <v>1437</v>
      </c>
      <c r="CF183" t="s">
        <v>1438</v>
      </c>
      <c r="CG183" t="s">
        <v>1438</v>
      </c>
      <c r="CH183" t="s">
        <v>1390</v>
      </c>
      <c r="CI183" t="s">
        <v>1105</v>
      </c>
      <c r="CJ183" t="s">
        <v>149</v>
      </c>
    </row>
    <row r="184" spans="83:88" ht="13.2">
      <c r="CE184" t="s">
        <v>1439</v>
      </c>
      <c r="CF184" t="s">
        <v>1440</v>
      </c>
      <c r="CG184" t="s">
        <v>1440</v>
      </c>
      <c r="CH184" t="s">
        <v>1390</v>
      </c>
      <c r="CI184" t="s">
        <v>1108</v>
      </c>
      <c r="CJ184" t="s">
        <v>149</v>
      </c>
    </row>
    <row r="185" spans="83:89" ht="13.2">
      <c r="CE185" t="s">
        <v>1441</v>
      </c>
      <c r="CF185" t="s">
        <v>1442</v>
      </c>
      <c r="CG185" t="s">
        <v>1442</v>
      </c>
      <c r="CH185" t="s">
        <v>1390</v>
      </c>
      <c r="CI185" t="s">
        <v>1111</v>
      </c>
      <c r="CJ185" t="s">
        <v>713</v>
      </c>
      <c r="CK185" s="54">
        <v>247.2423</v>
      </c>
    </row>
    <row r="186" spans="83:88" ht="13.2">
      <c r="CE186" t="s">
        <v>1443</v>
      </c>
      <c r="CF186" t="s">
        <v>1444</v>
      </c>
      <c r="CG186" t="s">
        <v>1444</v>
      </c>
      <c r="CH186" t="s">
        <v>1390</v>
      </c>
      <c r="CI186" t="s">
        <v>1114</v>
      </c>
      <c r="CJ186" t="s">
        <v>744</v>
      </c>
    </row>
    <row r="187" spans="83:88" ht="13.2">
      <c r="CE187" t="s">
        <v>1445</v>
      </c>
      <c r="CF187" t="s">
        <v>1446</v>
      </c>
      <c r="CG187" t="s">
        <v>1446</v>
      </c>
      <c r="CH187" t="s">
        <v>1390</v>
      </c>
      <c r="CI187" t="s">
        <v>1117</v>
      </c>
      <c r="CJ187" t="s">
        <v>1118</v>
      </c>
    </row>
    <row r="188" spans="83:88" ht="13.2">
      <c r="CE188" t="s">
        <v>1447</v>
      </c>
      <c r="CF188" t="s">
        <v>1448</v>
      </c>
      <c r="CG188" t="s">
        <v>1448</v>
      </c>
      <c r="CH188" t="s">
        <v>1390</v>
      </c>
      <c r="CI188" t="s">
        <v>1121</v>
      </c>
      <c r="CJ188" t="s">
        <v>149</v>
      </c>
    </row>
    <row r="189" spans="83:88" ht="13.2">
      <c r="CE189" t="s">
        <v>1449</v>
      </c>
      <c r="CF189" t="s">
        <v>1450</v>
      </c>
      <c r="CG189" t="s">
        <v>1450</v>
      </c>
      <c r="CH189" t="s">
        <v>1390</v>
      </c>
      <c r="CI189" t="s">
        <v>1124</v>
      </c>
      <c r="CJ189" t="s">
        <v>1125</v>
      </c>
    </row>
    <row r="190" spans="83:88" ht="13.2">
      <c r="CE190" t="s">
        <v>1451</v>
      </c>
      <c r="CF190" t="s">
        <v>1452</v>
      </c>
      <c r="CG190" t="s">
        <v>1452</v>
      </c>
      <c r="CH190" t="s">
        <v>1390</v>
      </c>
      <c r="CI190" t="s">
        <v>1128</v>
      </c>
      <c r="CJ190" t="s">
        <v>1129</v>
      </c>
    </row>
    <row r="191" spans="83:88" ht="13.2">
      <c r="CE191" t="s">
        <v>1453</v>
      </c>
      <c r="CF191" t="s">
        <v>1454</v>
      </c>
      <c r="CG191" t="s">
        <v>1454</v>
      </c>
      <c r="CH191" t="s">
        <v>1390</v>
      </c>
      <c r="CI191" t="s">
        <v>1132</v>
      </c>
      <c r="CJ191" t="s">
        <v>149</v>
      </c>
    </row>
    <row r="192" spans="83:88" ht="13.2">
      <c r="CE192" t="s">
        <v>1457</v>
      </c>
      <c r="CF192" t="s">
        <v>1458</v>
      </c>
      <c r="CG192" t="s">
        <v>1458</v>
      </c>
      <c r="CH192" t="s">
        <v>1455</v>
      </c>
      <c r="CI192" t="s">
        <v>1036</v>
      </c>
      <c r="CJ192" t="s">
        <v>1456</v>
      </c>
    </row>
    <row r="193" spans="83:88" ht="13.2">
      <c r="CE193" t="s">
        <v>1459</v>
      </c>
      <c r="CF193" t="s">
        <v>1460</v>
      </c>
      <c r="CG193" t="s">
        <v>1460</v>
      </c>
      <c r="CH193" t="s">
        <v>1455</v>
      </c>
      <c r="CI193" t="s">
        <v>1039</v>
      </c>
      <c r="CJ193" t="s">
        <v>1040</v>
      </c>
    </row>
    <row r="194" spans="83:88" ht="13.2">
      <c r="CE194" t="s">
        <v>1461</v>
      </c>
      <c r="CF194" t="s">
        <v>1462</v>
      </c>
      <c r="CG194" t="s">
        <v>1462</v>
      </c>
      <c r="CH194" t="s">
        <v>1455</v>
      </c>
      <c r="CI194" t="s">
        <v>1043</v>
      </c>
      <c r="CJ194" t="s">
        <v>1400</v>
      </c>
    </row>
    <row r="195" spans="83:89" ht="13.2">
      <c r="CE195" t="s">
        <v>1463</v>
      </c>
      <c r="CF195" t="s">
        <v>1464</v>
      </c>
      <c r="CG195" t="s">
        <v>1464</v>
      </c>
      <c r="CH195" t="s">
        <v>1455</v>
      </c>
      <c r="CI195" t="s">
        <v>1047</v>
      </c>
      <c r="CJ195" t="s">
        <v>227</v>
      </c>
      <c r="CK195" s="54">
        <v>23.7733</v>
      </c>
    </row>
    <row r="196" spans="83:88" ht="13.2">
      <c r="CE196" t="s">
        <v>1465</v>
      </c>
      <c r="CF196" t="s">
        <v>1466</v>
      </c>
      <c r="CG196" t="s">
        <v>1466</v>
      </c>
      <c r="CH196" t="s">
        <v>1455</v>
      </c>
      <c r="CI196" t="s">
        <v>1050</v>
      </c>
      <c r="CJ196" t="s">
        <v>1150</v>
      </c>
    </row>
    <row r="197" spans="83:88" ht="13.2">
      <c r="CE197" t="s">
        <v>1467</v>
      </c>
      <c r="CF197" t="s">
        <v>1468</v>
      </c>
      <c r="CG197" t="s">
        <v>1468</v>
      </c>
      <c r="CH197" t="s">
        <v>1455</v>
      </c>
      <c r="CI197" t="s">
        <v>1054</v>
      </c>
      <c r="CJ197" t="s">
        <v>1055</v>
      </c>
    </row>
    <row r="198" spans="83:88" ht="13.2">
      <c r="CE198" t="s">
        <v>1469</v>
      </c>
      <c r="CF198" t="s">
        <v>1470</v>
      </c>
      <c r="CG198" t="s">
        <v>1470</v>
      </c>
      <c r="CH198" t="s">
        <v>1455</v>
      </c>
      <c r="CI198" t="s">
        <v>1058</v>
      </c>
      <c r="CJ198" t="s">
        <v>148</v>
      </c>
    </row>
    <row r="199" spans="83:88" ht="13.2">
      <c r="CE199" t="s">
        <v>1471</v>
      </c>
      <c r="CF199" t="s">
        <v>1472</v>
      </c>
      <c r="CG199" t="s">
        <v>1472</v>
      </c>
      <c r="CH199" t="s">
        <v>1455</v>
      </c>
      <c r="CI199" t="s">
        <v>1061</v>
      </c>
      <c r="CJ199" t="s">
        <v>744</v>
      </c>
    </row>
    <row r="200" spans="83:88" ht="13.2">
      <c r="CE200" t="s">
        <v>1473</v>
      </c>
      <c r="CF200" t="s">
        <v>1474</v>
      </c>
      <c r="CG200" t="s">
        <v>1474</v>
      </c>
      <c r="CH200" t="s">
        <v>1455</v>
      </c>
      <c r="CI200" t="s">
        <v>1064</v>
      </c>
      <c r="CJ200" t="s">
        <v>194</v>
      </c>
    </row>
    <row r="201" spans="83:88" ht="13.2">
      <c r="CE201" t="s">
        <v>1475</v>
      </c>
      <c r="CF201" t="s">
        <v>1476</v>
      </c>
      <c r="CG201" t="s">
        <v>1476</v>
      </c>
      <c r="CH201" t="s">
        <v>1455</v>
      </c>
      <c r="CI201" t="s">
        <v>1067</v>
      </c>
      <c r="CJ201" t="s">
        <v>274</v>
      </c>
    </row>
    <row r="202" spans="83:88" ht="13.2">
      <c r="CE202" t="s">
        <v>1477</v>
      </c>
      <c r="CF202" t="s">
        <v>1478</v>
      </c>
      <c r="CG202" t="s">
        <v>1478</v>
      </c>
      <c r="CH202" t="s">
        <v>1455</v>
      </c>
      <c r="CI202" t="s">
        <v>1070</v>
      </c>
      <c r="CJ202" t="s">
        <v>357</v>
      </c>
    </row>
    <row r="203" spans="83:88" ht="13.2">
      <c r="CE203" t="s">
        <v>1479</v>
      </c>
      <c r="CF203" t="s">
        <v>1480</v>
      </c>
      <c r="CG203" t="s">
        <v>1480</v>
      </c>
      <c r="CH203" t="s">
        <v>1455</v>
      </c>
      <c r="CI203" t="s">
        <v>1074</v>
      </c>
      <c r="CJ203" t="s">
        <v>317</v>
      </c>
    </row>
    <row r="204" spans="83:88" ht="13.2">
      <c r="CE204" t="s">
        <v>1481</v>
      </c>
      <c r="CF204" t="s">
        <v>1482</v>
      </c>
      <c r="CG204" t="s">
        <v>1482</v>
      </c>
      <c r="CH204" t="s">
        <v>1455</v>
      </c>
      <c r="CI204" t="s">
        <v>1077</v>
      </c>
      <c r="CJ204" t="s">
        <v>357</v>
      </c>
    </row>
    <row r="205" spans="83:88" ht="13.2">
      <c r="CE205" t="s">
        <v>1483</v>
      </c>
      <c r="CF205" t="s">
        <v>1484</v>
      </c>
      <c r="CG205" t="s">
        <v>1484</v>
      </c>
      <c r="CH205" t="s">
        <v>1455</v>
      </c>
      <c r="CI205" t="s">
        <v>1080</v>
      </c>
      <c r="CJ205" t="s">
        <v>357</v>
      </c>
    </row>
    <row r="206" spans="83:89" ht="13.2">
      <c r="CE206" t="s">
        <v>1485</v>
      </c>
      <c r="CF206" t="s">
        <v>1486</v>
      </c>
      <c r="CG206" t="s">
        <v>1486</v>
      </c>
      <c r="CH206" t="s">
        <v>1455</v>
      </c>
      <c r="CI206" t="s">
        <v>1083</v>
      </c>
      <c r="CJ206" t="s">
        <v>186</v>
      </c>
      <c r="CK206" s="54">
        <v>183.5299</v>
      </c>
    </row>
    <row r="207" spans="83:88" ht="13.2">
      <c r="CE207" t="s">
        <v>1487</v>
      </c>
      <c r="CF207" t="s">
        <v>1488</v>
      </c>
      <c r="CG207" t="s">
        <v>1488</v>
      </c>
      <c r="CH207" t="s">
        <v>1455</v>
      </c>
      <c r="CI207" t="s">
        <v>1086</v>
      </c>
      <c r="CJ207" t="s">
        <v>1087</v>
      </c>
    </row>
    <row r="208" spans="83:88" ht="13.2">
      <c r="CE208" t="s">
        <v>1489</v>
      </c>
      <c r="CF208" t="s">
        <v>1490</v>
      </c>
      <c r="CG208" t="s">
        <v>1490</v>
      </c>
      <c r="CH208" t="s">
        <v>1455</v>
      </c>
      <c r="CI208" t="s">
        <v>1090</v>
      </c>
      <c r="CJ208" t="s">
        <v>793</v>
      </c>
    </row>
    <row r="209" spans="83:88" ht="13.2">
      <c r="CE209" t="s">
        <v>1491</v>
      </c>
      <c r="CF209" t="s">
        <v>1492</v>
      </c>
      <c r="CG209" t="s">
        <v>1492</v>
      </c>
      <c r="CH209" t="s">
        <v>1455</v>
      </c>
      <c r="CI209" t="s">
        <v>1093</v>
      </c>
      <c r="CJ209" t="s">
        <v>713</v>
      </c>
    </row>
    <row r="210" spans="83:89" ht="13.2">
      <c r="CE210" t="s">
        <v>1493</v>
      </c>
      <c r="CF210" t="s">
        <v>1494</v>
      </c>
      <c r="CG210" t="s">
        <v>1494</v>
      </c>
      <c r="CH210" t="s">
        <v>1455</v>
      </c>
      <c r="CI210" t="s">
        <v>1096</v>
      </c>
      <c r="CJ210" t="s">
        <v>715</v>
      </c>
      <c r="CK210" s="54">
        <v>142.6398</v>
      </c>
    </row>
    <row r="211" spans="83:88" ht="13.2">
      <c r="CE211" t="s">
        <v>1495</v>
      </c>
      <c r="CF211" t="s">
        <v>1496</v>
      </c>
      <c r="CG211" t="s">
        <v>1496</v>
      </c>
      <c r="CH211" t="s">
        <v>1455</v>
      </c>
      <c r="CI211" t="s">
        <v>1099</v>
      </c>
      <c r="CJ211" t="s">
        <v>745</v>
      </c>
    </row>
    <row r="212" spans="83:88" ht="13.2">
      <c r="CE212" t="s">
        <v>1497</v>
      </c>
      <c r="CF212" t="s">
        <v>1498</v>
      </c>
      <c r="CG212" t="s">
        <v>1498</v>
      </c>
      <c r="CH212" t="s">
        <v>1455</v>
      </c>
      <c r="CI212" t="s">
        <v>1102</v>
      </c>
      <c r="CJ212" t="s">
        <v>758</v>
      </c>
    </row>
    <row r="213" spans="83:88" ht="13.2">
      <c r="CE213" t="s">
        <v>1499</v>
      </c>
      <c r="CF213" t="s">
        <v>1500</v>
      </c>
      <c r="CG213" t="s">
        <v>1500</v>
      </c>
      <c r="CH213" t="s">
        <v>1455</v>
      </c>
      <c r="CI213" t="s">
        <v>1105</v>
      </c>
      <c r="CJ213" t="s">
        <v>713</v>
      </c>
    </row>
    <row r="214" spans="83:88" ht="13.2">
      <c r="CE214" t="s">
        <v>1501</v>
      </c>
      <c r="CF214" t="s">
        <v>1502</v>
      </c>
      <c r="CG214" t="s">
        <v>1502</v>
      </c>
      <c r="CH214" t="s">
        <v>1455</v>
      </c>
      <c r="CI214" t="s">
        <v>1108</v>
      </c>
      <c r="CJ214" t="s">
        <v>149</v>
      </c>
    </row>
    <row r="215" spans="83:89" ht="13.2">
      <c r="CE215" t="s">
        <v>1503</v>
      </c>
      <c r="CF215" t="s">
        <v>1504</v>
      </c>
      <c r="CG215" t="s">
        <v>1504</v>
      </c>
      <c r="CH215" t="s">
        <v>1455</v>
      </c>
      <c r="CI215" t="s">
        <v>1111</v>
      </c>
      <c r="CJ215" t="s">
        <v>713</v>
      </c>
      <c r="CK215" s="54">
        <v>247.2423</v>
      </c>
    </row>
    <row r="216" spans="83:88" ht="13.2">
      <c r="CE216" t="s">
        <v>1505</v>
      </c>
      <c r="CF216" t="s">
        <v>1506</v>
      </c>
      <c r="CG216" t="s">
        <v>1506</v>
      </c>
      <c r="CH216" t="s">
        <v>1455</v>
      </c>
      <c r="CI216" t="s">
        <v>1114</v>
      </c>
      <c r="CJ216" t="s">
        <v>744</v>
      </c>
    </row>
    <row r="217" spans="83:88" ht="13.2">
      <c r="CE217" t="s">
        <v>1507</v>
      </c>
      <c r="CF217" t="s">
        <v>1508</v>
      </c>
      <c r="CG217" t="s">
        <v>1508</v>
      </c>
      <c r="CH217" t="s">
        <v>1455</v>
      </c>
      <c r="CI217" t="s">
        <v>1117</v>
      </c>
      <c r="CJ217" t="s">
        <v>1118</v>
      </c>
    </row>
    <row r="218" spans="83:88" ht="13.2">
      <c r="CE218" t="s">
        <v>1509</v>
      </c>
      <c r="CF218" t="s">
        <v>1510</v>
      </c>
      <c r="CG218" t="s">
        <v>1510</v>
      </c>
      <c r="CH218" t="s">
        <v>1455</v>
      </c>
      <c r="CI218" t="s">
        <v>1121</v>
      </c>
      <c r="CJ218" t="s">
        <v>149</v>
      </c>
    </row>
    <row r="219" spans="83:88" ht="13.2">
      <c r="CE219" t="s">
        <v>1511</v>
      </c>
      <c r="CF219" t="s">
        <v>1512</v>
      </c>
      <c r="CG219" t="s">
        <v>1512</v>
      </c>
      <c r="CH219" t="s">
        <v>1455</v>
      </c>
      <c r="CI219" t="s">
        <v>1124</v>
      </c>
      <c r="CJ219" t="s">
        <v>1125</v>
      </c>
    </row>
    <row r="220" spans="83:88" ht="13.2">
      <c r="CE220" t="s">
        <v>1513</v>
      </c>
      <c r="CF220" t="s">
        <v>1514</v>
      </c>
      <c r="CG220" t="s">
        <v>1514</v>
      </c>
      <c r="CH220" t="s">
        <v>1455</v>
      </c>
      <c r="CI220" t="s">
        <v>1128</v>
      </c>
      <c r="CJ220" t="s">
        <v>1129</v>
      </c>
    </row>
    <row r="221" spans="83:88" ht="13.2">
      <c r="CE221" t="s">
        <v>1515</v>
      </c>
      <c r="CF221" t="s">
        <v>1516</v>
      </c>
      <c r="CG221" t="s">
        <v>1516</v>
      </c>
      <c r="CH221" t="s">
        <v>1455</v>
      </c>
      <c r="CI221" t="s">
        <v>1132</v>
      </c>
      <c r="CJ221" t="s">
        <v>149</v>
      </c>
    </row>
    <row r="222" spans="83:88" ht="13.2">
      <c r="CE222" t="s">
        <v>1519</v>
      </c>
      <c r="CF222" t="s">
        <v>1520</v>
      </c>
      <c r="CG222" t="s">
        <v>1520</v>
      </c>
      <c r="CH222" t="s">
        <v>1517</v>
      </c>
      <c r="CI222" t="s">
        <v>1036</v>
      </c>
      <c r="CJ222" t="s">
        <v>1518</v>
      </c>
    </row>
    <row r="223" spans="83:88" ht="13.2">
      <c r="CE223" t="s">
        <v>1521</v>
      </c>
      <c r="CF223" t="s">
        <v>1522</v>
      </c>
      <c r="CG223" t="s">
        <v>1522</v>
      </c>
      <c r="CH223" t="s">
        <v>1517</v>
      </c>
      <c r="CI223" t="s">
        <v>1039</v>
      </c>
      <c r="CJ223" t="s">
        <v>1040</v>
      </c>
    </row>
    <row r="224" spans="83:88" ht="13.2">
      <c r="CE224" t="s">
        <v>1523</v>
      </c>
      <c r="CF224" t="s">
        <v>1524</v>
      </c>
      <c r="CG224" t="s">
        <v>1524</v>
      </c>
      <c r="CH224" t="s">
        <v>1517</v>
      </c>
      <c r="CI224" t="s">
        <v>1043</v>
      </c>
      <c r="CJ224" t="s">
        <v>1525</v>
      </c>
    </row>
    <row r="225" spans="83:89" ht="13.2">
      <c r="CE225" t="s">
        <v>1526</v>
      </c>
      <c r="CF225" t="s">
        <v>1527</v>
      </c>
      <c r="CG225" t="s">
        <v>1527</v>
      </c>
      <c r="CH225" t="s">
        <v>1517</v>
      </c>
      <c r="CI225" t="s">
        <v>1047</v>
      </c>
      <c r="CJ225" t="s">
        <v>227</v>
      </c>
      <c r="CK225" s="54">
        <v>23.7733</v>
      </c>
    </row>
    <row r="226" spans="83:88" ht="13.2">
      <c r="CE226" t="s">
        <v>1528</v>
      </c>
      <c r="CF226" t="s">
        <v>1529</v>
      </c>
      <c r="CG226" t="s">
        <v>1529</v>
      </c>
      <c r="CH226" t="s">
        <v>1517</v>
      </c>
      <c r="CI226" t="s">
        <v>1050</v>
      </c>
      <c r="CJ226" t="s">
        <v>1150</v>
      </c>
    </row>
    <row r="227" spans="83:88" ht="13.2">
      <c r="CE227" t="s">
        <v>1530</v>
      </c>
      <c r="CF227" t="s">
        <v>1531</v>
      </c>
      <c r="CG227" t="s">
        <v>1531</v>
      </c>
      <c r="CH227" t="s">
        <v>1517</v>
      </c>
      <c r="CI227" t="s">
        <v>1054</v>
      </c>
      <c r="CJ227" t="s">
        <v>1055</v>
      </c>
    </row>
    <row r="228" spans="83:88" ht="13.2">
      <c r="CE228" t="s">
        <v>1532</v>
      </c>
      <c r="CF228" t="s">
        <v>1533</v>
      </c>
      <c r="CG228" t="s">
        <v>1533</v>
      </c>
      <c r="CH228" t="s">
        <v>1517</v>
      </c>
      <c r="CI228" t="s">
        <v>1058</v>
      </c>
      <c r="CJ228" t="s">
        <v>148</v>
      </c>
    </row>
    <row r="229" spans="83:88" ht="13.2">
      <c r="CE229" t="s">
        <v>1534</v>
      </c>
      <c r="CF229" t="s">
        <v>1535</v>
      </c>
      <c r="CG229" t="s">
        <v>1535</v>
      </c>
      <c r="CH229" t="s">
        <v>1517</v>
      </c>
      <c r="CI229" t="s">
        <v>1061</v>
      </c>
      <c r="CJ229" t="s">
        <v>744</v>
      </c>
    </row>
    <row r="230" spans="83:88" ht="13.2">
      <c r="CE230" t="s">
        <v>1536</v>
      </c>
      <c r="CF230" t="s">
        <v>1537</v>
      </c>
      <c r="CG230" t="s">
        <v>1537</v>
      </c>
      <c r="CH230" t="s">
        <v>1517</v>
      </c>
      <c r="CI230" t="s">
        <v>1064</v>
      </c>
      <c r="CJ230" t="s">
        <v>194</v>
      </c>
    </row>
    <row r="231" spans="83:88" ht="13.2">
      <c r="CE231" t="s">
        <v>1538</v>
      </c>
      <c r="CF231" t="s">
        <v>1539</v>
      </c>
      <c r="CG231" t="s">
        <v>1539</v>
      </c>
      <c r="CH231" t="s">
        <v>1517</v>
      </c>
      <c r="CI231" t="s">
        <v>1067</v>
      </c>
      <c r="CJ231" t="s">
        <v>274</v>
      </c>
    </row>
    <row r="232" spans="83:88" ht="13.2">
      <c r="CE232" t="s">
        <v>1540</v>
      </c>
      <c r="CF232" t="s">
        <v>1541</v>
      </c>
      <c r="CG232" t="s">
        <v>1541</v>
      </c>
      <c r="CH232" t="s">
        <v>1517</v>
      </c>
      <c r="CI232" t="s">
        <v>1070</v>
      </c>
      <c r="CJ232" t="s">
        <v>357</v>
      </c>
    </row>
    <row r="233" spans="83:88" ht="13.2">
      <c r="CE233" t="s">
        <v>1542</v>
      </c>
      <c r="CF233" t="s">
        <v>1543</v>
      </c>
      <c r="CG233" t="s">
        <v>1543</v>
      </c>
      <c r="CH233" t="s">
        <v>1517</v>
      </c>
      <c r="CI233" t="s">
        <v>1074</v>
      </c>
      <c r="CJ233" t="s">
        <v>317</v>
      </c>
    </row>
    <row r="234" spans="83:88" ht="13.2">
      <c r="CE234" t="s">
        <v>1544</v>
      </c>
      <c r="CF234" t="s">
        <v>1545</v>
      </c>
      <c r="CG234" t="s">
        <v>1545</v>
      </c>
      <c r="CH234" t="s">
        <v>1517</v>
      </c>
      <c r="CI234" t="s">
        <v>1077</v>
      </c>
      <c r="CJ234" t="s">
        <v>357</v>
      </c>
    </row>
    <row r="235" spans="83:88" ht="13.2">
      <c r="CE235" t="s">
        <v>1546</v>
      </c>
      <c r="CF235" t="s">
        <v>1547</v>
      </c>
      <c r="CG235" t="s">
        <v>1547</v>
      </c>
      <c r="CH235" t="s">
        <v>1517</v>
      </c>
      <c r="CI235" t="s">
        <v>1080</v>
      </c>
      <c r="CJ235" t="s">
        <v>357</v>
      </c>
    </row>
    <row r="236" spans="83:89" ht="13.2">
      <c r="CE236" t="s">
        <v>1548</v>
      </c>
      <c r="CF236" t="s">
        <v>1549</v>
      </c>
      <c r="CG236" t="s">
        <v>1549</v>
      </c>
      <c r="CH236" t="s">
        <v>1517</v>
      </c>
      <c r="CI236" t="s">
        <v>1083</v>
      </c>
      <c r="CJ236" t="s">
        <v>186</v>
      </c>
      <c r="CK236" s="54">
        <v>183.5299</v>
      </c>
    </row>
    <row r="237" spans="83:88" ht="13.2">
      <c r="CE237" t="s">
        <v>1550</v>
      </c>
      <c r="CF237" t="s">
        <v>1551</v>
      </c>
      <c r="CG237" t="s">
        <v>1551</v>
      </c>
      <c r="CH237" t="s">
        <v>1517</v>
      </c>
      <c r="CI237" t="s">
        <v>1086</v>
      </c>
      <c r="CJ237" t="s">
        <v>1087</v>
      </c>
    </row>
    <row r="238" spans="83:88" ht="13.2">
      <c r="CE238" t="s">
        <v>1552</v>
      </c>
      <c r="CF238" t="s">
        <v>1553</v>
      </c>
      <c r="CG238" t="s">
        <v>1553</v>
      </c>
      <c r="CH238" t="s">
        <v>1517</v>
      </c>
      <c r="CI238" t="s">
        <v>1090</v>
      </c>
      <c r="CJ238" t="s">
        <v>793</v>
      </c>
    </row>
    <row r="239" spans="83:88" ht="13.2">
      <c r="CE239" t="s">
        <v>1554</v>
      </c>
      <c r="CF239" t="s">
        <v>1555</v>
      </c>
      <c r="CG239" t="s">
        <v>1555</v>
      </c>
      <c r="CH239" t="s">
        <v>1517</v>
      </c>
      <c r="CI239" t="s">
        <v>1093</v>
      </c>
      <c r="CJ239" t="s">
        <v>713</v>
      </c>
    </row>
    <row r="240" spans="83:89" ht="13.2">
      <c r="CE240" t="s">
        <v>1556</v>
      </c>
      <c r="CF240" t="s">
        <v>1557</v>
      </c>
      <c r="CG240" t="s">
        <v>1557</v>
      </c>
      <c r="CH240" t="s">
        <v>1517</v>
      </c>
      <c r="CI240" t="s">
        <v>1096</v>
      </c>
      <c r="CJ240" t="s">
        <v>715</v>
      </c>
      <c r="CK240" s="54">
        <v>142.6398</v>
      </c>
    </row>
    <row r="241" spans="83:88" ht="13.2">
      <c r="CE241" t="s">
        <v>1558</v>
      </c>
      <c r="CF241" t="s">
        <v>1559</v>
      </c>
      <c r="CG241" t="s">
        <v>1559</v>
      </c>
      <c r="CH241" t="s">
        <v>1517</v>
      </c>
      <c r="CI241" t="s">
        <v>1099</v>
      </c>
      <c r="CJ241" t="s">
        <v>745</v>
      </c>
    </row>
    <row r="242" spans="83:88" ht="13.2">
      <c r="CE242" t="s">
        <v>1560</v>
      </c>
      <c r="CF242" t="s">
        <v>1561</v>
      </c>
      <c r="CG242" t="s">
        <v>1561</v>
      </c>
      <c r="CH242" t="s">
        <v>1517</v>
      </c>
      <c r="CI242" t="s">
        <v>1102</v>
      </c>
      <c r="CJ242" t="s">
        <v>758</v>
      </c>
    </row>
    <row r="243" spans="83:88" ht="13.2">
      <c r="CE243" t="s">
        <v>1562</v>
      </c>
      <c r="CF243" t="s">
        <v>1563</v>
      </c>
      <c r="CG243" t="s">
        <v>1563</v>
      </c>
      <c r="CH243" t="s">
        <v>1517</v>
      </c>
      <c r="CI243" t="s">
        <v>1105</v>
      </c>
      <c r="CJ243" t="s">
        <v>149</v>
      </c>
    </row>
    <row r="244" spans="83:88" ht="13.2">
      <c r="CE244" t="s">
        <v>1564</v>
      </c>
      <c r="CF244" t="s">
        <v>1565</v>
      </c>
      <c r="CG244" t="s">
        <v>1565</v>
      </c>
      <c r="CH244" t="s">
        <v>1517</v>
      </c>
      <c r="CI244" t="s">
        <v>1108</v>
      </c>
      <c r="CJ244" t="s">
        <v>149</v>
      </c>
    </row>
    <row r="245" spans="83:89" ht="13.2">
      <c r="CE245" t="s">
        <v>1566</v>
      </c>
      <c r="CF245" t="s">
        <v>1567</v>
      </c>
      <c r="CG245" t="s">
        <v>1567</v>
      </c>
      <c r="CH245" t="s">
        <v>1517</v>
      </c>
      <c r="CI245" t="s">
        <v>1111</v>
      </c>
      <c r="CJ245" t="s">
        <v>713</v>
      </c>
      <c r="CK245" s="54">
        <v>247.2423</v>
      </c>
    </row>
    <row r="246" spans="83:88" ht="13.2">
      <c r="CE246" t="s">
        <v>1568</v>
      </c>
      <c r="CF246" t="s">
        <v>1569</v>
      </c>
      <c r="CG246" t="s">
        <v>1569</v>
      </c>
      <c r="CH246" t="s">
        <v>1517</v>
      </c>
      <c r="CI246" t="s">
        <v>1114</v>
      </c>
      <c r="CJ246" t="s">
        <v>744</v>
      </c>
    </row>
    <row r="247" spans="83:88" ht="13.2">
      <c r="CE247" t="s">
        <v>1570</v>
      </c>
      <c r="CF247" t="s">
        <v>1571</v>
      </c>
      <c r="CG247" t="s">
        <v>1571</v>
      </c>
      <c r="CH247" t="s">
        <v>1517</v>
      </c>
      <c r="CI247" t="s">
        <v>1117</v>
      </c>
      <c r="CJ247" t="s">
        <v>1118</v>
      </c>
    </row>
    <row r="248" spans="83:88" ht="13.2">
      <c r="CE248" t="s">
        <v>1572</v>
      </c>
      <c r="CF248" t="s">
        <v>1573</v>
      </c>
      <c r="CG248" t="s">
        <v>1573</v>
      </c>
      <c r="CH248" t="s">
        <v>1517</v>
      </c>
      <c r="CI248" t="s">
        <v>1121</v>
      </c>
      <c r="CJ248" t="s">
        <v>149</v>
      </c>
    </row>
    <row r="249" spans="83:88" ht="13.2">
      <c r="CE249" t="s">
        <v>1574</v>
      </c>
      <c r="CF249" t="s">
        <v>1575</v>
      </c>
      <c r="CG249" t="s">
        <v>1575</v>
      </c>
      <c r="CH249" t="s">
        <v>1517</v>
      </c>
      <c r="CI249" t="s">
        <v>1124</v>
      </c>
      <c r="CJ249" t="s">
        <v>1125</v>
      </c>
    </row>
    <row r="250" spans="83:88" ht="13.2">
      <c r="CE250" t="s">
        <v>1576</v>
      </c>
      <c r="CF250" t="s">
        <v>1577</v>
      </c>
      <c r="CG250" t="s">
        <v>1577</v>
      </c>
      <c r="CH250" t="s">
        <v>1517</v>
      </c>
      <c r="CI250" t="s">
        <v>1128</v>
      </c>
      <c r="CJ250" t="s">
        <v>1129</v>
      </c>
    </row>
    <row r="251" spans="83:88" ht="13.2">
      <c r="CE251" t="s">
        <v>1578</v>
      </c>
      <c r="CF251" t="s">
        <v>1579</v>
      </c>
      <c r="CG251" t="s">
        <v>1579</v>
      </c>
      <c r="CH251" t="s">
        <v>1517</v>
      </c>
      <c r="CI251" t="s">
        <v>1132</v>
      </c>
      <c r="CJ251" t="s">
        <v>149</v>
      </c>
    </row>
    <row r="252" spans="83:88" ht="13.2">
      <c r="CE252" t="s">
        <v>1582</v>
      </c>
      <c r="CF252" t="s">
        <v>1583</v>
      </c>
      <c r="CG252" t="s">
        <v>1583</v>
      </c>
      <c r="CH252" t="s">
        <v>1580</v>
      </c>
      <c r="CI252" t="s">
        <v>1036</v>
      </c>
      <c r="CJ252" t="s">
        <v>1581</v>
      </c>
    </row>
    <row r="253" spans="83:88" ht="13.2">
      <c r="CE253" t="s">
        <v>1584</v>
      </c>
      <c r="CF253" t="s">
        <v>1585</v>
      </c>
      <c r="CG253" t="s">
        <v>1585</v>
      </c>
      <c r="CH253" t="s">
        <v>1580</v>
      </c>
      <c r="CI253" t="s">
        <v>1039</v>
      </c>
      <c r="CJ253" t="s">
        <v>1040</v>
      </c>
    </row>
    <row r="254" spans="83:88" ht="13.2">
      <c r="CE254" t="s">
        <v>1586</v>
      </c>
      <c r="CF254" t="s">
        <v>1587</v>
      </c>
      <c r="CG254" t="s">
        <v>1587</v>
      </c>
      <c r="CH254" t="s">
        <v>1580</v>
      </c>
      <c r="CI254" t="s">
        <v>1043</v>
      </c>
      <c r="CJ254" t="s">
        <v>1051</v>
      </c>
    </row>
    <row r="255" spans="83:89" ht="13.2">
      <c r="CE255" t="s">
        <v>1588</v>
      </c>
      <c r="CF255" t="s">
        <v>1589</v>
      </c>
      <c r="CG255" t="s">
        <v>1589</v>
      </c>
      <c r="CH255" t="s">
        <v>1580</v>
      </c>
      <c r="CI255" t="s">
        <v>1047</v>
      </c>
      <c r="CJ255" t="s">
        <v>227</v>
      </c>
      <c r="CK255" s="54">
        <v>23.7733</v>
      </c>
    </row>
    <row r="256" spans="83:88" ht="13.2">
      <c r="CE256" t="s">
        <v>1590</v>
      </c>
      <c r="CF256" t="s">
        <v>1591</v>
      </c>
      <c r="CG256" t="s">
        <v>1591</v>
      </c>
      <c r="CH256" t="s">
        <v>1580</v>
      </c>
      <c r="CI256" t="s">
        <v>1050</v>
      </c>
      <c r="CJ256" t="s">
        <v>1592</v>
      </c>
    </row>
    <row r="257" spans="83:88" ht="13.2">
      <c r="CE257" t="s">
        <v>1593</v>
      </c>
      <c r="CF257" t="s">
        <v>1594</v>
      </c>
      <c r="CG257" t="s">
        <v>1594</v>
      </c>
      <c r="CH257" t="s">
        <v>1580</v>
      </c>
      <c r="CI257" t="s">
        <v>1054</v>
      </c>
      <c r="CJ257" t="s">
        <v>1055</v>
      </c>
    </row>
    <row r="258" spans="83:88" ht="13.2">
      <c r="CE258" t="s">
        <v>1595</v>
      </c>
      <c r="CF258" t="s">
        <v>1596</v>
      </c>
      <c r="CG258" t="s">
        <v>1596</v>
      </c>
      <c r="CH258" t="s">
        <v>1580</v>
      </c>
      <c r="CI258" t="s">
        <v>1058</v>
      </c>
      <c r="CJ258" t="s">
        <v>148</v>
      </c>
    </row>
    <row r="259" spans="83:88" ht="13.2">
      <c r="CE259" t="s">
        <v>1597</v>
      </c>
      <c r="CF259" t="s">
        <v>1598</v>
      </c>
      <c r="CG259" t="s">
        <v>1598</v>
      </c>
      <c r="CH259" t="s">
        <v>1580</v>
      </c>
      <c r="CI259" t="s">
        <v>1061</v>
      </c>
      <c r="CJ259" t="s">
        <v>744</v>
      </c>
    </row>
    <row r="260" spans="83:88" ht="13.2">
      <c r="CE260" t="s">
        <v>1599</v>
      </c>
      <c r="CF260" t="s">
        <v>1600</v>
      </c>
      <c r="CG260" t="s">
        <v>1600</v>
      </c>
      <c r="CH260" t="s">
        <v>1580</v>
      </c>
      <c r="CI260" t="s">
        <v>1064</v>
      </c>
      <c r="CJ260" t="s">
        <v>194</v>
      </c>
    </row>
    <row r="261" spans="83:88" ht="13.2">
      <c r="CE261" t="s">
        <v>1601</v>
      </c>
      <c r="CF261" t="s">
        <v>1602</v>
      </c>
      <c r="CG261" t="s">
        <v>1602</v>
      </c>
      <c r="CH261" t="s">
        <v>1580</v>
      </c>
      <c r="CI261" t="s">
        <v>1067</v>
      </c>
      <c r="CJ261" t="s">
        <v>274</v>
      </c>
    </row>
    <row r="262" spans="83:88" ht="13.2">
      <c r="CE262" t="s">
        <v>1603</v>
      </c>
      <c r="CF262" t="s">
        <v>1604</v>
      </c>
      <c r="CG262" t="s">
        <v>1604</v>
      </c>
      <c r="CH262" t="s">
        <v>1580</v>
      </c>
      <c r="CI262" t="s">
        <v>1070</v>
      </c>
      <c r="CJ262" t="s">
        <v>357</v>
      </c>
    </row>
    <row r="263" spans="83:88" ht="13.2">
      <c r="CE263" t="s">
        <v>1605</v>
      </c>
      <c r="CF263" t="s">
        <v>1606</v>
      </c>
      <c r="CG263" t="s">
        <v>1606</v>
      </c>
      <c r="CH263" t="s">
        <v>1580</v>
      </c>
      <c r="CI263" t="s">
        <v>1074</v>
      </c>
      <c r="CJ263" t="s">
        <v>317</v>
      </c>
    </row>
    <row r="264" spans="83:88" ht="13.2">
      <c r="CE264" t="s">
        <v>1607</v>
      </c>
      <c r="CF264" t="s">
        <v>1608</v>
      </c>
      <c r="CG264" t="s">
        <v>1608</v>
      </c>
      <c r="CH264" t="s">
        <v>1580</v>
      </c>
      <c r="CI264" t="s">
        <v>1077</v>
      </c>
      <c r="CJ264" t="s">
        <v>357</v>
      </c>
    </row>
    <row r="265" spans="83:88" ht="13.2">
      <c r="CE265" t="s">
        <v>1609</v>
      </c>
      <c r="CF265" t="s">
        <v>1610</v>
      </c>
      <c r="CG265" t="s">
        <v>1610</v>
      </c>
      <c r="CH265" t="s">
        <v>1580</v>
      </c>
      <c r="CI265" t="s">
        <v>1080</v>
      </c>
      <c r="CJ265" t="s">
        <v>357</v>
      </c>
    </row>
    <row r="266" spans="83:89" ht="13.2">
      <c r="CE266" t="s">
        <v>1611</v>
      </c>
      <c r="CF266" t="s">
        <v>1612</v>
      </c>
      <c r="CG266" t="s">
        <v>1612</v>
      </c>
      <c r="CH266" t="s">
        <v>1580</v>
      </c>
      <c r="CI266" t="s">
        <v>1083</v>
      </c>
      <c r="CJ266" t="s">
        <v>186</v>
      </c>
      <c r="CK266" s="54">
        <v>183.5299</v>
      </c>
    </row>
    <row r="267" spans="83:88" ht="13.2">
      <c r="CE267" t="s">
        <v>1613</v>
      </c>
      <c r="CF267" t="s">
        <v>1614</v>
      </c>
      <c r="CG267" t="s">
        <v>1614</v>
      </c>
      <c r="CH267" t="s">
        <v>1580</v>
      </c>
      <c r="CI267" t="s">
        <v>1086</v>
      </c>
      <c r="CJ267" t="s">
        <v>1087</v>
      </c>
    </row>
    <row r="268" spans="83:88" ht="13.2">
      <c r="CE268" t="s">
        <v>1615</v>
      </c>
      <c r="CF268" t="s">
        <v>1616</v>
      </c>
      <c r="CG268" t="s">
        <v>1616</v>
      </c>
      <c r="CH268" t="s">
        <v>1580</v>
      </c>
      <c r="CI268" t="s">
        <v>1090</v>
      </c>
      <c r="CJ268" t="s">
        <v>793</v>
      </c>
    </row>
    <row r="269" spans="83:88" ht="13.2">
      <c r="CE269" t="s">
        <v>1617</v>
      </c>
      <c r="CF269" t="s">
        <v>1618</v>
      </c>
      <c r="CG269" t="s">
        <v>1618</v>
      </c>
      <c r="CH269" t="s">
        <v>1580</v>
      </c>
      <c r="CI269" t="s">
        <v>1093</v>
      </c>
      <c r="CJ269" t="s">
        <v>149</v>
      </c>
    </row>
    <row r="270" spans="83:89" ht="13.2">
      <c r="CE270" t="s">
        <v>1619</v>
      </c>
      <c r="CF270" t="s">
        <v>1620</v>
      </c>
      <c r="CG270" t="s">
        <v>1620</v>
      </c>
      <c r="CH270" t="s">
        <v>1580</v>
      </c>
      <c r="CI270" t="s">
        <v>1096</v>
      </c>
      <c r="CJ270" t="s">
        <v>715</v>
      </c>
      <c r="CK270" s="54">
        <v>142.6398</v>
      </c>
    </row>
    <row r="271" spans="83:88" ht="13.2">
      <c r="CE271" t="s">
        <v>1621</v>
      </c>
      <c r="CF271" t="s">
        <v>1622</v>
      </c>
      <c r="CG271" t="s">
        <v>1622</v>
      </c>
      <c r="CH271" t="s">
        <v>1580</v>
      </c>
      <c r="CI271" t="s">
        <v>1099</v>
      </c>
      <c r="CJ271" t="s">
        <v>745</v>
      </c>
    </row>
    <row r="272" spans="83:88" ht="13.2">
      <c r="CE272" t="s">
        <v>1623</v>
      </c>
      <c r="CF272" t="s">
        <v>1624</v>
      </c>
      <c r="CG272" t="s">
        <v>1624</v>
      </c>
      <c r="CH272" t="s">
        <v>1580</v>
      </c>
      <c r="CI272" t="s">
        <v>1102</v>
      </c>
      <c r="CJ272" t="s">
        <v>758</v>
      </c>
    </row>
    <row r="273" spans="83:88" ht="13.2">
      <c r="CE273" t="s">
        <v>1625</v>
      </c>
      <c r="CF273" t="s">
        <v>1626</v>
      </c>
      <c r="CG273" t="s">
        <v>1626</v>
      </c>
      <c r="CH273" t="s">
        <v>1580</v>
      </c>
      <c r="CI273" t="s">
        <v>1105</v>
      </c>
      <c r="CJ273" t="s">
        <v>149</v>
      </c>
    </row>
    <row r="274" spans="83:88" ht="13.2">
      <c r="CE274" t="s">
        <v>1627</v>
      </c>
      <c r="CF274" t="s">
        <v>1628</v>
      </c>
      <c r="CG274" t="s">
        <v>1628</v>
      </c>
      <c r="CH274" t="s">
        <v>1580</v>
      </c>
      <c r="CI274" t="s">
        <v>1108</v>
      </c>
      <c r="CJ274" t="s">
        <v>149</v>
      </c>
    </row>
    <row r="275" spans="83:89" ht="13.2">
      <c r="CE275" t="s">
        <v>1629</v>
      </c>
      <c r="CF275" t="s">
        <v>1630</v>
      </c>
      <c r="CG275" t="s">
        <v>1630</v>
      </c>
      <c r="CH275" t="s">
        <v>1580</v>
      </c>
      <c r="CI275" t="s">
        <v>1111</v>
      </c>
      <c r="CJ275" t="s">
        <v>713</v>
      </c>
      <c r="CK275" s="54">
        <v>247.2423</v>
      </c>
    </row>
    <row r="276" spans="83:88" ht="13.2">
      <c r="CE276" t="s">
        <v>1631</v>
      </c>
      <c r="CF276" t="s">
        <v>1632</v>
      </c>
      <c r="CG276" t="s">
        <v>1632</v>
      </c>
      <c r="CH276" t="s">
        <v>1580</v>
      </c>
      <c r="CI276" t="s">
        <v>1114</v>
      </c>
      <c r="CJ276" t="s">
        <v>744</v>
      </c>
    </row>
    <row r="277" spans="83:88" ht="13.2">
      <c r="CE277" t="s">
        <v>1633</v>
      </c>
      <c r="CF277" t="s">
        <v>1634</v>
      </c>
      <c r="CG277" t="s">
        <v>1634</v>
      </c>
      <c r="CH277" t="s">
        <v>1580</v>
      </c>
      <c r="CI277" t="s">
        <v>1117</v>
      </c>
      <c r="CJ277" t="s">
        <v>1118</v>
      </c>
    </row>
    <row r="278" spans="83:88" ht="13.2">
      <c r="CE278" t="s">
        <v>1635</v>
      </c>
      <c r="CF278" t="s">
        <v>1636</v>
      </c>
      <c r="CG278" t="s">
        <v>1636</v>
      </c>
      <c r="CH278" t="s">
        <v>1580</v>
      </c>
      <c r="CI278" t="s">
        <v>1121</v>
      </c>
      <c r="CJ278" t="s">
        <v>149</v>
      </c>
    </row>
    <row r="279" spans="83:88" ht="13.2">
      <c r="CE279" t="s">
        <v>1637</v>
      </c>
      <c r="CF279" t="s">
        <v>1638</v>
      </c>
      <c r="CG279" t="s">
        <v>1638</v>
      </c>
      <c r="CH279" t="s">
        <v>1580</v>
      </c>
      <c r="CI279" t="s">
        <v>1124</v>
      </c>
      <c r="CJ279" t="s">
        <v>1125</v>
      </c>
    </row>
    <row r="280" spans="83:88" ht="13.2">
      <c r="CE280" t="s">
        <v>1639</v>
      </c>
      <c r="CF280" t="s">
        <v>1640</v>
      </c>
      <c r="CG280" t="s">
        <v>1640</v>
      </c>
      <c r="CH280" t="s">
        <v>1580</v>
      </c>
      <c r="CI280" t="s">
        <v>1128</v>
      </c>
      <c r="CJ280" t="s">
        <v>1129</v>
      </c>
    </row>
    <row r="281" spans="83:88" ht="13.2">
      <c r="CE281" t="s">
        <v>1641</v>
      </c>
      <c r="CF281" t="s">
        <v>1642</v>
      </c>
      <c r="CG281" t="s">
        <v>1642</v>
      </c>
      <c r="CH281" t="s">
        <v>1580</v>
      </c>
      <c r="CI281" t="s">
        <v>1132</v>
      </c>
      <c r="CJ281" t="s">
        <v>149</v>
      </c>
    </row>
    <row r="282" spans="83:88" ht="13.2">
      <c r="CE282" t="s">
        <v>1645</v>
      </c>
      <c r="CF282" t="s">
        <v>1646</v>
      </c>
      <c r="CG282" t="s">
        <v>1646</v>
      </c>
      <c r="CH282" t="s">
        <v>1643</v>
      </c>
      <c r="CI282" t="s">
        <v>1036</v>
      </c>
      <c r="CJ282" t="s">
        <v>1644</v>
      </c>
    </row>
    <row r="283" spans="83:88" ht="13.2">
      <c r="CE283" t="s">
        <v>1647</v>
      </c>
      <c r="CF283" t="s">
        <v>1648</v>
      </c>
      <c r="CG283" t="s">
        <v>1648</v>
      </c>
      <c r="CH283" t="s">
        <v>1643</v>
      </c>
      <c r="CI283" t="s">
        <v>1039</v>
      </c>
      <c r="CJ283" t="s">
        <v>1040</v>
      </c>
    </row>
    <row r="284" spans="83:88" ht="13.2">
      <c r="CE284" t="s">
        <v>1649</v>
      </c>
      <c r="CF284" t="s">
        <v>1650</v>
      </c>
      <c r="CG284" t="s">
        <v>1650</v>
      </c>
      <c r="CH284" t="s">
        <v>1643</v>
      </c>
      <c r="CI284" t="s">
        <v>1043</v>
      </c>
      <c r="CJ284" t="s">
        <v>1525</v>
      </c>
    </row>
    <row r="285" spans="83:89" ht="13.2">
      <c r="CE285" t="s">
        <v>1651</v>
      </c>
      <c r="CF285" t="s">
        <v>1652</v>
      </c>
      <c r="CG285" t="s">
        <v>1652</v>
      </c>
      <c r="CH285" t="s">
        <v>1643</v>
      </c>
      <c r="CI285" t="s">
        <v>1047</v>
      </c>
      <c r="CJ285" t="s">
        <v>227</v>
      </c>
      <c r="CK285" s="54">
        <v>23.7733</v>
      </c>
    </row>
    <row r="286" spans="83:88" ht="13.2">
      <c r="CE286" t="s">
        <v>1653</v>
      </c>
      <c r="CF286" t="s">
        <v>1654</v>
      </c>
      <c r="CG286" t="s">
        <v>1654</v>
      </c>
      <c r="CH286" t="s">
        <v>1643</v>
      </c>
      <c r="CI286" t="s">
        <v>1050</v>
      </c>
      <c r="CJ286" t="s">
        <v>1150</v>
      </c>
    </row>
    <row r="287" spans="83:88" ht="13.2">
      <c r="CE287" t="s">
        <v>1655</v>
      </c>
      <c r="CF287" t="s">
        <v>1656</v>
      </c>
      <c r="CG287" t="s">
        <v>1656</v>
      </c>
      <c r="CH287" t="s">
        <v>1643</v>
      </c>
      <c r="CI287" t="s">
        <v>1054</v>
      </c>
      <c r="CJ287" t="s">
        <v>1055</v>
      </c>
    </row>
    <row r="288" spans="83:88" ht="13.2">
      <c r="CE288" t="s">
        <v>1657</v>
      </c>
      <c r="CF288" t="s">
        <v>1658</v>
      </c>
      <c r="CG288" t="s">
        <v>1658</v>
      </c>
      <c r="CH288" t="s">
        <v>1643</v>
      </c>
      <c r="CI288" t="s">
        <v>1058</v>
      </c>
      <c r="CJ288" t="s">
        <v>148</v>
      </c>
    </row>
    <row r="289" spans="83:88" ht="13.2">
      <c r="CE289" t="s">
        <v>1659</v>
      </c>
      <c r="CF289" t="s">
        <v>1660</v>
      </c>
      <c r="CG289" t="s">
        <v>1660</v>
      </c>
      <c r="CH289" t="s">
        <v>1643</v>
      </c>
      <c r="CI289" t="s">
        <v>1061</v>
      </c>
      <c r="CJ289" t="s">
        <v>744</v>
      </c>
    </row>
    <row r="290" spans="83:88" ht="13.2">
      <c r="CE290" t="s">
        <v>1661</v>
      </c>
      <c r="CF290" t="s">
        <v>1662</v>
      </c>
      <c r="CG290" t="s">
        <v>1662</v>
      </c>
      <c r="CH290" t="s">
        <v>1643</v>
      </c>
      <c r="CI290" t="s">
        <v>1064</v>
      </c>
      <c r="CJ290" t="s">
        <v>194</v>
      </c>
    </row>
    <row r="291" spans="83:88" ht="13.2">
      <c r="CE291" t="s">
        <v>1663</v>
      </c>
      <c r="CF291" t="s">
        <v>1664</v>
      </c>
      <c r="CG291" t="s">
        <v>1664</v>
      </c>
      <c r="CH291" t="s">
        <v>1643</v>
      </c>
      <c r="CI291" t="s">
        <v>1067</v>
      </c>
      <c r="CJ291" t="s">
        <v>274</v>
      </c>
    </row>
    <row r="292" spans="83:88" ht="13.2">
      <c r="CE292" t="s">
        <v>1665</v>
      </c>
      <c r="CF292" t="s">
        <v>1666</v>
      </c>
      <c r="CG292" t="s">
        <v>1666</v>
      </c>
      <c r="CH292" t="s">
        <v>1643</v>
      </c>
      <c r="CI292" t="s">
        <v>1070</v>
      </c>
      <c r="CJ292" t="s">
        <v>357</v>
      </c>
    </row>
    <row r="293" spans="83:88" ht="13.2">
      <c r="CE293" t="s">
        <v>1667</v>
      </c>
      <c r="CF293" t="s">
        <v>1668</v>
      </c>
      <c r="CG293" t="s">
        <v>1668</v>
      </c>
      <c r="CH293" t="s">
        <v>1643</v>
      </c>
      <c r="CI293" t="s">
        <v>1074</v>
      </c>
      <c r="CJ293" t="s">
        <v>317</v>
      </c>
    </row>
    <row r="294" spans="83:88" ht="13.2">
      <c r="CE294" t="s">
        <v>1669</v>
      </c>
      <c r="CF294" t="s">
        <v>1670</v>
      </c>
      <c r="CG294" t="s">
        <v>1670</v>
      </c>
      <c r="CH294" t="s">
        <v>1643</v>
      </c>
      <c r="CI294" t="s">
        <v>1077</v>
      </c>
      <c r="CJ294" t="s">
        <v>357</v>
      </c>
    </row>
    <row r="295" spans="83:88" ht="13.2">
      <c r="CE295" t="s">
        <v>1671</v>
      </c>
      <c r="CF295" t="s">
        <v>1672</v>
      </c>
      <c r="CG295" t="s">
        <v>1672</v>
      </c>
      <c r="CH295" t="s">
        <v>1643</v>
      </c>
      <c r="CI295" t="s">
        <v>1080</v>
      </c>
      <c r="CJ295" t="s">
        <v>357</v>
      </c>
    </row>
    <row r="296" spans="83:89" ht="13.2">
      <c r="CE296" t="s">
        <v>1673</v>
      </c>
      <c r="CF296" t="s">
        <v>1674</v>
      </c>
      <c r="CG296" t="s">
        <v>1674</v>
      </c>
      <c r="CH296" t="s">
        <v>1643</v>
      </c>
      <c r="CI296" t="s">
        <v>1083</v>
      </c>
      <c r="CJ296" t="s">
        <v>186</v>
      </c>
      <c r="CK296" s="54">
        <v>183.5299</v>
      </c>
    </row>
    <row r="297" spans="83:88" ht="13.2">
      <c r="CE297" t="s">
        <v>1675</v>
      </c>
      <c r="CF297" t="s">
        <v>1676</v>
      </c>
      <c r="CG297" t="s">
        <v>1676</v>
      </c>
      <c r="CH297" t="s">
        <v>1643</v>
      </c>
      <c r="CI297" t="s">
        <v>1086</v>
      </c>
      <c r="CJ297" t="s">
        <v>1087</v>
      </c>
    </row>
    <row r="298" spans="83:88" ht="13.2">
      <c r="CE298" t="s">
        <v>1677</v>
      </c>
      <c r="CF298" t="s">
        <v>1678</v>
      </c>
      <c r="CG298" t="s">
        <v>1678</v>
      </c>
      <c r="CH298" t="s">
        <v>1643</v>
      </c>
      <c r="CI298" t="s">
        <v>1090</v>
      </c>
      <c r="CJ298" t="s">
        <v>793</v>
      </c>
    </row>
    <row r="299" spans="83:88" ht="13.2">
      <c r="CE299" t="s">
        <v>1679</v>
      </c>
      <c r="CF299" t="s">
        <v>1680</v>
      </c>
      <c r="CG299" t="s">
        <v>1680</v>
      </c>
      <c r="CH299" t="s">
        <v>1643</v>
      </c>
      <c r="CI299" t="s">
        <v>1093</v>
      </c>
      <c r="CJ299" t="s">
        <v>713</v>
      </c>
    </row>
    <row r="300" spans="83:89" ht="13.2">
      <c r="CE300" t="s">
        <v>1681</v>
      </c>
      <c r="CF300" t="s">
        <v>1682</v>
      </c>
      <c r="CG300" t="s">
        <v>1682</v>
      </c>
      <c r="CH300" t="s">
        <v>1643</v>
      </c>
      <c r="CI300" t="s">
        <v>1096</v>
      </c>
      <c r="CJ300" t="s">
        <v>715</v>
      </c>
      <c r="CK300" s="54">
        <v>142.6398</v>
      </c>
    </row>
    <row r="301" spans="83:88" ht="13.2">
      <c r="CE301" t="s">
        <v>1683</v>
      </c>
      <c r="CF301" t="s">
        <v>1684</v>
      </c>
      <c r="CG301" t="s">
        <v>1684</v>
      </c>
      <c r="CH301" t="s">
        <v>1643</v>
      </c>
      <c r="CI301" t="s">
        <v>1099</v>
      </c>
      <c r="CJ301" t="s">
        <v>745</v>
      </c>
    </row>
    <row r="302" spans="83:88" ht="13.2">
      <c r="CE302" t="s">
        <v>1685</v>
      </c>
      <c r="CF302" t="s">
        <v>1686</v>
      </c>
      <c r="CG302" t="s">
        <v>1686</v>
      </c>
      <c r="CH302" t="s">
        <v>1643</v>
      </c>
      <c r="CI302" t="s">
        <v>1102</v>
      </c>
      <c r="CJ302" t="s">
        <v>758</v>
      </c>
    </row>
    <row r="303" spans="83:88" ht="13.2">
      <c r="CE303" t="s">
        <v>1687</v>
      </c>
      <c r="CF303" t="s">
        <v>1688</v>
      </c>
      <c r="CG303" t="s">
        <v>1688</v>
      </c>
      <c r="CH303" t="s">
        <v>1643</v>
      </c>
      <c r="CI303" t="s">
        <v>1105</v>
      </c>
      <c r="CJ303" t="s">
        <v>149</v>
      </c>
    </row>
    <row r="304" spans="83:88" ht="13.2">
      <c r="CE304" t="s">
        <v>1689</v>
      </c>
      <c r="CF304" t="s">
        <v>1690</v>
      </c>
      <c r="CG304" t="s">
        <v>1690</v>
      </c>
      <c r="CH304" t="s">
        <v>1643</v>
      </c>
      <c r="CI304" t="s">
        <v>1108</v>
      </c>
      <c r="CJ304" t="s">
        <v>149</v>
      </c>
    </row>
    <row r="305" spans="83:89" ht="13.2">
      <c r="CE305" t="s">
        <v>1691</v>
      </c>
      <c r="CF305" t="s">
        <v>1692</v>
      </c>
      <c r="CG305" t="s">
        <v>1692</v>
      </c>
      <c r="CH305" t="s">
        <v>1643</v>
      </c>
      <c r="CI305" t="s">
        <v>1111</v>
      </c>
      <c r="CJ305" t="s">
        <v>713</v>
      </c>
      <c r="CK305" s="54">
        <v>247.2423</v>
      </c>
    </row>
    <row r="306" spans="83:88" ht="13.2">
      <c r="CE306" t="s">
        <v>1693</v>
      </c>
      <c r="CF306" t="s">
        <v>1694</v>
      </c>
      <c r="CG306" t="s">
        <v>1694</v>
      </c>
      <c r="CH306" t="s">
        <v>1643</v>
      </c>
      <c r="CI306" t="s">
        <v>1114</v>
      </c>
      <c r="CJ306" t="s">
        <v>744</v>
      </c>
    </row>
    <row r="307" spans="83:88" ht="13.2">
      <c r="CE307" t="s">
        <v>1695</v>
      </c>
      <c r="CF307" t="s">
        <v>1696</v>
      </c>
      <c r="CG307" t="s">
        <v>1696</v>
      </c>
      <c r="CH307" t="s">
        <v>1643</v>
      </c>
      <c r="CI307" t="s">
        <v>1117</v>
      </c>
      <c r="CJ307" t="s">
        <v>1118</v>
      </c>
    </row>
    <row r="308" spans="83:88" ht="13.2">
      <c r="CE308" t="s">
        <v>1697</v>
      </c>
      <c r="CF308" t="s">
        <v>1698</v>
      </c>
      <c r="CG308" t="s">
        <v>1698</v>
      </c>
      <c r="CH308" t="s">
        <v>1643</v>
      </c>
      <c r="CI308" t="s">
        <v>1121</v>
      </c>
      <c r="CJ308" t="s">
        <v>149</v>
      </c>
    </row>
    <row r="309" spans="83:88" ht="13.2">
      <c r="CE309" t="s">
        <v>1699</v>
      </c>
      <c r="CF309" t="s">
        <v>1700</v>
      </c>
      <c r="CG309" t="s">
        <v>1700</v>
      </c>
      <c r="CH309" t="s">
        <v>1643</v>
      </c>
      <c r="CI309" t="s">
        <v>1124</v>
      </c>
      <c r="CJ309" t="s">
        <v>1125</v>
      </c>
    </row>
    <row r="310" spans="83:88" ht="13.2">
      <c r="CE310" t="s">
        <v>1701</v>
      </c>
      <c r="CF310" t="s">
        <v>1702</v>
      </c>
      <c r="CG310" t="s">
        <v>1702</v>
      </c>
      <c r="CH310" t="s">
        <v>1643</v>
      </c>
      <c r="CI310" t="s">
        <v>1128</v>
      </c>
      <c r="CJ310" t="s">
        <v>1129</v>
      </c>
    </row>
    <row r="311" spans="83:88" ht="13.2">
      <c r="CE311" t="s">
        <v>1703</v>
      </c>
      <c r="CF311" t="s">
        <v>1704</v>
      </c>
      <c r="CG311" t="s">
        <v>1704</v>
      </c>
      <c r="CH311" t="s">
        <v>1643</v>
      </c>
      <c r="CI311" t="s">
        <v>1132</v>
      </c>
      <c r="CJ311" t="s">
        <v>149</v>
      </c>
    </row>
    <row r="312" spans="83:88" ht="13.2">
      <c r="CE312" t="s">
        <v>1705</v>
      </c>
      <c r="CF312" t="s">
        <v>1706</v>
      </c>
      <c r="CG312" t="s">
        <v>1706</v>
      </c>
      <c r="CH312" t="s">
        <v>1707</v>
      </c>
      <c r="CI312" t="s">
        <v>1708</v>
      </c>
      <c r="CJ312" t="s">
        <v>149</v>
      </c>
    </row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CF20"/>
  <sheetViews>
    <sheetView showZeros="0" view="pageBreakPreview" zoomScale="50" zoomScaleNormal="25" zoomScaleSheetLayoutView="50" zoomScalePageLayoutView="25" workbookViewId="0" topLeftCell="A4">
      <selection pane="topLeft" activeCell="A11" sqref="A11:XFD20"/>
    </sheetView>
  </sheetViews>
  <sheetFormatPr defaultColWidth="9.44140625" defaultRowHeight="40.2" customHeight="1"/>
  <cols>
    <col min="1" max="1" width="9" style="60" customWidth="1"/>
    <col min="2" max="2" width="26.7142857142857" style="60" customWidth="1"/>
    <col min="3" max="3" width="15.4285714285714" style="60" customWidth="1"/>
    <col min="4" max="4" width="17.7142857142857" style="60" customWidth="1"/>
    <col min="5" max="5" width="16.2857142857143" style="60" customWidth="1"/>
    <col min="6" max="6" width="19" style="60" customWidth="1"/>
    <col min="7" max="7" width="16.7142857142857" style="60" customWidth="1"/>
    <col min="8" max="8" width="23.2857142857143" style="60" customWidth="1"/>
    <col min="9" max="9" width="16" style="60" customWidth="1"/>
    <col min="10" max="10" width="15.8571428571429" style="61" customWidth="1"/>
    <col min="11" max="11" width="15.4285714285714" style="61" customWidth="1"/>
    <col min="12" max="12" width="18.8571428571429" style="60" customWidth="1"/>
    <col min="13" max="13" width="30.2857142857143" style="60" customWidth="1"/>
    <col min="14" max="14" width="19" style="60" customWidth="1"/>
    <col min="15" max="15" width="23.8571428571429" style="60" customWidth="1"/>
    <col min="16" max="16" width="22.2857142857143" style="60" customWidth="1"/>
    <col min="17" max="17" width="18" style="60" customWidth="1"/>
    <col min="18" max="19" width="22" style="60" customWidth="1"/>
    <col min="20" max="20" width="20.5714285714286" style="60" customWidth="1"/>
    <col min="21" max="21" width="23" style="60" customWidth="1"/>
    <col min="22" max="22" width="16" style="60" customWidth="1"/>
    <col min="23" max="23" width="21.4285714285714" style="60" customWidth="1"/>
    <col min="24" max="24" width="25.2857142857143" style="60" customWidth="1"/>
    <col min="25" max="25" width="20.7142857142857" style="60" customWidth="1"/>
    <col min="26" max="26" width="21.7142857142857" style="60" customWidth="1"/>
    <col min="27" max="27" width="20.4285714285714" style="60" customWidth="1"/>
    <col min="28" max="28" width="18.2857142857143" style="60" customWidth="1"/>
    <col min="29" max="29" width="21.4285714285714" style="60" customWidth="1"/>
    <col min="30" max="30" width="22" style="60" customWidth="1"/>
    <col min="31" max="31" width="14.1428571428571" style="60" customWidth="1"/>
    <col min="32" max="32" width="16.2857142857143" style="60" customWidth="1"/>
    <col min="33" max="33" width="21.2857142857143" style="60" customWidth="1"/>
    <col min="34" max="34" width="20.8571428571429" style="60" customWidth="1"/>
    <col min="35" max="35" width="22.4285714285714" style="60" customWidth="1"/>
    <col min="36" max="36" width="21" style="60" customWidth="1"/>
    <col min="37" max="37" width="19.7142857142857" customWidth="1"/>
    <col min="38" max="38" width="20.1428571428571" customWidth="1"/>
    <col min="39" max="39" width="20.2857142857143" customWidth="1"/>
    <col min="40" max="40" width="20.5714285714286" customWidth="1"/>
    <col min="41" max="41" width="19.5714285714286" customWidth="1"/>
    <col min="42" max="42" width="14.2857142857143" customWidth="1"/>
    <col min="43" max="43" width="20.4285714285714" customWidth="1"/>
    <col min="44" max="44" width="36.2857142857143" style="113" customWidth="1"/>
    <col min="45" max="45" width="16.1428571428571" customWidth="1"/>
    <col min="46" max="46" width="19.7142857142857" customWidth="1"/>
    <col min="47" max="47" width="33.5714285714286" customWidth="1"/>
    <col min="48" max="48" width="13" customWidth="1"/>
    <col min="49" max="50" width="15.2857142857143" customWidth="1"/>
    <col min="51" max="51" width="14.8571428571429" customWidth="1"/>
    <col min="52" max="52" width="16" customWidth="1"/>
    <col min="53" max="53" width="15.7142857142857" customWidth="1"/>
    <col min="54" max="54" width="14" customWidth="1"/>
    <col min="55" max="56" width="24.1428571428571" customWidth="1"/>
    <col min="57" max="86" width="12.7142857142857" customWidth="1"/>
  </cols>
  <sheetData>
    <row r="1" spans="1:44" s="29" customFormat="1" ht="219.45" customHeight="1">
      <c r="A1" s="7" t="s">
        <v>180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</row>
    <row r="2" spans="1:48" s="46" customFormat="1" ht="50.1" customHeight="1">
      <c r="A2" s="182" t="s">
        <v>7</v>
      </c>
      <c r="B2" s="182"/>
      <c r="C2" s="182"/>
      <c r="D2" s="186"/>
      <c r="E2" s="186"/>
      <c r="F2" s="186"/>
      <c r="G2" s="186"/>
      <c r="H2" s="186" t="s">
        <v>118</v>
      </c>
      <c r="I2" s="186"/>
      <c r="J2" s="186"/>
      <c r="K2" s="186"/>
      <c r="L2" s="5" t="str">
        <f>Data!BF5</f>
        <v>Crow, Tahlia</v>
      </c>
      <c r="M2" s="5"/>
      <c r="N2" s="5"/>
      <c r="O2" s="5"/>
      <c r="P2" s="5"/>
      <c r="Q2" s="5"/>
      <c r="R2" s="5"/>
      <c r="S2" s="5"/>
      <c r="T2" s="5"/>
      <c r="U2" s="6" t="s">
        <v>4</v>
      </c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V2" s="111"/>
    </row>
    <row r="3" spans="1:84" s="46" customFormat="1" ht="50.1" customHeight="1">
      <c r="A3" s="183" t="s">
        <v>143</v>
      </c>
      <c r="B3" s="183"/>
      <c r="C3" s="183"/>
      <c r="D3" s="187" t="str">
        <f>Data!BC5</f>
        <v>11804</v>
      </c>
      <c r="E3" s="187"/>
      <c r="F3" s="187"/>
      <c r="G3" s="187"/>
      <c r="H3" s="188" t="s">
        <v>8</v>
      </c>
      <c r="I3" s="188"/>
      <c r="J3" s="188"/>
      <c r="K3" s="188"/>
      <c r="L3" s="5" t="str">
        <f>TRIM(Data!AX5)</f>
        <v>Roller Shutters</v>
      </c>
      <c r="M3" s="5"/>
      <c r="N3" s="5"/>
      <c r="O3" s="5"/>
      <c r="P3" s="5"/>
      <c r="Q3" s="5"/>
      <c r="R3" s="5"/>
      <c r="S3" s="5"/>
      <c r="T3" s="5"/>
      <c r="U3" s="5" t="str">
        <f>TRIM(Data!BG5)</f>
        <v/>
      </c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4"/>
      <c r="AH3" s="4"/>
      <c r="AI3" s="5"/>
      <c r="AJ3" s="5"/>
      <c r="AK3" s="5"/>
      <c r="AL3" s="5"/>
      <c r="AM3" s="5"/>
      <c r="AN3" s="5"/>
      <c r="AO3" s="5"/>
      <c r="AP3" s="5"/>
      <c r="AQ3" s="5"/>
      <c r="AR3" s="5"/>
      <c r="AS3"/>
      <c r="AT3"/>
      <c r="AU3"/>
      <c r="AV3" s="111"/>
      <c r="CF3"/>
    </row>
    <row r="4" spans="1:48" s="47" customFormat="1" ht="50.1" customHeight="1">
      <c r="A4" s="190" t="s">
        <v>15</v>
      </c>
      <c r="B4" s="190"/>
      <c r="C4" s="190"/>
      <c r="D4" s="187" t="str">
        <f>Data!BD5</f>
        <v>C</v>
      </c>
      <c r="E4" s="187"/>
      <c r="F4" s="187"/>
      <c r="G4" s="187"/>
      <c r="H4" s="188" t="s">
        <v>137</v>
      </c>
      <c r="I4" s="188"/>
      <c r="J4" s="188"/>
      <c r="K4" s="188"/>
      <c r="L4" s="5" t="str">
        <f>LEFT(Data!BA5,10)</f>
        <v>23/09/2026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4"/>
      <c r="AH4" s="4"/>
      <c r="AI4" s="5"/>
      <c r="AJ4" s="5"/>
      <c r="AK4" s="5"/>
      <c r="AL4" s="5"/>
      <c r="AM4" s="5"/>
      <c r="AN4" s="5"/>
      <c r="AO4" s="5"/>
      <c r="AP4" s="5"/>
      <c r="AQ4" s="5"/>
      <c r="AR4" s="5"/>
      <c r="AS4"/>
      <c r="AT4"/>
      <c r="AU4"/>
      <c r="AV4" s="112"/>
    </row>
    <row r="5" spans="1:48" s="47" customFormat="1" ht="50.1" customHeight="1">
      <c r="A5" s="193" t="s">
        <v>9</v>
      </c>
      <c r="B5" s="193"/>
      <c r="C5" s="193"/>
      <c r="D5" s="191" t="str">
        <f>Data!AY5</f>
        <v>11/08/2026 12:00:00 AM</v>
      </c>
      <c r="E5" s="191"/>
      <c r="F5" s="191"/>
      <c r="G5" s="191"/>
      <c r="H5" s="187" t="s">
        <v>12</v>
      </c>
      <c r="I5" s="187"/>
      <c r="J5" s="187"/>
      <c r="K5" s="187"/>
      <c r="L5" s="5" t="str">
        <f>TRIM(Data!BF5)</f>
        <v>Crow, Tahlia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4"/>
      <c r="AH5" s="4"/>
      <c r="AI5" s="5"/>
      <c r="AJ5" s="5"/>
      <c r="AK5" s="5"/>
      <c r="AL5" s="5"/>
      <c r="AM5" s="5"/>
      <c r="AN5" s="5"/>
      <c r="AO5" s="5"/>
      <c r="AP5" s="5"/>
      <c r="AQ5" s="5"/>
      <c r="AR5" s="5"/>
      <c r="AS5"/>
      <c r="AT5"/>
      <c r="AU5"/>
      <c r="AV5" s="112"/>
    </row>
    <row r="6" spans="1:81" s="47" customFormat="1" ht="50.1" customHeight="1">
      <c r="A6" s="192" t="str">
        <f>Data!CZ5</f>
        <v>Retail Customer</v>
      </c>
      <c r="B6" s="192"/>
      <c r="C6" s="192"/>
      <c r="D6" s="192"/>
      <c r="E6" s="192"/>
      <c r="F6" s="192"/>
      <c r="G6" s="192"/>
      <c r="H6" s="187"/>
      <c r="I6" s="187"/>
      <c r="J6" s="187"/>
      <c r="K6" s="187"/>
      <c r="L6" s="5" t="str">
        <f>CONCATENATE(Data!BH5," ",Data!BI5," ",Data!BJ5," ",Data!BK5," ",Data!BL5)</f>
        <v xml:space="preserve"> 25  Banff Road 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4"/>
      <c r="AH6" s="4"/>
      <c r="AI6" s="5"/>
      <c r="AJ6" s="5"/>
      <c r="AK6" s="5"/>
      <c r="AL6" s="5"/>
      <c r="AM6" s="5"/>
      <c r="AN6" s="5"/>
      <c r="AO6" s="5"/>
      <c r="AP6" s="5"/>
      <c r="AQ6" s="5"/>
      <c r="AR6" s="5"/>
      <c r="AS6"/>
      <c r="AT6"/>
      <c r="AU6"/>
      <c r="AV6" s="112"/>
      <c r="BF6" s="10" t="s">
        <v>687</v>
      </c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8"/>
    </row>
    <row r="7" spans="1:81" s="47" customFormat="1" ht="50.1" customHeight="1">
      <c r="A7" s="192"/>
      <c r="B7" s="192"/>
      <c r="C7" s="192"/>
      <c r="D7" s="192"/>
      <c r="E7" s="192"/>
      <c r="F7" s="192"/>
      <c r="G7" s="192"/>
      <c r="H7" s="187"/>
      <c r="I7" s="187"/>
      <c r="J7" s="187"/>
      <c r="K7" s="187"/>
      <c r="L7" s="5" t="str">
        <f>CONCATENATE(Data!BM5," ",Data!BN5," ",Data!BO5)</f>
        <v>Winter Valley VIC 3358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4"/>
      <c r="AH7" s="4"/>
      <c r="AI7" s="5"/>
      <c r="AJ7" s="5"/>
      <c r="AK7" s="5"/>
      <c r="AL7" s="5"/>
      <c r="AM7" s="5"/>
      <c r="AN7" s="5"/>
      <c r="AO7" s="5"/>
      <c r="AP7" s="5"/>
      <c r="AQ7" s="5"/>
      <c r="AR7" s="5"/>
      <c r="AS7"/>
      <c r="AT7"/>
      <c r="AU7"/>
      <c r="AV7" s="112"/>
      <c r="BF7" s="195" t="s">
        <v>277</v>
      </c>
      <c r="BG7" s="195"/>
      <c r="BH7" s="195"/>
      <c r="BI7" s="195"/>
      <c r="BJ7" s="195" t="s">
        <v>680</v>
      </c>
      <c r="BK7" s="195"/>
      <c r="BL7" s="195"/>
      <c r="BM7" s="195"/>
      <c r="BN7" s="195" t="s">
        <v>681</v>
      </c>
      <c r="BO7" s="195"/>
      <c r="BP7" s="195"/>
      <c r="BQ7" s="195"/>
      <c r="BR7" s="195" t="s">
        <v>688</v>
      </c>
      <c r="BS7" s="195"/>
      <c r="BT7" s="195"/>
      <c r="BU7" s="195"/>
      <c r="BV7" s="195" t="s">
        <v>689</v>
      </c>
      <c r="BW7" s="195"/>
      <c r="BX7" s="195"/>
      <c r="BY7" s="195"/>
      <c r="BZ7" s="195" t="s">
        <v>690</v>
      </c>
      <c r="CA7" s="195"/>
      <c r="CB7" s="195"/>
      <c r="CC7" s="195"/>
    </row>
    <row r="8" spans="1:81" s="55" customFormat="1" ht="50.1" customHeight="1">
      <c r="A8" s="185" t="s">
        <v>142</v>
      </c>
      <c r="B8" s="13" t="s">
        <v>120</v>
      </c>
      <c r="C8" s="184" t="s">
        <v>165</v>
      </c>
      <c r="D8" s="184" t="s">
        <v>228</v>
      </c>
      <c r="E8" s="184" t="s">
        <v>229</v>
      </c>
      <c r="F8" s="184" t="s">
        <v>230</v>
      </c>
      <c r="G8" s="194" t="s">
        <v>145</v>
      </c>
      <c r="H8" s="189" t="s">
        <v>166</v>
      </c>
      <c r="I8" s="12" t="s">
        <v>225</v>
      </c>
      <c r="J8" s="12" t="s">
        <v>226</v>
      </c>
      <c r="K8" s="12" t="s">
        <v>11</v>
      </c>
      <c r="L8" s="12" t="s">
        <v>400</v>
      </c>
      <c r="M8" s="12" t="s">
        <v>177</v>
      </c>
      <c r="N8" s="12" t="s">
        <v>176</v>
      </c>
      <c r="O8" s="12" t="s">
        <v>181</v>
      </c>
      <c r="P8" s="12" t="s">
        <v>178</v>
      </c>
      <c r="Q8" s="12" t="s">
        <v>179</v>
      </c>
      <c r="R8" s="12" t="s">
        <v>314</v>
      </c>
      <c r="S8" s="12" t="s">
        <v>218</v>
      </c>
      <c r="T8" s="13" t="s">
        <v>171</v>
      </c>
      <c r="U8" s="13" t="s">
        <v>269</v>
      </c>
      <c r="V8" s="13" t="s">
        <v>832</v>
      </c>
      <c r="W8" s="13" t="s">
        <v>175</v>
      </c>
      <c r="X8" s="12" t="s">
        <v>403</v>
      </c>
      <c r="Y8" s="12" t="s">
        <v>404</v>
      </c>
      <c r="Z8" s="12" t="s">
        <v>219</v>
      </c>
      <c r="AA8" s="12" t="s">
        <v>301</v>
      </c>
      <c r="AB8" s="11" t="s">
        <v>182</v>
      </c>
      <c r="AC8" s="12" t="s">
        <v>183</v>
      </c>
      <c r="AD8" s="12" t="s">
        <v>805</v>
      </c>
      <c r="AE8" s="12" t="s">
        <v>246</v>
      </c>
      <c r="AF8" s="12" t="s">
        <v>733</v>
      </c>
      <c r="AG8" s="12" t="s">
        <v>734</v>
      </c>
      <c r="AH8" s="12" t="s">
        <v>255</v>
      </c>
      <c r="AI8" s="12" t="s">
        <v>256</v>
      </c>
      <c r="AJ8" s="12" t="s">
        <v>257</v>
      </c>
      <c r="AK8" s="12" t="s">
        <v>258</v>
      </c>
      <c r="AL8" s="12" t="s">
        <v>240</v>
      </c>
      <c r="AM8" s="12" t="s">
        <v>161</v>
      </c>
      <c r="AN8" s="3" t="s">
        <v>726</v>
      </c>
      <c r="AO8" s="3" t="s">
        <v>727</v>
      </c>
      <c r="AP8" s="3" t="s">
        <v>728</v>
      </c>
      <c r="AQ8" s="3" t="s">
        <v>735</v>
      </c>
      <c r="AR8" s="12" t="s">
        <v>5</v>
      </c>
      <c r="AS8" s="60"/>
      <c r="AT8" s="13" t="s">
        <v>172</v>
      </c>
      <c r="AU8" s="13" t="s">
        <v>299</v>
      </c>
      <c r="AV8" s="11" t="s">
        <v>184</v>
      </c>
      <c r="AW8" s="12" t="s">
        <v>245</v>
      </c>
      <c r="AX8" s="12" t="s">
        <v>398</v>
      </c>
      <c r="AY8" s="12" t="s">
        <v>198</v>
      </c>
      <c r="AZ8" s="196" t="s">
        <v>199</v>
      </c>
      <c r="BA8" s="12" t="s">
        <v>224</v>
      </c>
      <c r="BB8" s="12" t="s">
        <v>185</v>
      </c>
      <c r="BC8" s="12" t="s">
        <v>341</v>
      </c>
      <c r="BD8" s="12" t="s">
        <v>179</v>
      </c>
      <c r="BE8" s="115"/>
      <c r="BF8" s="12" t="s">
        <v>682</v>
      </c>
      <c r="BG8" s="12" t="s">
        <v>683</v>
      </c>
      <c r="BH8" s="12" t="s">
        <v>684</v>
      </c>
      <c r="BI8" s="12" t="s">
        <v>685</v>
      </c>
      <c r="BJ8" s="12" t="s">
        <v>682</v>
      </c>
      <c r="BK8" s="12" t="s">
        <v>683</v>
      </c>
      <c r="BL8" s="12" t="s">
        <v>684</v>
      </c>
      <c r="BM8" s="12" t="s">
        <v>685</v>
      </c>
      <c r="BN8" s="12" t="s">
        <v>682</v>
      </c>
      <c r="BO8" s="12" t="s">
        <v>683</v>
      </c>
      <c r="BP8" s="12" t="s">
        <v>684</v>
      </c>
      <c r="BQ8" s="12" t="s">
        <v>685</v>
      </c>
      <c r="BR8" s="12" t="s">
        <v>682</v>
      </c>
      <c r="BS8" s="12" t="s">
        <v>683</v>
      </c>
      <c r="BT8" s="12" t="s">
        <v>684</v>
      </c>
      <c r="BU8" s="12" t="s">
        <v>685</v>
      </c>
      <c r="BV8" s="12" t="s">
        <v>682</v>
      </c>
      <c r="BW8" s="12" t="s">
        <v>683</v>
      </c>
      <c r="BX8" s="12" t="s">
        <v>684</v>
      </c>
      <c r="BY8" s="12" t="s">
        <v>685</v>
      </c>
      <c r="BZ8" s="12" t="s">
        <v>682</v>
      </c>
      <c r="CA8" s="12" t="s">
        <v>683</v>
      </c>
      <c r="CB8" s="12" t="s">
        <v>684</v>
      </c>
      <c r="CC8" s="12" t="s">
        <v>685</v>
      </c>
    </row>
    <row r="9" spans="1:81" s="55" customFormat="1" ht="14.25" customHeight="1" hidden="1">
      <c r="A9" s="185"/>
      <c r="B9" s="13"/>
      <c r="C9" s="184"/>
      <c r="D9" s="184"/>
      <c r="E9" s="184"/>
      <c r="F9" s="184"/>
      <c r="G9" s="194"/>
      <c r="H9" s="189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  <c r="U9" s="13"/>
      <c r="V9" s="13"/>
      <c r="W9" s="13"/>
      <c r="X9" s="12"/>
      <c r="Y9" s="12"/>
      <c r="Z9" s="12"/>
      <c r="AA9" s="12"/>
      <c r="AB9" s="11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2"/>
      <c r="AO9" s="2"/>
      <c r="AP9" s="2"/>
      <c r="AQ9" s="2"/>
      <c r="AR9" s="12"/>
      <c r="AS9" s="60"/>
      <c r="AT9" s="13"/>
      <c r="AU9" s="13"/>
      <c r="AV9" s="11"/>
      <c r="AW9" s="12"/>
      <c r="AX9" s="12"/>
      <c r="AY9" s="12"/>
      <c r="AZ9" s="196"/>
      <c r="BA9" s="12"/>
      <c r="BB9" s="12"/>
      <c r="BC9" s="12"/>
      <c r="BD9" s="12"/>
      <c r="BE9" s="115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</row>
    <row r="10" spans="1:81" s="56" customFormat="1" ht="50.1" customHeight="1">
      <c r="A10" s="185"/>
      <c r="B10" s="13"/>
      <c r="C10" s="184"/>
      <c r="D10" s="184"/>
      <c r="E10" s="184"/>
      <c r="F10" s="184"/>
      <c r="G10" s="194"/>
      <c r="H10" s="189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  <c r="U10" s="13"/>
      <c r="V10" s="13"/>
      <c r="W10" s="13"/>
      <c r="X10" s="12"/>
      <c r="Y10" s="12"/>
      <c r="Z10" s="12"/>
      <c r="AA10" s="12"/>
      <c r="AB10" s="11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"/>
      <c r="AO10" s="1"/>
      <c r="AP10" s="1"/>
      <c r="AQ10" s="1"/>
      <c r="AR10" s="12"/>
      <c r="AS10"/>
      <c r="AT10" s="13"/>
      <c r="AU10" s="13"/>
      <c r="AV10" s="11"/>
      <c r="AW10" s="12"/>
      <c r="AX10" s="12"/>
      <c r="AY10" s="12"/>
      <c r="AZ10" s="196"/>
      <c r="BA10" s="12"/>
      <c r="BB10" s="12"/>
      <c r="BC10" s="12"/>
      <c r="BD10" s="12"/>
      <c r="BE10" s="115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</row>
    <row r="11" spans="1:81" s="36" customFormat="1" ht="69.75">
      <c r="A11" s="100">
        <f>Data!AW11</f>
        <v>1</v>
      </c>
      <c r="B11" s="95" t="str">
        <f>Data!AY11</f>
        <v>Front Lounge</v>
      </c>
      <c r="C11" s="101">
        <f>SUM(Data!BA11)</f>
        <v>2411</v>
      </c>
      <c r="D11" s="102" t="str">
        <f t="array" ref="D11">bpLOOKUP(Data!$AV11,"WIDTHADD",CustOrdOpt,6,FALSE)</f>
        <v>(++)</v>
      </c>
      <c r="E11" s="101">
        <f>Data!BB11</f>
        <v>2055</v>
      </c>
      <c r="F11" s="102" t="str">
        <f t="array" ref="F11">bpLOOKUP(Data!$AV11,"HEIGHTADD",CustOrdOpt,6,FALSE)</f>
        <v>(- Box)</v>
      </c>
      <c r="G11" s="103" t="str">
        <f t="array" ref="G11">bpLOOKUP(Data!$AV11,"Size",CustOrdOpt,6,FALSE)</f>
        <v>Opening</v>
      </c>
      <c r="H11" s="104" t="str">
        <f t="array" ref="H11">bpLOOKUP(Data!$AV11,"SIDEBYSIDE",CustOrdOpt,6,FALSE)</f>
        <v>No</v>
      </c>
      <c r="I11" s="40">
        <f>IF(Data!BA11="","",IF(G11="Opening",Data!BA11-VLOOKUP(K11,FitDeduct,2,FALSE)-VLOOKUP(H11,SideDeduct,2,FALSE)+VLOOKUP(CONCATENATE(D11,R11),WidthAdd,2,FALSE),IF(G11="Making",Data!BA11)))</f>
        <v>2517</v>
      </c>
      <c r="J11" s="40">
        <f>IF(Data!BB11="","",IF(F11="(+ Box)",(E11+VLOOKUP(E11,DropAdd,2,TRUE)+20),E11+20))</f>
        <v>2075</v>
      </c>
      <c r="K11" s="96" t="str">
        <f t="array" ref="K11">bpLOOKUP(Data!$AV11,"FIT",CustOrdOpt,6,FALSE)</f>
        <v>Face</v>
      </c>
      <c r="L11" s="96" t="str">
        <f t="array" ref="L11">bpLOOKUP(Data!$AV11,"FIXING",CustOrdOpt,6,FALSE)</f>
        <v>Brick</v>
      </c>
      <c r="M11" s="96" t="str">
        <f t="array" ref="M11">IF(Data!BE11="","",IF(Data!BO11="Custom Powdercoat",CONCATENATE(Data!BN11," ",Data!BO11," ",bpLOOKUP(Data!$AV11,"PCOAT",CustOrdOpt,6,FALSE)),(MID(Data!BE11,6,80))))</f>
        <v>42mm Standard Slat Monument</v>
      </c>
      <c r="N11" s="96" t="str">
        <f t="array" ref="N11">IF(Data!BE11="","",IF(bpLOOKUP(Data!$AV11,"SLATSTRIPE",CustOrdOpt,6,FALSE)="Custom Powdercoat",CONCATENATE(Data!BN11," ",Data!BO11," ",bpLOOKUP(Data!$AV11,"PCOATSTRIPE",CustOrdOpt,6,FALSE)),bpLOOKUP(Data!$AV11,"SLATSTRIPE",CustOrdOpt,6,FALSE)))</f>
        <v>None</v>
      </c>
      <c r="O11" s="96" t="str">
        <f t="array" ref="O11">bpLOOKUP(Data!$AV11,"STRIPECONFIG",CustOrdOpt,6,FALSE)</f>
        <v>No Stripe</v>
      </c>
      <c r="P11" s="96" t="str">
        <f t="array" ref="P11">IF(Data!BE11="","",IF(bpLOOKUP(Data!$AV11,"HEADBOXDETAILS",CustOrdOpt,6,FALSE)="Custom Powdercoat",CONCATENATE(Data!BO11," ",bpLOOKUP(Data!$AV11,"HBOXGUIDECOLOUR",CustOrdOpt,6,FALSE)),bpLOOKUP(Data!$AV11,"HEADBOXDETAILS",CustOrdOpt,6,FALSE)))</f>
        <v>Main Slat Colour</v>
      </c>
      <c r="Q11" s="96" t="str">
        <f t="array" ref="Q11">IF(Data!BE11="","",IF(bpLOOKUP(Data!$AV11,"SIDEGUIDECOLOUR",CustOrdOpt,6,FALSE)="Custom Powdercoat",CONCATENATE(bpLOOKUP(Data!$AV11,"SIDEGUIDECOLOUR",CustOrdOpt,6,FALSE)," ",bpLOOKUP(Data!$AV11,"SIDEGUIDEPCCOLOUR",CustOrdOpt,6,FALSE)),bpLOOKUP(Data!$AV11,"SIDEGUIDECOLOUR",CustOrdOpt,6,FALSE)))</f>
        <v>Main Slat Colour</v>
      </c>
      <c r="R11" s="96" t="str">
        <f t="array" ref="R11">bpLOOKUP(Data!$AV11,"SIDEGUIDE",CustOrdOpt,6,FALSE)</f>
        <v>53mm Standard</v>
      </c>
      <c r="S11" s="96" t="str">
        <f t="array" ref="S11">IF(Data!BE11="","",IF(bpLOOKUP(Data!$AV11,"BRAILCOLOUR",CustOrdOpt,6,FALSE)="Custom Powdercoat",CONCATENATE(Data!BO11," ",bpLOOKUP(Data!$AV11,"BRAILPCCOLOUR",CustOrdOpt,6,FALSE)),bpLOOKUP(Data!$AV11,"BRAILCOLOUR",CustOrdOpt,6,FALSE)))</f>
        <v>Main Slat Colour</v>
      </c>
      <c r="T11" s="96" t="str">
        <f t="array" ref="T11">(bpLOOKUP(Data!$AV11,"CONTROLTYPE",CustOrdOpt,6,FALSE))</f>
        <v>Motorised</v>
      </c>
      <c r="U11" s="96" t="str">
        <f>IF(T11="Spring","",IF(Data!AW11="","",IFERROR(TRIM(INDEX(CHOOSE(MATCH(AU11,{"12v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Slat"},0),MS12vG,MSCWR240vG,MSCWS240vG,MSSR240vG,MSSS240vG,MF12vG,MFCWR240vG,MFCWS240vG,MFSR240vG,MFSS240vG,MSCWP240vMOG,MFSIMSG,MFCWPMOG,MSA240vG,MFA240vG),MATCH(J11,CHOOSE(MATCH(AU11,{"12v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Slat"},0),MS12vD,MSCWR240vD,MSCWS240vD,MSSR240vD,MSSS240vD,MF12vD,MFCWR240vD,MFCWS240D,MFSR240vD,MFSS240vD,MSCWP240vMOD,MFSIMSD,MFCWPMOD,MSA240vD,MFA240vD),1),MATCH(I11,CHOOSE(MATCH(AU11,{"12v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20nm Switch Motor</v>
      </c>
      <c r="V11" s="96" t="str">
        <f t="array" ref="V11">bpLOOKUP(Data!$AV11,"CONTROLSIDE",CustOrdOpt,6,FALSE)</f>
        <v>N/A</v>
      </c>
      <c r="W11" s="96" t="str">
        <f t="array" ref="W11">IF(Data!AV11="","",IF(bpLOOKUP(Data!$AV11,"CONTROLDETAILS",CustOrdOpt,6,FALSE)="CWP 1 Channel Remote","Maxim 1 Channel Remote",IF(bpLOOKUP(Data!$AV11,"CONTROLDETAILS",CustOrdOpt,6,FALSE)="CWP 5 Channel Remote","Maxim 6 Channel Remote",IF(bpLOOKUP(Data!$AV11,"CONTROLDETAILS",CustOrdOpt,6,FALSE)="CWP 16 Channel Remote","Maxim 16 Channel Remote",IF(bpLOOKUP(Data!$AV11,"CONTROLDETAILS",CustOrdOpt,6,FALSE)="CWP 1 Channel Wall Mounted Remote","Maxim 1 Channel Wall Mounted Remote",bpLOOKUP(Data!$AV11,"CONTROLDETAILS",CustOrdOpt,6,FALSE))))))</f>
        <v>Toggle Wall Switch</v>
      </c>
      <c r="X11" s="96" t="str">
        <f t="array" ref="X11">bpLOOKUP(Data!$AV11,"MANUALOVERRIDE",CustOrdOpt,6,FALSE)</f>
        <v/>
      </c>
      <c r="Y11" s="96" t="str">
        <f t="array" ref="Y11">(bpLOOKUP(Data!$AV11,"CRANK",CustOrdOpt,6,FALSE))</f>
        <v/>
      </c>
      <c r="Z11" s="96" t="str">
        <f t="array" ref="Z11">bpLOOKUP(Data!$AV11,"ACCESSORIES2",CustOrdOpt,6,FALSE)</f>
        <v/>
      </c>
      <c r="AA11" s="96" t="str">
        <f t="array" ref="AA11">(bpLOOKUP(Data!$AV11,"HOMEAUTO",CustOrdOpt,6,FALSE))</f>
        <v/>
      </c>
      <c r="AB11" s="96" t="str">
        <f>IF(Data!AV11="","",VLOOKUP(J11,HeadboxSelection,2,TRUE))</f>
        <v>180mm</v>
      </c>
      <c r="AC11" s="96" t="str">
        <f t="array" ref="AC11">bpLOOKUP(Data!$AV11,"LOCKBOTBAR",CustOrdOpt,6,FALSE)</f>
        <v/>
      </c>
      <c r="AD11" s="96" t="str">
        <f t="array" ref="AD11">bpLOOKUP(Data!$AV11,"INTLOCKH",CustOrdOpt,6,FALSE)</f>
        <v/>
      </c>
      <c r="AE11" s="96" t="str">
        <f t="array" ref="AE11">bpLOOKUP(Data!$AV11,"GUIDESTOPS",CustOrdOpt,6,FALSE)</f>
        <v>Yes</v>
      </c>
      <c r="AF11" s="96" t="str">
        <f t="array" ref="AF11">bpLOOKUP(Data!$AV11,"MASTIC",CustOrdOpt,6,FALSE)</f>
        <v/>
      </c>
      <c r="AG11" s="96" t="str">
        <f t="array" ref="AG11">bpLOOKUP(Data!$AV11,"BAY",CustOrdOpt,6,FALSE)</f>
        <v/>
      </c>
      <c r="AH11" s="96" t="str">
        <f t="array" ref="AH11">bpLOOKUP(Data!$AV11,"PACKERST",CustOrdOpt,6,FALSE)</f>
        <v/>
      </c>
      <c r="AI11" s="96" t="str">
        <f t="array" ref="AI11">bpLOOKUP(Data!$AV11,"PACKERSB",CustOrdOpt,6,FALSE)</f>
        <v/>
      </c>
      <c r="AJ11" s="96" t="str">
        <f t="array" ref="AJ11">bpLOOKUP(Data!$AV11,"PACKERSL",CustOrdOpt,6,FALSE)</f>
        <v/>
      </c>
      <c r="AK11" s="96" t="str">
        <f t="array" ref="AK11">bpLOOKUP(Data!$AV11,"PACKERSR",CustOrdOpt,6,FALSE)</f>
        <v/>
      </c>
      <c r="AL11" s="96" t="str">
        <f t="array" ref="AL11">bpLOOKUP(Data!$AV11,"ACCESSORIES3",CustOrdOpt,6,FALSE)</f>
        <v/>
      </c>
      <c r="AM11" s="96" t="str">
        <f t="array" ref="AM11">bpLOOKUP(Data!$AV11,"INSTALLATION",CustOrdOpt,6,FALSE)</f>
        <v>Installation</v>
      </c>
      <c r="AN11" s="96" t="str">
        <f t="array" ref="AN11">bpLOOKUP(Data!$AV11,"HANGHEIGHT",CustOrdOpt,6,FALSE)</f>
        <v>2.4m-2.7m</v>
      </c>
      <c r="AO11" s="96" t="str">
        <f t="array" ref="AO11">bpLOOKUP(Data!$AV11,"INSTALLG",CustOrdOpt,6,FALSE)</f>
        <v>Over a Garden</v>
      </c>
      <c r="AP11" s="96" t="str">
        <f t="array" ref="AP11">bpLOOKUP(Data!$AV11,"TAKEDOWN",CustOrdOpt,6,FALSE)</f>
        <v>No</v>
      </c>
      <c r="AQ11" s="96" t="str">
        <f t="array" ref="AQ11">bpLOOKUP(Data!$AV11,"CHECKM",CustOrdOpt,6,FALSE)</f>
        <v>No</v>
      </c>
      <c r="AR11" s="96" t="str">
        <f t="array" ref="AR11">bpLOOKUP(Data!$AV11,"Notes",CustOrdOpt,6,FALSE)</f>
        <v/>
      </c>
      <c r="AS11"/>
      <c r="AT11" s="58" t="str">
        <f>IF(Data!AV11="","",VLOOKUP(T11,ControlDeduct,3,FALSE))</f>
        <v>Included with Motor</v>
      </c>
      <c r="AU11" s="58" t="str">
        <f>IF(OR(Data!AV11="",T11="Spring"),"",VLOOKUP(CONCATENATE(Data!BN11,T11,W11),MotorGrid,2,FALSE))</f>
        <v>240v CW Switch Motors Standard Slat</v>
      </c>
      <c r="AV11" s="58">
        <f>IF(Data!BA11="","",I11-VLOOKUP(T11,ControlDeduct,2,FALSE))</f>
        <v>2437</v>
      </c>
      <c r="AW11" s="58">
        <f>IF(Data!BB11="","",I11-72)</f>
        <v>2445</v>
      </c>
      <c r="AX11" s="58" t="str">
        <f>Data!BN11</f>
        <v>42mm Standard Slat</v>
      </c>
      <c r="AY11" s="59">
        <f>IF(Data!AW11&gt;0,((J11*24/1000-AZ11)-3),"")</f>
        <v>46.8</v>
      </c>
      <c r="AZ11" s="59">
        <f>IF(Data!AV11="","",VLOOKUP(O11,StripeConfig,2,FALSE))</f>
        <v>0</v>
      </c>
      <c r="BA11" s="58">
        <f>IF(Data!BA11="","",I11-10)</f>
        <v>2507</v>
      </c>
      <c r="BB11" s="58">
        <f>IF(Data!BA11="","",J11-VLOOKUP(AB11,HeadboxSize,2,FALSE))</f>
        <v>1895</v>
      </c>
      <c r="BC11" s="58" t="str">
        <f>IF(Data!AV11="","",IF(T11="Spring","CW Products",IF(CONCATENATE(Data!BN11,Data!BO11)=VLOOKUP(CONCATENATE(Data!BN11,Data!BO11),Manufacturer,1,FALSE),VLOOKUP(CONCATENATE(Data!BN11,Data!BO11),Manufacturer,2,FALSE),"")))</f>
        <v>Davidson's</v>
      </c>
      <c r="BD11" s="58" t="str">
        <f t="array" ref="BD11">IF(A11="","",IF(AND(Q11="Main Slat Colour",Data!BO11="Custom Powdercoat"),bpLOOKUP(Data!$AV11,"PCOAT",CustOrdOpt,6,FALSE),IF(Q11="Main Slat Colour",Data!BO11,Q11)))</f>
        <v>Monument</v>
      </c>
      <c r="BE11" s="58"/>
      <c r="BF11" s="114" t="str">
        <f>IF(OR(AH11="8mm Slat",AH11="22mm Side Guide + 8mm Slat",AH11="50mm x 50mm Powder Coated Packer with 8mm Slat"),I11,"")</f>
        <v/>
      </c>
      <c r="BG11" s="114" t="str">
        <f>IF(OR(AI11="8mm Slat",AI11="22mm Side Guide + 8mm Slat",AI11="50mm x 50mm Powder Coated Packer with 8mm Slat"),I11,"")</f>
        <v/>
      </c>
      <c r="BH11" s="114" t="str">
        <f t="shared" si="0" ref="BH11:BH20">IF(OR(AJ11="8mm Slat",AJ11="22mm Side Guide + 8mm Slat",AJ11="50mm x 50mm Powder Coated Packer with 8mm Slat"),J11,IF(AJ11="8mm Slat for Headbox Only",VLOOKUP(E11,DropAdd,2,TRUE)*2,""))</f>
        <v/>
      </c>
      <c r="BI11" s="114" t="str">
        <f t="shared" si="1" ref="BI11:BI20">IF(OR(AK11="8mm Slat",AK11="22mm Side Guide + 8mm Slat",AK11="50mm x 50mm Powder Coated Packer with 8mm Slat"),J11,IF(AK11="8mm Slat for Headbox Only",VLOOKUP(E11,DropAdd,2,TRUE)*2,""))</f>
        <v/>
      </c>
      <c r="BJ11" s="114" t="str">
        <f>IF(OR(AH11="22mm Side Guide",AH11="22mm Side Guide + 8mm Slat",AH11="50mm x 50mm Powder Coated Packer with 22mm Side Guide"),I11,IF(AH11="2 x 22mm Side Guide",I11*2,""))</f>
        <v/>
      </c>
      <c r="BK11" s="114" t="str">
        <f>IF(OR(AI11="22mm Side Guide",AI11="22mm Side Guide + 8mm Slat",AI11="50mm x 50mm Powder Coated Packer with 22mm Side Guide"),I11,IF(AI11="2 x 22mm Side Guide",I11*2,""))</f>
        <v/>
      </c>
      <c r="BL11" s="114" t="str">
        <f t="shared" si="2" ref="BL11:BL20">IF(OR(AJ11="22mm Side Guide",AJ11="22mm Side Guide + 8mm Slat",AJ11="50mm x 50mm Powder Coated Packer with 22mm Side Guide"),J11,IF(AJ11="22mm Side Guide for Headbox Only",VLOOKUP(E11,DropAdd,2,TRUE),""))</f>
        <v/>
      </c>
      <c r="BM11" s="114" t="str">
        <f t="shared" si="3" ref="BM11:BM20">IF(OR(AK11="22mm Side Guide",AK11="22mm Side Guide + 8mm Slat",AK11="50mm x 50mm Powder Coated Packer with 22mm Side Guide"),J11,IF(AK11="22mm Side Guide for Headbox Only",VLOOKUP(E11,DropAdd,2,TRUE),""))</f>
        <v/>
      </c>
      <c r="BN11" s="114" t="str">
        <f t="shared" si="4" ref="BN11:BN20">IF(OR(AH11="50mm x 50mm Powder Coated Packer",AH11="50mm x 50mm Powder Coated Packer with 8mm Slat",AH11="50mm x 50mm Powder Coated Packer with 22mm Side Guide"),I11,"")</f>
        <v/>
      </c>
      <c r="BO11" s="114" t="str">
        <f t="shared" si="5" ref="BO11:BO20">IF(OR(AI11="50mm x 50mm Powder Coated Packer",AI11="50mm x 50mm Powder Coated Packer with 8mm Slat",AI11="50mm x 50mm Powder Coated Packer with 22mm Side Guide"),I11,"")</f>
        <v/>
      </c>
      <c r="BP11" s="114" t="str">
        <f t="shared" si="6" ref="BP11:BP20">IF(OR(AJ11="50mm x 50mm Powder Coated Packer",AJ11="50mm x 50mm Powder Coated Packer with 22mm Side Guide",AJ11="50mm x 50mm Powder Coated Packer with 8mm Slat"),J11,"")</f>
        <v/>
      </c>
      <c r="BQ11" s="114" t="str">
        <f t="shared" si="7" ref="BQ11:BQ20">IF(OR(AK11="50mm x 50mm Powder Coated Packer",AK11="50mm x 50mm Powder Coated Packer with 22mm Side Guide",AK11="50mm x 50mm Powder Coated Packer with 8mm Slat"),J11,"")</f>
        <v/>
      </c>
      <c r="BR11" s="114" t="str">
        <f>IF(OR(AH11="25 x 25 Sill Angle",AH11="22mm Side Guide + 25 x 25mm Angle"),I11,"")</f>
        <v/>
      </c>
      <c r="BS11" s="114" t="str">
        <f>IF(OR(AI11="25 x 25 Sill Angle",AI11="22mm Side Guide + 25 x 25mm Angle"),I11,"")</f>
        <v/>
      </c>
      <c r="BT11" s="114" t="str">
        <f t="shared" si="8" ref="BT11:BT20">IF(OR(AJ11="25 x 25 Sill Angle",AJ11="22mm Side Guide + 25 x 25mm Angle"),J11,IF(AJ11="25 x 25 Sill Angle for Headbox Only",VLOOKUP(E11,DropAdd,2,TRUE),""))</f>
        <v/>
      </c>
      <c r="BU11" s="114" t="str">
        <f t="shared" si="9" ref="BU11:BU20">IF(OR(AK11="25 x 25 Sill Angle",AK11="22mm Side Guide + 25 x 25mm Angle"),J11,IF(AK11="25 x 25 Sill Angle for Headbox Only",VLOOKUP(E11,DropAdd,2,TRUE),""))</f>
        <v/>
      </c>
      <c r="BV11" s="114" t="str">
        <f>IF(AH11="25 x 50 Sill Angle",I11,"")</f>
        <v/>
      </c>
      <c r="BW11" s="114" t="str">
        <f>IF(AI11="25 x 50 Sill Angle",I11,"")</f>
        <v/>
      </c>
      <c r="BX11" s="114" t="str">
        <f t="shared" si="10" ref="BX11:BX20">IF(AJ11="25 x 50 Sill Angle",J11,IF(AJ11="25 x 50 Sill Angle for Headbox Only",VLOOKUP(E11,DropAdd,2,TRUE),""))</f>
        <v/>
      </c>
      <c r="BY11" s="114" t="str">
        <f t="shared" si="11" ref="BY11:BY20">IF(AK11="25 x 50 Sill Angle",J11,IF(AK11="25 x 50 Sill Angle for Headbox Only",VLOOKUP(E11,DropAdd,2,TRUE),""))</f>
        <v/>
      </c>
      <c r="BZ11" s="114" t="str">
        <f>IF(AH11="25 x 70 Sill Angle",I11,"")</f>
        <v/>
      </c>
      <c r="CA11" s="114" t="str">
        <f>IF(AI11="25 x 70 Sill Angle",I11,"")</f>
        <v/>
      </c>
      <c r="CB11" s="114" t="str">
        <f t="shared" si="12" ref="CB11:CB20">IF(AJ11="25 x 70 Sill Angle",J11,IF(AJ11="25 x 70 Sill Angle for Headbox Only",VLOOKUP(E11,DropAdd,2,TRUE),""))</f>
        <v/>
      </c>
      <c r="CC11" s="114" t="str">
        <f t="shared" si="13" ref="CC11:CC20">IF(AK11="25 x 70 Sill Angle",J11,IF(AK11="25 x 70 Sill Angle for Headbox Only",VLOOKUP(E11,DropAdd,2,TRUE),""))</f>
        <v/>
      </c>
    </row>
    <row r="12" spans="1:81" s="36" customFormat="1" ht="69.75">
      <c r="A12" s="100">
        <f>Data!AW12</f>
        <v>2</v>
      </c>
      <c r="B12" s="95" t="str">
        <f>Data!AY12</f>
        <v>Master</v>
      </c>
      <c r="C12" s="101">
        <f>SUM(Data!BA12)</f>
        <v>1813</v>
      </c>
      <c r="D12" s="102" t="str">
        <f t="array" ref="D12">bpLOOKUP(Data!$AV12,"WIDTHADD",CustOrdOpt,6,FALSE)</f>
        <v>(++)</v>
      </c>
      <c r="E12" s="101">
        <f>Data!BB12</f>
        <v>1450</v>
      </c>
      <c r="F12" s="102" t="str">
        <f t="array" ref="F12">bpLOOKUP(Data!$AV12,"HEIGHTADD",CustOrdOpt,6,FALSE)</f>
        <v>(- Box)</v>
      </c>
      <c r="G12" s="103" t="str">
        <f t="array" ref="G12">bpLOOKUP(Data!$AV12,"Size",CustOrdOpt,6,FALSE)</f>
        <v>Opening</v>
      </c>
      <c r="H12" s="104" t="str">
        <f t="array" ref="H12">bpLOOKUP(Data!$AV12,"SIDEBYSIDE",CustOrdOpt,6,FALSE)</f>
        <v>No</v>
      </c>
      <c r="I12" s="40">
        <f>IF(Data!BA12="","",IF(G12="Opening",Data!BA12-VLOOKUP(K12,FitDeduct,2,FALSE)-VLOOKUP(H12,SideDeduct,2,FALSE)+VLOOKUP(CONCATENATE(D12,R12),WidthAdd,2,FALSE),IF(G12="Making",Data!BA12)))</f>
        <v>1919</v>
      </c>
      <c r="J12" s="40">
        <f>IF(Data!BB12="","",IF(F12="(+ Box)",(E12+VLOOKUP(E12,DropAdd,2,TRUE)+20),E12+20))</f>
        <v>1470</v>
      </c>
      <c r="K12" s="96" t="str">
        <f t="array" ref="K12">bpLOOKUP(Data!$AV12,"FIT",CustOrdOpt,6,FALSE)</f>
        <v>Face</v>
      </c>
      <c r="L12" s="96" t="str">
        <f t="array" ref="L12">bpLOOKUP(Data!$AV12,"FIXING",CustOrdOpt,6,FALSE)</f>
        <v>Brick</v>
      </c>
      <c r="M12" s="96" t="str">
        <f t="array" ref="M12">IF(Data!BE12="","",IF(Data!BO12="Custom Powdercoat",CONCATENATE(Data!BN12," ",Data!BO12," ",bpLOOKUP(Data!$AV12,"PCOAT",CustOrdOpt,6,FALSE)),(MID(Data!BE12,6,80))))</f>
        <v>42mm Standard Slat Monument</v>
      </c>
      <c r="N12" s="96" t="str">
        <f t="array" ref="N12">IF(Data!BE12="","",IF(bpLOOKUP(Data!$AV12,"SLATSTRIPE",CustOrdOpt,6,FALSE)="Custom Powdercoat",CONCATENATE(Data!BN12," ",Data!BO12," ",bpLOOKUP(Data!$AV12,"PCOATSTRIPE",CustOrdOpt,6,FALSE)),bpLOOKUP(Data!$AV12,"SLATSTRIPE",CustOrdOpt,6,FALSE)))</f>
        <v>None</v>
      </c>
      <c r="O12" s="96" t="str">
        <f t="array" ref="O12">bpLOOKUP(Data!$AV12,"STRIPECONFIG",CustOrdOpt,6,FALSE)</f>
        <v>No Stripe</v>
      </c>
      <c r="P12" s="96" t="str">
        <f t="array" ref="P12">IF(Data!BE12="","",IF(bpLOOKUP(Data!$AV12,"HEADBOXDETAILS",CustOrdOpt,6,FALSE)="Custom Powdercoat",CONCATENATE(Data!BO12," ",bpLOOKUP(Data!$AV12,"HBOXGUIDECOLOUR",CustOrdOpt,6,FALSE)),bpLOOKUP(Data!$AV12,"HEADBOXDETAILS",CustOrdOpt,6,FALSE)))</f>
        <v>Main Slat Colour</v>
      </c>
      <c r="Q12" s="96" t="str">
        <f t="array" ref="Q12">IF(Data!BE12="","",IF(bpLOOKUP(Data!$AV12,"SIDEGUIDECOLOUR",CustOrdOpt,6,FALSE)="Custom Powdercoat",CONCATENATE(bpLOOKUP(Data!$AV12,"SIDEGUIDECOLOUR",CustOrdOpt,6,FALSE)," ",bpLOOKUP(Data!$AV12,"SIDEGUIDEPCCOLOUR",CustOrdOpt,6,FALSE)),bpLOOKUP(Data!$AV12,"SIDEGUIDECOLOUR",CustOrdOpt,6,FALSE)))</f>
        <v>Main Slat Colour</v>
      </c>
      <c r="R12" s="96" t="str">
        <f t="array" ref="R12">bpLOOKUP(Data!$AV12,"SIDEGUIDE",CustOrdOpt,6,FALSE)</f>
        <v>53mm Standard</v>
      </c>
      <c r="S12" s="96" t="str">
        <f t="array" ref="S12">IF(Data!BE12="","",IF(bpLOOKUP(Data!$AV12,"BRAILCOLOUR",CustOrdOpt,6,FALSE)="Custom Powdercoat",CONCATENATE(Data!BO12," ",bpLOOKUP(Data!$AV12,"BRAILPCCOLOUR",CustOrdOpt,6,FALSE)),bpLOOKUP(Data!$AV12,"BRAILCOLOUR",CustOrdOpt,6,FALSE)))</f>
        <v>Main Slat Colour</v>
      </c>
      <c r="T12" s="96" t="str">
        <f t="array" ref="T12">(bpLOOKUP(Data!$AV12,"CONTROLTYPE",CustOrdOpt,6,FALSE))</f>
        <v>Motorised</v>
      </c>
      <c r="U12" s="96" t="str">
        <f>IF(T12="Spring","",IF(Data!AW12="","",IFERROR(TRIM(INDEX(CHOOSE(MATCH(AU12,{"12v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Slat"},0),MS12vG,MSCWR240vG,MSCWS240vG,MSSR240vG,MSSS240vG,MF12vG,MFCWR240vG,MFCWS240vG,MFSR240vG,MFSS240vG,MSCWP240vMOG,MFSIMSG,MFCWPMOG,MSA240vG,MFA240vG),MATCH(J12,CHOOSE(MATCH(AU12,{"12v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Slat"},0),MS12vD,MSCWR240vD,MSCWS240vD,MSSR240vD,MSSS240vD,MF12vD,MFCWR240vD,MFCWS240D,MFSR240vD,MFSS240vD,MSCWP240vMOD,MFSIMSD,MFCWPMOD,MSA240vD,MFA240vD),1),MATCH(I12,CHOOSE(MATCH(AU12,{"12v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12" s="96" t="str">
        <f t="array" ref="V12">bpLOOKUP(Data!$AV12,"CONTROLSIDE",CustOrdOpt,6,FALSE)</f>
        <v>N/A</v>
      </c>
      <c r="W12" s="96" t="str">
        <f t="array" ref="W12">IF(Data!AV12="","",IF(bpLOOKUP(Data!$AV12,"CONTROLDETAILS",CustOrdOpt,6,FALSE)="CWP 1 Channel Remote","Maxim 1 Channel Remote",IF(bpLOOKUP(Data!$AV12,"CONTROLDETAILS",CustOrdOpt,6,FALSE)="CWP 5 Channel Remote","Maxim 6 Channel Remote",IF(bpLOOKUP(Data!$AV12,"CONTROLDETAILS",CustOrdOpt,6,FALSE)="CWP 16 Channel Remote","Maxim 16 Channel Remote",IF(bpLOOKUP(Data!$AV12,"CONTROLDETAILS",CustOrdOpt,6,FALSE)="CWP 1 Channel Wall Mounted Remote","Maxim 1 Channel Wall Mounted Remote",bpLOOKUP(Data!$AV12,"CONTROLDETAILS",CustOrdOpt,6,FALSE))))))</f>
        <v>Toggle Wall Switch</v>
      </c>
      <c r="X12" s="96" t="str">
        <f t="array" ref="X12">bpLOOKUP(Data!$AV12,"MANUALOVERRIDE",CustOrdOpt,6,FALSE)</f>
        <v/>
      </c>
      <c r="Y12" s="96" t="str">
        <f t="array" ref="Y12">(bpLOOKUP(Data!$AV12,"CRANK",CustOrdOpt,6,FALSE))</f>
        <v/>
      </c>
      <c r="Z12" s="96" t="str">
        <f t="array" ref="Z12">bpLOOKUP(Data!$AV12,"ACCESSORIES2",CustOrdOpt,6,FALSE)</f>
        <v/>
      </c>
      <c r="AA12" s="96" t="str">
        <f t="array" ref="AA12">(bpLOOKUP(Data!$AV12,"HOMEAUTO",CustOrdOpt,6,FALSE))</f>
        <v/>
      </c>
      <c r="AB12" s="96" t="str">
        <f>IF(Data!AV12="","",VLOOKUP(J12,HeadboxSelection,2,TRUE))</f>
        <v>180mm</v>
      </c>
      <c r="AC12" s="96" t="str">
        <f t="array" ref="AC12">bpLOOKUP(Data!$AV12,"LOCKBOTBAR",CustOrdOpt,6,FALSE)</f>
        <v/>
      </c>
      <c r="AD12" s="96" t="str">
        <f t="array" ref="AD12">bpLOOKUP(Data!$AV12,"INTLOCKH",CustOrdOpt,6,FALSE)</f>
        <v/>
      </c>
      <c r="AE12" s="96" t="str">
        <f t="array" ref="AE12">bpLOOKUP(Data!$AV12,"GUIDESTOPS",CustOrdOpt,6,FALSE)</f>
        <v>Yes</v>
      </c>
      <c r="AF12" s="96" t="str">
        <f t="array" ref="AF12">bpLOOKUP(Data!$AV12,"MASTIC",CustOrdOpt,6,FALSE)</f>
        <v/>
      </c>
      <c r="AG12" s="96" t="str">
        <f t="array" ref="AG12">bpLOOKUP(Data!$AV12,"BAY",CustOrdOpt,6,FALSE)</f>
        <v/>
      </c>
      <c r="AH12" s="96" t="str">
        <f t="array" ref="AH12">bpLOOKUP(Data!$AV12,"PACKERST",CustOrdOpt,6,FALSE)</f>
        <v/>
      </c>
      <c r="AI12" s="96" t="str">
        <f t="array" ref="AI12">bpLOOKUP(Data!$AV12,"PACKERSB",CustOrdOpt,6,FALSE)</f>
        <v/>
      </c>
      <c r="AJ12" s="96" t="str">
        <f t="array" ref="AJ12">bpLOOKUP(Data!$AV12,"PACKERSL",CustOrdOpt,6,FALSE)</f>
        <v/>
      </c>
      <c r="AK12" s="96" t="str">
        <f t="array" ref="AK12">bpLOOKUP(Data!$AV12,"PACKERSR",CustOrdOpt,6,FALSE)</f>
        <v/>
      </c>
      <c r="AL12" s="96" t="str">
        <f t="array" ref="AL12">bpLOOKUP(Data!$AV12,"ACCESSORIES3",CustOrdOpt,6,FALSE)</f>
        <v/>
      </c>
      <c r="AM12" s="96" t="str">
        <f t="array" ref="AM12">bpLOOKUP(Data!$AV12,"INSTALLATION",CustOrdOpt,6,FALSE)</f>
        <v>Installation</v>
      </c>
      <c r="AN12" s="96" t="str">
        <f t="array" ref="AN12">bpLOOKUP(Data!$AV12,"HANGHEIGHT",CustOrdOpt,6,FALSE)</f>
        <v>2.4m-2.7m</v>
      </c>
      <c r="AO12" s="96" t="str">
        <f t="array" ref="AO12">bpLOOKUP(Data!$AV12,"INSTALLG",CustOrdOpt,6,FALSE)</f>
        <v>Easy Access</v>
      </c>
      <c r="AP12" s="96" t="str">
        <f t="array" ref="AP12">bpLOOKUP(Data!$AV12,"TAKEDOWN",CustOrdOpt,6,FALSE)</f>
        <v>No</v>
      </c>
      <c r="AQ12" s="96" t="str">
        <f t="array" ref="AQ12">bpLOOKUP(Data!$AV12,"CHECKM",CustOrdOpt,6,FALSE)</f>
        <v>No</v>
      </c>
      <c r="AR12" s="96" t="str">
        <f t="array" ref="AR12">bpLOOKUP(Data!$AV12,"Notes",CustOrdOpt,6,FALSE)</f>
        <v/>
      </c>
      <c r="AS12"/>
      <c r="AT12" s="58" t="str">
        <f>IF(Data!AV12="","",VLOOKUP(T12,ControlDeduct,3,FALSE))</f>
        <v>Included with Motor</v>
      </c>
      <c r="AU12" s="58" t="str">
        <f>IF(Data!AV12="","",VLOOKUP(CONCATENATE(Data!BN12,T12,W12),MotorGrid,2,FALSE))</f>
        <v>240v CW Switch Motors Standard Slat</v>
      </c>
      <c r="AV12" s="58">
        <f>IF(Data!BA12="","",I12-VLOOKUP(T12,ControlDeduct,2,FALSE))</f>
        <v>1839</v>
      </c>
      <c r="AW12" s="58">
        <f>IF(Data!BB12="","",I12-72)</f>
        <v>1847</v>
      </c>
      <c r="AX12" s="58" t="str">
        <f>Data!BN12</f>
        <v>42mm Standard Slat</v>
      </c>
      <c r="AY12" s="59">
        <f>IF(Data!AW12&gt;0,((J12*24/1000-AZ12)-3),"")</f>
        <v>32.28</v>
      </c>
      <c r="AZ12" s="59">
        <f>IF(Data!AV12="","",VLOOKUP(O12,StripeConfig,2,FALSE))</f>
        <v>0</v>
      </c>
      <c r="BA12" s="58">
        <f>IF(Data!BA12="","",I12-10)</f>
        <v>1909</v>
      </c>
      <c r="BB12" s="58">
        <f>IF(Data!BA12="","",J12-VLOOKUP(AB12,HeadboxSize,2,FALSE))</f>
        <v>1290</v>
      </c>
      <c r="BC12" s="58" t="str">
        <f>IF(Data!AV12="","",IF(T12="Spring","CW Products",IF(CONCATENATE(Data!BN12,Data!BO12)=VLOOKUP(CONCATENATE(Data!BN12,Data!BO12),Manufacturer,1,FALSE),VLOOKUP(CONCATENATE(Data!BN12,Data!BO12),Manufacturer,2,FALSE),"")))</f>
        <v>Davidson's</v>
      </c>
      <c r="BD12" s="58" t="str">
        <f t="array" ref="BD12">IF(A12="","",IF(AND(Q12="Main Slat Colour",Data!BO12="Custom Powdercoat"),bpLOOKUP(Data!$AV12,"PCOAT",CustOrdOpt,6,FALSE),IF(Q12="Main Slat Colour",Data!BO12,Q12)))</f>
        <v>Monument</v>
      </c>
      <c r="BE12" s="58"/>
      <c r="BF12" s="114" t="str">
        <f t="shared" si="14" ref="BF12:BF20">IF(OR(AH12="8mm Slat",AH12="22mm Side Guide + 8mm Slat",AH12="50mm x 50mm Powder Coated Packer with 8mm Slat"),I12,"")</f>
        <v/>
      </c>
      <c r="BG12" s="114" t="str">
        <f t="shared" si="15" ref="BG12:BG20">IF(OR(AI12="8mm Slat",AI12="22mm Side Guide + 8mm Slat",AI12="50mm x 50mm Powder Coated Packer with 8mm Slat"),I12,"")</f>
        <v/>
      </c>
      <c r="BH12" s="114" t="str">
        <f t="shared" si="0"/>
        <v/>
      </c>
      <c r="BI12" s="114" t="str">
        <f t="shared" si="1"/>
        <v/>
      </c>
      <c r="BJ12" s="114" t="str">
        <f t="shared" si="16" ref="BJ12:BJ20">IF(OR(AH12="22mm Side Guide",AH12="22mm Side Guide + 8mm Slat",AH12="50mm x 50mm Powder Coated Packer with 22mm Side Guide"),I12,IF(AH12="2 x 22mm Side Guide",I12*2,""))</f>
        <v/>
      </c>
      <c r="BK12" s="114" t="str">
        <f t="shared" si="17" ref="BK12:BK20">IF(OR(AI12="22mm Side Guide",AI12="22mm Side Guide + 8mm Slat",AI12="50mm x 50mm Powder Coated Packer with 22mm Side Guide"),I12,IF(AI12="2 x 22mm Side Guide",I12*2,""))</f>
        <v/>
      </c>
      <c r="BL12" s="114" t="str">
        <f t="shared" si="2"/>
        <v/>
      </c>
      <c r="BM12" s="114" t="str">
        <f t="shared" si="3"/>
        <v/>
      </c>
      <c r="BN12" s="114" t="str">
        <f t="shared" si="4"/>
        <v/>
      </c>
      <c r="BO12" s="114" t="str">
        <f t="shared" si="5"/>
        <v/>
      </c>
      <c r="BP12" s="114" t="str">
        <f t="shared" si="6"/>
        <v/>
      </c>
      <c r="BQ12" s="114" t="str">
        <f t="shared" si="7"/>
        <v/>
      </c>
      <c r="BR12" s="114" t="str">
        <f t="shared" si="18" ref="BR12:BR20">IF(OR(AH12="25 x 25 Sill Angle",AH12="22mm Side Guide + 25 x 25mm Angle"),I12,"")</f>
        <v/>
      </c>
      <c r="BS12" s="114" t="str">
        <f t="shared" si="19" ref="BS12:BS20">IF(OR(AI12="25 x 25 Sill Angle",AI12="22mm Side Guide + 25 x 25mm Angle"),I12,"")</f>
        <v/>
      </c>
      <c r="BT12" s="114" t="str">
        <f t="shared" si="8"/>
        <v/>
      </c>
      <c r="BU12" s="114" t="str">
        <f t="shared" si="9"/>
        <v/>
      </c>
      <c r="BV12" s="114" t="str">
        <f t="shared" si="20" ref="BV12:BV20">IF(AH12="25 x 50 Sill Angle",I12,"")</f>
        <v/>
      </c>
      <c r="BW12" s="114" t="str">
        <f t="shared" si="21" ref="BW12:BW20">IF(AI12="25 x 50 Sill Angle",I12,"")</f>
        <v/>
      </c>
      <c r="BX12" s="114" t="str">
        <f t="shared" si="10"/>
        <v/>
      </c>
      <c r="BY12" s="114" t="str">
        <f t="shared" si="11"/>
        <v/>
      </c>
      <c r="BZ12" s="114" t="str">
        <f t="shared" si="22" ref="BZ12:BZ20">IF(AH12="25 x 70 Sill Angle",I12,"")</f>
        <v/>
      </c>
      <c r="CA12" s="114" t="str">
        <f t="shared" si="23" ref="CA12:CA20">IF(AI12="25 x 70 Sill Angle",I12,"")</f>
        <v/>
      </c>
      <c r="CB12" s="114" t="str">
        <f t="shared" si="12"/>
        <v/>
      </c>
      <c r="CC12" s="114" t="str">
        <f t="shared" si="13"/>
        <v/>
      </c>
    </row>
    <row r="13" spans="1:81" s="36" customFormat="1" ht="69.75">
      <c r="A13" s="100">
        <f>Data!AW13</f>
        <v>3</v>
      </c>
      <c r="B13" s="95" t="str">
        <f>Data!AY13</f>
        <v>Ensuite</v>
      </c>
      <c r="C13" s="101">
        <f>SUM(Data!BA13)</f>
        <v>610</v>
      </c>
      <c r="D13" s="102" t="str">
        <f t="array" ref="D13">bpLOOKUP(Data!$AV13,"WIDTHADD",CustOrdOpt,6,FALSE)</f>
        <v>(++)</v>
      </c>
      <c r="E13" s="101">
        <f>Data!BB13</f>
        <v>1450</v>
      </c>
      <c r="F13" s="102" t="str">
        <f t="array" ref="F13">bpLOOKUP(Data!$AV13,"HEIGHTADD",CustOrdOpt,6,FALSE)</f>
        <v>(- Box)</v>
      </c>
      <c r="G13" s="103" t="str">
        <f t="array" ref="G13">bpLOOKUP(Data!$AV13,"Size",CustOrdOpt,6,FALSE)</f>
        <v>Opening</v>
      </c>
      <c r="H13" s="104" t="str">
        <f t="array" ref="H13">bpLOOKUP(Data!$AV13,"SIDEBYSIDE",CustOrdOpt,6,FALSE)</f>
        <v>No</v>
      </c>
      <c r="I13" s="40">
        <f>IF(Data!BA13="","",IF(G13="Opening",Data!BA13-VLOOKUP(K13,FitDeduct,2,FALSE)-VLOOKUP(H13,SideDeduct,2,FALSE)+VLOOKUP(CONCATENATE(D13,R13),WidthAdd,2,FALSE),IF(G13="Making",Data!BA13)))</f>
        <v>716</v>
      </c>
      <c r="J13" s="40">
        <f>IF(Data!BB13="","",IF(F13="(+ Box)",(E13+VLOOKUP(E13,DropAdd,2,TRUE)+20),E13+20))</f>
        <v>1470</v>
      </c>
      <c r="K13" s="96" t="str">
        <f t="array" ref="K13">bpLOOKUP(Data!$AV13,"FIT",CustOrdOpt,6,FALSE)</f>
        <v>Face</v>
      </c>
      <c r="L13" s="96" t="str">
        <f t="array" ref="L13">bpLOOKUP(Data!$AV13,"FIXING",CustOrdOpt,6,FALSE)</f>
        <v>Brick</v>
      </c>
      <c r="M13" s="96" t="str">
        <f t="array" ref="M13">IF(Data!BE13="","",IF(Data!BO13="Custom Powdercoat",CONCATENATE(Data!BN13," ",Data!BO13," ",bpLOOKUP(Data!$AV13,"PCOAT",CustOrdOpt,6,FALSE)),(MID(Data!BE13,6,80))))</f>
        <v>42mm Standard Slat Monument</v>
      </c>
      <c r="N13" s="96" t="str">
        <f t="array" ref="N13">IF(Data!BE13="","",IF(bpLOOKUP(Data!$AV13,"SLATSTRIPE",CustOrdOpt,6,FALSE)="Custom Powdercoat",CONCATENATE(Data!BN13," ",Data!BO13," ",bpLOOKUP(Data!$AV13,"PCOATSTRIPE",CustOrdOpt,6,FALSE)),bpLOOKUP(Data!$AV13,"SLATSTRIPE",CustOrdOpt,6,FALSE)))</f>
        <v>None</v>
      </c>
      <c r="O13" s="96" t="str">
        <f t="array" ref="O13">bpLOOKUP(Data!$AV13,"STRIPECONFIG",CustOrdOpt,6,FALSE)</f>
        <v>No Stripe</v>
      </c>
      <c r="P13" s="96" t="str">
        <f t="array" ref="P13">IF(Data!BE13="","",IF(bpLOOKUP(Data!$AV13,"HEADBOXDETAILS",CustOrdOpt,6,FALSE)="Custom Powdercoat",CONCATENATE(Data!BO13," ",bpLOOKUP(Data!$AV13,"HBOXGUIDECOLOUR",CustOrdOpt,6,FALSE)),bpLOOKUP(Data!$AV13,"HEADBOXDETAILS",CustOrdOpt,6,FALSE)))</f>
        <v>Monument</v>
      </c>
      <c r="Q13" s="96" t="str">
        <f t="array" ref="Q13">IF(Data!BE13="","",IF(bpLOOKUP(Data!$AV13,"SIDEGUIDECOLOUR",CustOrdOpt,6,FALSE)="Custom Powdercoat",CONCATENATE(bpLOOKUP(Data!$AV13,"SIDEGUIDECOLOUR",CustOrdOpt,6,FALSE)," ",bpLOOKUP(Data!$AV13,"SIDEGUIDEPCCOLOUR",CustOrdOpt,6,FALSE)),bpLOOKUP(Data!$AV13,"SIDEGUIDECOLOUR",CustOrdOpt,6,FALSE)))</f>
        <v>Monument</v>
      </c>
      <c r="R13" s="96" t="str">
        <f t="array" ref="R13">bpLOOKUP(Data!$AV13,"SIDEGUIDE",CustOrdOpt,6,FALSE)</f>
        <v>53mm Standard</v>
      </c>
      <c r="S13" s="96" t="str">
        <f t="array" ref="S13">IF(Data!BE13="","",IF(bpLOOKUP(Data!$AV13,"BRAILCOLOUR",CustOrdOpt,6,FALSE)="Custom Powdercoat",CONCATENATE(Data!BO13," ",bpLOOKUP(Data!$AV13,"BRAILPCCOLOUR",CustOrdOpt,6,FALSE)),bpLOOKUP(Data!$AV13,"BRAILCOLOUR",CustOrdOpt,6,FALSE)))</f>
        <v>Monument</v>
      </c>
      <c r="T13" s="96" t="str">
        <f t="array" ref="T13">(bpLOOKUP(Data!$AV13,"CONTROLTYPE",CustOrdOpt,6,FALSE))</f>
        <v>Motorised</v>
      </c>
      <c r="U13" s="96" t="str">
        <f>IF(T13="Spring","",IF(Data!AW13="","",IFERROR(TRIM(INDEX(CHOOSE(MATCH(AU13,{"12v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Slat"},0),MS12vG,MSCWR240vG,MSCWS240vG,MSSR240vG,MSSS240vG,MF12vG,MFCWR240vG,MFCWS240vG,MFSR240vG,MFSS240vG,MSCWP240vMOG,MFSIMSG,MFCWPMOG,MSA240vG,MFA240vG),MATCH(J13,CHOOSE(MATCH(AU13,{"12v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Slat"},0),MS12vD,MSCWR240vD,MSCWS240vD,MSSR240vD,MSSS240vD,MF12vD,MFCWR240vD,MFCWS240D,MFSR240vD,MFSS240vD,MSCWP240vMOD,MFSIMSD,MFCWPMOD,MSA240vD,MFA240vD),1),MATCH(I13,CHOOSE(MATCH(AU13,{"12v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13" s="96" t="str">
        <f t="array" ref="V13">bpLOOKUP(Data!$AV13,"CONTROLSIDE",CustOrdOpt,6,FALSE)</f>
        <v>N/A</v>
      </c>
      <c r="W13" s="96" t="str">
        <f t="array" ref="W13">IF(Data!AV13="","",IF(bpLOOKUP(Data!$AV13,"CONTROLDETAILS",CustOrdOpt,6,FALSE)="CWP 1 Channel Remote","Maxim 1 Channel Remote",IF(bpLOOKUP(Data!$AV13,"CONTROLDETAILS",CustOrdOpt,6,FALSE)="CWP 5 Channel Remote","Maxim 6 Channel Remote",IF(bpLOOKUP(Data!$AV13,"CONTROLDETAILS",CustOrdOpt,6,FALSE)="CWP 16 Channel Remote","Maxim 16 Channel Remote",IF(bpLOOKUP(Data!$AV13,"CONTROLDETAILS",CustOrdOpt,6,FALSE)="CWP 1 Channel Wall Mounted Remote","Maxim 1 Channel Wall Mounted Remote",bpLOOKUP(Data!$AV13,"CONTROLDETAILS",CustOrdOpt,6,FALSE))))))</f>
        <v>Toggle Wall Switch</v>
      </c>
      <c r="X13" s="96" t="str">
        <f t="array" ref="X13">bpLOOKUP(Data!$AV13,"MANUALOVERRIDE",CustOrdOpt,6,FALSE)</f>
        <v/>
      </c>
      <c r="Y13" s="96" t="str">
        <f t="array" ref="Y13">(bpLOOKUP(Data!$AV13,"CRANK",CustOrdOpt,6,FALSE))</f>
        <v/>
      </c>
      <c r="Z13" s="96" t="str">
        <f t="array" ref="Z13">bpLOOKUP(Data!$AV13,"ACCESSORIES2",CustOrdOpt,6,FALSE)</f>
        <v/>
      </c>
      <c r="AA13" s="96" t="str">
        <f t="array" ref="AA13">(bpLOOKUP(Data!$AV13,"HOMEAUTO",CustOrdOpt,6,FALSE))</f>
        <v/>
      </c>
      <c r="AB13" s="96" t="str">
        <f>IF(Data!AV13="","",VLOOKUP(J13,HeadboxSelection,2,TRUE))</f>
        <v>180mm</v>
      </c>
      <c r="AC13" s="96" t="str">
        <f t="array" ref="AC13">bpLOOKUP(Data!$AV13,"LOCKBOTBAR",CustOrdOpt,6,FALSE)</f>
        <v/>
      </c>
      <c r="AD13" s="96" t="str">
        <f t="array" ref="AD13">bpLOOKUP(Data!$AV13,"INTLOCKH",CustOrdOpt,6,FALSE)</f>
        <v/>
      </c>
      <c r="AE13" s="96" t="str">
        <f t="array" ref="AE13">bpLOOKUP(Data!$AV13,"GUIDESTOPS",CustOrdOpt,6,FALSE)</f>
        <v>Yes</v>
      </c>
      <c r="AF13" s="96" t="str">
        <f t="array" ref="AF13">bpLOOKUP(Data!$AV13,"MASTIC",CustOrdOpt,6,FALSE)</f>
        <v/>
      </c>
      <c r="AG13" s="96" t="str">
        <f t="array" ref="AG13">bpLOOKUP(Data!$AV13,"BAY",CustOrdOpt,6,FALSE)</f>
        <v/>
      </c>
      <c r="AH13" s="96" t="str">
        <f t="array" ref="AH13">bpLOOKUP(Data!$AV13,"PACKERST",CustOrdOpt,6,FALSE)</f>
        <v/>
      </c>
      <c r="AI13" s="96" t="str">
        <f t="array" ref="AI13">bpLOOKUP(Data!$AV13,"PACKERSB",CustOrdOpt,6,FALSE)</f>
        <v/>
      </c>
      <c r="AJ13" s="96" t="str">
        <f t="array" ref="AJ13">bpLOOKUP(Data!$AV13,"PACKERSL",CustOrdOpt,6,FALSE)</f>
        <v/>
      </c>
      <c r="AK13" s="96" t="str">
        <f t="array" ref="AK13">bpLOOKUP(Data!$AV13,"PACKERSR",CustOrdOpt,6,FALSE)</f>
        <v/>
      </c>
      <c r="AL13" s="96" t="str">
        <f t="array" ref="AL13">bpLOOKUP(Data!$AV13,"ACCESSORIES3",CustOrdOpt,6,FALSE)</f>
        <v/>
      </c>
      <c r="AM13" s="96" t="str">
        <f t="array" ref="AM13">bpLOOKUP(Data!$AV13,"INSTALLATION",CustOrdOpt,6,FALSE)</f>
        <v>Installation</v>
      </c>
      <c r="AN13" s="96" t="str">
        <f t="array" ref="AN13">bpLOOKUP(Data!$AV13,"HANGHEIGHT",CustOrdOpt,6,FALSE)</f>
        <v>2.4m-2.7m</v>
      </c>
      <c r="AO13" s="96" t="str">
        <f t="array" ref="AO13">bpLOOKUP(Data!$AV13,"INSTALLG",CustOrdOpt,6,FALSE)</f>
        <v>Easy Access</v>
      </c>
      <c r="AP13" s="96" t="str">
        <f t="array" ref="AP13">bpLOOKUP(Data!$AV13,"TAKEDOWN",CustOrdOpt,6,FALSE)</f>
        <v>No</v>
      </c>
      <c r="AQ13" s="96" t="str">
        <f t="array" ref="AQ13">bpLOOKUP(Data!$AV13,"CHECKM",CustOrdOpt,6,FALSE)</f>
        <v>No</v>
      </c>
      <c r="AR13" s="96" t="str">
        <f t="array" ref="AR13">bpLOOKUP(Data!$AV13,"Notes",CustOrdOpt,6,FALSE)</f>
        <v/>
      </c>
      <c r="AS13"/>
      <c r="AT13" s="58" t="str">
        <f>IF(Data!AV13="","",VLOOKUP(T13,ControlDeduct,3,FALSE))</f>
        <v>Included with Motor</v>
      </c>
      <c r="AU13" s="58" t="str">
        <f>IF(Data!AV13="","",VLOOKUP(CONCATENATE(Data!BN13,T13,W13),MotorGrid,2,FALSE))</f>
        <v>240v CW Switch Motors Standard Slat</v>
      </c>
      <c r="AV13" s="58">
        <f>IF(Data!BA13="","",I13-VLOOKUP(T13,ControlDeduct,2,FALSE))</f>
        <v>636</v>
      </c>
      <c r="AW13" s="58">
        <f>IF(Data!BB13="","",I13-72)</f>
        <v>644</v>
      </c>
      <c r="AX13" s="58" t="str">
        <f>Data!BN13</f>
        <v>42mm Standard Slat</v>
      </c>
      <c r="AY13" s="59">
        <f>IF(Data!AW13&gt;0,((J13*24/1000-AZ13)-3),"")</f>
        <v>32.28</v>
      </c>
      <c r="AZ13" s="59">
        <f>IF(Data!AV13="","",VLOOKUP(O13,StripeConfig,2,FALSE))</f>
        <v>0</v>
      </c>
      <c r="BA13" s="58">
        <f>IF(Data!BA13="","",I13-10)</f>
        <v>706</v>
      </c>
      <c r="BB13" s="58">
        <f>IF(Data!BA13="","",J13-VLOOKUP(AB13,HeadboxSize,2,FALSE))</f>
        <v>1290</v>
      </c>
      <c r="BC13" s="58" t="str">
        <f>IF(Data!AV13="","",IF(T13="Spring","CW Products",IF(CONCATENATE(Data!BN13,Data!BO13)=VLOOKUP(CONCATENATE(Data!BN13,Data!BO13),Manufacturer,1,FALSE),VLOOKUP(CONCATENATE(Data!BN13,Data!BO13),Manufacturer,2,FALSE),"")))</f>
        <v>Davidson's</v>
      </c>
      <c r="BD13" s="58" t="str">
        <f t="array" ref="BD13">IF(A13="","",IF(AND(Q13="Main Slat Colour",Data!BO13="Custom Powdercoat"),bpLOOKUP(Data!$AV13,"PCOAT",CustOrdOpt,6,FALSE),IF(Q13="Main Slat Colour",Data!BO13,Q13)))</f>
        <v>Monument</v>
      </c>
      <c r="BE13" s="58"/>
      <c r="BF13" s="114" t="str">
        <f t="shared" si="14"/>
        <v/>
      </c>
      <c r="BG13" s="114" t="str">
        <f t="shared" si="15"/>
        <v/>
      </c>
      <c r="BH13" s="114" t="str">
        <f t="shared" si="0"/>
        <v/>
      </c>
      <c r="BI13" s="114" t="str">
        <f t="shared" si="1"/>
        <v/>
      </c>
      <c r="BJ13" s="114" t="str">
        <f t="shared" si="16"/>
        <v/>
      </c>
      <c r="BK13" s="114" t="str">
        <f t="shared" si="17"/>
        <v/>
      </c>
      <c r="BL13" s="114" t="str">
        <f t="shared" si="2"/>
        <v/>
      </c>
      <c r="BM13" s="114" t="str">
        <f t="shared" si="3"/>
        <v/>
      </c>
      <c r="BN13" s="114" t="str">
        <f t="shared" si="4"/>
        <v/>
      </c>
      <c r="BO13" s="114" t="str">
        <f t="shared" si="5"/>
        <v/>
      </c>
      <c r="BP13" s="114" t="str">
        <f t="shared" si="6"/>
        <v/>
      </c>
      <c r="BQ13" s="114" t="str">
        <f t="shared" si="7"/>
        <v/>
      </c>
      <c r="BR13" s="114" t="str">
        <f t="shared" si="18"/>
        <v/>
      </c>
      <c r="BS13" s="114" t="str">
        <f t="shared" si="19"/>
        <v/>
      </c>
      <c r="BT13" s="114" t="str">
        <f t="shared" si="8"/>
        <v/>
      </c>
      <c r="BU13" s="114" t="str">
        <f t="shared" si="9"/>
        <v/>
      </c>
      <c r="BV13" s="114" t="str">
        <f t="shared" si="20"/>
        <v/>
      </c>
      <c r="BW13" s="114" t="str">
        <f t="shared" si="21"/>
        <v/>
      </c>
      <c r="BX13" s="114" t="str">
        <f t="shared" si="10"/>
        <v/>
      </c>
      <c r="BY13" s="114" t="str">
        <f t="shared" si="11"/>
        <v/>
      </c>
      <c r="BZ13" s="114" t="str">
        <f t="shared" si="22"/>
        <v/>
      </c>
      <c r="CA13" s="114" t="str">
        <f t="shared" si="23"/>
        <v/>
      </c>
      <c r="CB13" s="114" t="str">
        <f t="shared" si="12"/>
        <v/>
      </c>
      <c r="CC13" s="114" t="str">
        <f t="shared" si="13"/>
        <v/>
      </c>
    </row>
    <row r="14" spans="1:81" s="36" customFormat="1" ht="69.75">
      <c r="A14" s="100">
        <f>Data!AW14</f>
        <v>4</v>
      </c>
      <c r="B14" s="95" t="str">
        <f>Data!AY14</f>
        <v>Bath</v>
      </c>
      <c r="C14" s="101">
        <f>SUM(Data!BA14)</f>
        <v>1454</v>
      </c>
      <c r="D14" s="102" t="str">
        <f t="array" ref="D14">bpLOOKUP(Data!$AV14,"WIDTHADD",CustOrdOpt,6,FALSE)</f>
        <v>(++)</v>
      </c>
      <c r="E14" s="101">
        <f>Data!BB14</f>
        <v>1280</v>
      </c>
      <c r="F14" s="102" t="str">
        <f t="array" ref="F14">bpLOOKUP(Data!$AV14,"HEIGHTADD",CustOrdOpt,6,FALSE)</f>
        <v>(- Box)</v>
      </c>
      <c r="G14" s="103" t="str">
        <f t="array" ref="G14">bpLOOKUP(Data!$AV14,"Size",CustOrdOpt,6,FALSE)</f>
        <v>Opening</v>
      </c>
      <c r="H14" s="104" t="str">
        <f t="array" ref="H14">bpLOOKUP(Data!$AV14,"SIDEBYSIDE",CustOrdOpt,6,FALSE)</f>
        <v>No</v>
      </c>
      <c r="I14" s="40">
        <f>IF(Data!BA14="","",IF(G14="Opening",Data!BA14-VLOOKUP(K14,FitDeduct,2,FALSE)-VLOOKUP(H14,SideDeduct,2,FALSE)+VLOOKUP(CONCATENATE(D14,R14),WidthAdd,2,FALSE),IF(G14="Making",Data!BA14)))</f>
        <v>1560</v>
      </c>
      <c r="J14" s="40">
        <f>IF(Data!BB14="","",IF(F14="(+ Box)",(E14+VLOOKUP(E14,DropAdd,2,TRUE)+20),E14+20))</f>
        <v>1300</v>
      </c>
      <c r="K14" s="96" t="str">
        <f t="array" ref="K14">bpLOOKUP(Data!$AV14,"FIT",CustOrdOpt,6,FALSE)</f>
        <v>Face</v>
      </c>
      <c r="L14" s="96" t="str">
        <f t="array" ref="L14">bpLOOKUP(Data!$AV14,"FIXING",CustOrdOpt,6,FALSE)</f>
        <v>Brick</v>
      </c>
      <c r="M14" s="96" t="str">
        <f t="array" ref="M14">IF(Data!BE14="","",IF(Data!BO14="Custom Powdercoat",CONCATENATE(Data!BN14," ",Data!BO14," ",bpLOOKUP(Data!$AV14,"PCOAT",CustOrdOpt,6,FALSE)),(MID(Data!BE14,6,80))))</f>
        <v>42mm Standard Slat Monument</v>
      </c>
      <c r="N14" s="96" t="str">
        <f t="array" ref="N14">IF(Data!BE14="","",IF(bpLOOKUP(Data!$AV14,"SLATSTRIPE",CustOrdOpt,6,FALSE)="Custom Powdercoat",CONCATENATE(Data!BN14," ",Data!BO14," ",bpLOOKUP(Data!$AV14,"PCOATSTRIPE",CustOrdOpt,6,FALSE)),bpLOOKUP(Data!$AV14,"SLATSTRIPE",CustOrdOpt,6,FALSE)))</f>
        <v>None</v>
      </c>
      <c r="O14" s="96" t="str">
        <f t="array" ref="O14">bpLOOKUP(Data!$AV14,"STRIPECONFIG",CustOrdOpt,6,FALSE)</f>
        <v>No Stripe</v>
      </c>
      <c r="P14" s="96" t="str">
        <f t="array" ref="P14">IF(Data!BE14="","",IF(bpLOOKUP(Data!$AV14,"HEADBOXDETAILS",CustOrdOpt,6,FALSE)="Custom Powdercoat",CONCATENATE(Data!BO14," ",bpLOOKUP(Data!$AV14,"HBOXGUIDECOLOUR",CustOrdOpt,6,FALSE)),bpLOOKUP(Data!$AV14,"HEADBOXDETAILS",CustOrdOpt,6,FALSE)))</f>
        <v>Monument</v>
      </c>
      <c r="Q14" s="96" t="str">
        <f t="array" ref="Q14">IF(Data!BE14="","",IF(bpLOOKUP(Data!$AV14,"SIDEGUIDECOLOUR",CustOrdOpt,6,FALSE)="Custom Powdercoat",CONCATENATE(bpLOOKUP(Data!$AV14,"SIDEGUIDECOLOUR",CustOrdOpt,6,FALSE)," ",bpLOOKUP(Data!$AV14,"SIDEGUIDEPCCOLOUR",CustOrdOpt,6,FALSE)),bpLOOKUP(Data!$AV14,"SIDEGUIDECOLOUR",CustOrdOpt,6,FALSE)))</f>
        <v>Monument</v>
      </c>
      <c r="R14" s="96" t="str">
        <f t="array" ref="R14">bpLOOKUP(Data!$AV14,"SIDEGUIDE",CustOrdOpt,6,FALSE)</f>
        <v>53mm Standard</v>
      </c>
      <c r="S14" s="96" t="str">
        <f t="array" ref="S14">IF(Data!BE14="","",IF(bpLOOKUP(Data!$AV14,"BRAILCOLOUR",CustOrdOpt,6,FALSE)="Custom Powdercoat",CONCATENATE(Data!BO14," ",bpLOOKUP(Data!$AV14,"BRAILPCCOLOUR",CustOrdOpt,6,FALSE)),bpLOOKUP(Data!$AV14,"BRAILCOLOUR",CustOrdOpt,6,FALSE)))</f>
        <v>Monument</v>
      </c>
      <c r="T14" s="96" t="str">
        <f t="array" ref="T14">(bpLOOKUP(Data!$AV14,"CONTROLTYPE",CustOrdOpt,6,FALSE))</f>
        <v>Motorised</v>
      </c>
      <c r="U14" s="96" t="str">
        <f>IF(T14="Spring","",IF(Data!AW14="","",IFERROR(TRIM(INDEX(CHOOSE(MATCH(AU14,{"12v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Slat"},0),MS12vG,MSCWR240vG,MSCWS240vG,MSSR240vG,MSSS240vG,MF12vG,MFCWR240vG,MFCWS240vG,MFSR240vG,MFSS240vG,MSCWP240vMOG,MFSIMSG,MFCWPMOG,MSA240vG,MFA240vG),MATCH(J14,CHOOSE(MATCH(AU14,{"12v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Slat"},0),MS12vD,MSCWR240vD,MSCWS240vD,MSSR240vD,MSSS240vD,MF12vD,MFCWR240vD,MFCWS240D,MFSR240vD,MFSS240vD,MSCWP240vMOD,MFSIMSD,MFCWPMOD,MSA240vD,MFA240vD),1),MATCH(I14,CHOOSE(MATCH(AU14,{"12v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14" s="96" t="str">
        <f t="array" ref="V14">bpLOOKUP(Data!$AV14,"CONTROLSIDE",CustOrdOpt,6,FALSE)</f>
        <v>N/A</v>
      </c>
      <c r="W14" s="96" t="str">
        <f t="array" ref="W14">IF(Data!AV14="","",IF(bpLOOKUP(Data!$AV14,"CONTROLDETAILS",CustOrdOpt,6,FALSE)="CWP 1 Channel Remote","Maxim 1 Channel Remote",IF(bpLOOKUP(Data!$AV14,"CONTROLDETAILS",CustOrdOpt,6,FALSE)="CWP 5 Channel Remote","Maxim 6 Channel Remote",IF(bpLOOKUP(Data!$AV14,"CONTROLDETAILS",CustOrdOpt,6,FALSE)="CWP 16 Channel Remote","Maxim 16 Channel Remote",IF(bpLOOKUP(Data!$AV14,"CONTROLDETAILS",CustOrdOpt,6,FALSE)="CWP 1 Channel Wall Mounted Remote","Maxim 1 Channel Wall Mounted Remote",bpLOOKUP(Data!$AV14,"CONTROLDETAILS",CustOrdOpt,6,FALSE))))))</f>
        <v>Toggle Wall Switch</v>
      </c>
      <c r="X14" s="96" t="str">
        <f t="array" ref="X14">bpLOOKUP(Data!$AV14,"MANUALOVERRIDE",CustOrdOpt,6,FALSE)</f>
        <v/>
      </c>
      <c r="Y14" s="96" t="str">
        <f t="array" ref="Y14">(bpLOOKUP(Data!$AV14,"CRANK",CustOrdOpt,6,FALSE))</f>
        <v/>
      </c>
      <c r="Z14" s="96" t="str">
        <f t="array" ref="Z14">bpLOOKUP(Data!$AV14,"ACCESSORIES2",CustOrdOpt,6,FALSE)</f>
        <v/>
      </c>
      <c r="AA14" s="96" t="str">
        <f t="array" ref="AA14">(bpLOOKUP(Data!$AV14,"HOMEAUTO",CustOrdOpt,6,FALSE))</f>
        <v/>
      </c>
      <c r="AB14" s="96" t="str">
        <f>IF(Data!AV14="","",VLOOKUP(J14,HeadboxSelection,2,TRUE))</f>
        <v>180mm</v>
      </c>
      <c r="AC14" s="96" t="str">
        <f t="array" ref="AC14">bpLOOKUP(Data!$AV14,"LOCKBOTBAR",CustOrdOpt,6,FALSE)</f>
        <v/>
      </c>
      <c r="AD14" s="96" t="str">
        <f t="array" ref="AD14">bpLOOKUP(Data!$AV14,"INTLOCKH",CustOrdOpt,6,FALSE)</f>
        <v/>
      </c>
      <c r="AE14" s="96" t="str">
        <f t="array" ref="AE14">bpLOOKUP(Data!$AV14,"GUIDESTOPS",CustOrdOpt,6,FALSE)</f>
        <v>Yes</v>
      </c>
      <c r="AF14" s="96" t="str">
        <f t="array" ref="AF14">bpLOOKUP(Data!$AV14,"MASTIC",CustOrdOpt,6,FALSE)</f>
        <v/>
      </c>
      <c r="AG14" s="96" t="str">
        <f t="array" ref="AG14">bpLOOKUP(Data!$AV14,"BAY",CustOrdOpt,6,FALSE)</f>
        <v/>
      </c>
      <c r="AH14" s="96" t="str">
        <f t="array" ref="AH14">bpLOOKUP(Data!$AV14,"PACKERST",CustOrdOpt,6,FALSE)</f>
        <v/>
      </c>
      <c r="AI14" s="96" t="str">
        <f t="array" ref="AI14">bpLOOKUP(Data!$AV14,"PACKERSB",CustOrdOpt,6,FALSE)</f>
        <v/>
      </c>
      <c r="AJ14" s="96" t="str">
        <f t="array" ref="AJ14">bpLOOKUP(Data!$AV14,"PACKERSL",CustOrdOpt,6,FALSE)</f>
        <v/>
      </c>
      <c r="AK14" s="96" t="str">
        <f t="array" ref="AK14">bpLOOKUP(Data!$AV14,"PACKERSR",CustOrdOpt,6,FALSE)</f>
        <v/>
      </c>
      <c r="AL14" s="96" t="str">
        <f t="array" ref="AL14">bpLOOKUP(Data!$AV14,"ACCESSORIES3",CustOrdOpt,6,FALSE)</f>
        <v/>
      </c>
      <c r="AM14" s="96" t="str">
        <f t="array" ref="AM14">bpLOOKUP(Data!$AV14,"INSTALLATION",CustOrdOpt,6,FALSE)</f>
        <v>Installation</v>
      </c>
      <c r="AN14" s="96" t="str">
        <f t="array" ref="AN14">bpLOOKUP(Data!$AV14,"HANGHEIGHT",CustOrdOpt,6,FALSE)</f>
        <v>2.4m-2.7m</v>
      </c>
      <c r="AO14" s="96" t="str">
        <f t="array" ref="AO14">bpLOOKUP(Data!$AV14,"INSTALLG",CustOrdOpt,6,FALSE)</f>
        <v>Easy Access</v>
      </c>
      <c r="AP14" s="96" t="str">
        <f t="array" ref="AP14">bpLOOKUP(Data!$AV14,"TAKEDOWN",CustOrdOpt,6,FALSE)</f>
        <v>No</v>
      </c>
      <c r="AQ14" s="96" t="str">
        <f t="array" ref="AQ14">bpLOOKUP(Data!$AV14,"CHECKM",CustOrdOpt,6,FALSE)</f>
        <v>No</v>
      </c>
      <c r="AR14" s="96" t="str">
        <f t="array" ref="AR14">bpLOOKUP(Data!$AV14,"Notes",CustOrdOpt,6,FALSE)</f>
        <v/>
      </c>
      <c r="AS14"/>
      <c r="AT14" s="58" t="str">
        <f>IF(Data!AV14="","",VLOOKUP(T14,ControlDeduct,3,FALSE))</f>
        <v>Included with Motor</v>
      </c>
      <c r="AU14" s="58" t="str">
        <f>IF(Data!AV14="","",VLOOKUP(CONCATENATE(Data!BN14,T14,W14),MotorGrid,2,FALSE))</f>
        <v>240v CW Switch Motors Standard Slat</v>
      </c>
      <c r="AV14" s="58">
        <f>IF(Data!BA14="","",I14-VLOOKUP(T14,ControlDeduct,2,FALSE))</f>
        <v>1480</v>
      </c>
      <c r="AW14" s="58">
        <f>IF(Data!BB14="","",I14-72)</f>
        <v>1488</v>
      </c>
      <c r="AX14" s="58" t="str">
        <f>Data!BN14</f>
        <v>42mm Standard Slat</v>
      </c>
      <c r="AY14" s="59">
        <f>IF(Data!AW14&gt;0,((J14*24/1000-AZ14)-3),"")</f>
        <v>28.2</v>
      </c>
      <c r="AZ14" s="59">
        <f>IF(Data!AV14="","",VLOOKUP(O14,StripeConfig,2,FALSE))</f>
        <v>0</v>
      </c>
      <c r="BA14" s="58">
        <f>IF(Data!BA14="","",I14-10)</f>
        <v>1550</v>
      </c>
      <c r="BB14" s="58">
        <f>IF(Data!BA14="","",J14-VLOOKUP(AB14,HeadboxSize,2,FALSE))</f>
        <v>1120</v>
      </c>
      <c r="BC14" s="58" t="str">
        <f>IF(Data!AV14="","",IF(T14="Spring","CW Products",IF(CONCATENATE(Data!BN14,Data!BO14)=VLOOKUP(CONCATENATE(Data!BN14,Data!BO14),Manufacturer,1,FALSE),VLOOKUP(CONCATENATE(Data!BN14,Data!BO14),Manufacturer,2,FALSE),"")))</f>
        <v>Davidson's</v>
      </c>
      <c r="BD14" s="58" t="str">
        <f t="array" ref="BD14">IF(A14="","",IF(AND(Q14="Main Slat Colour",Data!BO14="Custom Powdercoat"),bpLOOKUP(Data!$AV14,"PCOAT",CustOrdOpt,6,FALSE),IF(Q14="Main Slat Colour",Data!BO14,Q14)))</f>
        <v>Monument</v>
      </c>
      <c r="BE14" s="58"/>
      <c r="BF14" s="114" t="str">
        <f t="shared" si="14"/>
        <v/>
      </c>
      <c r="BG14" s="114" t="str">
        <f t="shared" si="15"/>
        <v/>
      </c>
      <c r="BH14" s="114" t="str">
        <f t="shared" si="0"/>
        <v/>
      </c>
      <c r="BI14" s="114" t="str">
        <f t="shared" si="1"/>
        <v/>
      </c>
      <c r="BJ14" s="114" t="str">
        <f t="shared" si="16"/>
        <v/>
      </c>
      <c r="BK14" s="114" t="str">
        <f t="shared" si="17"/>
        <v/>
      </c>
      <c r="BL14" s="114" t="str">
        <f t="shared" si="2"/>
        <v/>
      </c>
      <c r="BM14" s="114" t="str">
        <f t="shared" si="3"/>
        <v/>
      </c>
      <c r="BN14" s="114" t="str">
        <f t="shared" si="4"/>
        <v/>
      </c>
      <c r="BO14" s="114" t="str">
        <f t="shared" si="5"/>
        <v/>
      </c>
      <c r="BP14" s="114" t="str">
        <f t="shared" si="6"/>
        <v/>
      </c>
      <c r="BQ14" s="114" t="str">
        <f t="shared" si="7"/>
        <v/>
      </c>
      <c r="BR14" s="114" t="str">
        <f t="shared" si="18"/>
        <v/>
      </c>
      <c r="BS14" s="114" t="str">
        <f t="shared" si="19"/>
        <v/>
      </c>
      <c r="BT14" s="114" t="str">
        <f t="shared" si="8"/>
        <v/>
      </c>
      <c r="BU14" s="114" t="str">
        <f t="shared" si="9"/>
        <v/>
      </c>
      <c r="BV14" s="114" t="str">
        <f t="shared" si="20"/>
        <v/>
      </c>
      <c r="BW14" s="114" t="str">
        <f t="shared" si="21"/>
        <v/>
      </c>
      <c r="BX14" s="114" t="str">
        <f t="shared" si="10"/>
        <v/>
      </c>
      <c r="BY14" s="114" t="str">
        <f t="shared" si="11"/>
        <v/>
      </c>
      <c r="BZ14" s="114" t="str">
        <f t="shared" si="22"/>
        <v/>
      </c>
      <c r="CA14" s="114" t="str">
        <f t="shared" si="23"/>
        <v/>
      </c>
      <c r="CB14" s="114" t="str">
        <f t="shared" si="12"/>
        <v/>
      </c>
      <c r="CC14" s="114" t="str">
        <f t="shared" si="13"/>
        <v/>
      </c>
    </row>
    <row r="15" spans="1:81" s="36" customFormat="1" ht="69.75">
      <c r="A15" s="100">
        <f>Data!AW15</f>
        <v>5</v>
      </c>
      <c r="B15" s="95" t="str">
        <f>Data!AY15</f>
        <v>Bed 2</v>
      </c>
      <c r="C15" s="101">
        <f>SUM(Data!BA15)</f>
        <v>1813</v>
      </c>
      <c r="D15" s="102" t="str">
        <f t="array" ref="D15">bpLOOKUP(Data!$AV15,"WIDTHADD",CustOrdOpt,6,FALSE)</f>
        <v>(++)</v>
      </c>
      <c r="E15" s="101">
        <f>Data!BB15</f>
        <v>1450</v>
      </c>
      <c r="F15" s="102" t="str">
        <f t="array" ref="F15">bpLOOKUP(Data!$AV15,"HEIGHTADD",CustOrdOpt,6,FALSE)</f>
        <v>(- Box)</v>
      </c>
      <c r="G15" s="103" t="str">
        <f t="array" ref="G15">bpLOOKUP(Data!$AV15,"Size",CustOrdOpt,6,FALSE)</f>
        <v>Opening</v>
      </c>
      <c r="H15" s="104" t="str">
        <f t="array" ref="H15">bpLOOKUP(Data!$AV15,"SIDEBYSIDE",CustOrdOpt,6,FALSE)</f>
        <v>No</v>
      </c>
      <c r="I15" s="40">
        <f>IF(Data!BA15="","",IF(G15="Opening",Data!BA15-VLOOKUP(K15,FitDeduct,2,FALSE)-VLOOKUP(H15,SideDeduct,2,FALSE)+VLOOKUP(CONCATENATE(D15,R15),WidthAdd,2,FALSE),IF(G15="Making",Data!BA15)))</f>
        <v>1919</v>
      </c>
      <c r="J15" s="40">
        <f>IF(Data!BB15="","",IF(F15="(+ Box)",(E15+VLOOKUP(E15,DropAdd,2,TRUE)+20),E15+20))</f>
        <v>1470</v>
      </c>
      <c r="K15" s="96" t="str">
        <f t="array" ref="K15">bpLOOKUP(Data!$AV15,"FIT",CustOrdOpt,6,FALSE)</f>
        <v>Face</v>
      </c>
      <c r="L15" s="96" t="str">
        <f t="array" ref="L15">bpLOOKUP(Data!$AV15,"FIXING",CustOrdOpt,6,FALSE)</f>
        <v>Brick</v>
      </c>
      <c r="M15" s="96" t="str">
        <f t="array" ref="M15">IF(Data!BE15="","",IF(Data!BO15="Custom Powdercoat",CONCATENATE(Data!BN15," ",Data!BO15," ",bpLOOKUP(Data!$AV15,"PCOAT",CustOrdOpt,6,FALSE)),(MID(Data!BE15,6,80))))</f>
        <v>42mm Standard Slat Monument</v>
      </c>
      <c r="N15" s="96" t="str">
        <f t="array" ref="N15">IF(Data!BE15="","",IF(bpLOOKUP(Data!$AV15,"SLATSTRIPE",CustOrdOpt,6,FALSE)="Custom Powdercoat",CONCATENATE(Data!BN15," ",Data!BO15," ",bpLOOKUP(Data!$AV15,"PCOATSTRIPE",CustOrdOpt,6,FALSE)),bpLOOKUP(Data!$AV15,"SLATSTRIPE",CustOrdOpt,6,FALSE)))</f>
        <v>None</v>
      </c>
      <c r="O15" s="96" t="str">
        <f t="array" ref="O15">bpLOOKUP(Data!$AV15,"STRIPECONFIG",CustOrdOpt,6,FALSE)</f>
        <v>No Stripe</v>
      </c>
      <c r="P15" s="96" t="str">
        <f t="array" ref="P15">IF(Data!BE15="","",IF(bpLOOKUP(Data!$AV15,"HEADBOXDETAILS",CustOrdOpt,6,FALSE)="Custom Powdercoat",CONCATENATE(Data!BO15," ",bpLOOKUP(Data!$AV15,"HBOXGUIDECOLOUR",CustOrdOpt,6,FALSE)),bpLOOKUP(Data!$AV15,"HEADBOXDETAILS",CustOrdOpt,6,FALSE)))</f>
        <v>Monument</v>
      </c>
      <c r="Q15" s="96" t="str">
        <f t="array" ref="Q15">IF(Data!BE15="","",IF(bpLOOKUP(Data!$AV15,"SIDEGUIDECOLOUR",CustOrdOpt,6,FALSE)="Custom Powdercoat",CONCATENATE(bpLOOKUP(Data!$AV15,"SIDEGUIDECOLOUR",CustOrdOpt,6,FALSE)," ",bpLOOKUP(Data!$AV15,"SIDEGUIDEPCCOLOUR",CustOrdOpt,6,FALSE)),bpLOOKUP(Data!$AV15,"SIDEGUIDECOLOUR",CustOrdOpt,6,FALSE)))</f>
        <v>Monument</v>
      </c>
      <c r="R15" s="96" t="str">
        <f t="array" ref="R15">bpLOOKUP(Data!$AV15,"SIDEGUIDE",CustOrdOpt,6,FALSE)</f>
        <v>53mm Standard</v>
      </c>
      <c r="S15" s="96" t="str">
        <f t="array" ref="S15">IF(Data!BE15="","",IF(bpLOOKUP(Data!$AV15,"BRAILCOLOUR",CustOrdOpt,6,FALSE)="Custom Powdercoat",CONCATENATE(Data!BO15," ",bpLOOKUP(Data!$AV15,"BRAILPCCOLOUR",CustOrdOpt,6,FALSE)),bpLOOKUP(Data!$AV15,"BRAILCOLOUR",CustOrdOpt,6,FALSE)))</f>
        <v>Monument</v>
      </c>
      <c r="T15" s="96" t="str">
        <f t="array" ref="T15">(bpLOOKUP(Data!$AV15,"CONTROLTYPE",CustOrdOpt,6,FALSE))</f>
        <v>Motorised</v>
      </c>
      <c r="U15" s="96" t="str">
        <f>IF(T15="Spring","",IF(Data!AW15="","",IFERROR(TRIM(INDEX(CHOOSE(MATCH(AU15,{"12v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Slat"},0),MS12vG,MSCWR240vG,MSCWS240vG,MSSR240vG,MSSS240vG,MF12vG,MFCWR240vG,MFCWS240vG,MFSR240vG,MFSS240vG,MSCWP240vMOG,MFSIMSG,MFCWPMOG,MSA240vG,MFA240vG),MATCH(J15,CHOOSE(MATCH(AU15,{"12v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Slat"},0),MS12vD,MSCWR240vD,MSCWS240vD,MSSR240vD,MSSS240vD,MF12vD,MFCWR240vD,MFCWS240D,MFSR240vD,MFSS240vD,MSCWP240vMOD,MFSIMSD,MFCWPMOD,MSA240vD,MFA240vD),1),MATCH(I15,CHOOSE(MATCH(AU15,{"12v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15" s="96" t="str">
        <f t="array" ref="V15">bpLOOKUP(Data!$AV15,"CONTROLSIDE",CustOrdOpt,6,FALSE)</f>
        <v>N/A</v>
      </c>
      <c r="W15" s="96" t="str">
        <f t="array" ref="W15">IF(Data!AV15="","",IF(bpLOOKUP(Data!$AV15,"CONTROLDETAILS",CustOrdOpt,6,FALSE)="CWP 1 Channel Remote","Maxim 1 Channel Remote",IF(bpLOOKUP(Data!$AV15,"CONTROLDETAILS",CustOrdOpt,6,FALSE)="CWP 5 Channel Remote","Maxim 6 Channel Remote",IF(bpLOOKUP(Data!$AV15,"CONTROLDETAILS",CustOrdOpt,6,FALSE)="CWP 16 Channel Remote","Maxim 16 Channel Remote",IF(bpLOOKUP(Data!$AV15,"CONTROLDETAILS",CustOrdOpt,6,FALSE)="CWP 1 Channel Wall Mounted Remote","Maxim 1 Channel Wall Mounted Remote",bpLOOKUP(Data!$AV15,"CONTROLDETAILS",CustOrdOpt,6,FALSE))))))</f>
        <v>Toggle Wall Switch</v>
      </c>
      <c r="X15" s="96" t="str">
        <f t="array" ref="X15">bpLOOKUP(Data!$AV15,"MANUALOVERRIDE",CustOrdOpt,6,FALSE)</f>
        <v/>
      </c>
      <c r="Y15" s="96" t="str">
        <f t="array" ref="Y15">(bpLOOKUP(Data!$AV15,"CRANK",CustOrdOpt,6,FALSE))</f>
        <v/>
      </c>
      <c r="Z15" s="96" t="str">
        <f t="array" ref="Z15">bpLOOKUP(Data!$AV15,"ACCESSORIES2",CustOrdOpt,6,FALSE)</f>
        <v/>
      </c>
      <c r="AA15" s="96" t="str">
        <f t="array" ref="AA15">(bpLOOKUP(Data!$AV15,"HOMEAUTO",CustOrdOpt,6,FALSE))</f>
        <v/>
      </c>
      <c r="AB15" s="96" t="str">
        <f>IF(Data!AV15="","",VLOOKUP(J15,HeadboxSelection,2,TRUE))</f>
        <v>180mm</v>
      </c>
      <c r="AC15" s="96" t="str">
        <f t="array" ref="AC15">bpLOOKUP(Data!$AV15,"LOCKBOTBAR",CustOrdOpt,6,FALSE)</f>
        <v/>
      </c>
      <c r="AD15" s="96" t="str">
        <f t="array" ref="AD15">bpLOOKUP(Data!$AV15,"INTLOCKH",CustOrdOpt,6,FALSE)</f>
        <v/>
      </c>
      <c r="AE15" s="96" t="str">
        <f t="array" ref="AE15">bpLOOKUP(Data!$AV15,"GUIDESTOPS",CustOrdOpt,6,FALSE)</f>
        <v>Yes</v>
      </c>
      <c r="AF15" s="96" t="str">
        <f t="array" ref="AF15">bpLOOKUP(Data!$AV15,"MASTIC",CustOrdOpt,6,FALSE)</f>
        <v/>
      </c>
      <c r="AG15" s="96" t="str">
        <f t="array" ref="AG15">bpLOOKUP(Data!$AV15,"BAY",CustOrdOpt,6,FALSE)</f>
        <v/>
      </c>
      <c r="AH15" s="96" t="str">
        <f t="array" ref="AH15">bpLOOKUP(Data!$AV15,"PACKERST",CustOrdOpt,6,FALSE)</f>
        <v/>
      </c>
      <c r="AI15" s="96" t="str">
        <f t="array" ref="AI15">bpLOOKUP(Data!$AV15,"PACKERSB",CustOrdOpt,6,FALSE)</f>
        <v/>
      </c>
      <c r="AJ15" s="96" t="str">
        <f t="array" ref="AJ15">bpLOOKUP(Data!$AV15,"PACKERSL",CustOrdOpt,6,FALSE)</f>
        <v/>
      </c>
      <c r="AK15" s="96" t="str">
        <f t="array" ref="AK15">bpLOOKUP(Data!$AV15,"PACKERSR",CustOrdOpt,6,FALSE)</f>
        <v/>
      </c>
      <c r="AL15" s="96" t="str">
        <f t="array" ref="AL15">bpLOOKUP(Data!$AV15,"ACCESSORIES3",CustOrdOpt,6,FALSE)</f>
        <v/>
      </c>
      <c r="AM15" s="96" t="str">
        <f t="array" ref="AM15">bpLOOKUP(Data!$AV15,"INSTALLATION",CustOrdOpt,6,FALSE)</f>
        <v>Installation</v>
      </c>
      <c r="AN15" s="96" t="str">
        <f t="array" ref="AN15">bpLOOKUP(Data!$AV15,"HANGHEIGHT",CustOrdOpt,6,FALSE)</f>
        <v>2.4m-2.7m</v>
      </c>
      <c r="AO15" s="96" t="str">
        <f t="array" ref="AO15">bpLOOKUP(Data!$AV15,"INSTALLG",CustOrdOpt,6,FALSE)</f>
        <v>Easy Access</v>
      </c>
      <c r="AP15" s="96" t="str">
        <f t="array" ref="AP15">bpLOOKUP(Data!$AV15,"TAKEDOWN",CustOrdOpt,6,FALSE)</f>
        <v>No</v>
      </c>
      <c r="AQ15" s="96" t="str">
        <f t="array" ref="AQ15">bpLOOKUP(Data!$AV15,"CHECKM",CustOrdOpt,6,FALSE)</f>
        <v>No</v>
      </c>
      <c r="AR15" s="96" t="str">
        <f t="array" ref="AR15">bpLOOKUP(Data!$AV15,"Notes",CustOrdOpt,6,FALSE)</f>
        <v/>
      </c>
      <c r="AS15"/>
      <c r="AT15" s="58" t="str">
        <f>IF(Data!AV15="","",VLOOKUP(T15,ControlDeduct,3,FALSE))</f>
        <v>Included with Motor</v>
      </c>
      <c r="AU15" s="58" t="str">
        <f>IF(Data!AV15="","",VLOOKUP(CONCATENATE(Data!BN15,T15,W15),MotorGrid,2,FALSE))</f>
        <v>240v CW Switch Motors Standard Slat</v>
      </c>
      <c r="AV15" s="58">
        <f>IF(Data!BA15="","",I15-VLOOKUP(T15,ControlDeduct,2,FALSE))</f>
        <v>1839</v>
      </c>
      <c r="AW15" s="58">
        <f>IF(Data!BB15="","",I15-72)</f>
        <v>1847</v>
      </c>
      <c r="AX15" s="58" t="str">
        <f>Data!BN15</f>
        <v>42mm Standard Slat</v>
      </c>
      <c r="AY15" s="59">
        <f>IF(Data!AW15&gt;0,((J15*24/1000-AZ15)-3),"")</f>
        <v>32.28</v>
      </c>
      <c r="AZ15" s="59">
        <f>IF(Data!AV15="","",VLOOKUP(O15,StripeConfig,2,FALSE))</f>
        <v>0</v>
      </c>
      <c r="BA15" s="58">
        <f>IF(Data!BA15="","",I15-10)</f>
        <v>1909</v>
      </c>
      <c r="BB15" s="58">
        <f>IF(Data!BA15="","",J15-VLOOKUP(AB15,HeadboxSize,2,FALSE))</f>
        <v>1290</v>
      </c>
      <c r="BC15" s="58" t="str">
        <f>IF(Data!AV15="","",IF(T15="Spring","CW Products",IF(CONCATENATE(Data!BN15,Data!BO15)=VLOOKUP(CONCATENATE(Data!BN15,Data!BO15),Manufacturer,1,FALSE),VLOOKUP(CONCATENATE(Data!BN15,Data!BO15),Manufacturer,2,FALSE),"")))</f>
        <v>Davidson's</v>
      </c>
      <c r="BD15" s="58" t="str">
        <f t="array" ref="BD15">IF(A15="","",IF(AND(Q15="Main Slat Colour",Data!BO15="Custom Powdercoat"),bpLOOKUP(Data!$AV15,"PCOAT",CustOrdOpt,6,FALSE),IF(Q15="Main Slat Colour",Data!BO15,Q15)))</f>
        <v>Monument</v>
      </c>
      <c r="BE15" s="58"/>
      <c r="BF15" s="114" t="str">
        <f t="shared" si="14"/>
        <v/>
      </c>
      <c r="BG15" s="114" t="str">
        <f t="shared" si="15"/>
        <v/>
      </c>
      <c r="BH15" s="114" t="str">
        <f t="shared" si="0"/>
        <v/>
      </c>
      <c r="BI15" s="114" t="str">
        <f t="shared" si="1"/>
        <v/>
      </c>
      <c r="BJ15" s="114" t="str">
        <f t="shared" si="16"/>
        <v/>
      </c>
      <c r="BK15" s="114" t="str">
        <f t="shared" si="17"/>
        <v/>
      </c>
      <c r="BL15" s="114" t="str">
        <f t="shared" si="2"/>
        <v/>
      </c>
      <c r="BM15" s="114" t="str">
        <f t="shared" si="3"/>
        <v/>
      </c>
      <c r="BN15" s="114" t="str">
        <f t="shared" si="4"/>
        <v/>
      </c>
      <c r="BO15" s="114" t="str">
        <f t="shared" si="5"/>
        <v/>
      </c>
      <c r="BP15" s="114" t="str">
        <f t="shared" si="6"/>
        <v/>
      </c>
      <c r="BQ15" s="114" t="str">
        <f t="shared" si="7"/>
        <v/>
      </c>
      <c r="BR15" s="114" t="str">
        <f t="shared" si="18"/>
        <v/>
      </c>
      <c r="BS15" s="114" t="str">
        <f t="shared" si="19"/>
        <v/>
      </c>
      <c r="BT15" s="114" t="str">
        <f t="shared" si="8"/>
        <v/>
      </c>
      <c r="BU15" s="114" t="str">
        <f t="shared" si="9"/>
        <v/>
      </c>
      <c r="BV15" s="114" t="str">
        <f t="shared" si="20"/>
        <v/>
      </c>
      <c r="BW15" s="114" t="str">
        <f t="shared" si="21"/>
        <v/>
      </c>
      <c r="BX15" s="114" t="str">
        <f t="shared" si="10"/>
        <v/>
      </c>
      <c r="BY15" s="114" t="str">
        <f t="shared" si="11"/>
        <v/>
      </c>
      <c r="BZ15" s="114" t="str">
        <f t="shared" si="22"/>
        <v/>
      </c>
      <c r="CA15" s="114" t="str">
        <f t="shared" si="23"/>
        <v/>
      </c>
      <c r="CB15" s="114" t="str">
        <f t="shared" si="12"/>
        <v/>
      </c>
      <c r="CC15" s="114" t="str">
        <f t="shared" si="13"/>
        <v/>
      </c>
    </row>
    <row r="16" spans="1:81" s="36" customFormat="1" ht="69.75">
      <c r="A16" s="100">
        <f>Data!AW16</f>
        <v>6</v>
      </c>
      <c r="B16" s="95" t="str">
        <f>Data!AY16</f>
        <v>Bed 3</v>
      </c>
      <c r="C16" s="101">
        <f>SUM(Data!BA16)</f>
        <v>1812</v>
      </c>
      <c r="D16" s="102" t="str">
        <f t="array" ref="D16">bpLOOKUP(Data!$AV16,"WIDTHADD",CustOrdOpt,6,FALSE)</f>
        <v>(++)</v>
      </c>
      <c r="E16" s="101">
        <f>Data!BB16</f>
        <v>1450</v>
      </c>
      <c r="F16" s="102" t="str">
        <f t="array" ref="F16">bpLOOKUP(Data!$AV16,"HEIGHTADD",CustOrdOpt,6,FALSE)</f>
        <v>(- Box)</v>
      </c>
      <c r="G16" s="103" t="str">
        <f t="array" ref="G16">bpLOOKUP(Data!$AV16,"Size",CustOrdOpt,6,FALSE)</f>
        <v>Opening</v>
      </c>
      <c r="H16" s="104" t="str">
        <f t="array" ref="H16">bpLOOKUP(Data!$AV16,"SIDEBYSIDE",CustOrdOpt,6,FALSE)</f>
        <v>No</v>
      </c>
      <c r="I16" s="40">
        <f>IF(Data!BA16="","",IF(G16="Opening",Data!BA16-VLOOKUP(K16,FitDeduct,2,FALSE)-VLOOKUP(H16,SideDeduct,2,FALSE)+VLOOKUP(CONCATENATE(D16,R16),WidthAdd,2,FALSE),IF(G16="Making",Data!BA16)))</f>
        <v>1918</v>
      </c>
      <c r="J16" s="40">
        <f>IF(Data!BB16="","",IF(F16="(+ Box)",(E16+VLOOKUP(E16,DropAdd,2,TRUE)+20),E16+20))</f>
        <v>1470</v>
      </c>
      <c r="K16" s="96" t="str">
        <f t="array" ref="K16">bpLOOKUP(Data!$AV16,"FIT",CustOrdOpt,6,FALSE)</f>
        <v>Face</v>
      </c>
      <c r="L16" s="96" t="str">
        <f t="array" ref="L16">bpLOOKUP(Data!$AV16,"FIXING",CustOrdOpt,6,FALSE)</f>
        <v>Brick</v>
      </c>
      <c r="M16" s="96" t="str">
        <f t="array" ref="M16">IF(Data!BE16="","",IF(Data!BO16="Custom Powdercoat",CONCATENATE(Data!BN16," ",Data!BO16," ",bpLOOKUP(Data!$AV16,"PCOAT",CustOrdOpt,6,FALSE)),(MID(Data!BE16,6,80))))</f>
        <v>42mm Standard Slat Dune</v>
      </c>
      <c r="N16" s="96" t="str">
        <f t="array" ref="N16">IF(Data!BE16="","",IF(bpLOOKUP(Data!$AV16,"SLATSTRIPE",CustOrdOpt,6,FALSE)="Custom Powdercoat",CONCATENATE(Data!BN16," ",Data!BO16," ",bpLOOKUP(Data!$AV16,"PCOATSTRIPE",CustOrdOpt,6,FALSE)),bpLOOKUP(Data!$AV16,"SLATSTRIPE",CustOrdOpt,6,FALSE)))</f>
        <v>None</v>
      </c>
      <c r="O16" s="96" t="str">
        <f t="array" ref="O16">bpLOOKUP(Data!$AV16,"STRIPECONFIG",CustOrdOpt,6,FALSE)</f>
        <v>No Stripe</v>
      </c>
      <c r="P16" s="96" t="str">
        <f t="array" ref="P16">IF(Data!BE16="","",IF(bpLOOKUP(Data!$AV16,"HEADBOXDETAILS",CustOrdOpt,6,FALSE)="Custom Powdercoat",CONCATENATE(Data!BO16," ",bpLOOKUP(Data!$AV16,"HBOXGUIDECOLOUR",CustOrdOpt,6,FALSE)),bpLOOKUP(Data!$AV16,"HEADBOXDETAILS",CustOrdOpt,6,FALSE)))</f>
        <v>Monument</v>
      </c>
      <c r="Q16" s="96" t="str">
        <f t="array" ref="Q16">IF(Data!BE16="","",IF(bpLOOKUP(Data!$AV16,"SIDEGUIDECOLOUR",CustOrdOpt,6,FALSE)="Custom Powdercoat",CONCATENATE(bpLOOKUP(Data!$AV16,"SIDEGUIDECOLOUR",CustOrdOpt,6,FALSE)," ",bpLOOKUP(Data!$AV16,"SIDEGUIDEPCCOLOUR",CustOrdOpt,6,FALSE)),bpLOOKUP(Data!$AV16,"SIDEGUIDECOLOUR",CustOrdOpt,6,FALSE)))</f>
        <v>Monument</v>
      </c>
      <c r="R16" s="96" t="str">
        <f t="array" ref="R16">bpLOOKUP(Data!$AV16,"SIDEGUIDE",CustOrdOpt,6,FALSE)</f>
        <v>53mm Standard</v>
      </c>
      <c r="S16" s="96" t="str">
        <f t="array" ref="S16">IF(Data!BE16="","",IF(bpLOOKUP(Data!$AV16,"BRAILCOLOUR",CustOrdOpt,6,FALSE)="Custom Powdercoat",CONCATENATE(Data!BO16," ",bpLOOKUP(Data!$AV16,"BRAILPCCOLOUR",CustOrdOpt,6,FALSE)),bpLOOKUP(Data!$AV16,"BRAILCOLOUR",CustOrdOpt,6,FALSE)))</f>
        <v>Monument</v>
      </c>
      <c r="T16" s="96" t="str">
        <f t="array" ref="T16">(bpLOOKUP(Data!$AV16,"CONTROLTYPE",CustOrdOpt,6,FALSE))</f>
        <v>Motorised</v>
      </c>
      <c r="U16" s="96" t="str">
        <f>IF(T16="Spring","",IF(Data!AW16="","",IFERROR(TRIM(INDEX(CHOOSE(MATCH(AU16,{"12v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Slat"},0),MS12vG,MSCWR240vG,MSCWS240vG,MSSR240vG,MSSS240vG,MF12vG,MFCWR240vG,MFCWS240vG,MFSR240vG,MFSS240vG,MSCWP240vMOG,MFSIMSG,MFCWPMOG,MSA240vG,MFA240vG),MATCH(J16,CHOOSE(MATCH(AU16,{"12v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Slat"},0),MS12vD,MSCWR240vD,MSCWS240vD,MSSR240vD,MSSS240vD,MF12vD,MFCWR240vD,MFCWS240D,MFSR240vD,MFSS240vD,MSCWP240vMOD,MFSIMSD,MFCWPMOD,MSA240vD,MFA240vD),1),MATCH(I16,CHOOSE(MATCH(AU16,{"12v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16" s="96" t="str">
        <f t="array" ref="V16">bpLOOKUP(Data!$AV16,"CONTROLSIDE",CustOrdOpt,6,FALSE)</f>
        <v>N/A</v>
      </c>
      <c r="W16" s="96" t="str">
        <f t="array" ref="W16">IF(Data!AV16="","",IF(bpLOOKUP(Data!$AV16,"CONTROLDETAILS",CustOrdOpt,6,FALSE)="CWP 1 Channel Remote","Maxim 1 Channel Remote",IF(bpLOOKUP(Data!$AV16,"CONTROLDETAILS",CustOrdOpt,6,FALSE)="CWP 5 Channel Remote","Maxim 6 Channel Remote",IF(bpLOOKUP(Data!$AV16,"CONTROLDETAILS",CustOrdOpt,6,FALSE)="CWP 16 Channel Remote","Maxim 16 Channel Remote",IF(bpLOOKUP(Data!$AV16,"CONTROLDETAILS",CustOrdOpt,6,FALSE)="CWP 1 Channel Wall Mounted Remote","Maxim 1 Channel Wall Mounted Remote",bpLOOKUP(Data!$AV16,"CONTROLDETAILS",CustOrdOpt,6,FALSE))))))</f>
        <v>Toggle Wall Switch</v>
      </c>
      <c r="X16" s="96" t="str">
        <f t="array" ref="X16">bpLOOKUP(Data!$AV16,"MANUALOVERRIDE",CustOrdOpt,6,FALSE)</f>
        <v/>
      </c>
      <c r="Y16" s="96" t="str">
        <f t="array" ref="Y16">(bpLOOKUP(Data!$AV16,"CRANK",CustOrdOpt,6,FALSE))</f>
        <v/>
      </c>
      <c r="Z16" s="96" t="str">
        <f t="array" ref="Z16">bpLOOKUP(Data!$AV16,"ACCESSORIES2",CustOrdOpt,6,FALSE)</f>
        <v/>
      </c>
      <c r="AA16" s="96" t="str">
        <f t="array" ref="AA16">(bpLOOKUP(Data!$AV16,"HOMEAUTO",CustOrdOpt,6,FALSE))</f>
        <v/>
      </c>
      <c r="AB16" s="96" t="str">
        <f>IF(Data!AV16="","",VLOOKUP(J16,HeadboxSelection,2,TRUE))</f>
        <v>180mm</v>
      </c>
      <c r="AC16" s="96" t="str">
        <f t="array" ref="AC16">bpLOOKUP(Data!$AV16,"LOCKBOTBAR",CustOrdOpt,6,FALSE)</f>
        <v/>
      </c>
      <c r="AD16" s="96" t="str">
        <f t="array" ref="AD16">bpLOOKUP(Data!$AV16,"INTLOCKH",CustOrdOpt,6,FALSE)</f>
        <v/>
      </c>
      <c r="AE16" s="96" t="str">
        <f t="array" ref="AE16">bpLOOKUP(Data!$AV16,"GUIDESTOPS",CustOrdOpt,6,FALSE)</f>
        <v>Yes</v>
      </c>
      <c r="AF16" s="96" t="str">
        <f t="array" ref="AF16">bpLOOKUP(Data!$AV16,"MASTIC",CustOrdOpt,6,FALSE)</f>
        <v/>
      </c>
      <c r="AG16" s="96" t="str">
        <f t="array" ref="AG16">bpLOOKUP(Data!$AV16,"BAY",CustOrdOpt,6,FALSE)</f>
        <v/>
      </c>
      <c r="AH16" s="96" t="str">
        <f t="array" ref="AH16">bpLOOKUP(Data!$AV16,"PACKERST",CustOrdOpt,6,FALSE)</f>
        <v/>
      </c>
      <c r="AI16" s="96" t="str">
        <f t="array" ref="AI16">bpLOOKUP(Data!$AV16,"PACKERSB",CustOrdOpt,6,FALSE)</f>
        <v/>
      </c>
      <c r="AJ16" s="96" t="str">
        <f t="array" ref="AJ16">bpLOOKUP(Data!$AV16,"PACKERSL",CustOrdOpt,6,FALSE)</f>
        <v/>
      </c>
      <c r="AK16" s="96" t="str">
        <f t="array" ref="AK16">bpLOOKUP(Data!$AV16,"PACKERSR",CustOrdOpt,6,FALSE)</f>
        <v/>
      </c>
      <c r="AL16" s="96" t="str">
        <f t="array" ref="AL16">bpLOOKUP(Data!$AV16,"ACCESSORIES3",CustOrdOpt,6,FALSE)</f>
        <v/>
      </c>
      <c r="AM16" s="96" t="str">
        <f t="array" ref="AM16">bpLOOKUP(Data!$AV16,"INSTALLATION",CustOrdOpt,6,FALSE)</f>
        <v>Installation</v>
      </c>
      <c r="AN16" s="96" t="str">
        <f t="array" ref="AN16">bpLOOKUP(Data!$AV16,"HANGHEIGHT",CustOrdOpt,6,FALSE)</f>
        <v>2.4m-2.7m</v>
      </c>
      <c r="AO16" s="96" t="str">
        <f t="array" ref="AO16">bpLOOKUP(Data!$AV16,"INSTALLG",CustOrdOpt,6,FALSE)</f>
        <v>Easy Access</v>
      </c>
      <c r="AP16" s="96" t="str">
        <f t="array" ref="AP16">bpLOOKUP(Data!$AV16,"TAKEDOWN",CustOrdOpt,6,FALSE)</f>
        <v>No</v>
      </c>
      <c r="AQ16" s="96" t="str">
        <f t="array" ref="AQ16">bpLOOKUP(Data!$AV16,"CHECKM",CustOrdOpt,6,FALSE)</f>
        <v>No</v>
      </c>
      <c r="AR16" s="96" t="str">
        <f t="array" ref="AR16">bpLOOKUP(Data!$AV16,"Notes",CustOrdOpt,6,FALSE)</f>
        <v/>
      </c>
      <c r="AS16"/>
      <c r="AT16" s="58" t="str">
        <f>IF(Data!AV16="","",VLOOKUP(T16,ControlDeduct,3,FALSE))</f>
        <v>Included with Motor</v>
      </c>
      <c r="AU16" s="58" t="str">
        <f>IF(Data!AV16="","",VLOOKUP(CONCATENATE(Data!BN16,T16,W16),MotorGrid,2,FALSE))</f>
        <v>240v CW Switch Motors Standard Slat</v>
      </c>
      <c r="AV16" s="58">
        <f>IF(Data!BA16="","",I16-VLOOKUP(T16,ControlDeduct,2,FALSE))</f>
        <v>1838</v>
      </c>
      <c r="AW16" s="58">
        <f>IF(Data!BB16="","",I16-72)</f>
        <v>1846</v>
      </c>
      <c r="AX16" s="58" t="str">
        <f>Data!BN16</f>
        <v>42mm Standard Slat</v>
      </c>
      <c r="AY16" s="59">
        <f>IF(Data!AW16&gt;0,((J16*24/1000-AZ16)-3),"")</f>
        <v>32.28</v>
      </c>
      <c r="AZ16" s="59">
        <f>IF(Data!AV16="","",VLOOKUP(O16,StripeConfig,2,FALSE))</f>
        <v>0</v>
      </c>
      <c r="BA16" s="58">
        <f>IF(Data!BA16="","",I16-10)</f>
        <v>1908</v>
      </c>
      <c r="BB16" s="58">
        <f>IF(Data!BA16="","",J16-VLOOKUP(AB16,HeadboxSize,2,FALSE))</f>
        <v>1290</v>
      </c>
      <c r="BC16" s="58" t="str">
        <f>IF(Data!AV16="","",IF(T16="Spring","CW Products",IF(CONCATENATE(Data!BN16,Data!BO16)=VLOOKUP(CONCATENATE(Data!BN16,Data!BO16),Manufacturer,1,FALSE),VLOOKUP(CONCATENATE(Data!BN16,Data!BO16),Manufacturer,2,FALSE),"")))</f>
        <v>Davidson's</v>
      </c>
      <c r="BD16" s="58" t="str">
        <f t="array" ref="BD16">IF(A16="","",IF(AND(Q16="Main Slat Colour",Data!BO16="Custom Powdercoat"),bpLOOKUP(Data!$AV16,"PCOAT",CustOrdOpt,6,FALSE),IF(Q16="Main Slat Colour",Data!BO16,Q16)))</f>
        <v>Monument</v>
      </c>
      <c r="BE16" s="58"/>
      <c r="BF16" s="114" t="str">
        <f t="shared" si="14"/>
        <v/>
      </c>
      <c r="BG16" s="114" t="str">
        <f t="shared" si="15"/>
        <v/>
      </c>
      <c r="BH16" s="114" t="str">
        <f t="shared" si="0"/>
        <v/>
      </c>
      <c r="BI16" s="114" t="str">
        <f t="shared" si="1"/>
        <v/>
      </c>
      <c r="BJ16" s="114" t="str">
        <f t="shared" si="16"/>
        <v/>
      </c>
      <c r="BK16" s="114" t="str">
        <f t="shared" si="17"/>
        <v/>
      </c>
      <c r="BL16" s="114" t="str">
        <f t="shared" si="2"/>
        <v/>
      </c>
      <c r="BM16" s="114" t="str">
        <f t="shared" si="3"/>
        <v/>
      </c>
      <c r="BN16" s="114" t="str">
        <f t="shared" si="4"/>
        <v/>
      </c>
      <c r="BO16" s="114" t="str">
        <f t="shared" si="5"/>
        <v/>
      </c>
      <c r="BP16" s="114" t="str">
        <f t="shared" si="6"/>
        <v/>
      </c>
      <c r="BQ16" s="114" t="str">
        <f t="shared" si="7"/>
        <v/>
      </c>
      <c r="BR16" s="114" t="str">
        <f t="shared" si="18"/>
        <v/>
      </c>
      <c r="BS16" s="114" t="str">
        <f t="shared" si="19"/>
        <v/>
      </c>
      <c r="BT16" s="114" t="str">
        <f t="shared" si="8"/>
        <v/>
      </c>
      <c r="BU16" s="114" t="str">
        <f t="shared" si="9"/>
        <v/>
      </c>
      <c r="BV16" s="114" t="str">
        <f t="shared" si="20"/>
        <v/>
      </c>
      <c r="BW16" s="114" t="str">
        <f t="shared" si="21"/>
        <v/>
      </c>
      <c r="BX16" s="114" t="str">
        <f t="shared" si="10"/>
        <v/>
      </c>
      <c r="BY16" s="114" t="str">
        <f t="shared" si="11"/>
        <v/>
      </c>
      <c r="BZ16" s="114" t="str">
        <f t="shared" si="22"/>
        <v/>
      </c>
      <c r="CA16" s="114" t="str">
        <f t="shared" si="23"/>
        <v/>
      </c>
      <c r="CB16" s="114" t="str">
        <f t="shared" si="12"/>
        <v/>
      </c>
      <c r="CC16" s="114" t="str">
        <f t="shared" si="13"/>
        <v/>
      </c>
    </row>
    <row r="17" spans="1:81" s="36" customFormat="1" ht="69.75">
      <c r="A17" s="100">
        <f>Data!AW17</f>
        <v>7</v>
      </c>
      <c r="B17" s="95" t="str">
        <f>Data!AY17</f>
        <v>Rumpus</v>
      </c>
      <c r="C17" s="101">
        <f>SUM(Data!BA17)</f>
        <v>1812</v>
      </c>
      <c r="D17" s="102" t="str">
        <f t="array" ref="D17">bpLOOKUP(Data!$AV17,"WIDTHADD",CustOrdOpt,6,FALSE)</f>
        <v>(++)</v>
      </c>
      <c r="E17" s="101">
        <f>Data!BB17</f>
        <v>1450</v>
      </c>
      <c r="F17" s="102" t="str">
        <f t="array" ref="F17">bpLOOKUP(Data!$AV17,"HEIGHTADD",CustOrdOpt,6,FALSE)</f>
        <v>(- Box)</v>
      </c>
      <c r="G17" s="103" t="str">
        <f t="array" ref="G17">bpLOOKUP(Data!$AV17,"Size",CustOrdOpt,6,FALSE)</f>
        <v>Opening</v>
      </c>
      <c r="H17" s="104" t="str">
        <f t="array" ref="H17">bpLOOKUP(Data!$AV17,"SIDEBYSIDE",CustOrdOpt,6,FALSE)</f>
        <v>No</v>
      </c>
      <c r="I17" s="40">
        <f>IF(Data!BA17="","",IF(G17="Opening",Data!BA17-VLOOKUP(K17,FitDeduct,2,FALSE)-VLOOKUP(H17,SideDeduct,2,FALSE)+VLOOKUP(CONCATENATE(D17,R17),WidthAdd,2,FALSE),IF(G17="Making",Data!BA17)))</f>
        <v>1918</v>
      </c>
      <c r="J17" s="40">
        <f>IF(Data!BB17="","",IF(F17="(+ Box)",(E17+VLOOKUP(E17,DropAdd,2,TRUE)+20),E17+20))</f>
        <v>1470</v>
      </c>
      <c r="K17" s="96" t="str">
        <f t="array" ref="K17">bpLOOKUP(Data!$AV17,"FIT",CustOrdOpt,6,FALSE)</f>
        <v>Face</v>
      </c>
      <c r="L17" s="96" t="str">
        <f t="array" ref="L17">bpLOOKUP(Data!$AV17,"FIXING",CustOrdOpt,6,FALSE)</f>
        <v>Brick</v>
      </c>
      <c r="M17" s="96" t="str">
        <f t="array" ref="M17">IF(Data!BE17="","",IF(Data!BO17="Custom Powdercoat",CONCATENATE(Data!BN17," ",Data!BO17," ",bpLOOKUP(Data!$AV17,"PCOAT",CustOrdOpt,6,FALSE)),(MID(Data!BE17,6,80))))</f>
        <v>42mm Standard Slat Dune</v>
      </c>
      <c r="N17" s="96" t="str">
        <f t="array" ref="N17">IF(Data!BE17="","",IF(bpLOOKUP(Data!$AV17,"SLATSTRIPE",CustOrdOpt,6,FALSE)="Custom Powdercoat",CONCATENATE(Data!BN17," ",Data!BO17," ",bpLOOKUP(Data!$AV17,"PCOATSTRIPE",CustOrdOpt,6,FALSE)),bpLOOKUP(Data!$AV17,"SLATSTRIPE",CustOrdOpt,6,FALSE)))</f>
        <v>None</v>
      </c>
      <c r="O17" s="96" t="str">
        <f t="array" ref="O17">bpLOOKUP(Data!$AV17,"STRIPECONFIG",CustOrdOpt,6,FALSE)</f>
        <v>No Stripe</v>
      </c>
      <c r="P17" s="96" t="str">
        <f t="array" ref="P17">IF(Data!BE17="","",IF(bpLOOKUP(Data!$AV17,"HEADBOXDETAILS",CustOrdOpt,6,FALSE)="Custom Powdercoat",CONCATENATE(Data!BO17," ",bpLOOKUP(Data!$AV17,"HBOXGUIDECOLOUR",CustOrdOpt,6,FALSE)),bpLOOKUP(Data!$AV17,"HEADBOXDETAILS",CustOrdOpt,6,FALSE)))</f>
        <v>Monument</v>
      </c>
      <c r="Q17" s="96" t="str">
        <f t="array" ref="Q17">IF(Data!BE17="","",IF(bpLOOKUP(Data!$AV17,"SIDEGUIDECOLOUR",CustOrdOpt,6,FALSE)="Custom Powdercoat",CONCATENATE(bpLOOKUP(Data!$AV17,"SIDEGUIDECOLOUR",CustOrdOpt,6,FALSE)," ",bpLOOKUP(Data!$AV17,"SIDEGUIDEPCCOLOUR",CustOrdOpt,6,FALSE)),bpLOOKUP(Data!$AV17,"SIDEGUIDECOLOUR",CustOrdOpt,6,FALSE)))</f>
        <v>Monument</v>
      </c>
      <c r="R17" s="96" t="str">
        <f t="array" ref="R17">bpLOOKUP(Data!$AV17,"SIDEGUIDE",CustOrdOpt,6,FALSE)</f>
        <v>53mm Standard</v>
      </c>
      <c r="S17" s="96" t="str">
        <f t="array" ref="S17">IF(Data!BE17="","",IF(bpLOOKUP(Data!$AV17,"BRAILCOLOUR",CustOrdOpt,6,FALSE)="Custom Powdercoat",CONCATENATE(Data!BO17," ",bpLOOKUP(Data!$AV17,"BRAILPCCOLOUR",CustOrdOpt,6,FALSE)),bpLOOKUP(Data!$AV17,"BRAILCOLOUR",CustOrdOpt,6,FALSE)))</f>
        <v>Monument</v>
      </c>
      <c r="T17" s="96" t="str">
        <f t="array" ref="T17">(bpLOOKUP(Data!$AV17,"CONTROLTYPE",CustOrdOpt,6,FALSE))</f>
        <v>Motorised</v>
      </c>
      <c r="U17" s="96" t="str">
        <f>IF(T17="Spring","",IF(Data!AW17="","",IFERROR(TRIM(INDEX(CHOOSE(MATCH(AU17,{"12v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Slat"},0),MS12vG,MSCWR240vG,MSCWS240vG,MSSR240vG,MSSS240vG,MF12vG,MFCWR240vG,MFCWS240vG,MFSR240vG,MFSS240vG,MSCWP240vMOG,MFSIMSG,MFCWPMOG,MSA240vG,MFA240vG),MATCH(J17,CHOOSE(MATCH(AU17,{"12v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Slat"},0),MS12vD,MSCWR240vD,MSCWS240vD,MSSR240vD,MSSS240vD,MF12vD,MFCWR240vD,MFCWS240D,MFSR240vD,MFSS240vD,MSCWP240vMOD,MFSIMSD,MFCWPMOD,MSA240vD,MFA240vD),1),MATCH(I17,CHOOSE(MATCH(AU17,{"12v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17" s="96" t="str">
        <f t="array" ref="V17">bpLOOKUP(Data!$AV17,"CONTROLSIDE",CustOrdOpt,6,FALSE)</f>
        <v>N/A</v>
      </c>
      <c r="W17" s="96" t="str">
        <f t="array" ref="W17">IF(Data!AV17="","",IF(bpLOOKUP(Data!$AV17,"CONTROLDETAILS",CustOrdOpt,6,FALSE)="CWP 1 Channel Remote","Maxim 1 Channel Remote",IF(bpLOOKUP(Data!$AV17,"CONTROLDETAILS",CustOrdOpt,6,FALSE)="CWP 5 Channel Remote","Maxim 6 Channel Remote",IF(bpLOOKUP(Data!$AV17,"CONTROLDETAILS",CustOrdOpt,6,FALSE)="CWP 16 Channel Remote","Maxim 16 Channel Remote",IF(bpLOOKUP(Data!$AV17,"CONTROLDETAILS",CustOrdOpt,6,FALSE)="CWP 1 Channel Wall Mounted Remote","Maxim 1 Channel Wall Mounted Remote",bpLOOKUP(Data!$AV17,"CONTROLDETAILS",CustOrdOpt,6,FALSE))))))</f>
        <v>Toggle Wall Switch</v>
      </c>
      <c r="X17" s="96" t="str">
        <f t="array" ref="X17">bpLOOKUP(Data!$AV17,"MANUALOVERRIDE",CustOrdOpt,6,FALSE)</f>
        <v/>
      </c>
      <c r="Y17" s="96" t="str">
        <f t="array" ref="Y17">(bpLOOKUP(Data!$AV17,"CRANK",CustOrdOpt,6,FALSE))</f>
        <v/>
      </c>
      <c r="Z17" s="96" t="str">
        <f t="array" ref="Z17">bpLOOKUP(Data!$AV17,"ACCESSORIES2",CustOrdOpt,6,FALSE)</f>
        <v/>
      </c>
      <c r="AA17" s="96" t="str">
        <f t="array" ref="AA17">(bpLOOKUP(Data!$AV17,"HOMEAUTO",CustOrdOpt,6,FALSE))</f>
        <v/>
      </c>
      <c r="AB17" s="96" t="str">
        <f>IF(Data!AV17="","",VLOOKUP(J17,HeadboxSelection,2,TRUE))</f>
        <v>180mm</v>
      </c>
      <c r="AC17" s="96" t="str">
        <f t="array" ref="AC17">bpLOOKUP(Data!$AV17,"LOCKBOTBAR",CustOrdOpt,6,FALSE)</f>
        <v/>
      </c>
      <c r="AD17" s="96" t="str">
        <f t="array" ref="AD17">bpLOOKUP(Data!$AV17,"INTLOCKH",CustOrdOpt,6,FALSE)</f>
        <v/>
      </c>
      <c r="AE17" s="96" t="str">
        <f t="array" ref="AE17">bpLOOKUP(Data!$AV17,"GUIDESTOPS",CustOrdOpt,6,FALSE)</f>
        <v>Yes</v>
      </c>
      <c r="AF17" s="96" t="str">
        <f t="array" ref="AF17">bpLOOKUP(Data!$AV17,"MASTIC",CustOrdOpt,6,FALSE)</f>
        <v/>
      </c>
      <c r="AG17" s="96" t="str">
        <f t="array" ref="AG17">bpLOOKUP(Data!$AV17,"BAY",CustOrdOpt,6,FALSE)</f>
        <v/>
      </c>
      <c r="AH17" s="96" t="str">
        <f t="array" ref="AH17">bpLOOKUP(Data!$AV17,"PACKERST",CustOrdOpt,6,FALSE)</f>
        <v/>
      </c>
      <c r="AI17" s="96" t="str">
        <f t="array" ref="AI17">bpLOOKUP(Data!$AV17,"PACKERSB",CustOrdOpt,6,FALSE)</f>
        <v/>
      </c>
      <c r="AJ17" s="96" t="str">
        <f t="array" ref="AJ17">bpLOOKUP(Data!$AV17,"PACKERSL",CustOrdOpt,6,FALSE)</f>
        <v/>
      </c>
      <c r="AK17" s="96" t="str">
        <f t="array" ref="AK17">bpLOOKUP(Data!$AV17,"PACKERSR",CustOrdOpt,6,FALSE)</f>
        <v/>
      </c>
      <c r="AL17" s="96" t="str">
        <f t="array" ref="AL17">bpLOOKUP(Data!$AV17,"ACCESSORIES3",CustOrdOpt,6,FALSE)</f>
        <v/>
      </c>
      <c r="AM17" s="96" t="str">
        <f t="array" ref="AM17">bpLOOKUP(Data!$AV17,"INSTALLATION",CustOrdOpt,6,FALSE)</f>
        <v>Installation</v>
      </c>
      <c r="AN17" s="96" t="str">
        <f t="array" ref="AN17">bpLOOKUP(Data!$AV17,"HANGHEIGHT",CustOrdOpt,6,FALSE)</f>
        <v>2.4m-2.7m</v>
      </c>
      <c r="AO17" s="96" t="str">
        <f t="array" ref="AO17">bpLOOKUP(Data!$AV17,"INSTALLG",CustOrdOpt,6,FALSE)</f>
        <v>Easy Access</v>
      </c>
      <c r="AP17" s="96" t="str">
        <f t="array" ref="AP17">bpLOOKUP(Data!$AV17,"TAKEDOWN",CustOrdOpt,6,FALSE)</f>
        <v>Yes</v>
      </c>
      <c r="AQ17" s="96" t="str">
        <f t="array" ref="AQ17">bpLOOKUP(Data!$AV17,"CHECKM",CustOrdOpt,6,FALSE)</f>
        <v>No</v>
      </c>
      <c r="AR17" s="96" t="str">
        <f t="array" ref="AR17">bpLOOKUP(Data!$AV17,"Notes",CustOrdOpt,6,FALSE)</f>
        <v/>
      </c>
      <c r="AS17"/>
      <c r="AT17" s="58" t="str">
        <f>IF(Data!AV17="","",VLOOKUP(T17,ControlDeduct,3,FALSE))</f>
        <v>Included with Motor</v>
      </c>
      <c r="AU17" s="58" t="str">
        <f>IF(Data!AV17="","",VLOOKUP(CONCATENATE(Data!BN17,T17,W17),MotorGrid,2,FALSE))</f>
        <v>240v CW Switch Motors Standard Slat</v>
      </c>
      <c r="AV17" s="58">
        <f>IF(Data!BA17="","",I17-VLOOKUP(T17,ControlDeduct,2,FALSE))</f>
        <v>1838</v>
      </c>
      <c r="AW17" s="58">
        <f>IF(Data!BB17="","",I17-72)</f>
        <v>1846</v>
      </c>
      <c r="AX17" s="58" t="str">
        <f>Data!BN17</f>
        <v>42mm Standard Slat</v>
      </c>
      <c r="AY17" s="59">
        <f>IF(Data!AW17&gt;0,((J17*24/1000-AZ17)-3),"")</f>
        <v>32.28</v>
      </c>
      <c r="AZ17" s="59">
        <f>IF(Data!AV17="","",VLOOKUP(O17,StripeConfig,2,FALSE))</f>
        <v>0</v>
      </c>
      <c r="BA17" s="58">
        <f>IF(Data!BA17="","",I17-10)</f>
        <v>1908</v>
      </c>
      <c r="BB17" s="58">
        <f>IF(Data!BA17="","",J17-VLOOKUP(AB17,HeadboxSize,2,FALSE))</f>
        <v>1290</v>
      </c>
      <c r="BC17" s="58" t="str">
        <f>IF(Data!AV17="","",IF(T17="Spring","CW Products",IF(CONCATENATE(Data!BN17,Data!BO17)=VLOOKUP(CONCATENATE(Data!BN17,Data!BO17),Manufacturer,1,FALSE),VLOOKUP(CONCATENATE(Data!BN17,Data!BO17),Manufacturer,2,FALSE),"")))</f>
        <v>Davidson's</v>
      </c>
      <c r="BD17" s="58" t="str">
        <f t="array" ref="BD17">IF(A17="","",IF(AND(Q17="Main Slat Colour",Data!BO17="Custom Powdercoat"),bpLOOKUP(Data!$AV17,"PCOAT",CustOrdOpt,6,FALSE),IF(Q17="Main Slat Colour",Data!BO17,Q17)))</f>
        <v>Monument</v>
      </c>
      <c r="BE17" s="58"/>
      <c r="BF17" s="114" t="str">
        <f t="shared" si="14"/>
        <v/>
      </c>
      <c r="BG17" s="114" t="str">
        <f t="shared" si="15"/>
        <v/>
      </c>
      <c r="BH17" s="114" t="str">
        <f t="shared" si="0"/>
        <v/>
      </c>
      <c r="BI17" s="114" t="str">
        <f t="shared" si="1"/>
        <v/>
      </c>
      <c r="BJ17" s="114" t="str">
        <f t="shared" si="16"/>
        <v/>
      </c>
      <c r="BK17" s="114" t="str">
        <f t="shared" si="17"/>
        <v/>
      </c>
      <c r="BL17" s="114" t="str">
        <f t="shared" si="2"/>
        <v/>
      </c>
      <c r="BM17" s="114" t="str">
        <f t="shared" si="3"/>
        <v/>
      </c>
      <c r="BN17" s="114" t="str">
        <f t="shared" si="4"/>
        <v/>
      </c>
      <c r="BO17" s="114" t="str">
        <f t="shared" si="5"/>
        <v/>
      </c>
      <c r="BP17" s="114" t="str">
        <f t="shared" si="6"/>
        <v/>
      </c>
      <c r="BQ17" s="114" t="str">
        <f t="shared" si="7"/>
        <v/>
      </c>
      <c r="BR17" s="114" t="str">
        <f t="shared" si="18"/>
        <v/>
      </c>
      <c r="BS17" s="114" t="str">
        <f t="shared" si="19"/>
        <v/>
      </c>
      <c r="BT17" s="114" t="str">
        <f t="shared" si="8"/>
        <v/>
      </c>
      <c r="BU17" s="114" t="str">
        <f t="shared" si="9"/>
        <v/>
      </c>
      <c r="BV17" s="114" t="str">
        <f t="shared" si="20"/>
        <v/>
      </c>
      <c r="BW17" s="114" t="str">
        <f t="shared" si="21"/>
        <v/>
      </c>
      <c r="BX17" s="114" t="str">
        <f t="shared" si="10"/>
        <v/>
      </c>
      <c r="BY17" s="114" t="str">
        <f t="shared" si="11"/>
        <v/>
      </c>
      <c r="BZ17" s="114" t="str">
        <f t="shared" si="22"/>
        <v/>
      </c>
      <c r="CA17" s="114" t="str">
        <f t="shared" si="23"/>
        <v/>
      </c>
      <c r="CB17" s="114" t="str">
        <f t="shared" si="12"/>
        <v/>
      </c>
      <c r="CC17" s="114" t="str">
        <f t="shared" si="13"/>
        <v/>
      </c>
    </row>
    <row r="18" spans="1:81" s="36" customFormat="1" ht="69.75">
      <c r="A18" s="100">
        <f>Data!AW18</f>
        <v>8</v>
      </c>
      <c r="B18" s="95" t="str">
        <f>Data!AY18</f>
        <v>Bed 4</v>
      </c>
      <c r="C18" s="101">
        <f>SUM(Data!BA18)</f>
        <v>1811</v>
      </c>
      <c r="D18" s="102" t="str">
        <f t="array" ref="D18">bpLOOKUP(Data!$AV18,"WIDTHADD",CustOrdOpt,6,FALSE)</f>
        <v>(++)</v>
      </c>
      <c r="E18" s="101">
        <f>Data!BB18</f>
        <v>1450</v>
      </c>
      <c r="F18" s="102" t="str">
        <f t="array" ref="F18">bpLOOKUP(Data!$AV18,"HEIGHTADD",CustOrdOpt,6,FALSE)</f>
        <v>(- Box)</v>
      </c>
      <c r="G18" s="103" t="str">
        <f t="array" ref="G18">bpLOOKUP(Data!$AV18,"Size",CustOrdOpt,6,FALSE)</f>
        <v>Opening</v>
      </c>
      <c r="H18" s="104" t="str">
        <f t="array" ref="H18">bpLOOKUP(Data!$AV18,"SIDEBYSIDE",CustOrdOpt,6,FALSE)</f>
        <v>No</v>
      </c>
      <c r="I18" s="40">
        <f>IF(Data!BA18="","",IF(G18="Opening",Data!BA18-VLOOKUP(K18,FitDeduct,2,FALSE)-VLOOKUP(H18,SideDeduct,2,FALSE)+VLOOKUP(CONCATENATE(D18,R18),WidthAdd,2,FALSE),IF(G18="Making",Data!BA18)))</f>
        <v>1917</v>
      </c>
      <c r="J18" s="40">
        <f>IF(Data!BB18="","",IF(F18="(+ Box)",(E18+VLOOKUP(E18,DropAdd,2,TRUE)+20),E18+20))</f>
        <v>1470</v>
      </c>
      <c r="K18" s="96" t="str">
        <f t="array" ref="K18">bpLOOKUP(Data!$AV18,"FIT",CustOrdOpt,6,FALSE)</f>
        <v>Face</v>
      </c>
      <c r="L18" s="96" t="str">
        <f t="array" ref="L18">bpLOOKUP(Data!$AV18,"FIXING",CustOrdOpt,6,FALSE)</f>
        <v>Brick</v>
      </c>
      <c r="M18" s="96" t="str">
        <f t="array" ref="M18">IF(Data!BE18="","",IF(Data!BO18="Custom Powdercoat",CONCATENATE(Data!BN18," ",Data!BO18," ",bpLOOKUP(Data!$AV18,"PCOAT",CustOrdOpt,6,FALSE)),(MID(Data!BE18,6,80))))</f>
        <v>42mm Standard Slat Dune</v>
      </c>
      <c r="N18" s="96" t="str">
        <f t="array" ref="N18">IF(Data!BE18="","",IF(bpLOOKUP(Data!$AV18,"SLATSTRIPE",CustOrdOpt,6,FALSE)="Custom Powdercoat",CONCATENATE(Data!BN18," ",Data!BO18," ",bpLOOKUP(Data!$AV18,"PCOATSTRIPE",CustOrdOpt,6,FALSE)),bpLOOKUP(Data!$AV18,"SLATSTRIPE",CustOrdOpt,6,FALSE)))</f>
        <v>None</v>
      </c>
      <c r="O18" s="96" t="str">
        <f t="array" ref="O18">bpLOOKUP(Data!$AV18,"STRIPECONFIG",CustOrdOpt,6,FALSE)</f>
        <v>No Stripe</v>
      </c>
      <c r="P18" s="96" t="str">
        <f t="array" ref="P18">IF(Data!BE18="","",IF(bpLOOKUP(Data!$AV18,"HEADBOXDETAILS",CustOrdOpt,6,FALSE)="Custom Powdercoat",CONCATENATE(Data!BO18," ",bpLOOKUP(Data!$AV18,"HBOXGUIDECOLOUR",CustOrdOpt,6,FALSE)),bpLOOKUP(Data!$AV18,"HEADBOXDETAILS",CustOrdOpt,6,FALSE)))</f>
        <v>Monument</v>
      </c>
      <c r="Q18" s="96" t="str">
        <f t="array" ref="Q18">IF(Data!BE18="","",IF(bpLOOKUP(Data!$AV18,"SIDEGUIDECOLOUR",CustOrdOpt,6,FALSE)="Custom Powdercoat",CONCATENATE(bpLOOKUP(Data!$AV18,"SIDEGUIDECOLOUR",CustOrdOpt,6,FALSE)," ",bpLOOKUP(Data!$AV18,"SIDEGUIDEPCCOLOUR",CustOrdOpt,6,FALSE)),bpLOOKUP(Data!$AV18,"SIDEGUIDECOLOUR",CustOrdOpt,6,FALSE)))</f>
        <v>Monument</v>
      </c>
      <c r="R18" s="96" t="str">
        <f t="array" ref="R18">bpLOOKUP(Data!$AV18,"SIDEGUIDE",CustOrdOpt,6,FALSE)</f>
        <v>53mm Standard</v>
      </c>
      <c r="S18" s="96" t="str">
        <f t="array" ref="S18">IF(Data!BE18="","",IF(bpLOOKUP(Data!$AV18,"BRAILCOLOUR",CustOrdOpt,6,FALSE)="Custom Powdercoat",CONCATENATE(Data!BO18," ",bpLOOKUP(Data!$AV18,"BRAILPCCOLOUR",CustOrdOpt,6,FALSE)),bpLOOKUP(Data!$AV18,"BRAILCOLOUR",CustOrdOpt,6,FALSE)))</f>
        <v>Monument</v>
      </c>
      <c r="T18" s="96" t="str">
        <f t="array" ref="T18">(bpLOOKUP(Data!$AV18,"CONTROLTYPE",CustOrdOpt,6,FALSE))</f>
        <v>Motorised</v>
      </c>
      <c r="U18" s="96" t="str">
        <f>IF(T18="Spring","",IF(Data!AW18="","",IFERROR(TRIM(INDEX(CHOOSE(MATCH(AU18,{"12v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Slat"},0),MS12vG,MSCWR240vG,MSCWS240vG,MSSR240vG,MSSS240vG,MF12vG,MFCWR240vG,MFCWS240vG,MFSR240vG,MFSS240vG,MSCWP240vMOG,MFSIMSG,MFCWPMOG,MSA240vG,MFA240vG),MATCH(J18,CHOOSE(MATCH(AU18,{"12v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Slat"},0),MS12vD,MSCWR240vD,MSCWS240vD,MSSR240vD,MSSS240vD,MF12vD,MFCWR240vD,MFCWS240D,MFSR240vD,MFSS240vD,MSCWP240vMOD,MFSIMSD,MFCWPMOD,MSA240vD,MFA240vD),1),MATCH(I18,CHOOSE(MATCH(AU18,{"12v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18" s="96" t="str">
        <f t="array" ref="V18">bpLOOKUP(Data!$AV18,"CONTROLSIDE",CustOrdOpt,6,FALSE)</f>
        <v>N/A</v>
      </c>
      <c r="W18" s="96" t="str">
        <f t="array" ref="W18">IF(Data!AV18="","",IF(bpLOOKUP(Data!$AV18,"CONTROLDETAILS",CustOrdOpt,6,FALSE)="CWP 1 Channel Remote","Maxim 1 Channel Remote",IF(bpLOOKUP(Data!$AV18,"CONTROLDETAILS",CustOrdOpt,6,FALSE)="CWP 5 Channel Remote","Maxim 6 Channel Remote",IF(bpLOOKUP(Data!$AV18,"CONTROLDETAILS",CustOrdOpt,6,FALSE)="CWP 16 Channel Remote","Maxim 16 Channel Remote",IF(bpLOOKUP(Data!$AV18,"CONTROLDETAILS",CustOrdOpt,6,FALSE)="CWP 1 Channel Wall Mounted Remote","Maxim 1 Channel Wall Mounted Remote",bpLOOKUP(Data!$AV18,"CONTROLDETAILS",CustOrdOpt,6,FALSE))))))</f>
        <v>Toggle Wall Switch</v>
      </c>
      <c r="X18" s="96" t="str">
        <f t="array" ref="X18">bpLOOKUP(Data!$AV18,"MANUALOVERRIDE",CustOrdOpt,6,FALSE)</f>
        <v/>
      </c>
      <c r="Y18" s="96" t="str">
        <f t="array" ref="Y18">(bpLOOKUP(Data!$AV18,"CRANK",CustOrdOpt,6,FALSE))</f>
        <v/>
      </c>
      <c r="Z18" s="96" t="str">
        <f t="array" ref="Z18">bpLOOKUP(Data!$AV18,"ACCESSORIES2",CustOrdOpt,6,FALSE)</f>
        <v/>
      </c>
      <c r="AA18" s="96" t="str">
        <f t="array" ref="AA18">(bpLOOKUP(Data!$AV18,"HOMEAUTO",CustOrdOpt,6,FALSE))</f>
        <v/>
      </c>
      <c r="AB18" s="96" t="str">
        <f>IF(Data!AV18="","",VLOOKUP(J18,HeadboxSelection,2,TRUE))</f>
        <v>180mm</v>
      </c>
      <c r="AC18" s="96" t="str">
        <f t="array" ref="AC18">bpLOOKUP(Data!$AV18,"LOCKBOTBAR",CustOrdOpt,6,FALSE)</f>
        <v/>
      </c>
      <c r="AD18" s="96" t="str">
        <f t="array" ref="AD18">bpLOOKUP(Data!$AV18,"INTLOCKH",CustOrdOpt,6,FALSE)</f>
        <v/>
      </c>
      <c r="AE18" s="96" t="str">
        <f t="array" ref="AE18">bpLOOKUP(Data!$AV18,"GUIDESTOPS",CustOrdOpt,6,FALSE)</f>
        <v>Yes</v>
      </c>
      <c r="AF18" s="96" t="str">
        <f t="array" ref="AF18">bpLOOKUP(Data!$AV18,"MASTIC",CustOrdOpt,6,FALSE)</f>
        <v/>
      </c>
      <c r="AG18" s="96" t="str">
        <f t="array" ref="AG18">bpLOOKUP(Data!$AV18,"BAY",CustOrdOpt,6,FALSE)</f>
        <v/>
      </c>
      <c r="AH18" s="96" t="str">
        <f t="array" ref="AH18">bpLOOKUP(Data!$AV18,"PACKERST",CustOrdOpt,6,FALSE)</f>
        <v/>
      </c>
      <c r="AI18" s="96" t="str">
        <f t="array" ref="AI18">bpLOOKUP(Data!$AV18,"PACKERSB",CustOrdOpt,6,FALSE)</f>
        <v/>
      </c>
      <c r="AJ18" s="96" t="str">
        <f t="array" ref="AJ18">bpLOOKUP(Data!$AV18,"PACKERSL",CustOrdOpt,6,FALSE)</f>
        <v/>
      </c>
      <c r="AK18" s="96" t="str">
        <f t="array" ref="AK18">bpLOOKUP(Data!$AV18,"PACKERSR",CustOrdOpt,6,FALSE)</f>
        <v/>
      </c>
      <c r="AL18" s="96" t="str">
        <f t="array" ref="AL18">bpLOOKUP(Data!$AV18,"ACCESSORIES3",CustOrdOpt,6,FALSE)</f>
        <v/>
      </c>
      <c r="AM18" s="96" t="str">
        <f t="array" ref="AM18">bpLOOKUP(Data!$AV18,"INSTALLATION",CustOrdOpt,6,FALSE)</f>
        <v>Installation</v>
      </c>
      <c r="AN18" s="96" t="str">
        <f t="array" ref="AN18">bpLOOKUP(Data!$AV18,"HANGHEIGHT",CustOrdOpt,6,FALSE)</f>
        <v>2.4m-2.7m</v>
      </c>
      <c r="AO18" s="96" t="str">
        <f t="array" ref="AO18">bpLOOKUP(Data!$AV18,"INSTALLG",CustOrdOpt,6,FALSE)</f>
        <v>Easy Access</v>
      </c>
      <c r="AP18" s="96" t="str">
        <f t="array" ref="AP18">bpLOOKUP(Data!$AV18,"TAKEDOWN",CustOrdOpt,6,FALSE)</f>
        <v>No</v>
      </c>
      <c r="AQ18" s="96" t="str">
        <f t="array" ref="AQ18">bpLOOKUP(Data!$AV18,"CHECKM",CustOrdOpt,6,FALSE)</f>
        <v>No</v>
      </c>
      <c r="AR18" s="96" t="str">
        <f t="array" ref="AR18">bpLOOKUP(Data!$AV18,"Notes",CustOrdOpt,6,FALSE)</f>
        <v/>
      </c>
      <c r="AS18"/>
      <c r="AT18" s="58" t="str">
        <f>IF(Data!AV18="","",VLOOKUP(T18,ControlDeduct,3,FALSE))</f>
        <v>Included with Motor</v>
      </c>
      <c r="AU18" s="58" t="str">
        <f>IF(Data!AV18="","",VLOOKUP(CONCATENATE(Data!BN18,T18,W18),MotorGrid,2,FALSE))</f>
        <v>240v CW Switch Motors Standard Slat</v>
      </c>
      <c r="AV18" s="58">
        <f>IF(Data!BA18="","",I18-VLOOKUP(T18,ControlDeduct,2,FALSE))</f>
        <v>1837</v>
      </c>
      <c r="AW18" s="58">
        <f>IF(Data!BB18="","",I18-72)</f>
        <v>1845</v>
      </c>
      <c r="AX18" s="58" t="str">
        <f>Data!BN18</f>
        <v>42mm Standard Slat</v>
      </c>
      <c r="AY18" s="59">
        <f>IF(Data!AW18&gt;0,((J18*24/1000-AZ18)-3),"")</f>
        <v>32.28</v>
      </c>
      <c r="AZ18" s="59">
        <f>IF(Data!AV18="","",VLOOKUP(O18,StripeConfig,2,FALSE))</f>
        <v>0</v>
      </c>
      <c r="BA18" s="58">
        <f>IF(Data!BA18="","",I18-10)</f>
        <v>1907</v>
      </c>
      <c r="BB18" s="58">
        <f>IF(Data!BA18="","",J18-VLOOKUP(AB18,HeadboxSize,2,FALSE))</f>
        <v>1290</v>
      </c>
      <c r="BC18" s="58" t="str">
        <f>IF(Data!AV18="","",IF(T18="Spring","CW Products",IF(CONCATENATE(Data!BN18,Data!BO18)=VLOOKUP(CONCATENATE(Data!BN18,Data!BO18),Manufacturer,1,FALSE),VLOOKUP(CONCATENATE(Data!BN18,Data!BO18),Manufacturer,2,FALSE),"")))</f>
        <v>Davidson's</v>
      </c>
      <c r="BD18" s="58" t="str">
        <f t="array" ref="BD18">IF(A18="","",IF(AND(Q18="Main Slat Colour",Data!BO18="Custom Powdercoat"),bpLOOKUP(Data!$AV18,"PCOAT",CustOrdOpt,6,FALSE),IF(Q18="Main Slat Colour",Data!BO18,Q18)))</f>
        <v>Monument</v>
      </c>
      <c r="BE18" s="58"/>
      <c r="BF18" s="114" t="str">
        <f t="shared" si="14"/>
        <v/>
      </c>
      <c r="BG18" s="114" t="str">
        <f t="shared" si="15"/>
        <v/>
      </c>
      <c r="BH18" s="114" t="str">
        <f t="shared" si="0"/>
        <v/>
      </c>
      <c r="BI18" s="114" t="str">
        <f t="shared" si="1"/>
        <v/>
      </c>
      <c r="BJ18" s="114" t="str">
        <f t="shared" si="16"/>
        <v/>
      </c>
      <c r="BK18" s="114" t="str">
        <f t="shared" si="17"/>
        <v/>
      </c>
      <c r="BL18" s="114" t="str">
        <f t="shared" si="2"/>
        <v/>
      </c>
      <c r="BM18" s="114" t="str">
        <f t="shared" si="3"/>
        <v/>
      </c>
      <c r="BN18" s="114" t="str">
        <f t="shared" si="4"/>
        <v/>
      </c>
      <c r="BO18" s="114" t="str">
        <f t="shared" si="5"/>
        <v/>
      </c>
      <c r="BP18" s="114" t="str">
        <f t="shared" si="6"/>
        <v/>
      </c>
      <c r="BQ18" s="114" t="str">
        <f t="shared" si="7"/>
        <v/>
      </c>
      <c r="BR18" s="114" t="str">
        <f t="shared" si="18"/>
        <v/>
      </c>
      <c r="BS18" s="114" t="str">
        <f t="shared" si="19"/>
        <v/>
      </c>
      <c r="BT18" s="114" t="str">
        <f t="shared" si="8"/>
        <v/>
      </c>
      <c r="BU18" s="114" t="str">
        <f t="shared" si="9"/>
        <v/>
      </c>
      <c r="BV18" s="114" t="str">
        <f t="shared" si="20"/>
        <v/>
      </c>
      <c r="BW18" s="114" t="str">
        <f t="shared" si="21"/>
        <v/>
      </c>
      <c r="BX18" s="114" t="str">
        <f t="shared" si="10"/>
        <v/>
      </c>
      <c r="BY18" s="114" t="str">
        <f t="shared" si="11"/>
        <v/>
      </c>
      <c r="BZ18" s="114" t="str">
        <f t="shared" si="22"/>
        <v/>
      </c>
      <c r="CA18" s="114" t="str">
        <f t="shared" si="23"/>
        <v/>
      </c>
      <c r="CB18" s="114" t="str">
        <f t="shared" si="12"/>
        <v/>
      </c>
      <c r="CC18" s="114" t="str">
        <f t="shared" si="13"/>
        <v/>
      </c>
    </row>
    <row r="19" spans="1:81" s="36" customFormat="1" ht="69.75">
      <c r="A19" s="100">
        <f>Data!AW19</f>
        <v>9</v>
      </c>
      <c r="B19" s="95" t="str">
        <f>Data!AY19</f>
        <v>Slider</v>
      </c>
      <c r="C19" s="101">
        <f>SUM(Data!BA19)</f>
        <v>2055</v>
      </c>
      <c r="D19" s="102" t="str">
        <f t="array" ref="D19">bpLOOKUP(Data!$AV19,"WIDTHADD",CustOrdOpt,6,FALSE)</f>
        <v>(++)</v>
      </c>
      <c r="E19" s="101">
        <f>Data!BB19</f>
        <v>2390</v>
      </c>
      <c r="F19" s="102" t="str">
        <f t="array" ref="F19">bpLOOKUP(Data!$AV19,"HEIGHTADD",CustOrdOpt,6,FALSE)</f>
        <v>(- Box)</v>
      </c>
      <c r="G19" s="103" t="str">
        <f t="array" ref="G19">bpLOOKUP(Data!$AV19,"Size",CustOrdOpt,6,FALSE)</f>
        <v>Opening</v>
      </c>
      <c r="H19" s="104" t="str">
        <f t="array" ref="H19">bpLOOKUP(Data!$AV19,"SIDEBYSIDE",CustOrdOpt,6,FALSE)</f>
        <v>No</v>
      </c>
      <c r="I19" s="40">
        <f>IF(Data!BA19="","",IF(G19="Opening",Data!BA19-VLOOKUP(K19,FitDeduct,2,FALSE)-VLOOKUP(H19,SideDeduct,2,FALSE)+VLOOKUP(CONCATENATE(D19,R19),WidthAdd,2,FALSE),IF(G19="Making",Data!BA19)))</f>
        <v>2161</v>
      </c>
      <c r="J19" s="40">
        <f>IF(Data!BB19="","",IF(F19="(+ Box)",(E19+VLOOKUP(E19,DropAdd,2,TRUE)+20),E19+20))</f>
        <v>2410</v>
      </c>
      <c r="K19" s="96" t="str">
        <f t="array" ref="K19">bpLOOKUP(Data!$AV19,"FIT",CustOrdOpt,6,FALSE)</f>
        <v>Face</v>
      </c>
      <c r="L19" s="96" t="str">
        <f t="array" ref="L19">bpLOOKUP(Data!$AV19,"FIXING",CustOrdOpt,6,FALSE)</f>
        <v>Brick</v>
      </c>
      <c r="M19" s="96" t="str">
        <f t="array" ref="M19">IF(Data!BE19="","",IF(Data!BO19="Custom Powdercoat",CONCATENATE(Data!BN19," ",Data!BO19," ",bpLOOKUP(Data!$AV19,"PCOAT",CustOrdOpt,6,FALSE)),(MID(Data!BE19,6,80))))</f>
        <v>42mm Standard Slat Dune</v>
      </c>
      <c r="N19" s="96" t="str">
        <f t="array" ref="N19">IF(Data!BE19="","",IF(bpLOOKUP(Data!$AV19,"SLATSTRIPE",CustOrdOpt,6,FALSE)="Custom Powdercoat",CONCATENATE(Data!BN19," ",Data!BO19," ",bpLOOKUP(Data!$AV19,"PCOATSTRIPE",CustOrdOpt,6,FALSE)),bpLOOKUP(Data!$AV19,"SLATSTRIPE",CustOrdOpt,6,FALSE)))</f>
        <v>None</v>
      </c>
      <c r="O19" s="96" t="str">
        <f t="array" ref="O19">bpLOOKUP(Data!$AV19,"STRIPECONFIG",CustOrdOpt,6,FALSE)</f>
        <v>No Stripe</v>
      </c>
      <c r="P19" s="96" t="str">
        <f t="array" ref="P19">IF(Data!BE19="","",IF(bpLOOKUP(Data!$AV19,"HEADBOXDETAILS",CustOrdOpt,6,FALSE)="Custom Powdercoat",CONCATENATE(Data!BO19," ",bpLOOKUP(Data!$AV19,"HBOXGUIDECOLOUR",CustOrdOpt,6,FALSE)),bpLOOKUP(Data!$AV19,"HEADBOXDETAILS",CustOrdOpt,6,FALSE)))</f>
        <v>Monument</v>
      </c>
      <c r="Q19" s="96" t="str">
        <f t="array" ref="Q19">IF(Data!BE19="","",IF(bpLOOKUP(Data!$AV19,"SIDEGUIDECOLOUR",CustOrdOpt,6,FALSE)="Custom Powdercoat",CONCATENATE(bpLOOKUP(Data!$AV19,"SIDEGUIDECOLOUR",CustOrdOpt,6,FALSE)," ",bpLOOKUP(Data!$AV19,"SIDEGUIDEPCCOLOUR",CustOrdOpt,6,FALSE)),bpLOOKUP(Data!$AV19,"SIDEGUIDECOLOUR",CustOrdOpt,6,FALSE)))</f>
        <v>Monument</v>
      </c>
      <c r="R19" s="96" t="str">
        <f t="array" ref="R19">bpLOOKUP(Data!$AV19,"SIDEGUIDE",CustOrdOpt,6,FALSE)</f>
        <v>53mm Standard</v>
      </c>
      <c r="S19" s="96" t="str">
        <f t="array" ref="S19">IF(Data!BE19="","",IF(bpLOOKUP(Data!$AV19,"BRAILCOLOUR",CustOrdOpt,6,FALSE)="Custom Powdercoat",CONCATENATE(Data!BO19," ",bpLOOKUP(Data!$AV19,"BRAILPCCOLOUR",CustOrdOpt,6,FALSE)),bpLOOKUP(Data!$AV19,"BRAILCOLOUR",CustOrdOpt,6,FALSE)))</f>
        <v>Monument</v>
      </c>
      <c r="T19" s="96" t="str">
        <f t="array" ref="T19">(bpLOOKUP(Data!$AV19,"CONTROLTYPE",CustOrdOpt,6,FALSE))</f>
        <v>Motorised</v>
      </c>
      <c r="U19" s="96" t="str">
        <f>IF(T19="Spring","",IF(Data!AW19="","",IFERROR(TRIM(INDEX(CHOOSE(MATCH(AU19,{"12v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Slat"},0),MS12vG,MSCWR240vG,MSCWS240vG,MSSR240vG,MSSS240vG,MF12vG,MFCWR240vG,MFCWS240vG,MFSR240vG,MFSS240vG,MSCWP240vMOG,MFSIMSG,MFCWPMOG,MSA240vG,MFA240vG),MATCH(J19,CHOOSE(MATCH(AU19,{"12v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Slat"},0),MS12vD,MSCWR240vD,MSCWS240vD,MSSR240vD,MSSS240vD,MF12vD,MFCWR240vD,MFCWS240D,MFSR240vD,MFSS240vD,MSCWP240vMOD,MFSIMSD,MFCWPMOD,MSA240vD,MFA240vD),1),MATCH(I19,CHOOSE(MATCH(AU19,{"12v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20nm Switch Motor</v>
      </c>
      <c r="V19" s="96" t="str">
        <f t="array" ref="V19">bpLOOKUP(Data!$AV19,"CONTROLSIDE",CustOrdOpt,6,FALSE)</f>
        <v>N/A</v>
      </c>
      <c r="W19" s="96" t="str">
        <f t="array" ref="W19">IF(Data!AV19="","",IF(bpLOOKUP(Data!$AV19,"CONTROLDETAILS",CustOrdOpt,6,FALSE)="CWP 1 Channel Remote","Maxim 1 Channel Remote",IF(bpLOOKUP(Data!$AV19,"CONTROLDETAILS",CustOrdOpt,6,FALSE)="CWP 5 Channel Remote","Maxim 6 Channel Remote",IF(bpLOOKUP(Data!$AV19,"CONTROLDETAILS",CustOrdOpt,6,FALSE)="CWP 16 Channel Remote","Maxim 16 Channel Remote",IF(bpLOOKUP(Data!$AV19,"CONTROLDETAILS",CustOrdOpt,6,FALSE)="CWP 1 Channel Wall Mounted Remote","Maxim 1 Channel Wall Mounted Remote",bpLOOKUP(Data!$AV19,"CONTROLDETAILS",CustOrdOpt,6,FALSE))))))</f>
        <v>Toggle Wall Switch</v>
      </c>
      <c r="X19" s="96" t="str">
        <f t="array" ref="X19">bpLOOKUP(Data!$AV19,"MANUALOVERRIDE",CustOrdOpt,6,FALSE)</f>
        <v/>
      </c>
      <c r="Y19" s="96" t="str">
        <f t="array" ref="Y19">(bpLOOKUP(Data!$AV19,"CRANK",CustOrdOpt,6,FALSE))</f>
        <v/>
      </c>
      <c r="Z19" s="96" t="str">
        <f t="array" ref="Z19">bpLOOKUP(Data!$AV19,"ACCESSORIES2",CustOrdOpt,6,FALSE)</f>
        <v/>
      </c>
      <c r="AA19" s="96" t="str">
        <f t="array" ref="AA19">(bpLOOKUP(Data!$AV19,"HOMEAUTO",CustOrdOpt,6,FALSE))</f>
        <v/>
      </c>
      <c r="AB19" s="96" t="str">
        <f>IF(Data!AV19="","",VLOOKUP(J19,HeadboxSelection,2,TRUE))</f>
        <v>205mm</v>
      </c>
      <c r="AC19" s="96" t="str">
        <f t="array" ref="AC19">bpLOOKUP(Data!$AV19,"LOCKBOTBAR",CustOrdOpt,6,FALSE)</f>
        <v/>
      </c>
      <c r="AD19" s="96" t="str">
        <f t="array" ref="AD19">bpLOOKUP(Data!$AV19,"INTLOCKH",CustOrdOpt,6,FALSE)</f>
        <v/>
      </c>
      <c r="AE19" s="96" t="str">
        <f t="array" ref="AE19">bpLOOKUP(Data!$AV19,"GUIDESTOPS",CustOrdOpt,6,FALSE)</f>
        <v>No</v>
      </c>
      <c r="AF19" s="96" t="str">
        <f t="array" ref="AF19">bpLOOKUP(Data!$AV19,"MASTIC",CustOrdOpt,6,FALSE)</f>
        <v/>
      </c>
      <c r="AG19" s="96" t="str">
        <f t="array" ref="AG19">bpLOOKUP(Data!$AV19,"BAY",CustOrdOpt,6,FALSE)</f>
        <v/>
      </c>
      <c r="AH19" s="96" t="str">
        <f t="array" ref="AH19">bpLOOKUP(Data!$AV19,"PACKERST",CustOrdOpt,6,FALSE)</f>
        <v/>
      </c>
      <c r="AI19" s="96" t="str">
        <f t="array" ref="AI19">bpLOOKUP(Data!$AV19,"PACKERSB",CustOrdOpt,6,FALSE)</f>
        <v/>
      </c>
      <c r="AJ19" s="96" t="str">
        <f t="array" ref="AJ19">bpLOOKUP(Data!$AV19,"PACKERSL",CustOrdOpt,6,FALSE)</f>
        <v/>
      </c>
      <c r="AK19" s="96" t="str">
        <f t="array" ref="AK19">bpLOOKUP(Data!$AV19,"PACKERSR",CustOrdOpt,6,FALSE)</f>
        <v/>
      </c>
      <c r="AL19" s="96" t="str">
        <f t="array" ref="AL19">bpLOOKUP(Data!$AV19,"ACCESSORIES3",CustOrdOpt,6,FALSE)</f>
        <v/>
      </c>
      <c r="AM19" s="96" t="str">
        <f t="array" ref="AM19">bpLOOKUP(Data!$AV19,"INSTALLATION",CustOrdOpt,6,FALSE)</f>
        <v>Installation</v>
      </c>
      <c r="AN19" s="96" t="str">
        <f t="array" ref="AN19">bpLOOKUP(Data!$AV19,"HANGHEIGHT",CustOrdOpt,6,FALSE)</f>
        <v>2.4m-2.7m</v>
      </c>
      <c r="AO19" s="96" t="str">
        <f t="array" ref="AO19">bpLOOKUP(Data!$AV19,"INSTALLG",CustOrdOpt,6,FALSE)</f>
        <v>Easy Access</v>
      </c>
      <c r="AP19" s="96" t="str">
        <f t="array" ref="AP19">bpLOOKUP(Data!$AV19,"TAKEDOWN",CustOrdOpt,6,FALSE)</f>
        <v>No</v>
      </c>
      <c r="AQ19" s="96" t="str">
        <f t="array" ref="AQ19">bpLOOKUP(Data!$AV19,"CHECKM",CustOrdOpt,6,FALSE)</f>
        <v>No</v>
      </c>
      <c r="AR19" s="96" t="str">
        <f t="array" ref="AR19">bpLOOKUP(Data!$AV19,"Notes",CustOrdOpt,6,FALSE)</f>
        <v/>
      </c>
      <c r="AS19"/>
      <c r="AT19" s="58" t="str">
        <f>IF(Data!AV19="","",VLOOKUP(T19,ControlDeduct,3,FALSE))</f>
        <v>Included with Motor</v>
      </c>
      <c r="AU19" s="58" t="str">
        <f>IF(Data!AV19="","",VLOOKUP(CONCATENATE(Data!BN19,T19,W19),MotorGrid,2,FALSE))</f>
        <v>240v CW Switch Motors Standard Slat</v>
      </c>
      <c r="AV19" s="58">
        <f>IF(Data!BA19="","",I19-VLOOKUP(T19,ControlDeduct,2,FALSE))</f>
        <v>2081</v>
      </c>
      <c r="AW19" s="58">
        <f>IF(Data!BB19="","",I19-72)</f>
        <v>2089</v>
      </c>
      <c r="AX19" s="58" t="str">
        <f>Data!BN19</f>
        <v>42mm Standard Slat</v>
      </c>
      <c r="AY19" s="59">
        <f>IF(Data!AW19&gt;0,((J19*24/1000-AZ19)-3),"")</f>
        <v>54.84</v>
      </c>
      <c r="AZ19" s="59">
        <f>IF(Data!AV19="","",VLOOKUP(O19,StripeConfig,2,FALSE))</f>
        <v>0</v>
      </c>
      <c r="BA19" s="58">
        <f>IF(Data!BA19="","",I19-10)</f>
        <v>2151</v>
      </c>
      <c r="BB19" s="58">
        <f>IF(Data!BA19="","",J19-VLOOKUP(AB19,HeadboxSize,2,FALSE))</f>
        <v>2205</v>
      </c>
      <c r="BC19" s="58" t="str">
        <f>IF(Data!AV19="","",IF(T19="Spring","CW Products",IF(CONCATENATE(Data!BN19,Data!BO19)=VLOOKUP(CONCATENATE(Data!BN19,Data!BO19),Manufacturer,1,FALSE),VLOOKUP(CONCATENATE(Data!BN19,Data!BO19),Manufacturer,2,FALSE),"")))</f>
        <v>Davidson's</v>
      </c>
      <c r="BD19" s="58" t="str">
        <f t="array" ref="BD19">IF(A19="","",IF(AND(Q19="Main Slat Colour",Data!BO19="Custom Powdercoat"),bpLOOKUP(Data!$AV19,"PCOAT",CustOrdOpt,6,FALSE),IF(Q19="Main Slat Colour",Data!BO19,Q19)))</f>
        <v>Monument</v>
      </c>
      <c r="BE19" s="58"/>
      <c r="BF19" s="114" t="str">
        <f t="shared" si="14"/>
        <v/>
      </c>
      <c r="BG19" s="114" t="str">
        <f t="shared" si="15"/>
        <v/>
      </c>
      <c r="BH19" s="114" t="str">
        <f t="shared" si="0"/>
        <v/>
      </c>
      <c r="BI19" s="114" t="str">
        <f t="shared" si="1"/>
        <v/>
      </c>
      <c r="BJ19" s="114" t="str">
        <f t="shared" si="16"/>
        <v/>
      </c>
      <c r="BK19" s="114" t="str">
        <f t="shared" si="17"/>
        <v/>
      </c>
      <c r="BL19" s="114" t="str">
        <f t="shared" si="2"/>
        <v/>
      </c>
      <c r="BM19" s="114" t="str">
        <f t="shared" si="3"/>
        <v/>
      </c>
      <c r="BN19" s="114" t="str">
        <f t="shared" si="4"/>
        <v/>
      </c>
      <c r="BO19" s="114" t="str">
        <f t="shared" si="5"/>
        <v/>
      </c>
      <c r="BP19" s="114" t="str">
        <f t="shared" si="6"/>
        <v/>
      </c>
      <c r="BQ19" s="114" t="str">
        <f t="shared" si="7"/>
        <v/>
      </c>
      <c r="BR19" s="114" t="str">
        <f t="shared" si="18"/>
        <v/>
      </c>
      <c r="BS19" s="114" t="str">
        <f t="shared" si="19"/>
        <v/>
      </c>
      <c r="BT19" s="114" t="str">
        <f t="shared" si="8"/>
        <v/>
      </c>
      <c r="BU19" s="114" t="str">
        <f t="shared" si="9"/>
        <v/>
      </c>
      <c r="BV19" s="114" t="str">
        <f t="shared" si="20"/>
        <v/>
      </c>
      <c r="BW19" s="114" t="str">
        <f t="shared" si="21"/>
        <v/>
      </c>
      <c r="BX19" s="114" t="str">
        <f t="shared" si="10"/>
        <v/>
      </c>
      <c r="BY19" s="114" t="str">
        <f t="shared" si="11"/>
        <v/>
      </c>
      <c r="BZ19" s="114" t="str">
        <f t="shared" si="22"/>
        <v/>
      </c>
      <c r="CA19" s="114" t="str">
        <f t="shared" si="23"/>
        <v/>
      </c>
      <c r="CB19" s="114" t="str">
        <f t="shared" si="12"/>
        <v/>
      </c>
      <c r="CC19" s="114" t="str">
        <f t="shared" si="13"/>
        <v/>
      </c>
    </row>
    <row r="20" spans="1:81" s="36" customFormat="1" ht="69.75">
      <c r="A20" s="100">
        <f>Data!AW20</f>
        <v>10</v>
      </c>
      <c r="B20" s="95" t="str">
        <f>Data!AY20</f>
        <v>Lounge</v>
      </c>
      <c r="C20" s="101">
        <f>SUM(Data!BA20)</f>
        <v>1811</v>
      </c>
      <c r="D20" s="102" t="str">
        <f t="array" ref="D20">bpLOOKUP(Data!$AV20,"WIDTHADD",CustOrdOpt,6,FALSE)</f>
        <v>(++)</v>
      </c>
      <c r="E20" s="101">
        <f>Data!BB20</f>
        <v>1450</v>
      </c>
      <c r="F20" s="102" t="str">
        <f t="array" ref="F20">bpLOOKUP(Data!$AV20,"HEIGHTADD",CustOrdOpt,6,FALSE)</f>
        <v>(- Box)</v>
      </c>
      <c r="G20" s="103" t="str">
        <f t="array" ref="G20">bpLOOKUP(Data!$AV20,"Size",CustOrdOpt,6,FALSE)</f>
        <v>Opening</v>
      </c>
      <c r="H20" s="104" t="str">
        <f t="array" ref="H20">bpLOOKUP(Data!$AV20,"SIDEBYSIDE",CustOrdOpt,6,FALSE)</f>
        <v>No</v>
      </c>
      <c r="I20" s="40">
        <f>IF(Data!BA20="","",IF(G20="Opening",Data!BA20-VLOOKUP(K20,FitDeduct,2,FALSE)-VLOOKUP(H20,SideDeduct,2,FALSE)+VLOOKUP(CONCATENATE(D20,R20),WidthAdd,2,FALSE),IF(G20="Making",Data!BA20)))</f>
        <v>1917</v>
      </c>
      <c r="J20" s="40">
        <f>IF(Data!BB20="","",IF(F20="(+ Box)",(E20+VLOOKUP(E20,DropAdd,2,TRUE)+20),E20+20))</f>
        <v>1470</v>
      </c>
      <c r="K20" s="96" t="str">
        <f t="array" ref="K20">bpLOOKUP(Data!$AV20,"FIT",CustOrdOpt,6,FALSE)</f>
        <v>Face</v>
      </c>
      <c r="L20" s="96" t="str">
        <f t="array" ref="L20">bpLOOKUP(Data!$AV20,"FIXING",CustOrdOpt,6,FALSE)</f>
        <v>Brick</v>
      </c>
      <c r="M20" s="96" t="str">
        <f t="array" ref="M20">IF(Data!BE20="","",IF(Data!BO20="Custom Powdercoat",CONCATENATE(Data!BN20," ",Data!BO20," ",bpLOOKUP(Data!$AV20,"PCOAT",CustOrdOpt,6,FALSE)),(MID(Data!BE20,6,80))))</f>
        <v>42mm Standard Slat Dune</v>
      </c>
      <c r="N20" s="96" t="str">
        <f t="array" ref="N20">IF(Data!BE20="","",IF(bpLOOKUP(Data!$AV20,"SLATSTRIPE",CustOrdOpt,6,FALSE)="Custom Powdercoat",CONCATENATE(Data!BN20," ",Data!BO20," ",bpLOOKUP(Data!$AV20,"PCOATSTRIPE",CustOrdOpt,6,FALSE)),bpLOOKUP(Data!$AV20,"SLATSTRIPE",CustOrdOpt,6,FALSE)))</f>
        <v>None</v>
      </c>
      <c r="O20" s="96" t="str">
        <f t="array" ref="O20">bpLOOKUP(Data!$AV20,"STRIPECONFIG",CustOrdOpt,6,FALSE)</f>
        <v>No Stripe</v>
      </c>
      <c r="P20" s="96" t="str">
        <f t="array" ref="P20">IF(Data!BE20="","",IF(bpLOOKUP(Data!$AV20,"HEADBOXDETAILS",CustOrdOpt,6,FALSE)="Custom Powdercoat",CONCATENATE(Data!BO20," ",bpLOOKUP(Data!$AV20,"HBOXGUIDECOLOUR",CustOrdOpt,6,FALSE)),bpLOOKUP(Data!$AV20,"HEADBOXDETAILS",CustOrdOpt,6,FALSE)))</f>
        <v>Monument</v>
      </c>
      <c r="Q20" s="96" t="str">
        <f t="array" ref="Q20">IF(Data!BE20="","",IF(bpLOOKUP(Data!$AV20,"SIDEGUIDECOLOUR",CustOrdOpt,6,FALSE)="Custom Powdercoat",CONCATENATE(bpLOOKUP(Data!$AV20,"SIDEGUIDECOLOUR",CustOrdOpt,6,FALSE)," ",bpLOOKUP(Data!$AV20,"SIDEGUIDEPCCOLOUR",CustOrdOpt,6,FALSE)),bpLOOKUP(Data!$AV20,"SIDEGUIDECOLOUR",CustOrdOpt,6,FALSE)))</f>
        <v>Monument</v>
      </c>
      <c r="R20" s="96" t="str">
        <f t="array" ref="R20">bpLOOKUP(Data!$AV20,"SIDEGUIDE",CustOrdOpt,6,FALSE)</f>
        <v>53mm Standard</v>
      </c>
      <c r="S20" s="96" t="str">
        <f t="array" ref="S20">IF(Data!BE20="","",IF(bpLOOKUP(Data!$AV20,"BRAILCOLOUR",CustOrdOpt,6,FALSE)="Custom Powdercoat",CONCATENATE(Data!BO20," ",bpLOOKUP(Data!$AV20,"BRAILPCCOLOUR",CustOrdOpt,6,FALSE)),bpLOOKUP(Data!$AV20,"BRAILCOLOUR",CustOrdOpt,6,FALSE)))</f>
        <v>Monument</v>
      </c>
      <c r="T20" s="96" t="str">
        <f t="array" ref="T20">(bpLOOKUP(Data!$AV20,"CONTROLTYPE",CustOrdOpt,6,FALSE))</f>
        <v>Motorised</v>
      </c>
      <c r="U20" s="96" t="str">
        <f>IF(T20="Spring","",IF(Data!AW20="","",IFERROR(TRIM(INDEX(CHOOSE(MATCH(AU20,{"12v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Slat"},0),MS12vG,MSCWR240vG,MSCWS240vG,MSSR240vG,MSSS240vG,MF12vG,MFCWR240vG,MFCWS240vG,MFSR240vG,MFSS240vG,MSCWP240vMOG,MFSIMSG,MFCWPMOG,MSA240vG,MFA240vG),MATCH(J20,CHOOSE(MATCH(AU20,{"12v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Slat"},0),MS12vD,MSCWR240vD,MSCWS240vD,MSSR240vD,MSSS240vD,MF12vD,MFCWR240vD,MFCWS240D,MFSR240vD,MFSS240vD,MSCWP240vMOD,MFSIMSD,MFCWPMOD,MSA240vD,MFA240vD),1),MATCH(I20,CHOOSE(MATCH(AU20,{"12v Motors Standard Slat";"240v CW Remote Motors Standard Slat";"240v CW Switch Motors Standard Slat";"240v Somfy Remote Motors Standard Slat";"240v Somfy Switch Motors Standard Slat";"12v Motors FireSafe Slat";"240v CW Remote Motors FireSafe Slat";"240v CW Switch Motors FireSafe Slat";"240v Somfy Remote Motors FireSafe Slat";"240v Somfy Switch Motors FireSafe Slat";"240v CWP Manual Override Remote Motors Standard Slat";"240v CWP Manual Override Motors Standard Slat";"240v CWP Manual Override Motors FireSafe Slat";"240v Acmeda Remote Motors Standard Slat";"240v Acmeda Remote Motors FireSafe Slat"},0),MS12vW,MSCWR240vW,MSCWS240vW,MSSR240vW,MSSS240vW,MF12vW,MFCWR240vW,MFCWS240vW,MFSR240vW,MFSS240vW,MSCWP240vMOW,MFSIMSW,MFCWPMOW,MSA240vW,MFA240vW),1))),"")))</f>
        <v>Maxim 10nm Switch Motor</v>
      </c>
      <c r="V20" s="96" t="str">
        <f t="array" ref="V20">bpLOOKUP(Data!$AV20,"CONTROLSIDE",CustOrdOpt,6,FALSE)</f>
        <v>N/A</v>
      </c>
      <c r="W20" s="96" t="str">
        <f t="array" ref="W20">IF(Data!AV20="","",IF(bpLOOKUP(Data!$AV20,"CONTROLDETAILS",CustOrdOpt,6,FALSE)="CWP 1 Channel Remote","Maxim 1 Channel Remote",IF(bpLOOKUP(Data!$AV20,"CONTROLDETAILS",CustOrdOpt,6,FALSE)="CWP 5 Channel Remote","Maxim 6 Channel Remote",IF(bpLOOKUP(Data!$AV20,"CONTROLDETAILS",CustOrdOpt,6,FALSE)="CWP 16 Channel Remote","Maxim 16 Channel Remote",IF(bpLOOKUP(Data!$AV20,"CONTROLDETAILS",CustOrdOpt,6,FALSE)="CWP 1 Channel Wall Mounted Remote","Maxim 1 Channel Wall Mounted Remote",bpLOOKUP(Data!$AV20,"CONTROLDETAILS",CustOrdOpt,6,FALSE))))))</f>
        <v>Toggle Wall Switch</v>
      </c>
      <c r="X20" s="96" t="str">
        <f t="array" ref="X20">bpLOOKUP(Data!$AV20,"MANUALOVERRIDE",CustOrdOpt,6,FALSE)</f>
        <v/>
      </c>
      <c r="Y20" s="96" t="str">
        <f t="array" ref="Y20">(bpLOOKUP(Data!$AV20,"CRANK",CustOrdOpt,6,FALSE))</f>
        <v/>
      </c>
      <c r="Z20" s="96" t="str">
        <f t="array" ref="Z20">bpLOOKUP(Data!$AV20,"ACCESSORIES2",CustOrdOpt,6,FALSE)</f>
        <v/>
      </c>
      <c r="AA20" s="96" t="str">
        <f t="array" ref="AA20">(bpLOOKUP(Data!$AV20,"HOMEAUTO",CustOrdOpt,6,FALSE))</f>
        <v/>
      </c>
      <c r="AB20" s="96" t="str">
        <f>IF(Data!AV20="","",VLOOKUP(J20,HeadboxSelection,2,TRUE))</f>
        <v>180mm</v>
      </c>
      <c r="AC20" s="96" t="str">
        <f t="array" ref="AC20">bpLOOKUP(Data!$AV20,"LOCKBOTBAR",CustOrdOpt,6,FALSE)</f>
        <v/>
      </c>
      <c r="AD20" s="96" t="str">
        <f t="array" ref="AD20">bpLOOKUP(Data!$AV20,"INTLOCKH",CustOrdOpt,6,FALSE)</f>
        <v/>
      </c>
      <c r="AE20" s="96" t="str">
        <f t="array" ref="AE20">bpLOOKUP(Data!$AV20,"GUIDESTOPS",CustOrdOpt,6,FALSE)</f>
        <v>Yes</v>
      </c>
      <c r="AF20" s="96" t="str">
        <f t="array" ref="AF20">bpLOOKUP(Data!$AV20,"MASTIC",CustOrdOpt,6,FALSE)</f>
        <v/>
      </c>
      <c r="AG20" s="96" t="str">
        <f t="array" ref="AG20">bpLOOKUP(Data!$AV20,"BAY",CustOrdOpt,6,FALSE)</f>
        <v/>
      </c>
      <c r="AH20" s="96" t="str">
        <f t="array" ref="AH20">bpLOOKUP(Data!$AV20,"PACKERST",CustOrdOpt,6,FALSE)</f>
        <v/>
      </c>
      <c r="AI20" s="96" t="str">
        <f t="array" ref="AI20">bpLOOKUP(Data!$AV20,"PACKERSB",CustOrdOpt,6,FALSE)</f>
        <v/>
      </c>
      <c r="AJ20" s="96" t="str">
        <f t="array" ref="AJ20">bpLOOKUP(Data!$AV20,"PACKERSL",CustOrdOpt,6,FALSE)</f>
        <v/>
      </c>
      <c r="AK20" s="96" t="str">
        <f t="array" ref="AK20">bpLOOKUP(Data!$AV20,"PACKERSR",CustOrdOpt,6,FALSE)</f>
        <v/>
      </c>
      <c r="AL20" s="96" t="str">
        <f t="array" ref="AL20">bpLOOKUP(Data!$AV20,"ACCESSORIES3",CustOrdOpt,6,FALSE)</f>
        <v/>
      </c>
      <c r="AM20" s="96" t="str">
        <f t="array" ref="AM20">bpLOOKUP(Data!$AV20,"INSTALLATION",CustOrdOpt,6,FALSE)</f>
        <v>Installation</v>
      </c>
      <c r="AN20" s="96" t="str">
        <f t="array" ref="AN20">bpLOOKUP(Data!$AV20,"HANGHEIGHT",CustOrdOpt,6,FALSE)</f>
        <v>2.4m-2.7m</v>
      </c>
      <c r="AO20" s="96" t="str">
        <f t="array" ref="AO20">bpLOOKUP(Data!$AV20,"INSTALLG",CustOrdOpt,6,FALSE)</f>
        <v>Easy Access</v>
      </c>
      <c r="AP20" s="96" t="str">
        <f t="array" ref="AP20">bpLOOKUP(Data!$AV20,"TAKEDOWN",CustOrdOpt,6,FALSE)</f>
        <v>No</v>
      </c>
      <c r="AQ20" s="96" t="str">
        <f t="array" ref="AQ20">bpLOOKUP(Data!$AV20,"CHECKM",CustOrdOpt,6,FALSE)</f>
        <v>No</v>
      </c>
      <c r="AR20" s="96" t="str">
        <f t="array" ref="AR20">bpLOOKUP(Data!$AV20,"Notes",CustOrdOpt,6,FALSE)</f>
        <v/>
      </c>
      <c r="AS20" s="106"/>
      <c r="AT20" s="96" t="str">
        <f>IF(Data!AV20="","",VLOOKUP(T20,ControlDeduct,3,FALSE))</f>
        <v>Included with Motor</v>
      </c>
      <c r="AU20" s="96" t="str">
        <f>IF(Data!AV20="","",VLOOKUP(CONCATENATE(Data!BN20,T20,W20),MotorGrid,2,FALSE))</f>
        <v>240v CW Switch Motors Standard Slat</v>
      </c>
      <c r="AV20" s="96">
        <f>IF(Data!BA20="","",I20-VLOOKUP(T20,ControlDeduct,2,FALSE))</f>
        <v>1837</v>
      </c>
      <c r="AW20" s="96">
        <f>IF(Data!BB20="","",I20-72)</f>
        <v>1845</v>
      </c>
      <c r="AX20" s="58" t="str">
        <f>Data!BN20</f>
        <v>42mm Standard Slat</v>
      </c>
      <c r="AY20" s="117">
        <f>IF(Data!AW20&gt;0,((J20*24/1000-AZ20)-3),"")</f>
        <v>32.28</v>
      </c>
      <c r="AZ20" s="117">
        <f>IF(Data!AV20="","",VLOOKUP(O20,StripeConfig,2,FALSE))</f>
        <v>0</v>
      </c>
      <c r="BA20" s="96">
        <f>IF(Data!BA20="","",I20-10)</f>
        <v>1907</v>
      </c>
      <c r="BB20" s="96">
        <f>IF(Data!BA20="","",J20-VLOOKUP(AB20,HeadboxSize,2,FALSE))</f>
        <v>1290</v>
      </c>
      <c r="BC20" s="58" t="str">
        <f>IF(Data!AV20="","",IF(T20="Spring","CW Products",IF(CONCATENATE(Data!BN20,Data!BO20)=VLOOKUP(CONCATENATE(Data!BN20,Data!BO20),Manufacturer,1,FALSE),VLOOKUP(CONCATENATE(Data!BN20,Data!BO20),Manufacturer,2,FALSE),"")))</f>
        <v>Davidson's</v>
      </c>
      <c r="BD20" s="58" t="str">
        <f t="array" ref="BD20">IF(A20="","",IF(AND(Q20="Main Slat Colour",Data!BO20="Custom Powdercoat"),bpLOOKUP(Data!$AV20,"PCOAT",CustOrdOpt,6,FALSE),IF(Q20="Main Slat Colour",Data!BO20,Q20)))</f>
        <v>Monument</v>
      </c>
      <c r="BE20" s="96"/>
      <c r="BF20" s="114" t="str">
        <f t="shared" si="14"/>
        <v/>
      </c>
      <c r="BG20" s="114" t="str">
        <f t="shared" si="15"/>
        <v/>
      </c>
      <c r="BH20" s="114" t="str">
        <f t="shared" si="0"/>
        <v/>
      </c>
      <c r="BI20" s="114" t="str">
        <f t="shared" si="1"/>
        <v/>
      </c>
      <c r="BJ20" s="114" t="str">
        <f t="shared" si="16"/>
        <v/>
      </c>
      <c r="BK20" s="114" t="str">
        <f t="shared" si="17"/>
        <v/>
      </c>
      <c r="BL20" s="114" t="str">
        <f t="shared" si="2"/>
        <v/>
      </c>
      <c r="BM20" s="114" t="str">
        <f t="shared" si="3"/>
        <v/>
      </c>
      <c r="BN20" s="114" t="str">
        <f t="shared" si="4"/>
        <v/>
      </c>
      <c r="BO20" s="114" t="str">
        <f t="shared" si="5"/>
        <v/>
      </c>
      <c r="BP20" s="114" t="str">
        <f t="shared" si="6"/>
        <v/>
      </c>
      <c r="BQ20" s="114" t="str">
        <f t="shared" si="7"/>
        <v/>
      </c>
      <c r="BR20" s="114" t="str">
        <f t="shared" si="18"/>
        <v/>
      </c>
      <c r="BS20" s="114" t="str">
        <f t="shared" si="19"/>
        <v/>
      </c>
      <c r="BT20" s="114" t="str">
        <f t="shared" si="8"/>
        <v/>
      </c>
      <c r="BU20" s="114" t="str">
        <f t="shared" si="9"/>
        <v/>
      </c>
      <c r="BV20" s="114" t="str">
        <f t="shared" si="20"/>
        <v/>
      </c>
      <c r="BW20" s="114" t="str">
        <f t="shared" si="21"/>
        <v/>
      </c>
      <c r="BX20" s="114" t="str">
        <f t="shared" si="10"/>
        <v/>
      </c>
      <c r="BY20" s="114" t="str">
        <f t="shared" si="11"/>
        <v/>
      </c>
      <c r="BZ20" s="114" t="str">
        <f t="shared" si="22"/>
        <v/>
      </c>
      <c r="CA20" s="114" t="str">
        <f t="shared" si="23"/>
        <v/>
      </c>
      <c r="CB20" s="114" t="str">
        <f t="shared" si="12"/>
        <v/>
      </c>
      <c r="CC20" s="114" t="str">
        <f t="shared" si="13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105" customHeight="1"/>
    <row r="62" ht="105" customHeight="1"/>
    <row r="63" ht="105" customHeight="1"/>
    <row r="64" ht="105" customHeight="1"/>
  </sheetData>
  <sheetProtection formatCells="0" formatRows="0" insertColumns="0" insertRows="0"/>
  <mergeCells count="108">
    <mergeCell ref="BQ8:BQ10"/>
    <mergeCell ref="BR8:BR10"/>
    <mergeCell ref="BS8:BS10"/>
    <mergeCell ref="BT8:BT10"/>
    <mergeCell ref="BK8:BK10"/>
    <mergeCell ref="BL8:BL10"/>
    <mergeCell ref="BM8:BM10"/>
    <mergeCell ref="BN8:BN10"/>
    <mergeCell ref="AZ8:AZ10"/>
    <mergeCell ref="BD8:BD10"/>
    <mergeCell ref="AT8:AT10"/>
    <mergeCell ref="AY8:AY10"/>
    <mergeCell ref="AU8:AU10"/>
    <mergeCell ref="AJ8:AJ10"/>
    <mergeCell ref="AH8:AH10"/>
    <mergeCell ref="AI8:AI10"/>
    <mergeCell ref="AF8:AF10"/>
    <mergeCell ref="BZ7:CC7"/>
    <mergeCell ref="BF7:BI7"/>
    <mergeCell ref="BJ7:BM7"/>
    <mergeCell ref="BN7:BQ7"/>
    <mergeCell ref="BR7:BU7"/>
    <mergeCell ref="BV7:BY7"/>
    <mergeCell ref="BZ8:BZ10"/>
    <mergeCell ref="CA8:CA10"/>
    <mergeCell ref="CB8:CB10"/>
    <mergeCell ref="CC8:CC10"/>
    <mergeCell ref="BU8:BU10"/>
    <mergeCell ref="BV8:BV10"/>
    <mergeCell ref="BW8:BW10"/>
    <mergeCell ref="BX8:BX10"/>
    <mergeCell ref="BY8:BY10"/>
    <mergeCell ref="BP8:BP10"/>
    <mergeCell ref="AG8:AG10"/>
    <mergeCell ref="W8:W10"/>
    <mergeCell ref="Z8:Z10"/>
    <mergeCell ref="AC8:AC10"/>
    <mergeCell ref="G8:G10"/>
    <mergeCell ref="U8:U10"/>
    <mergeCell ref="X8:X10"/>
    <mergeCell ref="Y8:Y10"/>
    <mergeCell ref="AA8:AA10"/>
    <mergeCell ref="BO8:BO10"/>
    <mergeCell ref="BF8:BF10"/>
    <mergeCell ref="BG8:BG10"/>
    <mergeCell ref="BH8:BH10"/>
    <mergeCell ref="BI8:BI10"/>
    <mergeCell ref="BJ8:BJ10"/>
    <mergeCell ref="AL8:AL10"/>
    <mergeCell ref="AK8:AK10"/>
    <mergeCell ref="AE8:AE10"/>
    <mergeCell ref="BC8:BC10"/>
    <mergeCell ref="BB8:BB10"/>
    <mergeCell ref="BA8:BA10"/>
    <mergeCell ref="AR8:AR10"/>
    <mergeCell ref="AM8:AM10"/>
    <mergeCell ref="AV8:AV10"/>
    <mergeCell ref="AW8:AW10"/>
    <mergeCell ref="C8:C10"/>
    <mergeCell ref="D8:D10"/>
    <mergeCell ref="H8:H10"/>
    <mergeCell ref="I8:I10"/>
    <mergeCell ref="J8:J10"/>
    <mergeCell ref="O8:O10"/>
    <mergeCell ref="M8:M10"/>
    <mergeCell ref="R8:R10"/>
    <mergeCell ref="A4:C4"/>
    <mergeCell ref="D5:G5"/>
    <mergeCell ref="A6:G7"/>
    <mergeCell ref="B8:B10"/>
    <mergeCell ref="A5:C5"/>
    <mergeCell ref="H5:K7"/>
    <mergeCell ref="L5:T5"/>
    <mergeCell ref="H4:K4"/>
    <mergeCell ref="D4:G4"/>
    <mergeCell ref="L3:T3"/>
    <mergeCell ref="L4:T4"/>
    <mergeCell ref="H2:K2"/>
    <mergeCell ref="H3:K3"/>
    <mergeCell ref="L7:T7"/>
    <mergeCell ref="L6:T6"/>
    <mergeCell ref="P8:P10"/>
    <mergeCell ref="S8:S10"/>
    <mergeCell ref="L2:T2"/>
    <mergeCell ref="V8:V10"/>
    <mergeCell ref="AX8:AX10"/>
    <mergeCell ref="AD8:AD10"/>
    <mergeCell ref="AB8:AB10"/>
    <mergeCell ref="T8:T10"/>
    <mergeCell ref="BF6:CC6"/>
    <mergeCell ref="L8:L10"/>
    <mergeCell ref="A1:AR1"/>
    <mergeCell ref="U2:AR2"/>
    <mergeCell ref="U3:AR7"/>
    <mergeCell ref="AN8:AN10"/>
    <mergeCell ref="AO8:AO10"/>
    <mergeCell ref="AP8:AP10"/>
    <mergeCell ref="AQ8:AQ10"/>
    <mergeCell ref="A2:C2"/>
    <mergeCell ref="A3:C3"/>
    <mergeCell ref="E8:E10"/>
    <mergeCell ref="F8:F10"/>
    <mergeCell ref="A8:A10"/>
    <mergeCell ref="Q8:Q10"/>
    <mergeCell ref="N8:N10"/>
    <mergeCell ref="K8:K10"/>
    <mergeCell ref="D2:G2"/>
    <mergeCell ref="D3:G3"/>
  </mergeCells>
  <conditionalFormatting sqref="O11:O20">
    <cfRule type="containsText" priority="2" dxfId="2" operator="containsText" text="Custom - See Notes">
      <formula>NOT(ISERROR(SEARCH("Custom - See Notes",O11)))</formula>
    </cfRule>
  </conditionalFormatting>
  <conditionalFormatting sqref="AH11:AH20">
    <cfRule type="containsText" priority="1" dxfId="0" operator="containsText" text="Flashing">
      <formula>NOT(ISERROR(SEARCH("Flashing",AH11)))</formula>
    </cfRule>
  </conditionalFormatting>
  <printOptions horizontalCentered="1"/>
  <pageMargins left="0.3" right="0.3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7AA8-BE14-4B72-AD81-685F228A9F6A}">
  <sheetPr codeName="Sheet1">
    <pageSetUpPr fitToPage="1"/>
  </sheetPr>
  <dimension ref="A1:AI52"/>
  <sheetViews>
    <sheetView view="pageBreakPreview" zoomScale="60" zoomScaleNormal="60" workbookViewId="0" topLeftCell="A6">
      <selection pane="topLeft" activeCell="A11" sqref="A11:XFD20"/>
    </sheetView>
  </sheetViews>
  <sheetFormatPr defaultColWidth="9.33203125" defaultRowHeight="13.5"/>
  <cols>
    <col min="1" max="1" width="10.4285714285714" style="60" customWidth="1"/>
    <col min="2" max="2" width="30.5714285714286" style="60" customWidth="1"/>
    <col min="3" max="3" width="18.7142857142857" style="60" customWidth="1"/>
    <col min="4" max="4" width="17.2857142857143" style="60" customWidth="1"/>
    <col min="5" max="5" width="18.7142857142857" style="60" customWidth="1"/>
    <col min="6" max="6" width="16.8571428571429" style="60" customWidth="1"/>
    <col min="7" max="7" width="18.5714285714286" style="60" customWidth="1"/>
    <col min="8" max="8" width="21.7142857142857" style="60" customWidth="1"/>
    <col min="9" max="9" width="17.5714285714286" style="60" customWidth="1"/>
    <col min="10" max="10" width="17.7142857142857" style="61" customWidth="1"/>
    <col min="11" max="11" width="27.5714285714286" style="61" customWidth="1"/>
    <col min="12" max="12" width="15.2857142857143" style="60" customWidth="1"/>
    <col min="13" max="13" width="22" style="60" customWidth="1"/>
    <col min="14" max="14" width="20.2857142857143" style="60" customWidth="1"/>
    <col min="15" max="15" width="23.5714285714286" style="60" customWidth="1"/>
    <col min="16" max="16" width="21.1428571428571" customWidth="1"/>
    <col min="17" max="17" width="20.4285714285714" customWidth="1"/>
    <col min="18" max="18" width="20.7142857142857" customWidth="1"/>
    <col min="19" max="19" width="21.2857142857143" customWidth="1"/>
    <col min="20" max="20" width="16" customWidth="1"/>
    <col min="21" max="21" width="15.7142857142857" customWidth="1"/>
    <col min="22" max="23" width="17" customWidth="1"/>
    <col min="24" max="24" width="18.4285714285714" customWidth="1"/>
    <col min="25" max="25" width="19.7142857142857" customWidth="1"/>
    <col min="26" max="26" width="20.1428571428571" customWidth="1"/>
    <col min="27" max="27" width="20" customWidth="1"/>
    <col min="28" max="28" width="19.1428571428571" customWidth="1"/>
    <col min="29" max="29" width="20.1428571428571" customWidth="1"/>
    <col min="30" max="30" width="21.5714285714286" customWidth="1"/>
    <col min="31" max="31" width="25.4285714285714" customWidth="1"/>
    <col min="32" max="33" width="17.2857142857143" customWidth="1"/>
    <col min="34" max="34" width="16.7142857142857" customWidth="1"/>
    <col min="35" max="35" width="33.2857142857143" customWidth="1"/>
  </cols>
  <sheetData>
    <row r="1" spans="1:35" s="29" customFormat="1" ht="109.2" customHeight="1">
      <c r="A1" s="7" t="s">
        <v>730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5" s="46" customFormat="1" ht="50.1" customHeight="1">
      <c r="A2" s="182" t="s">
        <v>7</v>
      </c>
      <c r="B2" s="182"/>
      <c r="C2" s="182"/>
      <c r="D2" s="186"/>
      <c r="E2" s="186"/>
      <c r="F2" s="186"/>
      <c r="G2" s="186"/>
      <c r="H2" s="186" t="s">
        <v>118</v>
      </c>
      <c r="I2" s="186"/>
      <c r="J2" s="186"/>
      <c r="K2" s="5" t="str">
        <f>TRIM(Data!BF5)</f>
        <v>Crow, Tahlia</v>
      </c>
      <c r="L2" s="5"/>
      <c r="M2" s="5"/>
      <c r="N2" s="5"/>
      <c r="O2" s="5"/>
      <c r="P2" s="5"/>
      <c r="Q2" s="5"/>
      <c r="R2" s="6" t="s">
        <v>4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s="46" customFormat="1" ht="50.1" customHeight="1">
      <c r="A3" s="183" t="s">
        <v>143</v>
      </c>
      <c r="B3" s="183"/>
      <c r="C3" s="183"/>
      <c r="D3" s="187" t="str">
        <f>TRIM(Data!BC5)</f>
        <v>11804</v>
      </c>
      <c r="E3" s="187"/>
      <c r="F3" s="187"/>
      <c r="G3" s="187"/>
      <c r="H3" s="188" t="s">
        <v>8</v>
      </c>
      <c r="I3" s="188"/>
      <c r="J3" s="188"/>
      <c r="K3" s="5" t="str">
        <f>TRIM(Data!AX5)</f>
        <v>Roller Shutters</v>
      </c>
      <c r="L3" s="5"/>
      <c r="M3" s="5"/>
      <c r="N3" s="5"/>
      <c r="O3" s="5"/>
      <c r="P3" s="5"/>
      <c r="Q3" s="5"/>
      <c r="R3" s="5" t="str">
        <f>TRIM(Data!BG5)</f>
        <v/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s="47" customFormat="1" ht="50.1" customHeight="1">
      <c r="A4" s="190" t="s">
        <v>15</v>
      </c>
      <c r="B4" s="190"/>
      <c r="C4" s="190"/>
      <c r="D4" s="187" t="str">
        <f>TRIM(Data!BD5)</f>
        <v>C</v>
      </c>
      <c r="E4" s="187"/>
      <c r="F4" s="187"/>
      <c r="G4" s="187"/>
      <c r="H4" s="188" t="s">
        <v>137</v>
      </c>
      <c r="I4" s="188"/>
      <c r="J4" s="188"/>
      <c r="K4" s="5" t="str">
        <f>LEFT(Data!BA5,10)</f>
        <v>23/09/2026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35" s="47" customFormat="1" ht="50.1" customHeight="1">
      <c r="A5" s="193" t="s">
        <v>9</v>
      </c>
      <c r="B5" s="193"/>
      <c r="C5" s="193"/>
      <c r="D5" s="191" t="str">
        <f>TRIM(Data!AY5)</f>
        <v>11/08/2026 12:00:00 AM</v>
      </c>
      <c r="E5" s="191"/>
      <c r="F5" s="191"/>
      <c r="G5" s="191"/>
      <c r="H5" s="187" t="s">
        <v>12</v>
      </c>
      <c r="I5" s="187"/>
      <c r="J5" s="187"/>
      <c r="K5" s="5" t="str">
        <f>CONCATENATE(Data!CX5," ",Data!CY5)</f>
        <v>Tahlia Crow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</row>
    <row r="6" spans="1:35" s="47" customFormat="1" ht="50.1" customHeight="1">
      <c r="A6" s="192" t="str">
        <f>TRIM(Data!CZ5)</f>
        <v>Retail Customer</v>
      </c>
      <c r="B6" s="192"/>
      <c r="C6" s="192"/>
      <c r="D6" s="192"/>
      <c r="E6" s="192"/>
      <c r="F6" s="192"/>
      <c r="G6" s="192"/>
      <c r="H6" s="187"/>
      <c r="I6" s="187"/>
      <c r="J6" s="187"/>
      <c r="K6" s="5" t="str">
        <f>CONCATENATE(Data!BH5," ",Data!BI5," ",Data!BJ5," ",Data!BK5," ",Data!BL5)</f>
        <v xml:space="preserve"> 25  Banff Road 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</row>
    <row r="7" spans="1:35" s="47" customFormat="1" ht="50.1" customHeight="1">
      <c r="A7" s="192"/>
      <c r="B7" s="192"/>
      <c r="C7" s="192"/>
      <c r="D7" s="192"/>
      <c r="E7" s="192"/>
      <c r="F7" s="192"/>
      <c r="G7" s="192"/>
      <c r="H7" s="187"/>
      <c r="I7" s="187"/>
      <c r="J7" s="187"/>
      <c r="K7" s="5" t="str">
        <f>CONCATENATE(Data!BM5," ",Data!BN5," ",Data!BO5," ",Data!BP5)</f>
        <v>Winter Valley VIC 3358 Australia</v>
      </c>
      <c r="L7" s="5"/>
      <c r="M7" s="5"/>
      <c r="N7" s="5"/>
      <c r="O7" s="5"/>
      <c r="P7" s="5"/>
      <c r="Q7" s="5"/>
      <c r="R7" s="197" t="s">
        <v>722</v>
      </c>
      <c r="S7" s="197"/>
      <c r="T7" s="197"/>
      <c r="U7" s="197"/>
      <c r="V7" s="197"/>
      <c r="W7" s="197"/>
      <c r="X7" s="197" t="s">
        <v>721</v>
      </c>
      <c r="Y7" s="197"/>
      <c r="Z7" s="197"/>
      <c r="AA7" s="198"/>
      <c r="AB7" s="198"/>
      <c r="AC7" s="198"/>
      <c r="AD7" s="198"/>
      <c r="AE7" s="197" t="s">
        <v>722</v>
      </c>
      <c r="AF7" s="197"/>
      <c r="AG7" s="197"/>
      <c r="AH7" s="120">
        <f>IF(COUNTIF(AD11:AD999,"Extreme - Consult Installer")&gt;0,"Extreme - Consult Installer",ROUNDUP(SUM(AH11:AH999),0))</f>
        <v>809</v>
      </c>
      <c r="AI7" s="121"/>
    </row>
    <row r="8" spans="1:35" s="55" customFormat="1" ht="50.1" customHeight="1">
      <c r="A8" s="185" t="s">
        <v>142</v>
      </c>
      <c r="B8" s="13" t="s">
        <v>120</v>
      </c>
      <c r="C8" s="199" t="s">
        <v>723</v>
      </c>
      <c r="D8" s="184" t="s">
        <v>228</v>
      </c>
      <c r="E8" s="199" t="s">
        <v>724</v>
      </c>
      <c r="F8" s="184" t="s">
        <v>230</v>
      </c>
      <c r="G8" s="11" t="s">
        <v>725</v>
      </c>
      <c r="H8" s="11" t="s">
        <v>166</v>
      </c>
      <c r="I8" s="199" t="s">
        <v>732</v>
      </c>
      <c r="J8" s="199" t="s">
        <v>731</v>
      </c>
      <c r="K8" s="12" t="s">
        <v>177</v>
      </c>
      <c r="L8" s="12" t="s">
        <v>11</v>
      </c>
      <c r="M8" s="12" t="s">
        <v>400</v>
      </c>
      <c r="N8" s="12" t="s">
        <v>284</v>
      </c>
      <c r="O8" s="12" t="s">
        <v>269</v>
      </c>
      <c r="P8" s="13" t="s">
        <v>175</v>
      </c>
      <c r="Q8" s="12" t="s">
        <v>403</v>
      </c>
      <c r="R8" s="12" t="s">
        <v>219</v>
      </c>
      <c r="S8" s="12" t="s">
        <v>301</v>
      </c>
      <c r="T8" s="11" t="s">
        <v>182</v>
      </c>
      <c r="U8" s="12" t="s">
        <v>183</v>
      </c>
      <c r="V8" s="12" t="s">
        <v>246</v>
      </c>
      <c r="W8" s="12" t="s">
        <v>733</v>
      </c>
      <c r="X8" s="12" t="s">
        <v>734</v>
      </c>
      <c r="Y8" s="12" t="s">
        <v>255</v>
      </c>
      <c r="Z8" s="12" t="s">
        <v>256</v>
      </c>
      <c r="AA8" s="12" t="s">
        <v>257</v>
      </c>
      <c r="AB8" s="12" t="s">
        <v>258</v>
      </c>
      <c r="AC8" s="12" t="s">
        <v>240</v>
      </c>
      <c r="AD8" s="12" t="s">
        <v>726</v>
      </c>
      <c r="AE8" s="12" t="s">
        <v>727</v>
      </c>
      <c r="AF8" s="12" t="s">
        <v>728</v>
      </c>
      <c r="AG8" s="12" t="s">
        <v>721</v>
      </c>
      <c r="AH8" s="12" t="s">
        <v>729</v>
      </c>
      <c r="AI8" s="12" t="s">
        <v>5</v>
      </c>
    </row>
    <row r="9" spans="1:35" s="55" customFormat="1" ht="14.25" customHeight="1" hidden="1">
      <c r="A9" s="185"/>
      <c r="B9" s="13"/>
      <c r="C9" s="199"/>
      <c r="D9" s="184"/>
      <c r="E9" s="199"/>
      <c r="F9" s="184"/>
      <c r="G9" s="11"/>
      <c r="H9" s="11"/>
      <c r="I9" s="199"/>
      <c r="J9" s="199"/>
      <c r="K9" s="12"/>
      <c r="L9" s="12"/>
      <c r="M9" s="12"/>
      <c r="N9" s="12"/>
      <c r="O9" s="12"/>
      <c r="P9" s="13"/>
      <c r="Q9" s="12"/>
      <c r="R9" s="12"/>
      <c r="S9" s="12"/>
      <c r="T9" s="11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1:35" s="56" customFormat="1" ht="42" customHeight="1">
      <c r="A10" s="185"/>
      <c r="B10" s="13"/>
      <c r="C10" s="199"/>
      <c r="D10" s="184"/>
      <c r="E10" s="199"/>
      <c r="F10" s="184"/>
      <c r="G10" s="11"/>
      <c r="H10" s="11"/>
      <c r="I10" s="199"/>
      <c r="J10" s="199"/>
      <c r="K10" s="12"/>
      <c r="L10" s="12"/>
      <c r="M10" s="12"/>
      <c r="N10" s="12"/>
      <c r="O10" s="12"/>
      <c r="P10" s="13"/>
      <c r="Q10" s="12"/>
      <c r="R10" s="12"/>
      <c r="S10" s="12"/>
      <c r="T10" s="11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1:35" s="127" customFormat="1" ht="60" customHeight="1">
      <c r="A11" s="100">
        <f>IF('Job Sheet'!AM11="Installation",'Job Sheet'!A11,"")</f>
        <v>1</v>
      </c>
      <c r="B11" s="100" t="str">
        <f>IF('Job Sheet'!AM11="Installation",'Job Sheet'!B11,"")</f>
        <v>Front Lounge</v>
      </c>
      <c r="C11" s="122">
        <f>IF('Job Sheet'!AM11="Installation",'Job Sheet'!C11,"")</f>
        <v>2411</v>
      </c>
      <c r="D11" s="102" t="str">
        <f>IF('Job Sheet'!AM11="Installation",'Job Sheet'!D11,"")</f>
        <v>(++)</v>
      </c>
      <c r="E11" s="123">
        <f>IF('Job Sheet'!AM11="Installation",'Job Sheet'!E11,"")</f>
        <v>2055</v>
      </c>
      <c r="F11" s="102" t="str">
        <f>IF('Job Sheet'!AM11="Installation",'Job Sheet'!F11,"")</f>
        <v>(- Box)</v>
      </c>
      <c r="G11" s="96" t="str">
        <f>IF('Job Sheet'!AM11="Installation",'Job Sheet'!G11,"")</f>
        <v>Opening</v>
      </c>
      <c r="H11" s="96" t="str">
        <f>IF('Job Sheet'!AM11="Installation",'Job Sheet'!H11,"")</f>
        <v>No</v>
      </c>
      <c r="I11" s="123">
        <f>IF('Job Sheet'!AM11="Installation",'Job Sheet'!I11,"")</f>
        <v>2517</v>
      </c>
      <c r="J11" s="123">
        <f>IF('Job Sheet'!AM11="Installation",'Job Sheet'!J11,"")</f>
        <v>2075</v>
      </c>
      <c r="K11" s="95" t="str">
        <f>IF('Job Sheet'!AM11="Installation",'Job Sheet'!M11,"")</f>
        <v>42mm Standard Slat Monument</v>
      </c>
      <c r="L11" s="96" t="str">
        <f>IF('Job Sheet'!AM11="Installation",'Job Sheet'!K11,"")</f>
        <v>Face</v>
      </c>
      <c r="M11" s="96" t="str">
        <f>IF('Job Sheet'!AM11="Installation",'Job Sheet'!L11,"")</f>
        <v>Brick</v>
      </c>
      <c r="N11" s="96" t="str">
        <f>IF('Job Sheet'!AM11="Installation",'Job Sheet'!T11,"")</f>
        <v>Motorised</v>
      </c>
      <c r="O11" s="96" t="str">
        <f>IF('Job Sheet'!AM11="Installation",'Job Sheet'!U11,"")</f>
        <v>Maxim 20nm Switch Motor</v>
      </c>
      <c r="P11" s="96" t="str">
        <f>IF('Job Sheet'!AM11="Installation",'Job Sheet'!W11,"")</f>
        <v>Toggle Wall Switch</v>
      </c>
      <c r="Q11" s="96" t="str">
        <f>IF('Job Sheet'!AM11="Installation",'Job Sheet'!X11,"")</f>
        <v/>
      </c>
      <c r="R11" s="96" t="str">
        <f>IF('Job Sheet'!AL11="Installation",'Job Sheet'!Z11,"")</f>
        <v/>
      </c>
      <c r="S11" s="96" t="str">
        <f>IF('Job Sheet'!AM11="Installation",'Job Sheet'!AA11,"")</f>
        <v/>
      </c>
      <c r="T11" s="96" t="str">
        <f>IF('Job Sheet'!AM11="Installation",'Job Sheet'!AB11,"")</f>
        <v>180mm</v>
      </c>
      <c r="U11" s="96" t="str">
        <f>IF('Job Sheet'!AM11="Installation",'Job Sheet'!AC11,"")</f>
        <v/>
      </c>
      <c r="V11" s="96" t="str">
        <f>IF('Job Sheet'!AM11="Installation",'Job Sheet'!AE11,"")</f>
        <v>Yes</v>
      </c>
      <c r="W11" s="96" t="str">
        <f>IF('Job Sheet'!AL11="Installation",'Job Sheet'!AF11,"")</f>
        <v/>
      </c>
      <c r="X11" s="96" t="str">
        <f>IF('Job Sheet'!AM11="Installation",'Job Sheet'!AG11,"")</f>
        <v/>
      </c>
      <c r="Y11" s="96" t="str">
        <f>IF('Job Sheet'!AL11="Installation",'Job Sheet'!AH11,"")</f>
        <v/>
      </c>
      <c r="Z11" s="96" t="str">
        <f>IF('Job Sheet'!AM11="Installation",'Job Sheet'!AI11,"")</f>
        <v/>
      </c>
      <c r="AA11" s="96" t="str">
        <f>IF('Job Sheet'!AM11="Installation",'Job Sheet'!AJ11,"")</f>
        <v/>
      </c>
      <c r="AB11" s="100" t="str">
        <f>IF('Job Sheet'!AM11="Installation",'Job Sheet'!AK11,"")</f>
        <v/>
      </c>
      <c r="AC11" s="100" t="str">
        <f>IF('Job Sheet'!AM11="Installation",'Job Sheet'!AL11,"")</f>
        <v/>
      </c>
      <c r="AD11" s="100" t="str">
        <f>IF('Job Sheet'!AM11="Installation",'Job Sheet'!AN11,"")</f>
        <v>2.4m-2.7m</v>
      </c>
      <c r="AE11" s="100" t="str">
        <f>IF('Job Sheet'!AM11="Installation",'Job Sheet'!AO11,"")</f>
        <v>Over a Garden</v>
      </c>
      <c r="AF11" s="100" t="str">
        <f>IF('Job Sheet'!AM11="Installation",'Job Sheet'!AP11,"")</f>
        <v>No</v>
      </c>
      <c r="AG11" s="100" t="str">
        <f>IF('Job Sheet'!AM11="Installation",'Job Sheet'!AQ11,"")</f>
        <v>No</v>
      </c>
      <c r="AH11" s="100">
        <f>IF(Data!AV11="","",IF('Job Sheet'!AO11="Extreme - Consult Installer","Consult Installer",(65+IFERROR(VLOOKUP(AD11,FHEIGHT,2,FALSE),0)+IFERROR(VLOOKUP(AE11,FGRADING,2,FALSE),0)+IFERROR(VLOOKUP(AF11,FTAKEDOWN,2,FALSE),0)+IFERROR(VLOOKUP(M11,FSURFACE,2,FALSE),0)+IFERROR(VLOOKUP(L11,FFITTING,2,FALSE),0)+IFERROR(VLOOKUP(X11,FBAY,2,FALSE),0)+IFERROR(VLOOKUP(AC11,FBRACKET,2,FALSE),0)+IFERROR(VLOOKUP(N11,FCONTROL,2,FALSE),0)+IFERROR(VLOOKUP(AC11,FPACKT,2,FALSE),0)+IFERROR(VLOOKUP(AC11,FPACKB,2,FALSE),0)+IFERROR(VLOOKUP(AC11,FPACKL,2,FALSE),0)+IFERROR(VLOOKUP(AC11,FPACKR,2,FALSE),0)+IFERROR(VLOOKUP(AC11,FMASTIC,2,FALSE),0)+IFERROR(VLOOKUP(AC11,FMOTA,2,FALSE),0))))</f>
        <v>85</v>
      </c>
      <c r="AI11" s="100" t="str">
        <f>IF('Job Sheet'!AM11="Installation",'Job Sheet'!AR11,"")</f>
        <v/>
      </c>
    </row>
    <row r="12" spans="1:35" s="127" customFormat="1" ht="60" customHeight="1">
      <c r="A12" s="100">
        <f>IF('Job Sheet'!AM12="Installation",'Job Sheet'!A12,"")</f>
        <v>2</v>
      </c>
      <c r="B12" s="100" t="str">
        <f>IF('Job Sheet'!AM12="Installation",'Job Sheet'!B12,"")</f>
        <v>Master</v>
      </c>
      <c r="C12" s="122">
        <f>IF('Job Sheet'!AM12="Installation",'Job Sheet'!C12,"")</f>
        <v>1813</v>
      </c>
      <c r="D12" s="102" t="str">
        <f>IF('Job Sheet'!AM12="Installation",'Job Sheet'!D12,"")</f>
        <v>(++)</v>
      </c>
      <c r="E12" s="123">
        <f>IF('Job Sheet'!AM12="Installation",'Job Sheet'!E12,"")</f>
        <v>1450</v>
      </c>
      <c r="F12" s="102" t="str">
        <f>IF('Job Sheet'!AM12="Installation",'Job Sheet'!F12,"")</f>
        <v>(- Box)</v>
      </c>
      <c r="G12" s="96" t="str">
        <f>IF('Job Sheet'!AM12="Installation",'Job Sheet'!G12,"")</f>
        <v>Opening</v>
      </c>
      <c r="H12" s="96" t="str">
        <f>IF('Job Sheet'!AM12="Installation",'Job Sheet'!H12,"")</f>
        <v>No</v>
      </c>
      <c r="I12" s="123">
        <f>IF('Job Sheet'!AM12="Installation",'Job Sheet'!I12,"")</f>
        <v>1919</v>
      </c>
      <c r="J12" s="123">
        <f>IF('Job Sheet'!AM12="Installation",'Job Sheet'!J12,"")</f>
        <v>1470</v>
      </c>
      <c r="K12" s="95" t="str">
        <f>IF('Job Sheet'!AM12="Installation",'Job Sheet'!M12,"")</f>
        <v>42mm Standard Slat Monument</v>
      </c>
      <c r="L12" s="96" t="str">
        <f>IF('Job Sheet'!AM12="Installation",'Job Sheet'!K12,"")</f>
        <v>Face</v>
      </c>
      <c r="M12" s="96" t="str">
        <f>IF('Job Sheet'!AM12="Installation",'Job Sheet'!L12,"")</f>
        <v>Brick</v>
      </c>
      <c r="N12" s="96" t="str">
        <f>IF('Job Sheet'!AM12="Installation",'Job Sheet'!T12,"")</f>
        <v>Motorised</v>
      </c>
      <c r="O12" s="96" t="str">
        <f>IF('Job Sheet'!AM12="Installation",'Job Sheet'!U12,"")</f>
        <v>Maxim 10nm Switch Motor</v>
      </c>
      <c r="P12" s="96" t="str">
        <f>IF('Job Sheet'!AM12="Installation",'Job Sheet'!W12,"")</f>
        <v>Toggle Wall Switch</v>
      </c>
      <c r="Q12" s="96" t="str">
        <f>IF('Job Sheet'!AM12="Installation",'Job Sheet'!X12,"")</f>
        <v/>
      </c>
      <c r="R12" s="96" t="str">
        <f>IF('Job Sheet'!AL12="Installation",'Job Sheet'!Z12,"")</f>
        <v/>
      </c>
      <c r="S12" s="96" t="str">
        <f>IF('Job Sheet'!AM12="Installation",'Job Sheet'!AA12,"")</f>
        <v/>
      </c>
      <c r="T12" s="96" t="str">
        <f>IF('Job Sheet'!AM12="Installation",'Job Sheet'!AB12,"")</f>
        <v>180mm</v>
      </c>
      <c r="U12" s="96" t="str">
        <f>IF('Job Sheet'!AM12="Installation",'Job Sheet'!AC12,"")</f>
        <v/>
      </c>
      <c r="V12" s="96" t="str">
        <f>IF('Job Sheet'!AM12="Installation",'Job Sheet'!AE12,"")</f>
        <v>Yes</v>
      </c>
      <c r="W12" s="96" t="str">
        <f>IF('Job Sheet'!AL12="Installation",'Job Sheet'!AF12,"")</f>
        <v/>
      </c>
      <c r="X12" s="96" t="str">
        <f>IF('Job Sheet'!AM12="Installation",'Job Sheet'!AG12,"")</f>
        <v/>
      </c>
      <c r="Y12" s="96" t="str">
        <f>IF('Job Sheet'!AL12="Installation",'Job Sheet'!AH12,"")</f>
        <v/>
      </c>
      <c r="Z12" s="96" t="str">
        <f>IF('Job Sheet'!AM12="Installation",'Job Sheet'!AI12,"")</f>
        <v/>
      </c>
      <c r="AA12" s="96" t="str">
        <f>IF('Job Sheet'!AM12="Installation",'Job Sheet'!AJ12,"")</f>
        <v/>
      </c>
      <c r="AB12" s="100" t="str">
        <f>IF('Job Sheet'!AM12="Installation",'Job Sheet'!AK12,"")</f>
        <v/>
      </c>
      <c r="AC12" s="100" t="str">
        <f>IF('Job Sheet'!AM12="Installation",'Job Sheet'!AL12,"")</f>
        <v/>
      </c>
      <c r="AD12" s="100" t="str">
        <f>IF('Job Sheet'!AM12="Installation",'Job Sheet'!AN12,"")</f>
        <v>2.4m-2.7m</v>
      </c>
      <c r="AE12" s="100" t="str">
        <f>IF('Job Sheet'!AM12="Installation",'Job Sheet'!AO12,"")</f>
        <v>Easy Access</v>
      </c>
      <c r="AF12" s="100" t="str">
        <f>IF('Job Sheet'!AM12="Installation",'Job Sheet'!AP12,"")</f>
        <v>No</v>
      </c>
      <c r="AG12" s="100" t="str">
        <f>IF('Job Sheet'!AM12="Installation",'Job Sheet'!AQ12,"")</f>
        <v>No</v>
      </c>
      <c r="AH12" s="100">
        <f>IF(Data!AV12="","",IF('Job Sheet'!AO12="Extreme - Consult Installer","Consult Installer",(65+IFERROR(VLOOKUP(AD12,FHEIGHT,2,FALSE),0)+IFERROR(VLOOKUP(AE12,FGRADING,2,FALSE),0)+IFERROR(VLOOKUP(AF12,FTAKEDOWN,2,FALSE),0)+IFERROR(VLOOKUP(M12,FSURFACE,2,FALSE),0)+IFERROR(VLOOKUP(L12,FFITTING,2,FALSE),0)+IFERROR(VLOOKUP(X12,FBAY,2,FALSE),0)+IFERROR(VLOOKUP(AC12,FBRACKET,2,FALSE),0)+IFERROR(VLOOKUP(N12,FCONTROL,2,FALSE),0)+IFERROR(VLOOKUP(AC12,FPACKT,2,FALSE),0)+IFERROR(VLOOKUP(AC12,FPACKB,2,FALSE),0)+IFERROR(VLOOKUP(AC12,FPACKL,2,FALSE),0)+IFERROR(VLOOKUP(AC12,FPACKR,2,FALSE),0)+IFERROR(VLOOKUP(AC12,FMASTIC,2,FALSE),0)+IFERROR(VLOOKUP(AC12,FMOTA,2,FALSE),0))))</f>
        <v>80</v>
      </c>
      <c r="AI12" s="100" t="str">
        <f>IF('Job Sheet'!AM12="Installation",'Job Sheet'!AR12,"")</f>
        <v/>
      </c>
    </row>
    <row r="13" spans="1:35" s="127" customFormat="1" ht="60" customHeight="1">
      <c r="A13" s="100">
        <f>IF('Job Sheet'!AM13="Installation",'Job Sheet'!A13,"")</f>
        <v>3</v>
      </c>
      <c r="B13" s="100" t="str">
        <f>IF('Job Sheet'!AM13="Installation",'Job Sheet'!B13,"")</f>
        <v>Ensuite</v>
      </c>
      <c r="C13" s="122">
        <f>IF('Job Sheet'!AM13="Installation",'Job Sheet'!C13,"")</f>
        <v>610</v>
      </c>
      <c r="D13" s="102" t="str">
        <f>IF('Job Sheet'!AM13="Installation",'Job Sheet'!D13,"")</f>
        <v>(++)</v>
      </c>
      <c r="E13" s="123">
        <f>IF('Job Sheet'!AM13="Installation",'Job Sheet'!E13,"")</f>
        <v>1450</v>
      </c>
      <c r="F13" s="102" t="str">
        <f>IF('Job Sheet'!AM13="Installation",'Job Sheet'!F13,"")</f>
        <v>(- Box)</v>
      </c>
      <c r="G13" s="96" t="str">
        <f>IF('Job Sheet'!AM13="Installation",'Job Sheet'!G13,"")</f>
        <v>Opening</v>
      </c>
      <c r="H13" s="96" t="str">
        <f>IF('Job Sheet'!AM13="Installation",'Job Sheet'!H13,"")</f>
        <v>No</v>
      </c>
      <c r="I13" s="123">
        <f>IF('Job Sheet'!AM13="Installation",'Job Sheet'!I13,"")</f>
        <v>716</v>
      </c>
      <c r="J13" s="123">
        <f>IF('Job Sheet'!AM13="Installation",'Job Sheet'!J13,"")</f>
        <v>1470</v>
      </c>
      <c r="K13" s="95" t="str">
        <f>IF('Job Sheet'!AM13="Installation",'Job Sheet'!M13,"")</f>
        <v>42mm Standard Slat Monument</v>
      </c>
      <c r="L13" s="96" t="str">
        <f>IF('Job Sheet'!AM13="Installation",'Job Sheet'!K13,"")</f>
        <v>Face</v>
      </c>
      <c r="M13" s="96" t="str">
        <f>IF('Job Sheet'!AM13="Installation",'Job Sheet'!L13,"")</f>
        <v>Brick</v>
      </c>
      <c r="N13" s="96" t="str">
        <f>IF('Job Sheet'!AM13="Installation",'Job Sheet'!T13,"")</f>
        <v>Motorised</v>
      </c>
      <c r="O13" s="96" t="str">
        <f>IF('Job Sheet'!AM13="Installation",'Job Sheet'!U13,"")</f>
        <v>Maxim 10nm Switch Motor</v>
      </c>
      <c r="P13" s="96" t="str">
        <f>IF('Job Sheet'!AM13="Installation",'Job Sheet'!W13,"")</f>
        <v>Toggle Wall Switch</v>
      </c>
      <c r="Q13" s="96" t="str">
        <f>IF('Job Sheet'!AM13="Installation",'Job Sheet'!X13,"")</f>
        <v/>
      </c>
      <c r="R13" s="96" t="str">
        <f>IF('Job Sheet'!AL13="Installation",'Job Sheet'!Z13,"")</f>
        <v/>
      </c>
      <c r="S13" s="96" t="str">
        <f>IF('Job Sheet'!AM13="Installation",'Job Sheet'!AA13,"")</f>
        <v/>
      </c>
      <c r="T13" s="96" t="str">
        <f>IF('Job Sheet'!AM13="Installation",'Job Sheet'!AB13,"")</f>
        <v>180mm</v>
      </c>
      <c r="U13" s="96" t="str">
        <f>IF('Job Sheet'!AM13="Installation",'Job Sheet'!AC13,"")</f>
        <v/>
      </c>
      <c r="V13" s="96" t="str">
        <f>IF('Job Sheet'!AM13="Installation",'Job Sheet'!AE13,"")</f>
        <v>Yes</v>
      </c>
      <c r="W13" s="96" t="str">
        <f>IF('Job Sheet'!AL13="Installation",'Job Sheet'!AF13,"")</f>
        <v/>
      </c>
      <c r="X13" s="96" t="str">
        <f>IF('Job Sheet'!AM13="Installation",'Job Sheet'!AG13,"")</f>
        <v/>
      </c>
      <c r="Y13" s="96" t="str">
        <f>IF('Job Sheet'!AL13="Installation",'Job Sheet'!AH13,"")</f>
        <v/>
      </c>
      <c r="Z13" s="96" t="str">
        <f>IF('Job Sheet'!AM13="Installation",'Job Sheet'!AI13,"")</f>
        <v/>
      </c>
      <c r="AA13" s="96" t="str">
        <f>IF('Job Sheet'!AM13="Installation",'Job Sheet'!AJ13,"")</f>
        <v/>
      </c>
      <c r="AB13" s="100" t="str">
        <f>IF('Job Sheet'!AM13="Installation",'Job Sheet'!AK13,"")</f>
        <v/>
      </c>
      <c r="AC13" s="100" t="str">
        <f>IF('Job Sheet'!AM13="Installation",'Job Sheet'!AL13,"")</f>
        <v/>
      </c>
      <c r="AD13" s="100" t="str">
        <f>IF('Job Sheet'!AM13="Installation",'Job Sheet'!AN13,"")</f>
        <v>2.4m-2.7m</v>
      </c>
      <c r="AE13" s="100" t="str">
        <f>IF('Job Sheet'!AM13="Installation",'Job Sheet'!AO13,"")</f>
        <v>Easy Access</v>
      </c>
      <c r="AF13" s="100" t="str">
        <f>IF('Job Sheet'!AM13="Installation",'Job Sheet'!AP13,"")</f>
        <v>No</v>
      </c>
      <c r="AG13" s="100" t="str">
        <f>IF('Job Sheet'!AM13="Installation",'Job Sheet'!AQ13,"")</f>
        <v>No</v>
      </c>
      <c r="AH13" s="100">
        <f>IF(Data!AV13="","",IF('Job Sheet'!AO13="Extreme - Consult Installer","Consult Installer",(65+IFERROR(VLOOKUP(AD13,FHEIGHT,2,FALSE),0)+IFERROR(VLOOKUP(AE13,FGRADING,2,FALSE),0)+IFERROR(VLOOKUP(AF13,FTAKEDOWN,2,FALSE),0)+IFERROR(VLOOKUP(M13,FSURFACE,2,FALSE),0)+IFERROR(VLOOKUP(L13,FFITTING,2,FALSE),0)+IFERROR(VLOOKUP(X13,FBAY,2,FALSE),0)+IFERROR(VLOOKUP(AC13,FBRACKET,2,FALSE),0)+IFERROR(VLOOKUP(N13,FCONTROL,2,FALSE),0)+IFERROR(VLOOKUP(AC13,FPACKT,2,FALSE),0)+IFERROR(VLOOKUP(AC13,FPACKB,2,FALSE),0)+IFERROR(VLOOKUP(AC13,FPACKL,2,FALSE),0)+IFERROR(VLOOKUP(AC13,FPACKR,2,FALSE),0)+IFERROR(VLOOKUP(AC13,FMASTIC,2,FALSE),0)+IFERROR(VLOOKUP(AC13,FMOTA,2,FALSE),0))))</f>
        <v>80</v>
      </c>
      <c r="AI13" s="100" t="str">
        <f>IF('Job Sheet'!AM13="Installation",'Job Sheet'!AR13,"")</f>
        <v/>
      </c>
    </row>
    <row r="14" spans="1:35" s="127" customFormat="1" ht="60" customHeight="1">
      <c r="A14" s="100">
        <f>IF('Job Sheet'!AM14="Installation",'Job Sheet'!A14,"")</f>
        <v>4</v>
      </c>
      <c r="B14" s="100" t="str">
        <f>IF('Job Sheet'!AM14="Installation",'Job Sheet'!B14,"")</f>
        <v>Bath</v>
      </c>
      <c r="C14" s="122">
        <f>IF('Job Sheet'!AM14="Installation",'Job Sheet'!C14,"")</f>
        <v>1454</v>
      </c>
      <c r="D14" s="102" t="str">
        <f>IF('Job Sheet'!AM14="Installation",'Job Sheet'!D14,"")</f>
        <v>(++)</v>
      </c>
      <c r="E14" s="123">
        <f>IF('Job Sheet'!AM14="Installation",'Job Sheet'!E14,"")</f>
        <v>1280</v>
      </c>
      <c r="F14" s="102" t="str">
        <f>IF('Job Sheet'!AM14="Installation",'Job Sheet'!F14,"")</f>
        <v>(- Box)</v>
      </c>
      <c r="G14" s="96" t="str">
        <f>IF('Job Sheet'!AM14="Installation",'Job Sheet'!G14,"")</f>
        <v>Opening</v>
      </c>
      <c r="H14" s="96" t="str">
        <f>IF('Job Sheet'!AM14="Installation",'Job Sheet'!H14,"")</f>
        <v>No</v>
      </c>
      <c r="I14" s="123">
        <f>IF('Job Sheet'!AM14="Installation",'Job Sheet'!I14,"")</f>
        <v>1560</v>
      </c>
      <c r="J14" s="123">
        <f>IF('Job Sheet'!AM14="Installation",'Job Sheet'!J14,"")</f>
        <v>1300</v>
      </c>
      <c r="K14" s="95" t="str">
        <f>IF('Job Sheet'!AM14="Installation",'Job Sheet'!M14,"")</f>
        <v>42mm Standard Slat Monument</v>
      </c>
      <c r="L14" s="96" t="str">
        <f>IF('Job Sheet'!AM14="Installation",'Job Sheet'!K14,"")</f>
        <v>Face</v>
      </c>
      <c r="M14" s="96" t="str">
        <f>IF('Job Sheet'!AM14="Installation",'Job Sheet'!L14,"")</f>
        <v>Brick</v>
      </c>
      <c r="N14" s="96" t="str">
        <f>IF('Job Sheet'!AM14="Installation",'Job Sheet'!T14,"")</f>
        <v>Motorised</v>
      </c>
      <c r="O14" s="96" t="str">
        <f>IF('Job Sheet'!AM14="Installation",'Job Sheet'!U14,"")</f>
        <v>Maxim 10nm Switch Motor</v>
      </c>
      <c r="P14" s="96" t="str">
        <f>IF('Job Sheet'!AM14="Installation",'Job Sheet'!W14,"")</f>
        <v>Toggle Wall Switch</v>
      </c>
      <c r="Q14" s="96" t="str">
        <f>IF('Job Sheet'!AM14="Installation",'Job Sheet'!X14,"")</f>
        <v/>
      </c>
      <c r="R14" s="96" t="str">
        <f>IF('Job Sheet'!AL14="Installation",'Job Sheet'!Z14,"")</f>
        <v/>
      </c>
      <c r="S14" s="96" t="str">
        <f>IF('Job Sheet'!AM14="Installation",'Job Sheet'!AA14,"")</f>
        <v/>
      </c>
      <c r="T14" s="96" t="str">
        <f>IF('Job Sheet'!AM14="Installation",'Job Sheet'!AB14,"")</f>
        <v>180mm</v>
      </c>
      <c r="U14" s="96" t="str">
        <f>IF('Job Sheet'!AM14="Installation",'Job Sheet'!AC14,"")</f>
        <v/>
      </c>
      <c r="V14" s="96" t="str">
        <f>IF('Job Sheet'!AM14="Installation",'Job Sheet'!AE14,"")</f>
        <v>Yes</v>
      </c>
      <c r="W14" s="96" t="str">
        <f>IF('Job Sheet'!AL14="Installation",'Job Sheet'!AF14,"")</f>
        <v/>
      </c>
      <c r="X14" s="96" t="str">
        <f>IF('Job Sheet'!AM14="Installation",'Job Sheet'!AG14,"")</f>
        <v/>
      </c>
      <c r="Y14" s="96" t="str">
        <f>IF('Job Sheet'!AL14="Installation",'Job Sheet'!AH14,"")</f>
        <v/>
      </c>
      <c r="Z14" s="96" t="str">
        <f>IF('Job Sheet'!AM14="Installation",'Job Sheet'!AI14,"")</f>
        <v/>
      </c>
      <c r="AA14" s="96" t="str">
        <f>IF('Job Sheet'!AM14="Installation",'Job Sheet'!AJ14,"")</f>
        <v/>
      </c>
      <c r="AB14" s="100" t="str">
        <f>IF('Job Sheet'!AM14="Installation",'Job Sheet'!AK14,"")</f>
        <v/>
      </c>
      <c r="AC14" s="100" t="str">
        <f>IF('Job Sheet'!AM14="Installation",'Job Sheet'!AL14,"")</f>
        <v/>
      </c>
      <c r="AD14" s="100" t="str">
        <f>IF('Job Sheet'!AM14="Installation",'Job Sheet'!AN14,"")</f>
        <v>2.4m-2.7m</v>
      </c>
      <c r="AE14" s="100" t="str">
        <f>IF('Job Sheet'!AM14="Installation",'Job Sheet'!AO14,"")</f>
        <v>Easy Access</v>
      </c>
      <c r="AF14" s="100" t="str">
        <f>IF('Job Sheet'!AM14="Installation",'Job Sheet'!AP14,"")</f>
        <v>No</v>
      </c>
      <c r="AG14" s="100" t="str">
        <f>IF('Job Sheet'!AM14="Installation",'Job Sheet'!AQ14,"")</f>
        <v>No</v>
      </c>
      <c r="AH14" s="100">
        <f>IF(Data!AV14="","",IF('Job Sheet'!AO14="Extreme - Consult Installer","Consult Installer",(65+IFERROR(VLOOKUP(AD14,FHEIGHT,2,FALSE),0)+IFERROR(VLOOKUP(AE14,FGRADING,2,FALSE),0)+IFERROR(VLOOKUP(AF14,FTAKEDOWN,2,FALSE),0)+IFERROR(VLOOKUP(M14,FSURFACE,2,FALSE),0)+IFERROR(VLOOKUP(L14,FFITTING,2,FALSE),0)+IFERROR(VLOOKUP(X14,FBAY,2,FALSE),0)+IFERROR(VLOOKUP(AC14,FBRACKET,2,FALSE),0)+IFERROR(VLOOKUP(N14,FCONTROL,2,FALSE),0)+IFERROR(VLOOKUP(AC14,FPACKT,2,FALSE),0)+IFERROR(VLOOKUP(AC14,FPACKB,2,FALSE),0)+IFERROR(VLOOKUP(AC14,FPACKL,2,FALSE),0)+IFERROR(VLOOKUP(AC14,FPACKR,2,FALSE),0)+IFERROR(VLOOKUP(AC14,FMASTIC,2,FALSE),0)+IFERROR(VLOOKUP(AC14,FMOTA,2,FALSE),0))))</f>
        <v>80</v>
      </c>
      <c r="AI14" s="100" t="str">
        <f>IF('Job Sheet'!AM14="Installation",'Job Sheet'!AR14,"")</f>
        <v/>
      </c>
    </row>
    <row r="15" spans="1:35" s="127" customFormat="1" ht="60" customHeight="1">
      <c r="A15" s="100">
        <f>IF('Job Sheet'!AM15="Installation",'Job Sheet'!A15,"")</f>
        <v>5</v>
      </c>
      <c r="B15" s="100" t="str">
        <f>IF('Job Sheet'!AM15="Installation",'Job Sheet'!B15,"")</f>
        <v>Bed 2</v>
      </c>
      <c r="C15" s="122">
        <f>IF('Job Sheet'!AM15="Installation",'Job Sheet'!C15,"")</f>
        <v>1813</v>
      </c>
      <c r="D15" s="102" t="str">
        <f>IF('Job Sheet'!AM15="Installation",'Job Sheet'!D15,"")</f>
        <v>(++)</v>
      </c>
      <c r="E15" s="123">
        <f>IF('Job Sheet'!AM15="Installation",'Job Sheet'!E15,"")</f>
        <v>1450</v>
      </c>
      <c r="F15" s="102" t="str">
        <f>IF('Job Sheet'!AM15="Installation",'Job Sheet'!F15,"")</f>
        <v>(- Box)</v>
      </c>
      <c r="G15" s="96" t="str">
        <f>IF('Job Sheet'!AM15="Installation",'Job Sheet'!G15,"")</f>
        <v>Opening</v>
      </c>
      <c r="H15" s="96" t="str">
        <f>IF('Job Sheet'!AM15="Installation",'Job Sheet'!H15,"")</f>
        <v>No</v>
      </c>
      <c r="I15" s="123">
        <f>IF('Job Sheet'!AM15="Installation",'Job Sheet'!I15,"")</f>
        <v>1919</v>
      </c>
      <c r="J15" s="123">
        <f>IF('Job Sheet'!AM15="Installation",'Job Sheet'!J15,"")</f>
        <v>1470</v>
      </c>
      <c r="K15" s="95" t="str">
        <f>IF('Job Sheet'!AM15="Installation",'Job Sheet'!M15,"")</f>
        <v>42mm Standard Slat Monument</v>
      </c>
      <c r="L15" s="96" t="str">
        <f>IF('Job Sheet'!AM15="Installation",'Job Sheet'!K15,"")</f>
        <v>Face</v>
      </c>
      <c r="M15" s="96" t="str">
        <f>IF('Job Sheet'!AM15="Installation",'Job Sheet'!L15,"")</f>
        <v>Brick</v>
      </c>
      <c r="N15" s="96" t="str">
        <f>IF('Job Sheet'!AM15="Installation",'Job Sheet'!T15,"")</f>
        <v>Motorised</v>
      </c>
      <c r="O15" s="96" t="str">
        <f>IF('Job Sheet'!AM15="Installation",'Job Sheet'!U15,"")</f>
        <v>Maxim 10nm Switch Motor</v>
      </c>
      <c r="P15" s="96" t="str">
        <f>IF('Job Sheet'!AM15="Installation",'Job Sheet'!W15,"")</f>
        <v>Toggle Wall Switch</v>
      </c>
      <c r="Q15" s="96" t="str">
        <f>IF('Job Sheet'!AM15="Installation",'Job Sheet'!X15,"")</f>
        <v/>
      </c>
      <c r="R15" s="96" t="str">
        <f>IF('Job Sheet'!AL15="Installation",'Job Sheet'!Z15,"")</f>
        <v/>
      </c>
      <c r="S15" s="96" t="str">
        <f>IF('Job Sheet'!AM15="Installation",'Job Sheet'!AA15,"")</f>
        <v/>
      </c>
      <c r="T15" s="96" t="str">
        <f>IF('Job Sheet'!AM15="Installation",'Job Sheet'!AB15,"")</f>
        <v>180mm</v>
      </c>
      <c r="U15" s="96" t="str">
        <f>IF('Job Sheet'!AM15="Installation",'Job Sheet'!AC15,"")</f>
        <v/>
      </c>
      <c r="V15" s="96" t="str">
        <f>IF('Job Sheet'!AM15="Installation",'Job Sheet'!AE15,"")</f>
        <v>Yes</v>
      </c>
      <c r="W15" s="96" t="str">
        <f>IF('Job Sheet'!AL15="Installation",'Job Sheet'!AF15,"")</f>
        <v/>
      </c>
      <c r="X15" s="96" t="str">
        <f>IF('Job Sheet'!AM15="Installation",'Job Sheet'!AG15,"")</f>
        <v/>
      </c>
      <c r="Y15" s="96" t="str">
        <f>IF('Job Sheet'!AL15="Installation",'Job Sheet'!AH15,"")</f>
        <v/>
      </c>
      <c r="Z15" s="96" t="str">
        <f>IF('Job Sheet'!AM15="Installation",'Job Sheet'!AI15,"")</f>
        <v/>
      </c>
      <c r="AA15" s="96" t="str">
        <f>IF('Job Sheet'!AM15="Installation",'Job Sheet'!AJ15,"")</f>
        <v/>
      </c>
      <c r="AB15" s="100" t="str">
        <f>IF('Job Sheet'!AM15="Installation",'Job Sheet'!AK15,"")</f>
        <v/>
      </c>
      <c r="AC15" s="100" t="str">
        <f>IF('Job Sheet'!AM15="Installation",'Job Sheet'!AL15,"")</f>
        <v/>
      </c>
      <c r="AD15" s="100" t="str">
        <f>IF('Job Sheet'!AM15="Installation",'Job Sheet'!AN15,"")</f>
        <v>2.4m-2.7m</v>
      </c>
      <c r="AE15" s="100" t="str">
        <f>IF('Job Sheet'!AM15="Installation",'Job Sheet'!AO15,"")</f>
        <v>Easy Access</v>
      </c>
      <c r="AF15" s="100" t="str">
        <f>IF('Job Sheet'!AM15="Installation",'Job Sheet'!AP15,"")</f>
        <v>No</v>
      </c>
      <c r="AG15" s="100" t="str">
        <f>IF('Job Sheet'!AM15="Installation",'Job Sheet'!AQ15,"")</f>
        <v>No</v>
      </c>
      <c r="AH15" s="100">
        <f>IF(Data!AV15="","",IF('Job Sheet'!AO15="Extreme - Consult Installer","Consult Installer",(65+IFERROR(VLOOKUP(AD15,FHEIGHT,2,FALSE),0)+IFERROR(VLOOKUP(AE15,FGRADING,2,FALSE),0)+IFERROR(VLOOKUP(AF15,FTAKEDOWN,2,FALSE),0)+IFERROR(VLOOKUP(M15,FSURFACE,2,FALSE),0)+IFERROR(VLOOKUP(L15,FFITTING,2,FALSE),0)+IFERROR(VLOOKUP(X15,FBAY,2,FALSE),0)+IFERROR(VLOOKUP(AC15,FBRACKET,2,FALSE),0)+IFERROR(VLOOKUP(N15,FCONTROL,2,FALSE),0)+IFERROR(VLOOKUP(AC15,FPACKT,2,FALSE),0)+IFERROR(VLOOKUP(AC15,FPACKB,2,FALSE),0)+IFERROR(VLOOKUP(AC15,FPACKL,2,FALSE),0)+IFERROR(VLOOKUP(AC15,FPACKR,2,FALSE),0)+IFERROR(VLOOKUP(AC15,FMASTIC,2,FALSE),0)+IFERROR(VLOOKUP(AC15,FMOTA,2,FALSE),0))))</f>
        <v>80</v>
      </c>
      <c r="AI15" s="100" t="str">
        <f>IF('Job Sheet'!AM15="Installation",'Job Sheet'!AR15,"")</f>
        <v/>
      </c>
    </row>
    <row r="16" spans="1:35" s="127" customFormat="1" ht="60" customHeight="1">
      <c r="A16" s="100">
        <f>IF('Job Sheet'!AM16="Installation",'Job Sheet'!A16,"")</f>
        <v>6</v>
      </c>
      <c r="B16" s="100" t="str">
        <f>IF('Job Sheet'!AM16="Installation",'Job Sheet'!B16,"")</f>
        <v>Bed 3</v>
      </c>
      <c r="C16" s="122">
        <f>IF('Job Sheet'!AM16="Installation",'Job Sheet'!C16,"")</f>
        <v>1812</v>
      </c>
      <c r="D16" s="102" t="str">
        <f>IF('Job Sheet'!AM16="Installation",'Job Sheet'!D16,"")</f>
        <v>(++)</v>
      </c>
      <c r="E16" s="123">
        <f>IF('Job Sheet'!AM16="Installation",'Job Sheet'!E16,"")</f>
        <v>1450</v>
      </c>
      <c r="F16" s="102" t="str">
        <f>IF('Job Sheet'!AM16="Installation",'Job Sheet'!F16,"")</f>
        <v>(- Box)</v>
      </c>
      <c r="G16" s="96" t="str">
        <f>IF('Job Sheet'!AM16="Installation",'Job Sheet'!G16,"")</f>
        <v>Opening</v>
      </c>
      <c r="H16" s="96" t="str">
        <f>IF('Job Sheet'!AM16="Installation",'Job Sheet'!H16,"")</f>
        <v>No</v>
      </c>
      <c r="I16" s="123">
        <f>IF('Job Sheet'!AM16="Installation",'Job Sheet'!I16,"")</f>
        <v>1918</v>
      </c>
      <c r="J16" s="123">
        <f>IF('Job Sheet'!AM16="Installation",'Job Sheet'!J16,"")</f>
        <v>1470</v>
      </c>
      <c r="K16" s="95" t="str">
        <f>IF('Job Sheet'!AM16="Installation",'Job Sheet'!M16,"")</f>
        <v>42mm Standard Slat Dune</v>
      </c>
      <c r="L16" s="96" t="str">
        <f>IF('Job Sheet'!AM16="Installation",'Job Sheet'!K16,"")</f>
        <v>Face</v>
      </c>
      <c r="M16" s="96" t="str">
        <f>IF('Job Sheet'!AM16="Installation",'Job Sheet'!L16,"")</f>
        <v>Brick</v>
      </c>
      <c r="N16" s="96" t="str">
        <f>IF('Job Sheet'!AM16="Installation",'Job Sheet'!T16,"")</f>
        <v>Motorised</v>
      </c>
      <c r="O16" s="96" t="str">
        <f>IF('Job Sheet'!AM16="Installation",'Job Sheet'!U16,"")</f>
        <v>Maxim 10nm Switch Motor</v>
      </c>
      <c r="P16" s="96" t="str">
        <f>IF('Job Sheet'!AM16="Installation",'Job Sheet'!W16,"")</f>
        <v>Toggle Wall Switch</v>
      </c>
      <c r="Q16" s="96" t="str">
        <f>IF('Job Sheet'!AM16="Installation",'Job Sheet'!X16,"")</f>
        <v/>
      </c>
      <c r="R16" s="96" t="str">
        <f>IF('Job Sheet'!AL16="Installation",'Job Sheet'!Z16,"")</f>
        <v/>
      </c>
      <c r="S16" s="96" t="str">
        <f>IF('Job Sheet'!AM16="Installation",'Job Sheet'!AA16,"")</f>
        <v/>
      </c>
      <c r="T16" s="96" t="str">
        <f>IF('Job Sheet'!AM16="Installation",'Job Sheet'!AB16,"")</f>
        <v>180mm</v>
      </c>
      <c r="U16" s="96" t="str">
        <f>IF('Job Sheet'!AM16="Installation",'Job Sheet'!AC16,"")</f>
        <v/>
      </c>
      <c r="V16" s="96" t="str">
        <f>IF('Job Sheet'!AM16="Installation",'Job Sheet'!AE16,"")</f>
        <v>Yes</v>
      </c>
      <c r="W16" s="96" t="str">
        <f>IF('Job Sheet'!AL16="Installation",'Job Sheet'!AF16,"")</f>
        <v/>
      </c>
      <c r="X16" s="96" t="str">
        <f>IF('Job Sheet'!AM16="Installation",'Job Sheet'!AG16,"")</f>
        <v/>
      </c>
      <c r="Y16" s="96" t="str">
        <f>IF('Job Sheet'!AL16="Installation",'Job Sheet'!AH16,"")</f>
        <v/>
      </c>
      <c r="Z16" s="96" t="str">
        <f>IF('Job Sheet'!AM16="Installation",'Job Sheet'!AI16,"")</f>
        <v/>
      </c>
      <c r="AA16" s="96" t="str">
        <f>IF('Job Sheet'!AM16="Installation",'Job Sheet'!AJ16,"")</f>
        <v/>
      </c>
      <c r="AB16" s="100" t="str">
        <f>IF('Job Sheet'!AM16="Installation",'Job Sheet'!AK16,"")</f>
        <v/>
      </c>
      <c r="AC16" s="100" t="str">
        <f>IF('Job Sheet'!AM16="Installation",'Job Sheet'!AL16,"")</f>
        <v/>
      </c>
      <c r="AD16" s="100" t="str">
        <f>IF('Job Sheet'!AM16="Installation",'Job Sheet'!AN16,"")</f>
        <v>2.4m-2.7m</v>
      </c>
      <c r="AE16" s="100" t="str">
        <f>IF('Job Sheet'!AM16="Installation",'Job Sheet'!AO16,"")</f>
        <v>Easy Access</v>
      </c>
      <c r="AF16" s="100" t="str">
        <f>IF('Job Sheet'!AM16="Installation",'Job Sheet'!AP16,"")</f>
        <v>No</v>
      </c>
      <c r="AG16" s="100" t="str">
        <f>IF('Job Sheet'!AM16="Installation",'Job Sheet'!AQ16,"")</f>
        <v>No</v>
      </c>
      <c r="AH16" s="100">
        <f>IF(Data!AV16="","",IF('Job Sheet'!AO16="Extreme - Consult Installer","Consult Installer",(65+IFERROR(VLOOKUP(AD16,FHEIGHT,2,FALSE),0)+IFERROR(VLOOKUP(AE16,FGRADING,2,FALSE),0)+IFERROR(VLOOKUP(AF16,FTAKEDOWN,2,FALSE),0)+IFERROR(VLOOKUP(M16,FSURFACE,2,FALSE),0)+IFERROR(VLOOKUP(L16,FFITTING,2,FALSE),0)+IFERROR(VLOOKUP(X16,FBAY,2,FALSE),0)+IFERROR(VLOOKUP(AC16,FBRACKET,2,FALSE),0)+IFERROR(VLOOKUP(N16,FCONTROL,2,FALSE),0)+IFERROR(VLOOKUP(AC16,FPACKT,2,FALSE),0)+IFERROR(VLOOKUP(AC16,FPACKB,2,FALSE),0)+IFERROR(VLOOKUP(AC16,FPACKL,2,FALSE),0)+IFERROR(VLOOKUP(AC16,FPACKR,2,FALSE),0)+IFERROR(VLOOKUP(AC16,FMASTIC,2,FALSE),0)+IFERROR(VLOOKUP(AC16,FMOTA,2,FALSE),0))))</f>
        <v>80</v>
      </c>
      <c r="AI16" s="100" t="str">
        <f>IF('Job Sheet'!AM16="Installation",'Job Sheet'!AR16,"")</f>
        <v/>
      </c>
    </row>
    <row r="17" spans="1:35" s="127" customFormat="1" ht="60" customHeight="1">
      <c r="A17" s="100">
        <f>IF('Job Sheet'!AM17="Installation",'Job Sheet'!A17,"")</f>
        <v>7</v>
      </c>
      <c r="B17" s="100" t="str">
        <f>IF('Job Sheet'!AM17="Installation",'Job Sheet'!B17,"")</f>
        <v>Rumpus</v>
      </c>
      <c r="C17" s="122">
        <f>IF('Job Sheet'!AM17="Installation",'Job Sheet'!C17,"")</f>
        <v>1812</v>
      </c>
      <c r="D17" s="102" t="str">
        <f>IF('Job Sheet'!AM17="Installation",'Job Sheet'!D17,"")</f>
        <v>(++)</v>
      </c>
      <c r="E17" s="123">
        <f>IF('Job Sheet'!AM17="Installation",'Job Sheet'!E17,"")</f>
        <v>1450</v>
      </c>
      <c r="F17" s="102" t="str">
        <f>IF('Job Sheet'!AM17="Installation",'Job Sheet'!F17,"")</f>
        <v>(- Box)</v>
      </c>
      <c r="G17" s="96" t="str">
        <f>IF('Job Sheet'!AM17="Installation",'Job Sheet'!G17,"")</f>
        <v>Opening</v>
      </c>
      <c r="H17" s="96" t="str">
        <f>IF('Job Sheet'!AM17="Installation",'Job Sheet'!H17,"")</f>
        <v>No</v>
      </c>
      <c r="I17" s="123">
        <f>IF('Job Sheet'!AM17="Installation",'Job Sheet'!I17,"")</f>
        <v>1918</v>
      </c>
      <c r="J17" s="123">
        <f>IF('Job Sheet'!AM17="Installation",'Job Sheet'!J17,"")</f>
        <v>1470</v>
      </c>
      <c r="K17" s="95" t="str">
        <f>IF('Job Sheet'!AM17="Installation",'Job Sheet'!M17,"")</f>
        <v>42mm Standard Slat Dune</v>
      </c>
      <c r="L17" s="96" t="str">
        <f>IF('Job Sheet'!AM17="Installation",'Job Sheet'!K17,"")</f>
        <v>Face</v>
      </c>
      <c r="M17" s="96" t="str">
        <f>IF('Job Sheet'!AM17="Installation",'Job Sheet'!L17,"")</f>
        <v>Brick</v>
      </c>
      <c r="N17" s="96" t="str">
        <f>IF('Job Sheet'!AM17="Installation",'Job Sheet'!T17,"")</f>
        <v>Motorised</v>
      </c>
      <c r="O17" s="96" t="str">
        <f>IF('Job Sheet'!AM17="Installation",'Job Sheet'!U17,"")</f>
        <v>Maxim 10nm Switch Motor</v>
      </c>
      <c r="P17" s="96" t="str">
        <f>IF('Job Sheet'!AM17="Installation",'Job Sheet'!W17,"")</f>
        <v>Toggle Wall Switch</v>
      </c>
      <c r="Q17" s="96" t="str">
        <f>IF('Job Sheet'!AM17="Installation",'Job Sheet'!X17,"")</f>
        <v/>
      </c>
      <c r="R17" s="96" t="str">
        <f>IF('Job Sheet'!AL17="Installation",'Job Sheet'!Z17,"")</f>
        <v/>
      </c>
      <c r="S17" s="96" t="str">
        <f>IF('Job Sheet'!AM17="Installation",'Job Sheet'!AA17,"")</f>
        <v/>
      </c>
      <c r="T17" s="96" t="str">
        <f>IF('Job Sheet'!AM17="Installation",'Job Sheet'!AB17,"")</f>
        <v>180mm</v>
      </c>
      <c r="U17" s="96" t="str">
        <f>IF('Job Sheet'!AM17="Installation",'Job Sheet'!AC17,"")</f>
        <v/>
      </c>
      <c r="V17" s="96" t="str">
        <f>IF('Job Sheet'!AM17="Installation",'Job Sheet'!AE17,"")</f>
        <v>Yes</v>
      </c>
      <c r="W17" s="96" t="str">
        <f>IF('Job Sheet'!AL17="Installation",'Job Sheet'!AF17,"")</f>
        <v/>
      </c>
      <c r="X17" s="96" t="str">
        <f>IF('Job Sheet'!AM17="Installation",'Job Sheet'!AG17,"")</f>
        <v/>
      </c>
      <c r="Y17" s="96" t="str">
        <f>IF('Job Sheet'!AL17="Installation",'Job Sheet'!AH17,"")</f>
        <v/>
      </c>
      <c r="Z17" s="96" t="str">
        <f>IF('Job Sheet'!AM17="Installation",'Job Sheet'!AI17,"")</f>
        <v/>
      </c>
      <c r="AA17" s="96" t="str">
        <f>IF('Job Sheet'!AM17="Installation",'Job Sheet'!AJ17,"")</f>
        <v/>
      </c>
      <c r="AB17" s="100" t="str">
        <f>IF('Job Sheet'!AM17="Installation",'Job Sheet'!AK17,"")</f>
        <v/>
      </c>
      <c r="AC17" s="100" t="str">
        <f>IF('Job Sheet'!AM17="Installation",'Job Sheet'!AL17,"")</f>
        <v/>
      </c>
      <c r="AD17" s="100" t="str">
        <f>IF('Job Sheet'!AM17="Installation",'Job Sheet'!AN17,"")</f>
        <v>2.4m-2.7m</v>
      </c>
      <c r="AE17" s="100" t="str">
        <f>IF('Job Sheet'!AM17="Installation",'Job Sheet'!AO17,"")</f>
        <v>Easy Access</v>
      </c>
      <c r="AF17" s="100" t="str">
        <f>IF('Job Sheet'!AM17="Installation",'Job Sheet'!AP17,"")</f>
        <v>Yes</v>
      </c>
      <c r="AG17" s="100" t="str">
        <f>IF('Job Sheet'!AM17="Installation",'Job Sheet'!AQ17,"")</f>
        <v>No</v>
      </c>
      <c r="AH17" s="100">
        <f>IF(Data!AV17="","",IF('Job Sheet'!AO17="Extreme - Consult Installer","Consult Installer",(65+IFERROR(VLOOKUP(AD17,FHEIGHT,2,FALSE),0)+IFERROR(VLOOKUP(AE17,FGRADING,2,FALSE),0)+IFERROR(VLOOKUP(AF17,FTAKEDOWN,2,FALSE),0)+IFERROR(VLOOKUP(M17,FSURFACE,2,FALSE),0)+IFERROR(VLOOKUP(L17,FFITTING,2,FALSE),0)+IFERROR(VLOOKUP(X17,FBAY,2,FALSE),0)+IFERROR(VLOOKUP(AC17,FBRACKET,2,FALSE),0)+IFERROR(VLOOKUP(N17,FCONTROL,2,FALSE),0)+IFERROR(VLOOKUP(AC17,FPACKT,2,FALSE),0)+IFERROR(VLOOKUP(AC17,FPACKB,2,FALSE),0)+IFERROR(VLOOKUP(AC17,FPACKL,2,FALSE),0)+IFERROR(VLOOKUP(AC17,FPACKR,2,FALSE),0)+IFERROR(VLOOKUP(AC17,FMASTIC,2,FALSE),0)+IFERROR(VLOOKUP(AC17,FMOTA,2,FALSE),0))))</f>
        <v>84</v>
      </c>
      <c r="AI17" s="100" t="str">
        <f>IF('Job Sheet'!AM17="Installation",'Job Sheet'!AR17,"")</f>
        <v/>
      </c>
    </row>
    <row r="18" spans="1:35" s="127" customFormat="1" ht="60" customHeight="1">
      <c r="A18" s="100">
        <f>IF('Job Sheet'!AM18="Installation",'Job Sheet'!A18,"")</f>
        <v>8</v>
      </c>
      <c r="B18" s="100" t="str">
        <f>IF('Job Sheet'!AM18="Installation",'Job Sheet'!B18,"")</f>
        <v>Bed 4</v>
      </c>
      <c r="C18" s="122">
        <f>IF('Job Sheet'!AM18="Installation",'Job Sheet'!C18,"")</f>
        <v>1811</v>
      </c>
      <c r="D18" s="102" t="str">
        <f>IF('Job Sheet'!AM18="Installation",'Job Sheet'!D18,"")</f>
        <v>(++)</v>
      </c>
      <c r="E18" s="123">
        <f>IF('Job Sheet'!AM18="Installation",'Job Sheet'!E18,"")</f>
        <v>1450</v>
      </c>
      <c r="F18" s="102" t="str">
        <f>IF('Job Sheet'!AM18="Installation",'Job Sheet'!F18,"")</f>
        <v>(- Box)</v>
      </c>
      <c r="G18" s="96" t="str">
        <f>IF('Job Sheet'!AM18="Installation",'Job Sheet'!G18,"")</f>
        <v>Opening</v>
      </c>
      <c r="H18" s="96" t="str">
        <f>IF('Job Sheet'!AM18="Installation",'Job Sheet'!H18,"")</f>
        <v>No</v>
      </c>
      <c r="I18" s="123">
        <f>IF('Job Sheet'!AM18="Installation",'Job Sheet'!I18,"")</f>
        <v>1917</v>
      </c>
      <c r="J18" s="123">
        <f>IF('Job Sheet'!AM18="Installation",'Job Sheet'!J18,"")</f>
        <v>1470</v>
      </c>
      <c r="K18" s="95" t="str">
        <f>IF('Job Sheet'!AM18="Installation",'Job Sheet'!M18,"")</f>
        <v>42mm Standard Slat Dune</v>
      </c>
      <c r="L18" s="96" t="str">
        <f>IF('Job Sheet'!AM18="Installation",'Job Sheet'!K18,"")</f>
        <v>Face</v>
      </c>
      <c r="M18" s="96" t="str">
        <f>IF('Job Sheet'!AM18="Installation",'Job Sheet'!L18,"")</f>
        <v>Brick</v>
      </c>
      <c r="N18" s="96" t="str">
        <f>IF('Job Sheet'!AM18="Installation",'Job Sheet'!T18,"")</f>
        <v>Motorised</v>
      </c>
      <c r="O18" s="96" t="str">
        <f>IF('Job Sheet'!AM18="Installation",'Job Sheet'!U18,"")</f>
        <v>Maxim 10nm Switch Motor</v>
      </c>
      <c r="P18" s="96" t="str">
        <f>IF('Job Sheet'!AM18="Installation",'Job Sheet'!W18,"")</f>
        <v>Toggle Wall Switch</v>
      </c>
      <c r="Q18" s="96" t="str">
        <f>IF('Job Sheet'!AM18="Installation",'Job Sheet'!X18,"")</f>
        <v/>
      </c>
      <c r="R18" s="96" t="str">
        <f>IF('Job Sheet'!AL18="Installation",'Job Sheet'!Z18,"")</f>
        <v/>
      </c>
      <c r="S18" s="96" t="str">
        <f>IF('Job Sheet'!AM18="Installation",'Job Sheet'!AA18,"")</f>
        <v/>
      </c>
      <c r="T18" s="96" t="str">
        <f>IF('Job Sheet'!AM18="Installation",'Job Sheet'!AB18,"")</f>
        <v>180mm</v>
      </c>
      <c r="U18" s="96" t="str">
        <f>IF('Job Sheet'!AM18="Installation",'Job Sheet'!AC18,"")</f>
        <v/>
      </c>
      <c r="V18" s="96" t="str">
        <f>IF('Job Sheet'!AM18="Installation",'Job Sheet'!AE18,"")</f>
        <v>Yes</v>
      </c>
      <c r="W18" s="96" t="str">
        <f>IF('Job Sheet'!AL18="Installation",'Job Sheet'!AF18,"")</f>
        <v/>
      </c>
      <c r="X18" s="96" t="str">
        <f>IF('Job Sheet'!AM18="Installation",'Job Sheet'!AG18,"")</f>
        <v/>
      </c>
      <c r="Y18" s="96" t="str">
        <f>IF('Job Sheet'!AL18="Installation",'Job Sheet'!AH18,"")</f>
        <v/>
      </c>
      <c r="Z18" s="96" t="str">
        <f>IF('Job Sheet'!AM18="Installation",'Job Sheet'!AI18,"")</f>
        <v/>
      </c>
      <c r="AA18" s="96" t="str">
        <f>IF('Job Sheet'!AM18="Installation",'Job Sheet'!AJ18,"")</f>
        <v/>
      </c>
      <c r="AB18" s="100" t="str">
        <f>IF('Job Sheet'!AM18="Installation",'Job Sheet'!AK18,"")</f>
        <v/>
      </c>
      <c r="AC18" s="100" t="str">
        <f>IF('Job Sheet'!AM18="Installation",'Job Sheet'!AL18,"")</f>
        <v/>
      </c>
      <c r="AD18" s="100" t="str">
        <f>IF('Job Sheet'!AM18="Installation",'Job Sheet'!AN18,"")</f>
        <v>2.4m-2.7m</v>
      </c>
      <c r="AE18" s="100" t="str">
        <f>IF('Job Sheet'!AM18="Installation",'Job Sheet'!AO18,"")</f>
        <v>Easy Access</v>
      </c>
      <c r="AF18" s="100" t="str">
        <f>IF('Job Sheet'!AM18="Installation",'Job Sheet'!AP18,"")</f>
        <v>No</v>
      </c>
      <c r="AG18" s="100" t="str">
        <f>IF('Job Sheet'!AM18="Installation",'Job Sheet'!AQ18,"")</f>
        <v>No</v>
      </c>
      <c r="AH18" s="100">
        <f>IF(Data!AV18="","",IF('Job Sheet'!AO18="Extreme - Consult Installer","Consult Installer",(65+IFERROR(VLOOKUP(AD18,FHEIGHT,2,FALSE),0)+IFERROR(VLOOKUP(AE18,FGRADING,2,FALSE),0)+IFERROR(VLOOKUP(AF18,FTAKEDOWN,2,FALSE),0)+IFERROR(VLOOKUP(M18,FSURFACE,2,FALSE),0)+IFERROR(VLOOKUP(L18,FFITTING,2,FALSE),0)+IFERROR(VLOOKUP(X18,FBAY,2,FALSE),0)+IFERROR(VLOOKUP(AC18,FBRACKET,2,FALSE),0)+IFERROR(VLOOKUP(N18,FCONTROL,2,FALSE),0)+IFERROR(VLOOKUP(AC18,FPACKT,2,FALSE),0)+IFERROR(VLOOKUP(AC18,FPACKB,2,FALSE),0)+IFERROR(VLOOKUP(AC18,FPACKL,2,FALSE),0)+IFERROR(VLOOKUP(AC18,FPACKR,2,FALSE),0)+IFERROR(VLOOKUP(AC18,FMASTIC,2,FALSE),0)+IFERROR(VLOOKUP(AC18,FMOTA,2,FALSE),0))))</f>
        <v>80</v>
      </c>
      <c r="AI18" s="100" t="str">
        <f>IF('Job Sheet'!AM18="Installation",'Job Sheet'!AR18,"")</f>
        <v/>
      </c>
    </row>
    <row r="19" spans="1:35" s="127" customFormat="1" ht="60" customHeight="1">
      <c r="A19" s="100">
        <f>IF('Job Sheet'!AM19="Installation",'Job Sheet'!A19,"")</f>
        <v>9</v>
      </c>
      <c r="B19" s="100" t="str">
        <f>IF('Job Sheet'!AM19="Installation",'Job Sheet'!B19,"")</f>
        <v>Slider</v>
      </c>
      <c r="C19" s="122">
        <f>IF('Job Sheet'!AM19="Installation",'Job Sheet'!C19,"")</f>
        <v>2055</v>
      </c>
      <c r="D19" s="102" t="str">
        <f>IF('Job Sheet'!AM19="Installation",'Job Sheet'!D19,"")</f>
        <v>(++)</v>
      </c>
      <c r="E19" s="123">
        <f>IF('Job Sheet'!AM19="Installation",'Job Sheet'!E19,"")</f>
        <v>2390</v>
      </c>
      <c r="F19" s="102" t="str">
        <f>IF('Job Sheet'!AM19="Installation",'Job Sheet'!F19,"")</f>
        <v>(- Box)</v>
      </c>
      <c r="G19" s="96" t="str">
        <f>IF('Job Sheet'!AM19="Installation",'Job Sheet'!G19,"")</f>
        <v>Opening</v>
      </c>
      <c r="H19" s="96" t="str">
        <f>IF('Job Sheet'!AM19="Installation",'Job Sheet'!H19,"")</f>
        <v>No</v>
      </c>
      <c r="I19" s="123">
        <f>IF('Job Sheet'!AM19="Installation",'Job Sheet'!I19,"")</f>
        <v>2161</v>
      </c>
      <c r="J19" s="123">
        <f>IF('Job Sheet'!AM19="Installation",'Job Sheet'!J19,"")</f>
        <v>2410</v>
      </c>
      <c r="K19" s="95" t="str">
        <f>IF('Job Sheet'!AM19="Installation",'Job Sheet'!M19,"")</f>
        <v>42mm Standard Slat Dune</v>
      </c>
      <c r="L19" s="96" t="str">
        <f>IF('Job Sheet'!AM19="Installation",'Job Sheet'!K19,"")</f>
        <v>Face</v>
      </c>
      <c r="M19" s="96" t="str">
        <f>IF('Job Sheet'!AM19="Installation",'Job Sheet'!L19,"")</f>
        <v>Brick</v>
      </c>
      <c r="N19" s="96" t="str">
        <f>IF('Job Sheet'!AM19="Installation",'Job Sheet'!T19,"")</f>
        <v>Motorised</v>
      </c>
      <c r="O19" s="96" t="str">
        <f>IF('Job Sheet'!AM19="Installation",'Job Sheet'!U19,"")</f>
        <v>Maxim 20nm Switch Motor</v>
      </c>
      <c r="P19" s="96" t="str">
        <f>IF('Job Sheet'!AM19="Installation",'Job Sheet'!W19,"")</f>
        <v>Toggle Wall Switch</v>
      </c>
      <c r="Q19" s="96" t="str">
        <f>IF('Job Sheet'!AM19="Installation",'Job Sheet'!X19,"")</f>
        <v/>
      </c>
      <c r="R19" s="96" t="str">
        <f>IF('Job Sheet'!AL19="Installation",'Job Sheet'!Z19,"")</f>
        <v/>
      </c>
      <c r="S19" s="96" t="str">
        <f>IF('Job Sheet'!AM19="Installation",'Job Sheet'!AA19,"")</f>
        <v/>
      </c>
      <c r="T19" s="96" t="str">
        <f>IF('Job Sheet'!AM19="Installation",'Job Sheet'!AB19,"")</f>
        <v>205mm</v>
      </c>
      <c r="U19" s="96" t="str">
        <f>IF('Job Sheet'!AM19="Installation",'Job Sheet'!AC19,"")</f>
        <v/>
      </c>
      <c r="V19" s="96" t="str">
        <f>IF('Job Sheet'!AM19="Installation",'Job Sheet'!AE19,"")</f>
        <v>No</v>
      </c>
      <c r="W19" s="96" t="str">
        <f>IF('Job Sheet'!AL19="Installation",'Job Sheet'!AF19,"")</f>
        <v/>
      </c>
      <c r="X19" s="96" t="str">
        <f>IF('Job Sheet'!AM19="Installation",'Job Sheet'!AG19,"")</f>
        <v/>
      </c>
      <c r="Y19" s="96" t="str">
        <f>IF('Job Sheet'!AL19="Installation",'Job Sheet'!AH19,"")</f>
        <v/>
      </c>
      <c r="Z19" s="96" t="str">
        <f>IF('Job Sheet'!AM19="Installation",'Job Sheet'!AI19,"")</f>
        <v/>
      </c>
      <c r="AA19" s="96" t="str">
        <f>IF('Job Sheet'!AM19="Installation",'Job Sheet'!AJ19,"")</f>
        <v/>
      </c>
      <c r="AB19" s="100" t="str">
        <f>IF('Job Sheet'!AM19="Installation",'Job Sheet'!AK19,"")</f>
        <v/>
      </c>
      <c r="AC19" s="100" t="str">
        <f>IF('Job Sheet'!AM19="Installation",'Job Sheet'!AL19,"")</f>
        <v/>
      </c>
      <c r="AD19" s="100" t="str">
        <f>IF('Job Sheet'!AM19="Installation",'Job Sheet'!AN19,"")</f>
        <v>2.4m-2.7m</v>
      </c>
      <c r="AE19" s="100" t="str">
        <f>IF('Job Sheet'!AM19="Installation",'Job Sheet'!AO19,"")</f>
        <v>Easy Access</v>
      </c>
      <c r="AF19" s="100" t="str">
        <f>IF('Job Sheet'!AM19="Installation",'Job Sheet'!AP19,"")</f>
        <v>No</v>
      </c>
      <c r="AG19" s="100" t="str">
        <f>IF('Job Sheet'!AM19="Installation",'Job Sheet'!AQ19,"")</f>
        <v>No</v>
      </c>
      <c r="AH19" s="100">
        <f>IF(Data!AV19="","",IF('Job Sheet'!AO19="Extreme - Consult Installer","Consult Installer",(65+IFERROR(VLOOKUP(AD19,FHEIGHT,2,FALSE),0)+IFERROR(VLOOKUP(AE19,FGRADING,2,FALSE),0)+IFERROR(VLOOKUP(AF19,FTAKEDOWN,2,FALSE),0)+IFERROR(VLOOKUP(M19,FSURFACE,2,FALSE),0)+IFERROR(VLOOKUP(L19,FFITTING,2,FALSE),0)+IFERROR(VLOOKUP(X19,FBAY,2,FALSE),0)+IFERROR(VLOOKUP(AC19,FBRACKET,2,FALSE),0)+IFERROR(VLOOKUP(N19,FCONTROL,2,FALSE),0)+IFERROR(VLOOKUP(AC19,FPACKT,2,FALSE),0)+IFERROR(VLOOKUP(AC19,FPACKB,2,FALSE),0)+IFERROR(VLOOKUP(AC19,FPACKL,2,FALSE),0)+IFERROR(VLOOKUP(AC19,FPACKR,2,FALSE),0)+IFERROR(VLOOKUP(AC19,FMASTIC,2,FALSE),0)+IFERROR(VLOOKUP(AC19,FMOTA,2,FALSE),0))))</f>
        <v>80</v>
      </c>
      <c r="AI19" s="100" t="str">
        <f>IF('Job Sheet'!AM19="Installation",'Job Sheet'!AR19,"")</f>
        <v/>
      </c>
    </row>
    <row r="20" spans="1:35" s="127" customFormat="1" ht="60" customHeight="1">
      <c r="A20" s="100">
        <f>IF('Job Sheet'!AM20="Installation",'Job Sheet'!A20,"")</f>
        <v>10</v>
      </c>
      <c r="B20" s="100" t="str">
        <f>IF('Job Sheet'!AM20="Installation",'Job Sheet'!B20,"")</f>
        <v>Lounge</v>
      </c>
      <c r="C20" s="122">
        <f>IF('Job Sheet'!AM20="Installation",'Job Sheet'!C20,"")</f>
        <v>1811</v>
      </c>
      <c r="D20" s="102" t="str">
        <f>IF('Job Sheet'!AM20="Installation",'Job Sheet'!D20,"")</f>
        <v>(++)</v>
      </c>
      <c r="E20" s="123">
        <f>IF('Job Sheet'!AM20="Installation",'Job Sheet'!E20,"")</f>
        <v>1450</v>
      </c>
      <c r="F20" s="102" t="str">
        <f>IF('Job Sheet'!AM20="Installation",'Job Sheet'!F20,"")</f>
        <v>(- Box)</v>
      </c>
      <c r="G20" s="96" t="str">
        <f>IF('Job Sheet'!AM20="Installation",'Job Sheet'!G20,"")</f>
        <v>Opening</v>
      </c>
      <c r="H20" s="96" t="str">
        <f>IF('Job Sheet'!AM20="Installation",'Job Sheet'!H20,"")</f>
        <v>No</v>
      </c>
      <c r="I20" s="123">
        <f>IF('Job Sheet'!AM20="Installation",'Job Sheet'!I20,"")</f>
        <v>1917</v>
      </c>
      <c r="J20" s="123">
        <f>IF('Job Sheet'!AM20="Installation",'Job Sheet'!J20,"")</f>
        <v>1470</v>
      </c>
      <c r="K20" s="95" t="str">
        <f>IF('Job Sheet'!AM20="Installation",'Job Sheet'!M20,"")</f>
        <v>42mm Standard Slat Dune</v>
      </c>
      <c r="L20" s="96" t="str">
        <f>IF('Job Sheet'!AM20="Installation",'Job Sheet'!K20,"")</f>
        <v>Face</v>
      </c>
      <c r="M20" s="96" t="str">
        <f>IF('Job Sheet'!AM20="Installation",'Job Sheet'!L20,"")</f>
        <v>Brick</v>
      </c>
      <c r="N20" s="96" t="str">
        <f>IF('Job Sheet'!AM20="Installation",'Job Sheet'!T20,"")</f>
        <v>Motorised</v>
      </c>
      <c r="O20" s="96" t="str">
        <f>IF('Job Sheet'!AM20="Installation",'Job Sheet'!U20,"")</f>
        <v>Maxim 10nm Switch Motor</v>
      </c>
      <c r="P20" s="96" t="str">
        <f>IF('Job Sheet'!AM20="Installation",'Job Sheet'!W20,"")</f>
        <v>Toggle Wall Switch</v>
      </c>
      <c r="Q20" s="96" t="str">
        <f>IF('Job Sheet'!AM20="Installation",'Job Sheet'!X20,"")</f>
        <v/>
      </c>
      <c r="R20" s="96" t="str">
        <f>IF('Job Sheet'!AL20="Installation",'Job Sheet'!Z20,"")</f>
        <v/>
      </c>
      <c r="S20" s="96" t="str">
        <f>IF('Job Sheet'!AM20="Installation",'Job Sheet'!AA20,"")</f>
        <v/>
      </c>
      <c r="T20" s="96" t="str">
        <f>IF('Job Sheet'!AM20="Installation",'Job Sheet'!AB20,"")</f>
        <v>180mm</v>
      </c>
      <c r="U20" s="96" t="str">
        <f>IF('Job Sheet'!AM20="Installation",'Job Sheet'!AC20,"")</f>
        <v/>
      </c>
      <c r="V20" s="96" t="str">
        <f>IF('Job Sheet'!AM20="Installation",'Job Sheet'!AE20,"")</f>
        <v>Yes</v>
      </c>
      <c r="W20" s="96" t="str">
        <f>IF('Job Sheet'!AL20="Installation",'Job Sheet'!AF20,"")</f>
        <v/>
      </c>
      <c r="X20" s="96" t="str">
        <f>IF('Job Sheet'!AM20="Installation",'Job Sheet'!AG20,"")</f>
        <v/>
      </c>
      <c r="Y20" s="96" t="str">
        <f>IF('Job Sheet'!AL20="Installation",'Job Sheet'!AH20,"")</f>
        <v/>
      </c>
      <c r="Z20" s="96" t="str">
        <f>IF('Job Sheet'!AM20="Installation",'Job Sheet'!AI20,"")</f>
        <v/>
      </c>
      <c r="AA20" s="96" t="str">
        <f>IF('Job Sheet'!AM20="Installation",'Job Sheet'!AJ20,"")</f>
        <v/>
      </c>
      <c r="AB20" s="100" t="str">
        <f>IF('Job Sheet'!AM20="Installation",'Job Sheet'!AK20,"")</f>
        <v/>
      </c>
      <c r="AC20" s="100" t="str">
        <f>IF('Job Sheet'!AM20="Installation",'Job Sheet'!AL20,"")</f>
        <v/>
      </c>
      <c r="AD20" s="100" t="str">
        <f>IF('Job Sheet'!AM20="Installation",'Job Sheet'!AN20,"")</f>
        <v>2.4m-2.7m</v>
      </c>
      <c r="AE20" s="100" t="str">
        <f>IF('Job Sheet'!AM20="Installation",'Job Sheet'!AO20,"")</f>
        <v>Easy Access</v>
      </c>
      <c r="AF20" s="100" t="str">
        <f>IF('Job Sheet'!AM20="Installation",'Job Sheet'!AP20,"")</f>
        <v>No</v>
      </c>
      <c r="AG20" s="100" t="str">
        <f>IF('Job Sheet'!AM20="Installation",'Job Sheet'!AQ20,"")</f>
        <v>No</v>
      </c>
      <c r="AH20" s="100">
        <f>IF(Data!AV20="","",IF('Job Sheet'!AO20="Extreme - Consult Installer","Consult Installer",(65+IFERROR(VLOOKUP(AD20,FHEIGHT,2,FALSE),0)+IFERROR(VLOOKUP(AE20,FGRADING,2,FALSE),0)+IFERROR(VLOOKUP(AF20,FTAKEDOWN,2,FALSE),0)+IFERROR(VLOOKUP(M20,FSURFACE,2,FALSE),0)+IFERROR(VLOOKUP(L20,FFITTING,2,FALSE),0)+IFERROR(VLOOKUP(X20,FBAY,2,FALSE),0)+IFERROR(VLOOKUP(AC20,FBRACKET,2,FALSE),0)+IFERROR(VLOOKUP(N20,FCONTROL,2,FALSE),0)+IFERROR(VLOOKUP(AC20,FPACKT,2,FALSE),0)+IFERROR(VLOOKUP(AC20,FPACKB,2,FALSE),0)+IFERROR(VLOOKUP(AC20,FPACKL,2,FALSE),0)+IFERROR(VLOOKUP(AC20,FPACKR,2,FALSE),0)+IFERROR(VLOOKUP(AC20,FMASTIC,2,FALSE),0)+IFERROR(VLOOKUP(AC20,FMOTA,2,FALSE),0))))</f>
        <v>80</v>
      </c>
      <c r="AI20" s="100" t="str">
        <f>IF('Job Sheet'!AM20="Installation",'Job Sheet'!AR20,"")</f>
        <v/>
      </c>
    </row>
    <row r="21" spans="1:15" s="124" customFormat="1" ht="60" customHeight="1">
      <c r="A21" s="64"/>
      <c r="B21" s="64"/>
      <c r="C21" s="64"/>
      <c r="D21" s="64"/>
      <c r="E21" s="64"/>
      <c r="F21" s="64"/>
      <c r="G21" s="64"/>
      <c r="H21" s="64"/>
      <c r="I21" s="64"/>
      <c r="J21" s="126"/>
      <c r="K21" s="126"/>
      <c r="L21" s="64"/>
      <c r="M21" s="64"/>
      <c r="N21" s="64"/>
      <c r="O21" s="64"/>
    </row>
    <row r="22" spans="1:15" s="124" customFormat="1" ht="60" customHeight="1">
      <c r="A22" s="64"/>
      <c r="B22" s="64"/>
      <c r="C22" s="64"/>
      <c r="D22" s="64"/>
      <c r="E22" s="64"/>
      <c r="F22" s="64"/>
      <c r="G22" s="64"/>
      <c r="H22" s="64"/>
      <c r="I22" s="64"/>
      <c r="J22" s="126"/>
      <c r="K22" s="126"/>
      <c r="L22" s="64"/>
      <c r="M22" s="64"/>
      <c r="N22" s="64"/>
      <c r="O22" s="64"/>
    </row>
    <row r="23" spans="1:15" s="124" customFormat="1" ht="60" customHeight="1">
      <c r="A23" s="64"/>
      <c r="B23" s="64"/>
      <c r="C23" s="64"/>
      <c r="D23" s="64"/>
      <c r="E23" s="64"/>
      <c r="F23" s="64"/>
      <c r="G23" s="64"/>
      <c r="H23" s="64"/>
      <c r="I23" s="64"/>
      <c r="J23" s="126"/>
      <c r="K23" s="126"/>
      <c r="L23" s="64"/>
      <c r="M23" s="64"/>
      <c r="N23" s="64"/>
      <c r="O23" s="64"/>
    </row>
    <row r="24" spans="1:15" s="124" customFormat="1" ht="60" customHeight="1">
      <c r="A24" s="64"/>
      <c r="B24" s="64"/>
      <c r="C24" s="64"/>
      <c r="D24" s="64"/>
      <c r="E24" s="64"/>
      <c r="F24" s="64"/>
      <c r="G24" s="64"/>
      <c r="H24" s="64"/>
      <c r="I24" s="64"/>
      <c r="J24" s="126"/>
      <c r="K24" s="126"/>
      <c r="L24" s="64"/>
      <c r="M24" s="64"/>
      <c r="N24" s="64"/>
      <c r="O24" s="64"/>
    </row>
    <row r="25" spans="1:15" s="124" customFormat="1" ht="60" customHeight="1">
      <c r="A25" s="64"/>
      <c r="B25" s="64"/>
      <c r="C25" s="64"/>
      <c r="D25" s="64"/>
      <c r="E25" s="64"/>
      <c r="F25" s="64"/>
      <c r="G25" s="64"/>
      <c r="H25" s="64"/>
      <c r="I25" s="64"/>
      <c r="J25" s="126"/>
      <c r="K25" s="126"/>
      <c r="L25" s="64"/>
      <c r="M25" s="64"/>
      <c r="N25" s="64"/>
      <c r="O25" s="64"/>
    </row>
    <row r="26" spans="1:15" s="124" customFormat="1" ht="60" customHeight="1">
      <c r="A26" s="64"/>
      <c r="B26" s="64"/>
      <c r="C26" s="64"/>
      <c r="D26" s="64"/>
      <c r="E26" s="64"/>
      <c r="F26" s="64"/>
      <c r="G26" s="64"/>
      <c r="H26" s="64"/>
      <c r="I26" s="64"/>
      <c r="J26" s="126"/>
      <c r="K26" s="126"/>
      <c r="L26" s="64"/>
      <c r="M26" s="64"/>
      <c r="N26" s="64"/>
      <c r="O26" s="64"/>
    </row>
    <row r="27" spans="1:15" s="124" customFormat="1" ht="60" customHeight="1">
      <c r="A27" s="64"/>
      <c r="B27" s="64"/>
      <c r="C27" s="64"/>
      <c r="D27" s="64"/>
      <c r="E27" s="64"/>
      <c r="F27" s="64"/>
      <c r="G27" s="64"/>
      <c r="H27" s="64"/>
      <c r="I27" s="64"/>
      <c r="J27" s="126"/>
      <c r="K27" s="126"/>
      <c r="L27" s="64"/>
      <c r="M27" s="64"/>
      <c r="N27" s="64"/>
      <c r="O27" s="64"/>
    </row>
    <row r="28" spans="1:15" s="124" customFormat="1" ht="60" customHeight="1">
      <c r="A28" s="64"/>
      <c r="B28" s="64"/>
      <c r="C28" s="64"/>
      <c r="D28" s="64"/>
      <c r="E28" s="64"/>
      <c r="F28" s="64"/>
      <c r="G28" s="64"/>
      <c r="H28" s="64"/>
      <c r="I28" s="64"/>
      <c r="J28" s="126"/>
      <c r="K28" s="126"/>
      <c r="L28" s="64"/>
      <c r="M28" s="64"/>
      <c r="N28" s="64"/>
      <c r="O28" s="64"/>
    </row>
    <row r="29" spans="1:15" s="124" customFormat="1" ht="60" customHeight="1">
      <c r="A29" s="64"/>
      <c r="B29" s="64"/>
      <c r="C29" s="64"/>
      <c r="D29" s="64"/>
      <c r="E29" s="64"/>
      <c r="F29" s="64"/>
      <c r="G29" s="64"/>
      <c r="H29" s="64"/>
      <c r="I29" s="64"/>
      <c r="J29" s="126"/>
      <c r="K29" s="126"/>
      <c r="L29" s="64"/>
      <c r="M29" s="64"/>
      <c r="N29" s="64"/>
      <c r="O29" s="64"/>
    </row>
    <row r="30" spans="1:15" s="124" customFormat="1" ht="60" customHeight="1">
      <c r="A30" s="64"/>
      <c r="B30" s="64"/>
      <c r="C30" s="64"/>
      <c r="D30" s="64"/>
      <c r="E30" s="64"/>
      <c r="F30" s="64"/>
      <c r="G30" s="64"/>
      <c r="H30" s="64"/>
      <c r="I30" s="64"/>
      <c r="J30" s="126"/>
      <c r="K30" s="126"/>
      <c r="L30" s="64"/>
      <c r="M30" s="64"/>
      <c r="N30" s="64"/>
      <c r="O30" s="64"/>
    </row>
    <row r="31" spans="1:15" s="124" customFormat="1" ht="60" customHeight="1">
      <c r="A31" s="64"/>
      <c r="B31" s="64"/>
      <c r="C31" s="64"/>
      <c r="D31" s="64"/>
      <c r="E31" s="64"/>
      <c r="F31" s="64"/>
      <c r="G31" s="64"/>
      <c r="H31" s="64"/>
      <c r="I31" s="64"/>
      <c r="J31" s="126"/>
      <c r="K31" s="126"/>
      <c r="L31" s="64"/>
      <c r="M31" s="64"/>
      <c r="N31" s="64"/>
      <c r="O31" s="64"/>
    </row>
    <row r="32" spans="1:15" s="124" customFormat="1" ht="60" customHeight="1">
      <c r="A32" s="64"/>
      <c r="B32" s="64"/>
      <c r="C32" s="64"/>
      <c r="D32" s="64"/>
      <c r="E32" s="64"/>
      <c r="F32" s="64"/>
      <c r="G32" s="64"/>
      <c r="H32" s="64"/>
      <c r="I32" s="64"/>
      <c r="J32" s="126"/>
      <c r="K32" s="126"/>
      <c r="L32" s="64"/>
      <c r="M32" s="64"/>
      <c r="N32" s="64"/>
      <c r="O32" s="64"/>
    </row>
    <row r="33" spans="1:15" s="124" customFormat="1" ht="60" customHeight="1">
      <c r="A33" s="64"/>
      <c r="B33" s="64"/>
      <c r="C33" s="64"/>
      <c r="D33" s="64"/>
      <c r="E33" s="64"/>
      <c r="F33" s="64"/>
      <c r="G33" s="64"/>
      <c r="H33" s="64"/>
      <c r="I33" s="64"/>
      <c r="J33" s="126"/>
      <c r="K33" s="126"/>
      <c r="L33" s="64"/>
      <c r="M33" s="64"/>
      <c r="N33" s="64"/>
      <c r="O33" s="64"/>
    </row>
    <row r="34" spans="1:15" s="124" customFormat="1" ht="60" customHeight="1">
      <c r="A34" s="64"/>
      <c r="B34" s="64"/>
      <c r="C34" s="64"/>
      <c r="D34" s="64"/>
      <c r="E34" s="64"/>
      <c r="F34" s="64"/>
      <c r="G34" s="64"/>
      <c r="H34" s="64"/>
      <c r="I34" s="64"/>
      <c r="J34" s="126"/>
      <c r="K34" s="126"/>
      <c r="L34" s="64"/>
      <c r="M34" s="64"/>
      <c r="N34" s="64"/>
      <c r="O34" s="64"/>
    </row>
    <row r="35" spans="1:15" s="124" customFormat="1" ht="60" customHeight="1">
      <c r="A35" s="64"/>
      <c r="B35" s="64"/>
      <c r="C35" s="64"/>
      <c r="D35" s="64"/>
      <c r="E35" s="64"/>
      <c r="F35" s="64"/>
      <c r="G35" s="64"/>
      <c r="H35" s="64"/>
      <c r="I35" s="64"/>
      <c r="J35" s="126"/>
      <c r="K35" s="126"/>
      <c r="L35" s="64"/>
      <c r="M35" s="64"/>
      <c r="N35" s="64"/>
      <c r="O35" s="64"/>
    </row>
    <row r="36" spans="1:15" s="124" customFormat="1" ht="60" customHeight="1">
      <c r="A36" s="64"/>
      <c r="B36" s="64"/>
      <c r="C36" s="64"/>
      <c r="D36" s="64"/>
      <c r="E36" s="64"/>
      <c r="F36" s="64"/>
      <c r="G36" s="64"/>
      <c r="H36" s="64"/>
      <c r="I36" s="64"/>
      <c r="J36" s="126"/>
      <c r="K36" s="126"/>
      <c r="L36" s="64"/>
      <c r="M36" s="64"/>
      <c r="N36" s="64"/>
      <c r="O36" s="64"/>
    </row>
    <row r="37" spans="1:15" s="124" customFormat="1" ht="60" customHeight="1">
      <c r="A37" s="64"/>
      <c r="B37" s="64"/>
      <c r="C37" s="64"/>
      <c r="D37" s="64"/>
      <c r="E37" s="64"/>
      <c r="F37" s="64"/>
      <c r="G37" s="64"/>
      <c r="H37" s="64"/>
      <c r="I37" s="64"/>
      <c r="J37" s="126"/>
      <c r="K37" s="126"/>
      <c r="L37" s="64"/>
      <c r="M37" s="64"/>
      <c r="N37" s="64"/>
      <c r="O37" s="64"/>
    </row>
    <row r="38" spans="1:15" s="124" customFormat="1" ht="60" customHeight="1">
      <c r="A38" s="64"/>
      <c r="B38" s="64"/>
      <c r="C38" s="64"/>
      <c r="D38" s="64"/>
      <c r="E38" s="64"/>
      <c r="F38" s="64"/>
      <c r="G38" s="64"/>
      <c r="H38" s="64"/>
      <c r="I38" s="64"/>
      <c r="J38" s="126"/>
      <c r="K38" s="126"/>
      <c r="L38" s="64"/>
      <c r="M38" s="64"/>
      <c r="N38" s="64"/>
      <c r="O38" s="64"/>
    </row>
    <row r="39" spans="1:15" s="124" customFormat="1" ht="60" customHeight="1">
      <c r="A39" s="64"/>
      <c r="B39" s="64"/>
      <c r="C39" s="64"/>
      <c r="D39" s="64"/>
      <c r="E39" s="64"/>
      <c r="F39" s="64"/>
      <c r="G39" s="64"/>
      <c r="H39" s="64"/>
      <c r="I39" s="64"/>
      <c r="J39" s="126"/>
      <c r="K39" s="126"/>
      <c r="L39" s="64"/>
      <c r="M39" s="64"/>
      <c r="N39" s="64"/>
      <c r="O39" s="64"/>
    </row>
    <row r="40" spans="1:15" s="124" customFormat="1" ht="60" customHeight="1">
      <c r="A40" s="64"/>
      <c r="B40" s="64"/>
      <c r="C40" s="64"/>
      <c r="D40" s="64"/>
      <c r="E40" s="64"/>
      <c r="F40" s="64"/>
      <c r="G40" s="64"/>
      <c r="H40" s="64"/>
      <c r="I40" s="64"/>
      <c r="J40" s="126"/>
      <c r="K40" s="126"/>
      <c r="L40" s="64"/>
      <c r="M40" s="64"/>
      <c r="N40" s="64"/>
      <c r="O40" s="64"/>
    </row>
    <row r="41" spans="1:15" s="124" customFormat="1" ht="60" customHeight="1">
      <c r="A41" s="64"/>
      <c r="B41" s="64"/>
      <c r="C41" s="64"/>
      <c r="D41" s="64"/>
      <c r="E41" s="64"/>
      <c r="F41" s="64"/>
      <c r="G41" s="64"/>
      <c r="H41" s="64"/>
      <c r="I41" s="64"/>
      <c r="J41" s="126"/>
      <c r="K41" s="126"/>
      <c r="L41" s="64"/>
      <c r="M41" s="64"/>
      <c r="N41" s="64"/>
      <c r="O41" s="64"/>
    </row>
    <row r="42" spans="1:15" s="124" customFormat="1" ht="60" customHeight="1">
      <c r="A42" s="64"/>
      <c r="B42" s="64"/>
      <c r="C42" s="64"/>
      <c r="D42" s="64"/>
      <c r="E42" s="64"/>
      <c r="F42" s="64"/>
      <c r="G42" s="64"/>
      <c r="H42" s="64"/>
      <c r="I42" s="64"/>
      <c r="J42" s="126"/>
      <c r="K42" s="126"/>
      <c r="L42" s="64"/>
      <c r="M42" s="64"/>
      <c r="N42" s="64"/>
      <c r="O42" s="64"/>
    </row>
    <row r="43" spans="1:15" s="124" customFormat="1" ht="60" customHeight="1">
      <c r="A43" s="64"/>
      <c r="B43" s="64"/>
      <c r="C43" s="64"/>
      <c r="D43" s="64"/>
      <c r="E43" s="64"/>
      <c r="F43" s="64"/>
      <c r="G43" s="64"/>
      <c r="H43" s="64"/>
      <c r="I43" s="64"/>
      <c r="J43" s="126"/>
      <c r="K43" s="126"/>
      <c r="L43" s="64"/>
      <c r="M43" s="64"/>
      <c r="N43" s="64"/>
      <c r="O43" s="64"/>
    </row>
    <row r="44" spans="1:15" s="124" customFormat="1" ht="60" customHeight="1">
      <c r="A44" s="64"/>
      <c r="B44" s="64"/>
      <c r="C44" s="64"/>
      <c r="D44" s="64"/>
      <c r="E44" s="64"/>
      <c r="F44" s="64"/>
      <c r="G44" s="64"/>
      <c r="H44" s="64"/>
      <c r="I44" s="64"/>
      <c r="J44" s="126"/>
      <c r="K44" s="126"/>
      <c r="L44" s="64"/>
      <c r="M44" s="64"/>
      <c r="N44" s="64"/>
      <c r="O44" s="64"/>
    </row>
    <row r="45" spans="1:15" s="124" customFormat="1" ht="60" customHeight="1">
      <c r="A45" s="64"/>
      <c r="B45" s="64"/>
      <c r="C45" s="64"/>
      <c r="D45" s="64"/>
      <c r="E45" s="64"/>
      <c r="F45" s="64"/>
      <c r="G45" s="64"/>
      <c r="H45" s="64"/>
      <c r="I45" s="64"/>
      <c r="J45" s="126"/>
      <c r="K45" s="126"/>
      <c r="L45" s="64"/>
      <c r="M45" s="64"/>
      <c r="N45" s="64"/>
      <c r="O45" s="64"/>
    </row>
    <row r="46" spans="1:15" s="124" customFormat="1" ht="60" customHeight="1">
      <c r="A46" s="64"/>
      <c r="B46" s="64"/>
      <c r="C46" s="64"/>
      <c r="D46" s="64"/>
      <c r="E46" s="64"/>
      <c r="F46" s="64"/>
      <c r="G46" s="64"/>
      <c r="H46" s="64"/>
      <c r="I46" s="64"/>
      <c r="J46" s="126"/>
      <c r="K46" s="126"/>
      <c r="L46" s="64"/>
      <c r="M46" s="64"/>
      <c r="N46" s="64"/>
      <c r="O46" s="64"/>
    </row>
    <row r="47" spans="1:15" s="124" customFormat="1" ht="60" customHeight="1">
      <c r="A47" s="64"/>
      <c r="B47" s="64"/>
      <c r="C47" s="64"/>
      <c r="D47" s="64"/>
      <c r="E47" s="64"/>
      <c r="F47" s="64"/>
      <c r="G47" s="64"/>
      <c r="H47" s="64"/>
      <c r="I47" s="64"/>
      <c r="J47" s="126"/>
      <c r="K47" s="126"/>
      <c r="L47" s="64"/>
      <c r="M47" s="64"/>
      <c r="N47" s="64"/>
      <c r="O47" s="64"/>
    </row>
    <row r="48" spans="1:15" s="124" customFormat="1" ht="60" customHeight="1">
      <c r="A48" s="64"/>
      <c r="B48" s="64"/>
      <c r="C48" s="64"/>
      <c r="D48" s="64"/>
      <c r="E48" s="64"/>
      <c r="F48" s="64"/>
      <c r="G48" s="64"/>
      <c r="H48" s="64"/>
      <c r="I48" s="64"/>
      <c r="J48" s="126"/>
      <c r="K48" s="126"/>
      <c r="L48" s="64"/>
      <c r="M48" s="64"/>
      <c r="N48" s="64"/>
      <c r="O48" s="64"/>
    </row>
    <row r="49" spans="1:15" s="124" customFormat="1" ht="60" customHeight="1">
      <c r="A49" s="64"/>
      <c r="B49" s="64"/>
      <c r="C49" s="64"/>
      <c r="D49" s="64"/>
      <c r="E49" s="64"/>
      <c r="F49" s="64"/>
      <c r="G49" s="64"/>
      <c r="H49" s="64"/>
      <c r="I49" s="64"/>
      <c r="J49" s="126"/>
      <c r="K49" s="126"/>
      <c r="L49" s="64"/>
      <c r="M49" s="64"/>
      <c r="N49" s="64"/>
      <c r="O49" s="64"/>
    </row>
    <row r="50" spans="1:15" s="124" customFormat="1" ht="60" customHeight="1">
      <c r="A50" s="64"/>
      <c r="B50" s="64"/>
      <c r="C50" s="64"/>
      <c r="D50" s="64"/>
      <c r="E50" s="64"/>
      <c r="F50" s="64"/>
      <c r="G50" s="64"/>
      <c r="H50" s="64"/>
      <c r="I50" s="64"/>
      <c r="J50" s="126"/>
      <c r="K50" s="126"/>
      <c r="L50" s="64"/>
      <c r="M50" s="64"/>
      <c r="N50" s="64"/>
      <c r="O50" s="64"/>
    </row>
    <row r="51" spans="1:15" s="124" customFormat="1" ht="60" customHeight="1">
      <c r="A51" s="64"/>
      <c r="B51" s="64"/>
      <c r="C51" s="64"/>
      <c r="D51" s="64"/>
      <c r="E51" s="64"/>
      <c r="F51" s="64"/>
      <c r="G51" s="64"/>
      <c r="H51" s="64"/>
      <c r="I51" s="64"/>
      <c r="J51" s="126"/>
      <c r="K51" s="126"/>
      <c r="L51" s="64"/>
      <c r="M51" s="64"/>
      <c r="N51" s="64"/>
      <c r="O51" s="64"/>
    </row>
    <row r="52" spans="1:15" s="124" customFormat="1" ht="60" customHeight="1">
      <c r="A52" s="64"/>
      <c r="B52" s="64"/>
      <c r="C52" s="64"/>
      <c r="D52" s="64"/>
      <c r="E52" s="64"/>
      <c r="F52" s="64"/>
      <c r="G52" s="64"/>
      <c r="H52" s="64"/>
      <c r="I52" s="64"/>
      <c r="J52" s="126"/>
      <c r="K52" s="126"/>
      <c r="L52" s="64"/>
      <c r="M52" s="64"/>
      <c r="N52" s="64"/>
      <c r="O52" s="64"/>
    </row>
    <row r="53" ht="60" customHeight="1"/>
    <row r="54" ht="60" customHeight="1"/>
  </sheetData>
  <mergeCells count="61">
    <mergeCell ref="A2:C2"/>
    <mergeCell ref="H8:H10"/>
    <mergeCell ref="I8:I10"/>
    <mergeCell ref="J8:J10"/>
    <mergeCell ref="K8:K10"/>
    <mergeCell ref="A3:C3"/>
    <mergeCell ref="A4:C4"/>
    <mergeCell ref="A5:C5"/>
    <mergeCell ref="A8:A10"/>
    <mergeCell ref="B8:B10"/>
    <mergeCell ref="C8:C10"/>
    <mergeCell ref="E8:E10"/>
    <mergeCell ref="G8:G10"/>
    <mergeCell ref="AG8:AG10"/>
    <mergeCell ref="AH8:AH10"/>
    <mergeCell ref="AI8:AI10"/>
    <mergeCell ref="L8:L10"/>
    <mergeCell ref="O8:O10"/>
    <mergeCell ref="P8:P10"/>
    <mergeCell ref="Q8:Q10"/>
    <mergeCell ref="X8:X10"/>
    <mergeCell ref="Z8:Z10"/>
    <mergeCell ref="AA8:AA10"/>
    <mergeCell ref="AB8:AB10"/>
    <mergeCell ref="M8:M10"/>
    <mergeCell ref="N8:N10"/>
    <mergeCell ref="AD8:AD10"/>
    <mergeCell ref="AE8:AE10"/>
    <mergeCell ref="AF8:AF10"/>
    <mergeCell ref="AC8:AC10"/>
    <mergeCell ref="R8:R10"/>
    <mergeCell ref="W8:W10"/>
    <mergeCell ref="Y8:Y10"/>
    <mergeCell ref="D2:G2"/>
    <mergeCell ref="D3:G3"/>
    <mergeCell ref="D4:G4"/>
    <mergeCell ref="D5:G5"/>
    <mergeCell ref="A6:G7"/>
    <mergeCell ref="H2:J2"/>
    <mergeCell ref="D8:D10"/>
    <mergeCell ref="F8:F10"/>
    <mergeCell ref="S8:S10"/>
    <mergeCell ref="T8:T10"/>
    <mergeCell ref="U8:U10"/>
    <mergeCell ref="V8:V10"/>
    <mergeCell ref="A1:AI1"/>
    <mergeCell ref="R2:AI2"/>
    <mergeCell ref="R3:AI6"/>
    <mergeCell ref="AE7:AG7"/>
    <mergeCell ref="R7:W7"/>
    <mergeCell ref="X7:Z7"/>
    <mergeCell ref="AA7:AD7"/>
    <mergeCell ref="H3:J3"/>
    <mergeCell ref="H4:J4"/>
    <mergeCell ref="H5:J7"/>
    <mergeCell ref="K2:Q2"/>
    <mergeCell ref="K3:Q3"/>
    <mergeCell ref="K4:Q4"/>
    <mergeCell ref="K5:Q5"/>
    <mergeCell ref="K6:Q6"/>
    <mergeCell ref="K7:Q7"/>
  </mergeCells>
  <pageMargins left="0.900787401574816" right="0.900787401574816" top="0.75" bottom="0.75" header="0.3" footer="0.3"/>
  <pageSetup fitToHeight="0" orientation="landscape" scale="1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Z365"/>
  <sheetViews>
    <sheetView showZeros="0" view="pageBreakPreview" zoomScale="40" zoomScaleNormal="40" zoomScaleSheetLayoutView="40" workbookViewId="0" topLeftCell="A2">
      <selection pane="topLeft" activeCell="A11" sqref="A11:XFD20"/>
    </sheetView>
  </sheetViews>
  <sheetFormatPr defaultColWidth="9.33203125" defaultRowHeight="13.5"/>
  <cols>
    <col min="1" max="1" width="12.4285714285714" style="45" customWidth="1"/>
    <col min="2" max="2" width="38.2857142857143" style="45" customWidth="1"/>
    <col min="3" max="3" width="19.2857142857143" style="45" customWidth="1"/>
    <col min="4" max="4" width="18.7142857142857" style="45" customWidth="1"/>
    <col min="5" max="5" width="20.7142857142857" style="45" customWidth="1"/>
    <col min="6" max="6" width="31.1428571428571" style="45" customWidth="1"/>
    <col min="7" max="7" width="19.2857142857143" style="45" customWidth="1"/>
    <col min="8" max="8" width="29.4285714285714" style="45" customWidth="1"/>
    <col min="9" max="9" width="19.5714285714286" style="45" customWidth="1"/>
    <col min="10" max="10" width="29.7142857142857" style="45" customWidth="1"/>
    <col min="11" max="11" width="20.2857142857143" style="45" customWidth="1"/>
    <col min="12" max="13" width="24.1428571428571" style="45" customWidth="1"/>
    <col min="14" max="14" width="23.8571428571429" style="45" customWidth="1"/>
    <col min="15" max="15" width="27.7142857142857" customWidth="1"/>
    <col min="16" max="16" width="23.2857142857143" customWidth="1"/>
    <col min="17" max="17" width="20.4285714285714" customWidth="1"/>
    <col min="18" max="18" width="29" customWidth="1"/>
    <col min="19" max="19" width="19.5714285714286" customWidth="1"/>
    <col min="20" max="20" width="23.7142857142857" customWidth="1"/>
    <col min="21" max="21" width="24.5714285714286" customWidth="1"/>
    <col min="22" max="22" width="24" customWidth="1"/>
    <col min="23" max="23" width="24.5714285714286" customWidth="1"/>
    <col min="24" max="24" width="24.2857142857143" customWidth="1"/>
    <col min="25" max="25" width="51.1428571428571" customWidth="1"/>
    <col min="26" max="26" width="14.4285714285714" customWidth="1"/>
  </cols>
  <sheetData>
    <row r="1" spans="1:26" ht="345.6" customHeight="1">
      <c r="A1" s="201" t="s">
        <v>202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</row>
    <row r="2" spans="1:26" s="47" customFormat="1" ht="50.1" customHeight="1">
      <c r="A2" s="206" t="s">
        <v>7</v>
      </c>
      <c r="B2" s="206"/>
      <c r="C2" s="205"/>
      <c r="D2" s="205"/>
      <c r="E2" s="205"/>
      <c r="F2" s="205" t="s">
        <v>118</v>
      </c>
      <c r="G2" s="205"/>
      <c r="H2" s="202" t="str">
        <f>Data!BF5</f>
        <v>Crow, Tahlia</v>
      </c>
      <c r="I2" s="202"/>
      <c r="J2" s="202"/>
      <c r="K2" s="202"/>
      <c r="L2" s="202"/>
      <c r="M2" s="202"/>
      <c r="N2" s="202"/>
      <c r="O2" s="200" t="s">
        <v>4</v>
      </c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6" s="47" customFormat="1" ht="50.1" customHeight="1">
      <c r="A3" s="207" t="s">
        <v>143</v>
      </c>
      <c r="B3" s="207"/>
      <c r="C3" s="204" t="str">
        <f>Data!BC5</f>
        <v>11804</v>
      </c>
      <c r="D3" s="204"/>
      <c r="E3" s="204"/>
      <c r="F3" s="208" t="s">
        <v>8</v>
      </c>
      <c r="G3" s="208"/>
      <c r="H3" s="203" t="str">
        <f>Data!AX5</f>
        <v>Roller Shutters</v>
      </c>
      <c r="I3" s="203"/>
      <c r="J3" s="203"/>
      <c r="K3" s="203"/>
      <c r="L3" s="203"/>
      <c r="M3" s="203"/>
      <c r="N3" s="203"/>
      <c r="O3" s="216" t="str">
        <f>TRIM(Data!BG5)</f>
        <v/>
      </c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</row>
    <row r="4" spans="1:26" s="47" customFormat="1" ht="50.1" customHeight="1">
      <c r="A4" s="206" t="s">
        <v>15</v>
      </c>
      <c r="B4" s="206"/>
      <c r="C4" s="204" t="str">
        <f>Data!BD5</f>
        <v>C</v>
      </c>
      <c r="D4" s="204"/>
      <c r="E4" s="204"/>
      <c r="F4" s="208" t="s">
        <v>137</v>
      </c>
      <c r="G4" s="208"/>
      <c r="H4" s="203" t="str">
        <f>Data!BA5</f>
        <v>23/09/2026 12:00:00 AM</v>
      </c>
      <c r="I4" s="203"/>
      <c r="J4" s="203"/>
      <c r="K4" s="203"/>
      <c r="L4" s="203"/>
      <c r="M4" s="203"/>
      <c r="N4" s="203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</row>
    <row r="5" spans="1:26" s="47" customFormat="1" ht="50.1" customHeight="1">
      <c r="A5" s="212" t="s">
        <v>9</v>
      </c>
      <c r="B5" s="212"/>
      <c r="C5" s="214" t="str">
        <f>Data!AY5</f>
        <v>11/08/2026 12:00:00 AM</v>
      </c>
      <c r="D5" s="214"/>
      <c r="E5" s="214"/>
      <c r="F5" s="204" t="s">
        <v>12</v>
      </c>
      <c r="G5" s="204"/>
      <c r="H5" s="202" t="str">
        <f>TRIM(Data!BF5)</f>
        <v>Crow, Tahlia</v>
      </c>
      <c r="I5" s="202"/>
      <c r="J5" s="202"/>
      <c r="K5" s="202"/>
      <c r="L5" s="202"/>
      <c r="M5" s="202"/>
      <c r="N5" s="202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</row>
    <row r="6" spans="1:26" s="47" customFormat="1" ht="50.1" customHeight="1">
      <c r="A6" s="215" t="str">
        <f>Data!CZ5</f>
        <v>Retail Customer</v>
      </c>
      <c r="B6" s="215"/>
      <c r="C6" s="215"/>
      <c r="D6" s="215"/>
      <c r="E6" s="215"/>
      <c r="F6" s="204"/>
      <c r="G6" s="204"/>
      <c r="H6" s="202" t="str">
        <f>CONCATENATE(Data!BH5," ",Data!BI5," ",Data!BJ5," ",Data!BK5," ",Data!BL5)</f>
        <v xml:space="preserve"> 25  Banff Road </v>
      </c>
      <c r="I6" s="202"/>
      <c r="J6" s="202"/>
      <c r="K6" s="202"/>
      <c r="L6" s="202"/>
      <c r="M6" s="202"/>
      <c r="N6" s="202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</row>
    <row r="7" spans="1:26" s="47" customFormat="1" ht="50.1" customHeight="1">
      <c r="A7" s="215"/>
      <c r="B7" s="215"/>
      <c r="C7" s="215"/>
      <c r="D7" s="215"/>
      <c r="E7" s="215"/>
      <c r="F7" s="204"/>
      <c r="G7" s="204"/>
      <c r="H7" s="202" t="str">
        <f>CONCATENATE(Data!BM5," ",Data!BN5," ",Data!BO5)</f>
        <v>Winter Valley VIC 3358</v>
      </c>
      <c r="I7" s="202"/>
      <c r="J7" s="202"/>
      <c r="K7" s="202"/>
      <c r="L7" s="202"/>
      <c r="M7" s="202"/>
      <c r="N7" s="202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</row>
    <row r="8" spans="1:26" s="63" customFormat="1" ht="23.25" customHeight="1">
      <c r="A8" s="213" t="s">
        <v>142</v>
      </c>
      <c r="B8" s="210" t="s">
        <v>120</v>
      </c>
      <c r="C8" s="210" t="s">
        <v>216</v>
      </c>
      <c r="D8" s="6" t="s">
        <v>788</v>
      </c>
      <c r="E8" s="6" t="s">
        <v>789</v>
      </c>
      <c r="F8" s="6" t="s">
        <v>399</v>
      </c>
      <c r="G8" s="209" t="s">
        <v>260</v>
      </c>
      <c r="H8" s="209" t="s">
        <v>176</v>
      </c>
      <c r="I8" s="6" t="s">
        <v>217</v>
      </c>
      <c r="J8" s="6" t="s">
        <v>218</v>
      </c>
      <c r="K8" s="209" t="s">
        <v>397</v>
      </c>
      <c r="L8" s="6" t="s">
        <v>220</v>
      </c>
      <c r="M8" s="6" t="s">
        <v>221</v>
      </c>
      <c r="N8" s="182" t="s">
        <v>182</v>
      </c>
      <c r="O8" s="6" t="s">
        <v>178</v>
      </c>
      <c r="P8" s="217" t="s">
        <v>314</v>
      </c>
      <c r="Q8" s="209" t="s">
        <v>185</v>
      </c>
      <c r="R8" s="209" t="s">
        <v>179</v>
      </c>
      <c r="S8" s="210" t="s">
        <v>200</v>
      </c>
      <c r="T8" s="211" t="s">
        <v>734</v>
      </c>
      <c r="U8" s="211" t="s">
        <v>255</v>
      </c>
      <c r="V8" s="211" t="s">
        <v>256</v>
      </c>
      <c r="W8" s="211" t="s">
        <v>257</v>
      </c>
      <c r="X8" s="211" t="s">
        <v>258</v>
      </c>
      <c r="Y8" s="6" t="s">
        <v>5</v>
      </c>
      <c r="Z8" s="6" t="s">
        <v>790</v>
      </c>
    </row>
    <row r="9" spans="1:26" s="63" customFormat="1" ht="18.75" customHeight="1">
      <c r="A9" s="213"/>
      <c r="B9" s="210"/>
      <c r="C9" s="210"/>
      <c r="D9" s="6"/>
      <c r="E9" s="6"/>
      <c r="F9" s="6"/>
      <c r="G9" s="209"/>
      <c r="H9" s="209"/>
      <c r="I9" s="6"/>
      <c r="J9" s="6"/>
      <c r="K9" s="209"/>
      <c r="L9" s="6"/>
      <c r="M9" s="6"/>
      <c r="N9" s="182"/>
      <c r="O9" s="6"/>
      <c r="P9" s="217"/>
      <c r="Q9" s="209"/>
      <c r="R9" s="209"/>
      <c r="S9" s="210"/>
      <c r="T9" s="211"/>
      <c r="U9" s="211"/>
      <c r="V9" s="211"/>
      <c r="W9" s="211"/>
      <c r="X9" s="211"/>
      <c r="Y9" s="6"/>
      <c r="Z9" s="6"/>
    </row>
    <row r="10" spans="1:26" s="63" customFormat="1" ht="79.2" customHeight="1">
      <c r="A10" s="213"/>
      <c r="B10" s="210"/>
      <c r="C10" s="210"/>
      <c r="D10" s="6"/>
      <c r="E10" s="6"/>
      <c r="F10" s="6"/>
      <c r="G10" s="209"/>
      <c r="H10" s="209"/>
      <c r="I10" s="6"/>
      <c r="J10" s="6"/>
      <c r="K10" s="209"/>
      <c r="L10" s="6"/>
      <c r="M10" s="6"/>
      <c r="N10" s="182"/>
      <c r="O10" s="6"/>
      <c r="P10" s="217"/>
      <c r="Q10" s="209"/>
      <c r="R10" s="209"/>
      <c r="S10" s="210"/>
      <c r="T10" s="211"/>
      <c r="U10" s="211"/>
      <c r="V10" s="211"/>
      <c r="W10" s="211"/>
      <c r="X10" s="211"/>
      <c r="Y10" s="6"/>
      <c r="Z10" s="6"/>
    </row>
    <row r="11" spans="1:26" s="47" customFormat="1" ht="82.5">
      <c r="A11" s="16">
        <f>IF(AND('Job Sheet'!BC11="Davidson's",(OR('Job Sheet'!$A$6="Brax Retail",'Job Sheet'!$A$6="Brax Wholesale",'Job Sheet'!$A$6="Brax Wholesale B2B"))),"",IF('Job Sheet'!BC11="Davidson's",Data!AW11,""))</f>
        <v>1</v>
      </c>
      <c r="B11" s="42" t="str">
        <f>IF(A11="","",'Job Sheet'!B11)</f>
        <v>Front Lounge</v>
      </c>
      <c r="C11" s="134">
        <f>IF(A11="","",'Job Sheet'!AW11)</f>
        <v>2445</v>
      </c>
      <c r="D11" s="135">
        <f>IF(A11="","",IF('Job Sheet'!AX11="42mm Unperforated Slat",0,'Job Sheet'!AY11-5))</f>
        <v>41.8</v>
      </c>
      <c r="E11" s="135">
        <f>IF(A11="","",IF('Job Sheet'!AX11="42mm Unperforated Slat",'Job Sheet'!AY11,5))</f>
        <v>5</v>
      </c>
      <c r="F11" s="107" t="str">
        <f>IF(A11="","",Data!BO11)</f>
        <v>Monument</v>
      </c>
      <c r="G11" s="181">
        <f>IF(A11="","",'Job Sheet'!AZ11)</f>
        <v>0</v>
      </c>
      <c r="H11" s="118" t="str">
        <f>IF(OR(A11="",'Job Sheet'!N11="None"),"",IF('Job Sheet'!AX11="42mm Unperforated Slat",CONCATENATE('Job Sheet'!N11," Unperforated"),'Job Sheet'!N11))</f>
        <v/>
      </c>
      <c r="I11" s="134">
        <f>IF(A11="","",'Job Sheet'!AW11)</f>
        <v>2445</v>
      </c>
      <c r="J11" s="41" t="str">
        <f>IF(A11="","",IF('Job Sheet'!S11="Main Slat Colour",Data!BO11,'Job Sheet'!S11))</f>
        <v>Monument</v>
      </c>
      <c r="K11" s="138" t="str">
        <f>IF(A11="","",IF('Job Sheet'!I11&lt;800,I11-60,""))</f>
        <v/>
      </c>
      <c r="L11" s="134">
        <f>IF(A11="","",'Job Sheet'!BA11)</f>
        <v>2507</v>
      </c>
      <c r="M11" s="134">
        <f>IF(A11="","",'Job Sheet'!BA11)</f>
        <v>2507</v>
      </c>
      <c r="N11" s="136" t="str">
        <f>IF(A11="","",'Job Sheet'!AB11)</f>
        <v>180mm</v>
      </c>
      <c r="O11" s="41" t="str">
        <f>IF(A11="","",IF('Job Sheet'!P11="Main Slat Colour",Data!BO11,'Job Sheet'!P11))</f>
        <v>Monument</v>
      </c>
      <c r="P11" s="129" t="str">
        <f>IF(A11="","",'Job Sheet'!R11)</f>
        <v>53mm Standard</v>
      </c>
      <c r="Q11" s="317" t="str">
        <f>IF(OR(A11="",'Job Sheet'!I11=""),"",CONCATENATE('Job Sheet'!BB11," x 2"))</f>
        <v>1895 x 2</v>
      </c>
      <c r="R11" s="118" t="str">
        <f>IF(A11="","",'Job Sheet'!BD11)</f>
        <v>Monument</v>
      </c>
      <c r="S11" s="134">
        <f>IF(A11="","",'Job Sheet'!AV11)</f>
        <v>2437</v>
      </c>
      <c r="T11" s="137" t="str">
        <f>IF('Job Sheet'!AG11="Bay Window Flashing x 2",CONCATENATE('Job Sheet'!BB11," x 2"),IF('Job Sheet'!AG11="Bay Window Flashing x 1",CONCATENATE('Job Sheet'!BB11," x 1"),""))</f>
        <v/>
      </c>
      <c r="U11" s="119" t="str">
        <f>IF(OR(A11="",'Job Sheet'!AH11=""),"",CONCATENATE('Job Sheet'!AH11," x ",'Job Sheet'!I11,"mm"))</f>
        <v/>
      </c>
      <c r="V11" s="119" t="str">
        <f>IF(OR(A11="",'Job Sheet'!AI11=""),"",CONCATENATE('Job Sheet'!AI11," x ",'Job Sheet'!I11,"mm"))</f>
        <v/>
      </c>
      <c r="W11" s="119" t="str">
        <f>IF(OR(A11="",'Job Sheet'!AJ11=""),"",IF(OR('Job Sheet'!AJ11="25 x 25 Sill Angle for Headbox Only",'Job Sheet'!AJ11="25 x 50 Sill Angle for Headbox Only",'Job Sheet'!AJ11="25 x 75 Sill Angle for Headbox Only",'Job Sheet'!AJ11="8mm Slat for Headbox Only",'Job Sheet'!AJ11="22mm Side Guide for Headbox Only"),CONCATENATE('Job Sheet'!AJ11," x ",N11),IF('Job Sheet'!AJ11="Bay Window Flashing",CONCATENATE('Job Sheet'!AJ11," x ",'Job Sheet'!J11,"mm"),CONCATENATE('Job Sheet'!AJ11," x ",'Job Sheet'!J11,"mm"))))</f>
        <v/>
      </c>
      <c r="X11" s="119" t="str">
        <f>IF(OR(A11="",'Job Sheet'!AK11=""),"",IF(OR('Job Sheet'!AK11="25 x 25 Sill Angle for Headbox Only",'Job Sheet'!AK11="25 x 50 Sill Angle for Headbox Only",'Job Sheet'!AK11="25 x 75 Sill Angle for Headbox Only",'Job Sheet'!AK11="8mm Slat for Headbox Only",'Job Sheet'!AK11="22mm Side Guide for Headbox Only"),CONCATENATE('Job Sheet'!AK11," x ",N11),IF('Job Sheet'!AK11="Bay Window Flashing",CONCATENATE('Job Sheet'!AK11," x ",'Job Sheet'!J11,"mm"),CONCATENATE('Job Sheet'!AK11," x ",'Job Sheet'!J11,"mm"))))</f>
        <v/>
      </c>
      <c r="Y11" s="173" t="str">
        <f>IF(A11="","",'Job Sheet'!AR11)</f>
        <v/>
      </c>
      <c r="Z11" s="141">
        <f>A11</f>
        <v>1</v>
      </c>
    </row>
    <row r="12" spans="1:26" s="47" customFormat="1" ht="82.5">
      <c r="A12" s="16">
        <f>IF(AND('Job Sheet'!BC12="Davidson's",(OR('Job Sheet'!$A$6="Brax Retail",'Job Sheet'!$A$6="Brax Wholesale",'Job Sheet'!$A$6="Brax Wholesale B2B"))),"",IF('Job Sheet'!BC12="Davidson's",Data!AW12,""))</f>
        <v>2</v>
      </c>
      <c r="B12" s="42" t="str">
        <f>IF(A12="","",'Job Sheet'!B12)</f>
        <v>Master</v>
      </c>
      <c r="C12" s="134">
        <f>IF(A12="","",'Job Sheet'!AW12)</f>
        <v>1847</v>
      </c>
      <c r="D12" s="135">
        <f>IF(A12="","",IF('Job Sheet'!AX12="42mm Unperforated Slat",0,'Job Sheet'!AY12-5))</f>
        <v>27.28</v>
      </c>
      <c r="E12" s="135">
        <f>IF(A12="","",IF('Job Sheet'!AX12="42mm Unperforated Slat",'Job Sheet'!AY12,5))</f>
        <v>5</v>
      </c>
      <c r="F12" s="107" t="str">
        <f>IF(A12="","",Data!BO12)</f>
        <v>Monument</v>
      </c>
      <c r="G12" s="181">
        <f>IF(A12="","",'Job Sheet'!AZ12)</f>
        <v>0</v>
      </c>
      <c r="H12" s="118" t="str">
        <f>IF(OR(A12="",'Job Sheet'!N12="None"),"",IF('Job Sheet'!AX12="42mm Unperforated Slat",CONCATENATE('Job Sheet'!N12," Unperforated"),'Job Sheet'!N12))</f>
        <v/>
      </c>
      <c r="I12" s="134">
        <f>IF(A12="","",'Job Sheet'!AW12)</f>
        <v>1847</v>
      </c>
      <c r="J12" s="41" t="str">
        <f>IF(A12="","",IF('Job Sheet'!S12="Main Slat Colour",Data!BO12,'Job Sheet'!S12))</f>
        <v>Monument</v>
      </c>
      <c r="K12" s="138" t="str">
        <f>IF(A12="","",IF('Job Sheet'!I12&lt;800,I12-60,""))</f>
        <v/>
      </c>
      <c r="L12" s="134">
        <f>IF(A12="","",'Job Sheet'!BA12)</f>
        <v>1909</v>
      </c>
      <c r="M12" s="134">
        <f>IF(A12="","",'Job Sheet'!BA12)</f>
        <v>1909</v>
      </c>
      <c r="N12" s="136" t="str">
        <f>IF(A12="","",'Job Sheet'!AB12)</f>
        <v>180mm</v>
      </c>
      <c r="O12" s="41" t="str">
        <f>IF(A12="","",IF('Job Sheet'!P12="Main Slat Colour",Data!BO12,'Job Sheet'!P12))</f>
        <v>Monument</v>
      </c>
      <c r="P12" s="129" t="str">
        <f>IF(A12="","",'Job Sheet'!R12)</f>
        <v>53mm Standard</v>
      </c>
      <c r="Q12" s="317" t="str">
        <f>IF(OR(A12="",'Job Sheet'!I12=""),"",CONCATENATE('Job Sheet'!BB12," x 2"))</f>
        <v>1290 x 2</v>
      </c>
      <c r="R12" s="118" t="str">
        <f>IF(A12="","",'Job Sheet'!BD12)</f>
        <v>Monument</v>
      </c>
      <c r="S12" s="134">
        <f>IF(A12="","",'Job Sheet'!AV12)</f>
        <v>1839</v>
      </c>
      <c r="T12" s="137" t="str">
        <f>IF('Job Sheet'!AG12="Bay Window Flashing x 2",CONCATENATE('Job Sheet'!BB12," x 2"),IF('Job Sheet'!AG12="Bay Window Flashing x 1",CONCATENATE('Job Sheet'!BB12," x 1"),""))</f>
        <v/>
      </c>
      <c r="U12" s="119" t="str">
        <f>IF(OR(A12="",'Job Sheet'!AH12=""),"",CONCATENATE('Job Sheet'!AH12," x ",'Job Sheet'!I12,"mm"))</f>
        <v/>
      </c>
      <c r="V12" s="119" t="str">
        <f>IF(OR(A12="",'Job Sheet'!AI12=""),"",CONCATENATE('Job Sheet'!AI12," x ",'Job Sheet'!I12,"mm"))</f>
        <v/>
      </c>
      <c r="W12" s="119" t="str">
        <f>IF(OR(A12="",'Job Sheet'!AJ12=""),"",IF(OR('Job Sheet'!AJ12="25 x 25 Sill Angle for Headbox Only",'Job Sheet'!AJ12="25 x 50 Sill Angle for Headbox Only",'Job Sheet'!AJ12="25 x 75 Sill Angle for Headbox Only",'Job Sheet'!AJ12="8mm Slat for Headbox Only",'Job Sheet'!AJ12="22mm Side Guide for Headbox Only"),CONCATENATE('Job Sheet'!AJ12," x ",N12),IF('Job Sheet'!AJ12="Bay Window Flashing",CONCATENATE('Job Sheet'!AJ12," x ",'Job Sheet'!J12,"mm"),CONCATENATE('Job Sheet'!AJ12," x ",'Job Sheet'!J12,"mm"))))</f>
        <v/>
      </c>
      <c r="X12" s="119" t="str">
        <f>IF(OR(A12="",'Job Sheet'!AK12=""),"",IF(OR('Job Sheet'!AK12="25 x 25 Sill Angle for Headbox Only",'Job Sheet'!AK12="25 x 50 Sill Angle for Headbox Only",'Job Sheet'!AK12="25 x 75 Sill Angle for Headbox Only",'Job Sheet'!AK12="8mm Slat for Headbox Only",'Job Sheet'!AK12="22mm Side Guide for Headbox Only"),CONCATENATE('Job Sheet'!AK12," x ",N12),IF('Job Sheet'!AK12="Bay Window Flashing",CONCATENATE('Job Sheet'!AK12," x ",'Job Sheet'!J12,"mm"),CONCATENATE('Job Sheet'!AK12," x ",'Job Sheet'!J12,"mm"))))</f>
        <v/>
      </c>
      <c r="Y12" s="173" t="str">
        <f>IF(A12="","",'Job Sheet'!AR12)</f>
        <v/>
      </c>
      <c r="Z12" s="141">
        <f t="shared" si="0" ref="Z12:Z20">A12</f>
        <v>2</v>
      </c>
    </row>
    <row r="13" spans="1:26" s="47" customFormat="1" ht="82.5">
      <c r="A13" s="16">
        <f>IF(AND('Job Sheet'!BC13="Davidson's",(OR('Job Sheet'!$A$6="Brax Retail",'Job Sheet'!$A$6="Brax Wholesale",'Job Sheet'!$A$6="Brax Wholesale B2B"))),"",IF('Job Sheet'!BC13="Davidson's",Data!AW13,""))</f>
        <v>3</v>
      </c>
      <c r="B13" s="42" t="str">
        <f>IF(A13="","",'Job Sheet'!B13)</f>
        <v>Ensuite</v>
      </c>
      <c r="C13" s="134">
        <f>IF(A13="","",'Job Sheet'!AW13)</f>
        <v>644</v>
      </c>
      <c r="D13" s="135">
        <f>IF(A13="","",IF('Job Sheet'!AX13="42mm Unperforated Slat",0,'Job Sheet'!AY13-5))</f>
        <v>27.28</v>
      </c>
      <c r="E13" s="135">
        <f>IF(A13="","",IF('Job Sheet'!AX13="42mm Unperforated Slat",'Job Sheet'!AY13,5))</f>
        <v>5</v>
      </c>
      <c r="F13" s="107" t="str">
        <f>IF(A13="","",Data!BO13)</f>
        <v>Monument</v>
      </c>
      <c r="G13" s="181">
        <f>IF(A13="","",'Job Sheet'!AZ13)</f>
        <v>0</v>
      </c>
      <c r="H13" s="118" t="str">
        <f>IF(OR(A13="",'Job Sheet'!N13="None"),"",IF('Job Sheet'!AX13="42mm Unperforated Slat",CONCATENATE('Job Sheet'!N13," Unperforated"),'Job Sheet'!N13))</f>
        <v/>
      </c>
      <c r="I13" s="134">
        <f>IF(A13="","",'Job Sheet'!AW13)</f>
        <v>644</v>
      </c>
      <c r="J13" s="41" t="str">
        <f>IF(A13="","",IF('Job Sheet'!S13="Main Slat Colour",Data!BO13,'Job Sheet'!S13))</f>
        <v>Monument</v>
      </c>
      <c r="K13" s="138">
        <f>IF(A13="","",IF('Job Sheet'!I13&lt;800,I13-60,""))</f>
        <v>584</v>
      </c>
      <c r="L13" s="134">
        <f>IF(A13="","",'Job Sheet'!BA13)</f>
        <v>706</v>
      </c>
      <c r="M13" s="134">
        <f>IF(A13="","",'Job Sheet'!BA13)</f>
        <v>706</v>
      </c>
      <c r="N13" s="136" t="str">
        <f>IF(A13="","",'Job Sheet'!AB13)</f>
        <v>180mm</v>
      </c>
      <c r="O13" s="41" t="str">
        <f>IF(A13="","",IF('Job Sheet'!P13="Main Slat Colour",Data!BO13,'Job Sheet'!P13))</f>
        <v>Monument</v>
      </c>
      <c r="P13" s="129" t="str">
        <f>IF(A13="","",'Job Sheet'!R13)</f>
        <v>53mm Standard</v>
      </c>
      <c r="Q13" s="317" t="str">
        <f>IF(OR(A13="",'Job Sheet'!I13=""),"",CONCATENATE('Job Sheet'!BB13," x 2"))</f>
        <v>1290 x 2</v>
      </c>
      <c r="R13" s="118" t="str">
        <f>IF(A13="","",'Job Sheet'!BD13)</f>
        <v>Monument</v>
      </c>
      <c r="S13" s="134">
        <f>IF(A13="","",'Job Sheet'!AV13)</f>
        <v>636</v>
      </c>
      <c r="T13" s="137" t="str">
        <f>IF('Job Sheet'!AG13="Bay Window Flashing x 2",CONCATENATE('Job Sheet'!BB13," x 2"),IF('Job Sheet'!AG13="Bay Window Flashing x 1",CONCATENATE('Job Sheet'!BB13," x 1"),""))</f>
        <v/>
      </c>
      <c r="U13" s="119" t="str">
        <f>IF(OR(A13="",'Job Sheet'!AH13=""),"",CONCATENATE('Job Sheet'!AH13," x ",'Job Sheet'!I13,"mm"))</f>
        <v/>
      </c>
      <c r="V13" s="119" t="str">
        <f>IF(OR(A13="",'Job Sheet'!AI13=""),"",CONCATENATE('Job Sheet'!AI13," x ",'Job Sheet'!I13,"mm"))</f>
        <v/>
      </c>
      <c r="W13" s="119" t="str">
        <f>IF(OR(A13="",'Job Sheet'!AJ13=""),"",IF(OR('Job Sheet'!AJ13="25 x 25 Sill Angle for Headbox Only",'Job Sheet'!AJ13="25 x 50 Sill Angle for Headbox Only",'Job Sheet'!AJ13="25 x 75 Sill Angle for Headbox Only",'Job Sheet'!AJ13="8mm Slat for Headbox Only",'Job Sheet'!AJ13="22mm Side Guide for Headbox Only"),CONCATENATE('Job Sheet'!AJ13," x ",N13),IF('Job Sheet'!AJ13="Bay Window Flashing",CONCATENATE('Job Sheet'!AJ13," x ",'Job Sheet'!J13,"mm"),CONCATENATE('Job Sheet'!AJ13," x ",'Job Sheet'!J13,"mm"))))</f>
        <v/>
      </c>
      <c r="X13" s="119" t="str">
        <f>IF(OR(A13="",'Job Sheet'!AK13=""),"",IF(OR('Job Sheet'!AK13="25 x 25 Sill Angle for Headbox Only",'Job Sheet'!AK13="25 x 50 Sill Angle for Headbox Only",'Job Sheet'!AK13="25 x 75 Sill Angle for Headbox Only",'Job Sheet'!AK13="8mm Slat for Headbox Only",'Job Sheet'!AK13="22mm Side Guide for Headbox Only"),CONCATENATE('Job Sheet'!AK13," x ",N13),IF('Job Sheet'!AK13="Bay Window Flashing",CONCATENATE('Job Sheet'!AK13," x ",'Job Sheet'!J13,"mm"),CONCATENATE('Job Sheet'!AK13," x ",'Job Sheet'!J13,"mm"))))</f>
        <v/>
      </c>
      <c r="Y13" s="173" t="str">
        <f>IF(A13="","",'Job Sheet'!AR13)</f>
        <v/>
      </c>
      <c r="Z13" s="141">
        <f t="shared" si="0"/>
        <v>3</v>
      </c>
    </row>
    <row r="14" spans="1:26" s="47" customFormat="1" ht="82.5">
      <c r="A14" s="16">
        <f>IF(AND('Job Sheet'!BC14="Davidson's",(OR('Job Sheet'!$A$6="Brax Retail",'Job Sheet'!$A$6="Brax Wholesale",'Job Sheet'!$A$6="Brax Wholesale B2B"))),"",IF('Job Sheet'!BC14="Davidson's",Data!AW14,""))</f>
        <v>4</v>
      </c>
      <c r="B14" s="42" t="str">
        <f>IF(A14="","",'Job Sheet'!B14)</f>
        <v>Bath</v>
      </c>
      <c r="C14" s="134">
        <f>IF(A14="","",'Job Sheet'!AW14)</f>
        <v>1488</v>
      </c>
      <c r="D14" s="135">
        <f>IF(A14="","",IF('Job Sheet'!AX14="42mm Unperforated Slat",0,'Job Sheet'!AY14-5))</f>
        <v>23.2</v>
      </c>
      <c r="E14" s="135">
        <f>IF(A14="","",IF('Job Sheet'!AX14="42mm Unperforated Slat",'Job Sheet'!AY14,5))</f>
        <v>5</v>
      </c>
      <c r="F14" s="107" t="str">
        <f>IF(A14="","",Data!BO14)</f>
        <v>Monument</v>
      </c>
      <c r="G14" s="181">
        <f>IF(A14="","",'Job Sheet'!AZ14)</f>
        <v>0</v>
      </c>
      <c r="H14" s="118" t="str">
        <f>IF(OR(A14="",'Job Sheet'!N14="None"),"",IF('Job Sheet'!AX14="42mm Unperforated Slat",CONCATENATE('Job Sheet'!N14," Unperforated"),'Job Sheet'!N14))</f>
        <v/>
      </c>
      <c r="I14" s="134">
        <f>IF(A14="","",'Job Sheet'!AW14)</f>
        <v>1488</v>
      </c>
      <c r="J14" s="41" t="str">
        <f>IF(A14="","",IF('Job Sheet'!S14="Main Slat Colour",Data!BO14,'Job Sheet'!S14))</f>
        <v>Monument</v>
      </c>
      <c r="K14" s="138" t="str">
        <f>IF(A14="","",IF('Job Sheet'!I14&lt;800,I14-60,""))</f>
        <v/>
      </c>
      <c r="L14" s="134">
        <f>IF(A14="","",'Job Sheet'!BA14)</f>
        <v>1550</v>
      </c>
      <c r="M14" s="134">
        <f>IF(A14="","",'Job Sheet'!BA14)</f>
        <v>1550</v>
      </c>
      <c r="N14" s="136" t="str">
        <f>IF(A14="","",'Job Sheet'!AB14)</f>
        <v>180mm</v>
      </c>
      <c r="O14" s="41" t="str">
        <f>IF(A14="","",IF('Job Sheet'!P14="Main Slat Colour",Data!BO14,'Job Sheet'!P14))</f>
        <v>Monument</v>
      </c>
      <c r="P14" s="129" t="str">
        <f>IF(A14="","",'Job Sheet'!R14)</f>
        <v>53mm Standard</v>
      </c>
      <c r="Q14" s="317" t="str">
        <f>IF(OR(A14="",'Job Sheet'!I14=""),"",CONCATENATE('Job Sheet'!BB14," x 2"))</f>
        <v>1120 x 2</v>
      </c>
      <c r="R14" s="118" t="str">
        <f>IF(A14="","",'Job Sheet'!BD14)</f>
        <v>Monument</v>
      </c>
      <c r="S14" s="134">
        <f>IF(A14="","",'Job Sheet'!AV14)</f>
        <v>1480</v>
      </c>
      <c r="T14" s="137" t="str">
        <f>IF('Job Sheet'!AG14="Bay Window Flashing x 2",CONCATENATE('Job Sheet'!BB14," x 2"),IF('Job Sheet'!AG14="Bay Window Flashing x 1",CONCATENATE('Job Sheet'!BB14," x 1"),""))</f>
        <v/>
      </c>
      <c r="U14" s="119" t="str">
        <f>IF(OR(A14="",'Job Sheet'!AH14=""),"",CONCATENATE('Job Sheet'!AH14," x ",'Job Sheet'!I14,"mm"))</f>
        <v/>
      </c>
      <c r="V14" s="119" t="str">
        <f>IF(OR(A14="",'Job Sheet'!AI14=""),"",CONCATENATE('Job Sheet'!AI14," x ",'Job Sheet'!I14,"mm"))</f>
        <v/>
      </c>
      <c r="W14" s="119" t="str">
        <f>IF(OR(A14="",'Job Sheet'!AJ14=""),"",IF(OR('Job Sheet'!AJ14="25 x 25 Sill Angle for Headbox Only",'Job Sheet'!AJ14="25 x 50 Sill Angle for Headbox Only",'Job Sheet'!AJ14="25 x 75 Sill Angle for Headbox Only",'Job Sheet'!AJ14="8mm Slat for Headbox Only",'Job Sheet'!AJ14="22mm Side Guide for Headbox Only"),CONCATENATE('Job Sheet'!AJ14," x ",N14),IF('Job Sheet'!AJ14="Bay Window Flashing",CONCATENATE('Job Sheet'!AJ14," x ",'Job Sheet'!J14,"mm"),CONCATENATE('Job Sheet'!AJ14," x ",'Job Sheet'!J14,"mm"))))</f>
        <v/>
      </c>
      <c r="X14" s="119" t="str">
        <f>IF(OR(A14="",'Job Sheet'!AK14=""),"",IF(OR('Job Sheet'!AK14="25 x 25 Sill Angle for Headbox Only",'Job Sheet'!AK14="25 x 50 Sill Angle for Headbox Only",'Job Sheet'!AK14="25 x 75 Sill Angle for Headbox Only",'Job Sheet'!AK14="8mm Slat for Headbox Only",'Job Sheet'!AK14="22mm Side Guide for Headbox Only"),CONCATENATE('Job Sheet'!AK14," x ",N14),IF('Job Sheet'!AK14="Bay Window Flashing",CONCATENATE('Job Sheet'!AK14," x ",'Job Sheet'!J14,"mm"),CONCATENATE('Job Sheet'!AK14," x ",'Job Sheet'!J14,"mm"))))</f>
        <v/>
      </c>
      <c r="Y14" s="173" t="str">
        <f>IF(A14="","",'Job Sheet'!AR14)</f>
        <v/>
      </c>
      <c r="Z14" s="141">
        <f t="shared" si="0"/>
        <v>4</v>
      </c>
    </row>
    <row r="15" spans="1:26" s="47" customFormat="1" ht="82.5">
      <c r="A15" s="16">
        <f>IF(AND('Job Sheet'!BC15="Davidson's",(OR('Job Sheet'!$A$6="Brax Retail",'Job Sheet'!$A$6="Brax Wholesale",'Job Sheet'!$A$6="Brax Wholesale B2B"))),"",IF('Job Sheet'!BC15="Davidson's",Data!AW15,""))</f>
        <v>5</v>
      </c>
      <c r="B15" s="42" t="str">
        <f>IF(A15="","",'Job Sheet'!B15)</f>
        <v>Bed 2</v>
      </c>
      <c r="C15" s="134">
        <f>IF(A15="","",'Job Sheet'!AW15)</f>
        <v>1847</v>
      </c>
      <c r="D15" s="135">
        <f>IF(A15="","",IF('Job Sheet'!AX15="42mm Unperforated Slat",0,'Job Sheet'!AY15-5))</f>
        <v>27.28</v>
      </c>
      <c r="E15" s="135">
        <f>IF(A15="","",IF('Job Sheet'!AX15="42mm Unperforated Slat",'Job Sheet'!AY15,5))</f>
        <v>5</v>
      </c>
      <c r="F15" s="107" t="str">
        <f>IF(A15="","",Data!BO15)</f>
        <v>Monument</v>
      </c>
      <c r="G15" s="181">
        <f>IF(A15="","",'Job Sheet'!AZ15)</f>
        <v>0</v>
      </c>
      <c r="H15" s="118" t="str">
        <f>IF(OR(A15="",'Job Sheet'!N15="None"),"",IF('Job Sheet'!AX15="42mm Unperforated Slat",CONCATENATE('Job Sheet'!N15," Unperforated"),'Job Sheet'!N15))</f>
        <v/>
      </c>
      <c r="I15" s="134">
        <f>IF(A15="","",'Job Sheet'!AW15)</f>
        <v>1847</v>
      </c>
      <c r="J15" s="41" t="str">
        <f>IF(A15="","",IF('Job Sheet'!S15="Main Slat Colour",Data!BO15,'Job Sheet'!S15))</f>
        <v>Monument</v>
      </c>
      <c r="K15" s="138" t="str">
        <f>IF(A15="","",IF('Job Sheet'!I15&lt;800,I15-60,""))</f>
        <v/>
      </c>
      <c r="L15" s="134">
        <f>IF(A15="","",'Job Sheet'!BA15)</f>
        <v>1909</v>
      </c>
      <c r="M15" s="134">
        <f>IF(A15="","",'Job Sheet'!BA15)</f>
        <v>1909</v>
      </c>
      <c r="N15" s="136" t="str">
        <f>IF(A15="","",'Job Sheet'!AB15)</f>
        <v>180mm</v>
      </c>
      <c r="O15" s="41" t="str">
        <f>IF(A15="","",IF('Job Sheet'!P15="Main Slat Colour",Data!BO15,'Job Sheet'!P15))</f>
        <v>Monument</v>
      </c>
      <c r="P15" s="129" t="str">
        <f>IF(A15="","",'Job Sheet'!R15)</f>
        <v>53mm Standard</v>
      </c>
      <c r="Q15" s="317" t="str">
        <f>IF(OR(A15="",'Job Sheet'!I15=""),"",CONCATENATE('Job Sheet'!BB15," x 2"))</f>
        <v>1290 x 2</v>
      </c>
      <c r="R15" s="118" t="str">
        <f>IF(A15="","",'Job Sheet'!BD15)</f>
        <v>Monument</v>
      </c>
      <c r="S15" s="134">
        <f>IF(A15="","",'Job Sheet'!AV15)</f>
        <v>1839</v>
      </c>
      <c r="T15" s="137" t="str">
        <f>IF('Job Sheet'!AG15="Bay Window Flashing x 2",CONCATENATE('Job Sheet'!BB15," x 2"),IF('Job Sheet'!AG15="Bay Window Flashing x 1",CONCATENATE('Job Sheet'!BB15," x 1"),""))</f>
        <v/>
      </c>
      <c r="U15" s="119" t="str">
        <f>IF(OR(A15="",'Job Sheet'!AH15=""),"",CONCATENATE('Job Sheet'!AH15," x ",'Job Sheet'!I15,"mm"))</f>
        <v/>
      </c>
      <c r="V15" s="119" t="str">
        <f>IF(OR(A15="",'Job Sheet'!AI15=""),"",CONCATENATE('Job Sheet'!AI15," x ",'Job Sheet'!I15,"mm"))</f>
        <v/>
      </c>
      <c r="W15" s="119" t="str">
        <f>IF(OR(A15="",'Job Sheet'!AJ15=""),"",IF(OR('Job Sheet'!AJ15="25 x 25 Sill Angle for Headbox Only",'Job Sheet'!AJ15="25 x 50 Sill Angle for Headbox Only",'Job Sheet'!AJ15="25 x 75 Sill Angle for Headbox Only",'Job Sheet'!AJ15="8mm Slat for Headbox Only",'Job Sheet'!AJ15="22mm Side Guide for Headbox Only"),CONCATENATE('Job Sheet'!AJ15," x ",N15),IF('Job Sheet'!AJ15="Bay Window Flashing",CONCATENATE('Job Sheet'!AJ15," x ",'Job Sheet'!J15,"mm"),CONCATENATE('Job Sheet'!AJ15," x ",'Job Sheet'!J15,"mm"))))</f>
        <v/>
      </c>
      <c r="X15" s="119" t="str">
        <f>IF(OR(A15="",'Job Sheet'!AK15=""),"",IF(OR('Job Sheet'!AK15="25 x 25 Sill Angle for Headbox Only",'Job Sheet'!AK15="25 x 50 Sill Angle for Headbox Only",'Job Sheet'!AK15="25 x 75 Sill Angle for Headbox Only",'Job Sheet'!AK15="8mm Slat for Headbox Only",'Job Sheet'!AK15="22mm Side Guide for Headbox Only"),CONCATENATE('Job Sheet'!AK15," x ",N15),IF('Job Sheet'!AK15="Bay Window Flashing",CONCATENATE('Job Sheet'!AK15," x ",'Job Sheet'!J15,"mm"),CONCATENATE('Job Sheet'!AK15," x ",'Job Sheet'!J15,"mm"))))</f>
        <v/>
      </c>
      <c r="Y15" s="173" t="str">
        <f>IF(A15="","",'Job Sheet'!AR15)</f>
        <v/>
      </c>
      <c r="Z15" s="141">
        <f t="shared" si="0"/>
        <v>5</v>
      </c>
    </row>
    <row r="16" spans="1:26" s="47" customFormat="1" ht="82.5">
      <c r="A16" s="16">
        <f>IF(AND('Job Sheet'!BC16="Davidson's",(OR('Job Sheet'!$A$6="Brax Retail",'Job Sheet'!$A$6="Brax Wholesale",'Job Sheet'!$A$6="Brax Wholesale B2B"))),"",IF('Job Sheet'!BC16="Davidson's",Data!AW16,""))</f>
        <v>6</v>
      </c>
      <c r="B16" s="42" t="str">
        <f>IF(A16="","",'Job Sheet'!B16)</f>
        <v>Bed 3</v>
      </c>
      <c r="C16" s="134">
        <f>IF(A16="","",'Job Sheet'!AW16)</f>
        <v>1846</v>
      </c>
      <c r="D16" s="135">
        <f>IF(A16="","",IF('Job Sheet'!AX16="42mm Unperforated Slat",0,'Job Sheet'!AY16-5))</f>
        <v>27.28</v>
      </c>
      <c r="E16" s="135">
        <f>IF(A16="","",IF('Job Sheet'!AX16="42mm Unperforated Slat",'Job Sheet'!AY16,5))</f>
        <v>5</v>
      </c>
      <c r="F16" s="107" t="str">
        <f>IF(A16="","",Data!BO16)</f>
        <v>Dune</v>
      </c>
      <c r="G16" s="181">
        <f>IF(A16="","",'Job Sheet'!AZ16)</f>
        <v>0</v>
      </c>
      <c r="H16" s="118" t="str">
        <f>IF(OR(A16="",'Job Sheet'!N16="None"),"",IF('Job Sheet'!AX16="42mm Unperforated Slat",CONCATENATE('Job Sheet'!N16," Unperforated"),'Job Sheet'!N16))</f>
        <v/>
      </c>
      <c r="I16" s="134">
        <f>IF(A16="","",'Job Sheet'!AW16)</f>
        <v>1846</v>
      </c>
      <c r="J16" s="41" t="str">
        <f>IF(A16="","",IF('Job Sheet'!S16="Main Slat Colour",Data!BO16,'Job Sheet'!S16))</f>
        <v>Monument</v>
      </c>
      <c r="K16" s="138" t="str">
        <f>IF(A16="","",IF('Job Sheet'!I16&lt;800,I16-60,""))</f>
        <v/>
      </c>
      <c r="L16" s="134">
        <f>IF(A16="","",'Job Sheet'!BA16)</f>
        <v>1908</v>
      </c>
      <c r="M16" s="134">
        <f>IF(A16="","",'Job Sheet'!BA16)</f>
        <v>1908</v>
      </c>
      <c r="N16" s="136" t="str">
        <f>IF(A16="","",'Job Sheet'!AB16)</f>
        <v>180mm</v>
      </c>
      <c r="O16" s="41" t="str">
        <f>IF(A16="","",IF('Job Sheet'!P16="Main Slat Colour",Data!BO16,'Job Sheet'!P16))</f>
        <v>Monument</v>
      </c>
      <c r="P16" s="129" t="str">
        <f>IF(A16="","",'Job Sheet'!R16)</f>
        <v>53mm Standard</v>
      </c>
      <c r="Q16" s="317" t="str">
        <f>IF(OR(A16="",'Job Sheet'!I16=""),"",CONCATENATE('Job Sheet'!BB16," x 2"))</f>
        <v>1290 x 2</v>
      </c>
      <c r="R16" s="118" t="str">
        <f>IF(A16="","",'Job Sheet'!BD16)</f>
        <v>Monument</v>
      </c>
      <c r="S16" s="134">
        <f>IF(A16="","",'Job Sheet'!AV16)</f>
        <v>1838</v>
      </c>
      <c r="T16" s="137" t="str">
        <f>IF('Job Sheet'!AG16="Bay Window Flashing x 2",CONCATENATE('Job Sheet'!BB16," x 2"),IF('Job Sheet'!AG16="Bay Window Flashing x 1",CONCATENATE('Job Sheet'!BB16," x 1"),""))</f>
        <v/>
      </c>
      <c r="U16" s="119" t="str">
        <f>IF(OR(A16="",'Job Sheet'!AH16=""),"",CONCATENATE('Job Sheet'!AH16," x ",'Job Sheet'!I16,"mm"))</f>
        <v/>
      </c>
      <c r="V16" s="119" t="str">
        <f>IF(OR(A16="",'Job Sheet'!AI16=""),"",CONCATENATE('Job Sheet'!AI16," x ",'Job Sheet'!I16,"mm"))</f>
        <v/>
      </c>
      <c r="W16" s="119" t="str">
        <f>IF(OR(A16="",'Job Sheet'!AJ16=""),"",IF(OR('Job Sheet'!AJ16="25 x 25 Sill Angle for Headbox Only",'Job Sheet'!AJ16="25 x 50 Sill Angle for Headbox Only",'Job Sheet'!AJ16="25 x 75 Sill Angle for Headbox Only",'Job Sheet'!AJ16="8mm Slat for Headbox Only",'Job Sheet'!AJ16="22mm Side Guide for Headbox Only"),CONCATENATE('Job Sheet'!AJ16," x ",N16),IF('Job Sheet'!AJ16="Bay Window Flashing",CONCATENATE('Job Sheet'!AJ16," x ",'Job Sheet'!J16,"mm"),CONCATENATE('Job Sheet'!AJ16," x ",'Job Sheet'!J16,"mm"))))</f>
        <v/>
      </c>
      <c r="X16" s="119" t="str">
        <f>IF(OR(A16="",'Job Sheet'!AK16=""),"",IF(OR('Job Sheet'!AK16="25 x 25 Sill Angle for Headbox Only",'Job Sheet'!AK16="25 x 50 Sill Angle for Headbox Only",'Job Sheet'!AK16="25 x 75 Sill Angle for Headbox Only",'Job Sheet'!AK16="8mm Slat for Headbox Only",'Job Sheet'!AK16="22mm Side Guide for Headbox Only"),CONCATENATE('Job Sheet'!AK16," x ",N16),IF('Job Sheet'!AK16="Bay Window Flashing",CONCATENATE('Job Sheet'!AK16," x ",'Job Sheet'!J16,"mm"),CONCATENATE('Job Sheet'!AK16," x ",'Job Sheet'!J16,"mm"))))</f>
        <v/>
      </c>
      <c r="Y16" s="173" t="str">
        <f>IF(A16="","",'Job Sheet'!AR16)</f>
        <v/>
      </c>
      <c r="Z16" s="141">
        <f t="shared" si="0"/>
        <v>6</v>
      </c>
    </row>
    <row r="17" spans="1:26" s="47" customFormat="1" ht="82.5">
      <c r="A17" s="16">
        <f>IF(AND('Job Sheet'!BC17="Davidson's",(OR('Job Sheet'!$A$6="Brax Retail",'Job Sheet'!$A$6="Brax Wholesale",'Job Sheet'!$A$6="Brax Wholesale B2B"))),"",IF('Job Sheet'!BC17="Davidson's",Data!AW17,""))</f>
        <v>7</v>
      </c>
      <c r="B17" s="42" t="str">
        <f>IF(A17="","",'Job Sheet'!B17)</f>
        <v>Rumpus</v>
      </c>
      <c r="C17" s="134">
        <f>IF(A17="","",'Job Sheet'!AW17)</f>
        <v>1846</v>
      </c>
      <c r="D17" s="135">
        <f>IF(A17="","",IF('Job Sheet'!AX17="42mm Unperforated Slat",0,'Job Sheet'!AY17-5))</f>
        <v>27.28</v>
      </c>
      <c r="E17" s="135">
        <f>IF(A17="","",IF('Job Sheet'!AX17="42mm Unperforated Slat",'Job Sheet'!AY17,5))</f>
        <v>5</v>
      </c>
      <c r="F17" s="107" t="str">
        <f>IF(A17="","",Data!BO17)</f>
        <v>Dune</v>
      </c>
      <c r="G17" s="181">
        <f>IF(A17="","",'Job Sheet'!AZ17)</f>
        <v>0</v>
      </c>
      <c r="H17" s="118" t="str">
        <f>IF(OR(A17="",'Job Sheet'!N17="None"),"",IF('Job Sheet'!AX17="42mm Unperforated Slat",CONCATENATE('Job Sheet'!N17," Unperforated"),'Job Sheet'!N17))</f>
        <v/>
      </c>
      <c r="I17" s="134">
        <f>IF(A17="","",'Job Sheet'!AW17)</f>
        <v>1846</v>
      </c>
      <c r="J17" s="41" t="str">
        <f>IF(A17="","",IF('Job Sheet'!S17="Main Slat Colour",Data!BO17,'Job Sheet'!S17))</f>
        <v>Monument</v>
      </c>
      <c r="K17" s="138" t="str">
        <f>IF(A17="","",IF('Job Sheet'!I17&lt;800,I17-60,""))</f>
        <v/>
      </c>
      <c r="L17" s="134">
        <f>IF(A17="","",'Job Sheet'!BA17)</f>
        <v>1908</v>
      </c>
      <c r="M17" s="134">
        <f>IF(A17="","",'Job Sheet'!BA17)</f>
        <v>1908</v>
      </c>
      <c r="N17" s="136" t="str">
        <f>IF(A17="","",'Job Sheet'!AB17)</f>
        <v>180mm</v>
      </c>
      <c r="O17" s="41" t="str">
        <f>IF(A17="","",IF('Job Sheet'!P17="Main Slat Colour",Data!BO17,'Job Sheet'!P17))</f>
        <v>Monument</v>
      </c>
      <c r="P17" s="129" t="str">
        <f>IF(A17="","",'Job Sheet'!R17)</f>
        <v>53mm Standard</v>
      </c>
      <c r="Q17" s="317" t="str">
        <f>IF(OR(A17="",'Job Sheet'!I17=""),"",CONCATENATE('Job Sheet'!BB17," x 2"))</f>
        <v>1290 x 2</v>
      </c>
      <c r="R17" s="118" t="str">
        <f>IF(A17="","",'Job Sheet'!BD17)</f>
        <v>Monument</v>
      </c>
      <c r="S17" s="134">
        <f>IF(A17="","",'Job Sheet'!AV17)</f>
        <v>1838</v>
      </c>
      <c r="T17" s="137" t="str">
        <f>IF('Job Sheet'!AG17="Bay Window Flashing x 2",CONCATENATE('Job Sheet'!BB17," x 2"),IF('Job Sheet'!AG17="Bay Window Flashing x 1",CONCATENATE('Job Sheet'!BB17," x 1"),""))</f>
        <v/>
      </c>
      <c r="U17" s="119" t="str">
        <f>IF(OR(A17="",'Job Sheet'!AH17=""),"",CONCATENATE('Job Sheet'!AH17," x ",'Job Sheet'!I17,"mm"))</f>
        <v/>
      </c>
      <c r="V17" s="119" t="str">
        <f>IF(OR(A17="",'Job Sheet'!AI17=""),"",CONCATENATE('Job Sheet'!AI17," x ",'Job Sheet'!I17,"mm"))</f>
        <v/>
      </c>
      <c r="W17" s="119" t="str">
        <f>IF(OR(A17="",'Job Sheet'!AJ17=""),"",IF(OR('Job Sheet'!AJ17="25 x 25 Sill Angle for Headbox Only",'Job Sheet'!AJ17="25 x 50 Sill Angle for Headbox Only",'Job Sheet'!AJ17="25 x 75 Sill Angle for Headbox Only",'Job Sheet'!AJ17="8mm Slat for Headbox Only",'Job Sheet'!AJ17="22mm Side Guide for Headbox Only"),CONCATENATE('Job Sheet'!AJ17," x ",N17),IF('Job Sheet'!AJ17="Bay Window Flashing",CONCATENATE('Job Sheet'!AJ17," x ",'Job Sheet'!J17,"mm"),CONCATENATE('Job Sheet'!AJ17," x ",'Job Sheet'!J17,"mm"))))</f>
        <v/>
      </c>
      <c r="X17" s="119" t="str">
        <f>IF(OR(A17="",'Job Sheet'!AK17=""),"",IF(OR('Job Sheet'!AK17="25 x 25 Sill Angle for Headbox Only",'Job Sheet'!AK17="25 x 50 Sill Angle for Headbox Only",'Job Sheet'!AK17="25 x 75 Sill Angle for Headbox Only",'Job Sheet'!AK17="8mm Slat for Headbox Only",'Job Sheet'!AK17="22mm Side Guide for Headbox Only"),CONCATENATE('Job Sheet'!AK17," x ",N17),IF('Job Sheet'!AK17="Bay Window Flashing",CONCATENATE('Job Sheet'!AK17," x ",'Job Sheet'!J17,"mm"),CONCATENATE('Job Sheet'!AK17," x ",'Job Sheet'!J17,"mm"))))</f>
        <v/>
      </c>
      <c r="Y17" s="173" t="str">
        <f>IF(A17="","",'Job Sheet'!AR17)</f>
        <v/>
      </c>
      <c r="Z17" s="141">
        <f t="shared" si="0"/>
        <v>7</v>
      </c>
    </row>
    <row r="18" spans="1:26" s="47" customFormat="1" ht="82.5">
      <c r="A18" s="16">
        <f>IF(AND('Job Sheet'!BC18="Davidson's",(OR('Job Sheet'!$A$6="Brax Retail",'Job Sheet'!$A$6="Brax Wholesale",'Job Sheet'!$A$6="Brax Wholesale B2B"))),"",IF('Job Sheet'!BC18="Davidson's",Data!AW18,""))</f>
        <v>8</v>
      </c>
      <c r="B18" s="42" t="str">
        <f>IF(A18="","",'Job Sheet'!B18)</f>
        <v>Bed 4</v>
      </c>
      <c r="C18" s="134">
        <f>IF(A18="","",'Job Sheet'!AW18)</f>
        <v>1845</v>
      </c>
      <c r="D18" s="135">
        <f>IF(A18="","",IF('Job Sheet'!AX18="42mm Unperforated Slat",0,'Job Sheet'!AY18-5))</f>
        <v>27.28</v>
      </c>
      <c r="E18" s="135">
        <f>IF(A18="","",IF('Job Sheet'!AX18="42mm Unperforated Slat",'Job Sheet'!AY18,5))</f>
        <v>5</v>
      </c>
      <c r="F18" s="107" t="str">
        <f>IF(A18="","",Data!BO18)</f>
        <v>Dune</v>
      </c>
      <c r="G18" s="181">
        <f>IF(A18="","",'Job Sheet'!AZ18)</f>
        <v>0</v>
      </c>
      <c r="H18" s="118" t="str">
        <f>IF(OR(A18="",'Job Sheet'!N18="None"),"",IF('Job Sheet'!AX18="42mm Unperforated Slat",CONCATENATE('Job Sheet'!N18," Unperforated"),'Job Sheet'!N18))</f>
        <v/>
      </c>
      <c r="I18" s="134">
        <f>IF(A18="","",'Job Sheet'!AW18)</f>
        <v>1845</v>
      </c>
      <c r="J18" s="41" t="str">
        <f>IF(A18="","",IF('Job Sheet'!S18="Main Slat Colour",Data!BO18,'Job Sheet'!S18))</f>
        <v>Monument</v>
      </c>
      <c r="K18" s="138" t="str">
        <f>IF(A18="","",IF('Job Sheet'!I18&lt;800,I18-60,""))</f>
        <v/>
      </c>
      <c r="L18" s="134">
        <f>IF(A18="","",'Job Sheet'!BA18)</f>
        <v>1907</v>
      </c>
      <c r="M18" s="134">
        <f>IF(A18="","",'Job Sheet'!BA18)</f>
        <v>1907</v>
      </c>
      <c r="N18" s="136" t="str">
        <f>IF(A18="","",'Job Sheet'!AB18)</f>
        <v>180mm</v>
      </c>
      <c r="O18" s="41" t="str">
        <f>IF(A18="","",IF('Job Sheet'!P18="Main Slat Colour",Data!BO18,'Job Sheet'!P18))</f>
        <v>Monument</v>
      </c>
      <c r="P18" s="129" t="str">
        <f>IF(A18="","",'Job Sheet'!R18)</f>
        <v>53mm Standard</v>
      </c>
      <c r="Q18" s="317" t="str">
        <f>IF(OR(A18="",'Job Sheet'!I18=""),"",CONCATENATE('Job Sheet'!BB18," x 2"))</f>
        <v>1290 x 2</v>
      </c>
      <c r="R18" s="118" t="str">
        <f>IF(A18="","",'Job Sheet'!BD18)</f>
        <v>Monument</v>
      </c>
      <c r="S18" s="134">
        <f>IF(A18="","",'Job Sheet'!AV18)</f>
        <v>1837</v>
      </c>
      <c r="T18" s="137" t="str">
        <f>IF('Job Sheet'!AG18="Bay Window Flashing x 2",CONCATENATE('Job Sheet'!BB18," x 2"),IF('Job Sheet'!AG18="Bay Window Flashing x 1",CONCATENATE('Job Sheet'!BB18," x 1"),""))</f>
        <v/>
      </c>
      <c r="U18" s="119" t="str">
        <f>IF(OR(A18="",'Job Sheet'!AH18=""),"",CONCATENATE('Job Sheet'!AH18," x ",'Job Sheet'!I18,"mm"))</f>
        <v/>
      </c>
      <c r="V18" s="119" t="str">
        <f>IF(OR(A18="",'Job Sheet'!AI18=""),"",CONCATENATE('Job Sheet'!AI18," x ",'Job Sheet'!I18,"mm"))</f>
        <v/>
      </c>
      <c r="W18" s="119" t="str">
        <f>IF(OR(A18="",'Job Sheet'!AJ18=""),"",IF(OR('Job Sheet'!AJ18="25 x 25 Sill Angle for Headbox Only",'Job Sheet'!AJ18="25 x 50 Sill Angle for Headbox Only",'Job Sheet'!AJ18="25 x 75 Sill Angle for Headbox Only",'Job Sheet'!AJ18="8mm Slat for Headbox Only",'Job Sheet'!AJ18="22mm Side Guide for Headbox Only"),CONCATENATE('Job Sheet'!AJ18," x ",N18),IF('Job Sheet'!AJ18="Bay Window Flashing",CONCATENATE('Job Sheet'!AJ18," x ",'Job Sheet'!J18,"mm"),CONCATENATE('Job Sheet'!AJ18," x ",'Job Sheet'!J18,"mm"))))</f>
        <v/>
      </c>
      <c r="X18" s="119" t="str">
        <f>IF(OR(A18="",'Job Sheet'!AK18=""),"",IF(OR('Job Sheet'!AK18="25 x 25 Sill Angle for Headbox Only",'Job Sheet'!AK18="25 x 50 Sill Angle for Headbox Only",'Job Sheet'!AK18="25 x 75 Sill Angle for Headbox Only",'Job Sheet'!AK18="8mm Slat for Headbox Only",'Job Sheet'!AK18="22mm Side Guide for Headbox Only"),CONCATENATE('Job Sheet'!AK18," x ",N18),IF('Job Sheet'!AK18="Bay Window Flashing",CONCATENATE('Job Sheet'!AK18," x ",'Job Sheet'!J18,"mm"),CONCATENATE('Job Sheet'!AK18," x ",'Job Sheet'!J18,"mm"))))</f>
        <v/>
      </c>
      <c r="Y18" s="173" t="str">
        <f>IF(A18="","",'Job Sheet'!AR18)</f>
        <v/>
      </c>
      <c r="Z18" s="141">
        <f t="shared" si="0"/>
        <v>8</v>
      </c>
    </row>
    <row r="19" spans="1:26" s="47" customFormat="1" ht="82.5">
      <c r="A19" s="16">
        <f>IF(AND('Job Sheet'!BC19="Davidson's",(OR('Job Sheet'!$A$6="Brax Retail",'Job Sheet'!$A$6="Brax Wholesale",'Job Sheet'!$A$6="Brax Wholesale B2B"))),"",IF('Job Sheet'!BC19="Davidson's",Data!AW19,""))</f>
        <v>9</v>
      </c>
      <c r="B19" s="42" t="str">
        <f>IF(A19="","",'Job Sheet'!B19)</f>
        <v>Slider</v>
      </c>
      <c r="C19" s="134">
        <f>IF(A19="","",'Job Sheet'!AW19)</f>
        <v>2089</v>
      </c>
      <c r="D19" s="135">
        <f>IF(A19="","",IF('Job Sheet'!AX19="42mm Unperforated Slat",0,'Job Sheet'!AY19-5))</f>
        <v>49.84</v>
      </c>
      <c r="E19" s="135">
        <f>IF(A19="","",IF('Job Sheet'!AX19="42mm Unperforated Slat",'Job Sheet'!AY19,5))</f>
        <v>5</v>
      </c>
      <c r="F19" s="107" t="str">
        <f>IF(A19="","",Data!BO19)</f>
        <v>Dune</v>
      </c>
      <c r="G19" s="181">
        <f>IF(A19="","",'Job Sheet'!AZ19)</f>
        <v>0</v>
      </c>
      <c r="H19" s="118" t="str">
        <f>IF(OR(A19="",'Job Sheet'!N19="None"),"",IF('Job Sheet'!AX19="42mm Unperforated Slat",CONCATENATE('Job Sheet'!N19," Unperforated"),'Job Sheet'!N19))</f>
        <v/>
      </c>
      <c r="I19" s="134">
        <f>IF(A19="","",'Job Sheet'!AW19)</f>
        <v>2089</v>
      </c>
      <c r="J19" s="41" t="str">
        <f>IF(A19="","",IF('Job Sheet'!S19="Main Slat Colour",Data!BO19,'Job Sheet'!S19))</f>
        <v>Monument</v>
      </c>
      <c r="K19" s="138" t="str">
        <f>IF(A19="","",IF('Job Sheet'!I19&lt;800,I19-60,""))</f>
        <v/>
      </c>
      <c r="L19" s="134">
        <f>IF(A19="","",'Job Sheet'!BA19)</f>
        <v>2151</v>
      </c>
      <c r="M19" s="134">
        <f>IF(A19="","",'Job Sheet'!BA19)</f>
        <v>2151</v>
      </c>
      <c r="N19" s="136" t="str">
        <f>IF(A19="","",'Job Sheet'!AB19)</f>
        <v>205mm</v>
      </c>
      <c r="O19" s="41" t="str">
        <f>IF(A19="","",IF('Job Sheet'!P19="Main Slat Colour",Data!BO19,'Job Sheet'!P19))</f>
        <v>Monument</v>
      </c>
      <c r="P19" s="129" t="str">
        <f>IF(A19="","",'Job Sheet'!R19)</f>
        <v>53mm Standard</v>
      </c>
      <c r="Q19" s="317" t="str">
        <f>IF(OR(A19="",'Job Sheet'!I19=""),"",CONCATENATE('Job Sheet'!BB19," x 2"))</f>
        <v>2205 x 2</v>
      </c>
      <c r="R19" s="118" t="str">
        <f>IF(A19="","",'Job Sheet'!BD19)</f>
        <v>Monument</v>
      </c>
      <c r="S19" s="134">
        <f>IF(A19="","",'Job Sheet'!AV19)</f>
        <v>2081</v>
      </c>
      <c r="T19" s="137" t="str">
        <f>IF('Job Sheet'!AG19="Bay Window Flashing x 2",CONCATENATE('Job Sheet'!BB19," x 2"),IF('Job Sheet'!AG19="Bay Window Flashing x 1",CONCATENATE('Job Sheet'!BB19," x 1"),""))</f>
        <v/>
      </c>
      <c r="U19" s="119" t="str">
        <f>IF(OR(A19="",'Job Sheet'!AH19=""),"",CONCATENATE('Job Sheet'!AH19," x ",'Job Sheet'!I19,"mm"))</f>
        <v/>
      </c>
      <c r="V19" s="119" t="str">
        <f>IF(OR(A19="",'Job Sheet'!AI19=""),"",CONCATENATE('Job Sheet'!AI19," x ",'Job Sheet'!I19,"mm"))</f>
        <v/>
      </c>
      <c r="W19" s="119" t="str">
        <f>IF(OR(A19="",'Job Sheet'!AJ19=""),"",IF(OR('Job Sheet'!AJ19="25 x 25 Sill Angle for Headbox Only",'Job Sheet'!AJ19="25 x 50 Sill Angle for Headbox Only",'Job Sheet'!AJ19="25 x 75 Sill Angle for Headbox Only",'Job Sheet'!AJ19="8mm Slat for Headbox Only",'Job Sheet'!AJ19="22mm Side Guide for Headbox Only"),CONCATENATE('Job Sheet'!AJ19," x ",N19),IF('Job Sheet'!AJ19="Bay Window Flashing",CONCATENATE('Job Sheet'!AJ19," x ",'Job Sheet'!J19,"mm"),CONCATENATE('Job Sheet'!AJ19," x ",'Job Sheet'!J19,"mm"))))</f>
        <v/>
      </c>
      <c r="X19" s="119" t="str">
        <f>IF(OR(A19="",'Job Sheet'!AK19=""),"",IF(OR('Job Sheet'!AK19="25 x 25 Sill Angle for Headbox Only",'Job Sheet'!AK19="25 x 50 Sill Angle for Headbox Only",'Job Sheet'!AK19="25 x 75 Sill Angle for Headbox Only",'Job Sheet'!AK19="8mm Slat for Headbox Only",'Job Sheet'!AK19="22mm Side Guide for Headbox Only"),CONCATENATE('Job Sheet'!AK19," x ",N19),IF('Job Sheet'!AK19="Bay Window Flashing",CONCATENATE('Job Sheet'!AK19," x ",'Job Sheet'!J19,"mm"),CONCATENATE('Job Sheet'!AK19," x ",'Job Sheet'!J19,"mm"))))</f>
        <v/>
      </c>
      <c r="Y19" s="173" t="str">
        <f>IF(A19="","",'Job Sheet'!AR19)</f>
        <v/>
      </c>
      <c r="Z19" s="141">
        <f t="shared" si="0"/>
        <v>9</v>
      </c>
    </row>
    <row r="20" spans="1:26" s="47" customFormat="1" ht="82.5">
      <c r="A20" s="16">
        <f>IF(AND('Job Sheet'!BC20="Davidson's",(OR('Job Sheet'!$A$6="Brax Retail",'Job Sheet'!$A$6="Brax Wholesale",'Job Sheet'!$A$6="Brax Wholesale B2B"))),"",IF('Job Sheet'!BC20="Davidson's",Data!AW20,""))</f>
        <v>10</v>
      </c>
      <c r="B20" s="42" t="str">
        <f>IF(A20="","",'Job Sheet'!B20)</f>
        <v>Lounge</v>
      </c>
      <c r="C20" s="134">
        <f>IF(A20="","",'Job Sheet'!AW20)</f>
        <v>1845</v>
      </c>
      <c r="D20" s="135">
        <f>IF(A20="","",IF('Job Sheet'!AX20="42mm Unperforated Slat",0,'Job Sheet'!AY20-5))</f>
        <v>27.28</v>
      </c>
      <c r="E20" s="135">
        <f>IF(A20="","",IF('Job Sheet'!AX20="42mm Unperforated Slat",'Job Sheet'!AY20,5))</f>
        <v>5</v>
      </c>
      <c r="F20" s="107" t="str">
        <f>IF(A20="","",Data!BO20)</f>
        <v>Dune</v>
      </c>
      <c r="G20" s="181">
        <f>IF(A20="","",'Job Sheet'!AZ20)</f>
        <v>0</v>
      </c>
      <c r="H20" s="118" t="str">
        <f>IF(OR(A20="",'Job Sheet'!N20="None"),"",IF('Job Sheet'!AX20="42mm Unperforated Slat",CONCATENATE('Job Sheet'!N20," Unperforated"),'Job Sheet'!N20))</f>
        <v/>
      </c>
      <c r="I20" s="134">
        <f>IF(A20="","",'Job Sheet'!AW20)</f>
        <v>1845</v>
      </c>
      <c r="J20" s="41" t="str">
        <f>IF(A20="","",IF('Job Sheet'!S20="Main Slat Colour",Data!BO20,'Job Sheet'!S20))</f>
        <v>Monument</v>
      </c>
      <c r="K20" s="138" t="str">
        <f>IF(A20="","",IF('Job Sheet'!I20&lt;800,I20-60,""))</f>
        <v/>
      </c>
      <c r="L20" s="134">
        <f>IF(A20="","",'Job Sheet'!BA20)</f>
        <v>1907</v>
      </c>
      <c r="M20" s="134">
        <f>IF(A20="","",'Job Sheet'!BA20)</f>
        <v>1907</v>
      </c>
      <c r="N20" s="136" t="str">
        <f>IF(A20="","",'Job Sheet'!AB20)</f>
        <v>180mm</v>
      </c>
      <c r="O20" s="41" t="str">
        <f>IF(A20="","",IF('Job Sheet'!P20="Main Slat Colour",Data!BO20,'Job Sheet'!P20))</f>
        <v>Monument</v>
      </c>
      <c r="P20" s="129" t="str">
        <f>IF(A20="","",'Job Sheet'!R20)</f>
        <v>53mm Standard</v>
      </c>
      <c r="Q20" s="317" t="str">
        <f>IF(OR(A20="",'Job Sheet'!I20=""),"",CONCATENATE('Job Sheet'!BB20," x 2"))</f>
        <v>1290 x 2</v>
      </c>
      <c r="R20" s="118" t="str">
        <f>IF(A20="","",'Job Sheet'!BD20)</f>
        <v>Monument</v>
      </c>
      <c r="S20" s="134">
        <f>IF(A20="","",'Job Sheet'!AV20)</f>
        <v>1837</v>
      </c>
      <c r="T20" s="137" t="str">
        <f>IF('Job Sheet'!AG20="Bay Window Flashing x 2",CONCATENATE('Job Sheet'!BB20," x 2"),IF('Job Sheet'!AG20="Bay Window Flashing x 1",CONCATENATE('Job Sheet'!BB20," x 1"),""))</f>
        <v/>
      </c>
      <c r="U20" s="119" t="str">
        <f>IF(OR(A20="",'Job Sheet'!AH20=""),"",CONCATENATE('Job Sheet'!AH20," x ",'Job Sheet'!I20,"mm"))</f>
        <v/>
      </c>
      <c r="V20" s="119" t="str">
        <f>IF(OR(A20="",'Job Sheet'!AI20=""),"",CONCATENATE('Job Sheet'!AI20," x ",'Job Sheet'!I20,"mm"))</f>
        <v/>
      </c>
      <c r="W20" s="119" t="str">
        <f>IF(OR(A20="",'Job Sheet'!AJ20=""),"",IF(OR('Job Sheet'!AJ20="25 x 25 Sill Angle for Headbox Only",'Job Sheet'!AJ20="25 x 50 Sill Angle for Headbox Only",'Job Sheet'!AJ20="25 x 75 Sill Angle for Headbox Only",'Job Sheet'!AJ20="8mm Slat for Headbox Only",'Job Sheet'!AJ20="22mm Side Guide for Headbox Only"),CONCATENATE('Job Sheet'!AJ20," x ",N20),IF('Job Sheet'!AJ20="Bay Window Flashing",CONCATENATE('Job Sheet'!AJ20," x ",'Job Sheet'!J20,"mm"),CONCATENATE('Job Sheet'!AJ20," x ",'Job Sheet'!J20,"mm"))))</f>
        <v/>
      </c>
      <c r="X20" s="119" t="str">
        <f>IF(OR(A20="",'Job Sheet'!AK20=""),"",IF(OR('Job Sheet'!AK20="25 x 25 Sill Angle for Headbox Only",'Job Sheet'!AK20="25 x 50 Sill Angle for Headbox Only",'Job Sheet'!AK20="25 x 75 Sill Angle for Headbox Only",'Job Sheet'!AK20="8mm Slat for Headbox Only",'Job Sheet'!AK20="22mm Side Guide for Headbox Only"),CONCATENATE('Job Sheet'!AK20," x ",N20),IF('Job Sheet'!AK20="Bay Window Flashing",CONCATENATE('Job Sheet'!AK20," x ",'Job Sheet'!J20,"mm"),CONCATENATE('Job Sheet'!AK20," x ",'Job Sheet'!J20,"mm"))))</f>
        <v/>
      </c>
      <c r="Y20" s="173" t="str">
        <f>IF(A20="","",'Job Sheet'!AR20)</f>
        <v/>
      </c>
      <c r="Z20" s="141">
        <f t="shared" si="0"/>
        <v>10</v>
      </c>
    </row>
    <row r="21" spans="1:14" s="47" customFormat="1" ht="60" customHeight="1">
      <c r="A21" s="72"/>
      <c r="B21" s="73"/>
      <c r="C21" s="74"/>
      <c r="D21" s="74"/>
      <c r="E21" s="74"/>
      <c r="F21" s="75"/>
      <c r="G21" s="75"/>
      <c r="H21" s="75"/>
      <c r="I21" s="75"/>
      <c r="J21" s="75"/>
      <c r="K21" s="75"/>
      <c r="L21" s="76"/>
      <c r="M21" s="76"/>
      <c r="N21" s="76"/>
    </row>
    <row r="22" spans="1:14" s="47" customFormat="1" ht="60" customHeight="1">
      <c r="A22" s="72"/>
      <c r="B22" s="73"/>
      <c r="C22" s="74"/>
      <c r="D22" s="74"/>
      <c r="E22" s="74"/>
      <c r="F22" s="75"/>
      <c r="G22" s="75"/>
      <c r="H22" s="75"/>
      <c r="I22" s="75"/>
      <c r="J22" s="75"/>
      <c r="K22" s="75"/>
      <c r="L22" s="76"/>
      <c r="M22" s="76"/>
      <c r="N22" s="76"/>
    </row>
    <row r="23" spans="1:14" s="47" customFormat="1" ht="60" customHeight="1">
      <c r="A23" s="72"/>
      <c r="B23" s="73"/>
      <c r="C23" s="74"/>
      <c r="D23" s="74"/>
      <c r="E23" s="74"/>
      <c r="F23" s="75"/>
      <c r="G23" s="75"/>
      <c r="H23" s="75"/>
      <c r="I23" s="75"/>
      <c r="J23" s="75"/>
      <c r="K23" s="75"/>
      <c r="L23" s="76"/>
      <c r="M23" s="76"/>
      <c r="N23" s="76"/>
    </row>
    <row r="24" spans="1:14" s="47" customFormat="1" ht="60" customHeight="1">
      <c r="A24" s="72"/>
      <c r="B24" s="73"/>
      <c r="C24" s="74"/>
      <c r="D24" s="74"/>
      <c r="E24" s="74"/>
      <c r="F24" s="75"/>
      <c r="G24" s="75"/>
      <c r="H24" s="75"/>
      <c r="I24" s="75"/>
      <c r="J24" s="75"/>
      <c r="K24" s="75"/>
      <c r="L24" s="76"/>
      <c r="M24" s="76"/>
      <c r="N24" s="76"/>
    </row>
    <row r="25" spans="1:14" s="47" customFormat="1" ht="60" customHeight="1">
      <c r="A25" s="72"/>
      <c r="B25" s="73"/>
      <c r="C25" s="74"/>
      <c r="D25" s="74"/>
      <c r="E25" s="74"/>
      <c r="F25" s="75"/>
      <c r="G25" s="75"/>
      <c r="H25" s="75"/>
      <c r="I25" s="75"/>
      <c r="J25" s="75"/>
      <c r="K25" s="75"/>
      <c r="L25" s="76"/>
      <c r="M25" s="76"/>
      <c r="N25" s="76"/>
    </row>
    <row r="26" spans="1:14" s="47" customFormat="1" ht="60" customHeight="1">
      <c r="A26" s="72"/>
      <c r="B26" s="73"/>
      <c r="C26" s="74"/>
      <c r="D26" s="74"/>
      <c r="E26" s="74"/>
      <c r="F26" s="75"/>
      <c r="G26" s="75"/>
      <c r="H26" s="75"/>
      <c r="I26" s="75"/>
      <c r="J26" s="75"/>
      <c r="K26" s="75"/>
      <c r="L26" s="76"/>
      <c r="M26" s="76"/>
      <c r="N26" s="76"/>
    </row>
    <row r="27" spans="1:14" s="47" customFormat="1" ht="60" customHeight="1">
      <c r="A27" s="72"/>
      <c r="B27" s="73"/>
      <c r="C27" s="74"/>
      <c r="D27" s="74"/>
      <c r="E27" s="74"/>
      <c r="F27" s="75"/>
      <c r="G27" s="75"/>
      <c r="H27" s="75"/>
      <c r="I27" s="75"/>
      <c r="J27" s="75"/>
      <c r="K27" s="75"/>
      <c r="L27" s="76"/>
      <c r="M27" s="76"/>
      <c r="N27" s="76"/>
    </row>
    <row r="28" spans="1:14" s="47" customFormat="1" ht="60" customHeight="1">
      <c r="A28" s="72"/>
      <c r="B28" s="73"/>
      <c r="C28" s="74"/>
      <c r="D28" s="74"/>
      <c r="E28" s="74"/>
      <c r="F28" s="75"/>
      <c r="G28" s="75"/>
      <c r="H28" s="75"/>
      <c r="I28" s="75"/>
      <c r="J28" s="75"/>
      <c r="K28" s="75"/>
      <c r="L28" s="76"/>
      <c r="M28" s="76"/>
      <c r="N28" s="76"/>
    </row>
    <row r="29" spans="1:14" s="47" customFormat="1" ht="60" customHeight="1">
      <c r="A29" s="72"/>
      <c r="B29" s="73"/>
      <c r="C29" s="74"/>
      <c r="D29" s="74"/>
      <c r="E29" s="74"/>
      <c r="F29" s="75"/>
      <c r="G29" s="75"/>
      <c r="H29" s="75"/>
      <c r="I29" s="75"/>
      <c r="J29" s="75"/>
      <c r="K29" s="75"/>
      <c r="L29" s="76"/>
      <c r="M29" s="76"/>
      <c r="N29" s="76"/>
    </row>
    <row r="30" spans="1:14" s="47" customFormat="1" ht="60" customHeight="1">
      <c r="A30" s="72"/>
      <c r="B30" s="73"/>
      <c r="C30" s="74"/>
      <c r="D30" s="74"/>
      <c r="E30" s="74"/>
      <c r="F30" s="75"/>
      <c r="G30" s="75"/>
      <c r="H30" s="75"/>
      <c r="I30" s="75"/>
      <c r="J30" s="75"/>
      <c r="K30" s="75"/>
      <c r="L30" s="76"/>
      <c r="M30" s="76"/>
      <c r="N30" s="76"/>
    </row>
    <row r="31" spans="1:14" s="47" customFormat="1" ht="60" customHeight="1">
      <c r="A31" s="72"/>
      <c r="B31" s="73"/>
      <c r="C31" s="74"/>
      <c r="D31" s="74"/>
      <c r="E31" s="74"/>
      <c r="F31" s="75"/>
      <c r="G31" s="75"/>
      <c r="H31" s="75"/>
      <c r="I31" s="75"/>
      <c r="J31" s="75"/>
      <c r="K31" s="75"/>
      <c r="L31" s="76"/>
      <c r="M31" s="76"/>
      <c r="N31" s="76"/>
    </row>
    <row r="32" spans="1:14" s="47" customFormat="1" ht="60" customHeight="1">
      <c r="A32" s="72"/>
      <c r="B32" s="73"/>
      <c r="C32" s="74"/>
      <c r="D32" s="74"/>
      <c r="E32" s="74"/>
      <c r="F32" s="75"/>
      <c r="G32" s="75"/>
      <c r="H32" s="75"/>
      <c r="I32" s="75"/>
      <c r="J32" s="75"/>
      <c r="K32" s="75"/>
      <c r="L32" s="76"/>
      <c r="M32" s="76"/>
      <c r="N32" s="76"/>
    </row>
    <row r="33" spans="1:14" s="47" customFormat="1" ht="60" customHeight="1">
      <c r="A33" s="72"/>
      <c r="B33" s="73"/>
      <c r="C33" s="74"/>
      <c r="D33" s="74"/>
      <c r="E33" s="74"/>
      <c r="F33" s="75"/>
      <c r="G33" s="75"/>
      <c r="H33" s="75"/>
      <c r="I33" s="75"/>
      <c r="J33" s="75"/>
      <c r="K33" s="75"/>
      <c r="L33" s="76"/>
      <c r="M33" s="76"/>
      <c r="N33" s="76"/>
    </row>
    <row r="34" spans="1:14" s="47" customFormat="1" ht="60" customHeight="1">
      <c r="A34" s="76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</row>
    <row r="35" spans="1:14" s="47" customFormat="1" ht="60" customHeight="1">
      <c r="A35" s="76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</row>
    <row r="36" spans="1:14" s="47" customFormat="1" ht="60" customHeight="1">
      <c r="A36" s="76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</row>
    <row r="37" spans="1:14" s="47" customFormat="1" ht="60" customHeight="1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</row>
    <row r="38" spans="1:14" s="47" customFormat="1" ht="60" customHeight="1">
      <c r="A38" s="76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</row>
    <row r="39" spans="1:14" s="47" customFormat="1" ht="60" customHeight="1">
      <c r="A39" s="76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</row>
    <row r="40" spans="1:14" s="47" customFormat="1" ht="60" customHeight="1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</row>
    <row r="41" spans="1:14" s="47" customFormat="1" ht="60" customHeight="1">
      <c r="A41" s="76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</row>
    <row r="42" spans="1:14" s="47" customFormat="1" ht="60" customHeight="1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</row>
    <row r="43" spans="1:14" s="47" customFormat="1" ht="60" customHeight="1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</row>
    <row r="44" spans="1:14" s="47" customFormat="1" ht="60" customHeight="1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</row>
    <row r="45" spans="1:14" s="47" customFormat="1" ht="60" customHeight="1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</row>
    <row r="46" spans="1:14" s="47" customFormat="1" ht="60" customHeight="1">
      <c r="A46" s="76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</row>
    <row r="47" spans="1:14" s="47" customFormat="1" ht="60" customHeight="1">
      <c r="A47" s="76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</row>
    <row r="48" spans="1:14" s="47" customFormat="1" ht="60" customHeight="1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</row>
    <row r="49" spans="1:14" s="47" customFormat="1" ht="60" customHeight="1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</row>
    <row r="50" spans="1:14" s="47" customFormat="1" ht="60" customHeight="1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</row>
    <row r="51" spans="1:14" s="47" customFormat="1" ht="60" customHeight="1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</row>
    <row r="52" spans="1:14" s="47" customFormat="1" ht="60" customHeight="1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</row>
    <row r="53" spans="1:14" s="47" customFormat="1" ht="60" customHeight="1">
      <c r="A53" s="76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</row>
    <row r="54" spans="1:14" s="47" customFormat="1" ht="60" customHeight="1">
      <c r="A54" s="76"/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</row>
    <row r="55" spans="1:14" s="47" customFormat="1" ht="60" customHeight="1">
      <c r="A55" s="76"/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</row>
    <row r="56" spans="1:14" s="47" customFormat="1" ht="60" customHeight="1">
      <c r="A56" s="76"/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</row>
    <row r="57" spans="1:14" s="47" customFormat="1" ht="60" customHeight="1">
      <c r="A57" s="76"/>
      <c r="B57" s="76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</row>
    <row r="58" spans="1:14" s="47" customFormat="1" ht="60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</row>
    <row r="59" spans="1:14" s="47" customFormat="1" ht="60" customHeight="1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</row>
    <row r="60" spans="1:14" s="47" customFormat="1" ht="60" customHeight="1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</row>
    <row r="61" spans="1:14" s="47" customFormat="1" ht="60" customHeight="1">
      <c r="A61" s="76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</row>
    <row r="62" spans="1:14" s="47" customFormat="1" ht="60" customHeight="1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</row>
    <row r="63" spans="1:14" s="47" customFormat="1" ht="60" customHeight="1">
      <c r="A63" s="76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</row>
    <row r="64" spans="1:14" s="47" customFormat="1" ht="60" customHeight="1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</row>
    <row r="65" spans="1:14" s="47" customFormat="1" ht="60" customHeight="1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</row>
    <row r="66" spans="1:14" s="47" customFormat="1" ht="60" customHeight="1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</row>
    <row r="67" spans="1:14" s="47" customFormat="1" ht="60" customHeight="1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</row>
    <row r="68" spans="1:14" s="47" customFormat="1" ht="60" customHeight="1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</row>
    <row r="69" spans="1:14" s="47" customFormat="1" ht="60" customHeight="1">
      <c r="A69" s="76"/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</row>
    <row r="70" spans="1:14" s="47" customFormat="1" ht="60" customHeight="1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</row>
    <row r="71" spans="1:14" s="47" customFormat="1" ht="60" customHeight="1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</row>
    <row r="72" spans="1:14" s="47" customFormat="1" ht="60" customHeight="1">
      <c r="A72" s="76"/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</row>
    <row r="73" spans="1:14" s="47" customFormat="1" ht="60" customHeight="1">
      <c r="A73" s="76"/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</row>
    <row r="74" spans="1:14" s="47" customFormat="1" ht="60" customHeight="1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</row>
    <row r="75" spans="1:14" s="47" customFormat="1" ht="60" customHeight="1">
      <c r="A75" s="76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</row>
    <row r="76" spans="1:14" s="47" customFormat="1" ht="60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</row>
    <row r="77" spans="1:14" s="47" customFormat="1" ht="60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</row>
    <row r="78" spans="1:14" s="47" customFormat="1" ht="60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</row>
    <row r="79" spans="1:14" s="47" customFormat="1" ht="60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</row>
    <row r="80" spans="1:14" s="47" customFormat="1" ht="60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</row>
    <row r="81" spans="1:14" s="47" customFormat="1" ht="60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</row>
    <row r="82" spans="1:14" s="47" customFormat="1" ht="60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</row>
    <row r="83" spans="1:14" s="47" customFormat="1" ht="60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</row>
    <row r="84" spans="1:14" s="47" customFormat="1" ht="60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</row>
    <row r="85" spans="1:14" s="47" customFormat="1" ht="60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</row>
    <row r="86" spans="1:14" s="47" customFormat="1" ht="60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</row>
    <row r="87" spans="1:14" s="47" customFormat="1" ht="60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</row>
    <row r="88" spans="1:14" s="47" customFormat="1" ht="60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</row>
    <row r="89" spans="1:14" s="47" customFormat="1" ht="60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</row>
    <row r="90" spans="1:14" s="47" customFormat="1" ht="60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</row>
    <row r="91" spans="1:14" s="47" customFormat="1" ht="60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</row>
    <row r="92" spans="1:14" s="47" customFormat="1" ht="60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</row>
    <row r="93" spans="1:14" s="47" customFormat="1" ht="60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</row>
    <row r="94" spans="1:14" s="47" customFormat="1" ht="60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</row>
    <row r="95" spans="1:14" s="47" customFormat="1" ht="60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</row>
    <row r="96" spans="1:14" s="47" customFormat="1" ht="60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</row>
    <row r="97" spans="1:14" s="47" customFormat="1" ht="60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</row>
    <row r="98" spans="1:14" s="47" customFormat="1" ht="60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</row>
    <row r="99" spans="1:14" s="47" customFormat="1" ht="60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</row>
    <row r="100" spans="1:14" s="47" customFormat="1" ht="60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</row>
    <row r="101" spans="1:14" s="47" customFormat="1" ht="60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</row>
    <row r="102" spans="1:14" s="47" customFormat="1" ht="60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</row>
    <row r="103" spans="1:14" s="47" customFormat="1" ht="60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</row>
    <row r="104" spans="1:14" s="47" customFormat="1" ht="60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</row>
    <row r="105" spans="1:14" s="47" customFormat="1" ht="60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</row>
    <row r="106" spans="1:14" s="47" customFormat="1" ht="60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</row>
    <row r="107" spans="1:14" s="47" customFormat="1" ht="60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</row>
    <row r="108" spans="1:14" s="47" customFormat="1" ht="60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</row>
    <row r="109" spans="1:14" s="47" customFormat="1" ht="60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</row>
    <row r="110" spans="1:14" s="47" customFormat="1" ht="60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</row>
    <row r="111" spans="1:14" s="47" customFormat="1" ht="60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</row>
    <row r="112" spans="1:14" s="47" customFormat="1" ht="60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</row>
    <row r="113" spans="1:14" s="47" customFormat="1" ht="60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</row>
    <row r="114" spans="1:14" s="47" customFormat="1" ht="60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</row>
    <row r="115" spans="1:14" s="47" customFormat="1" ht="60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</row>
    <row r="116" spans="1:14" s="47" customFormat="1" ht="60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</row>
    <row r="117" spans="1:14" s="47" customFormat="1" ht="60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</row>
    <row r="118" spans="1:14" s="47" customFormat="1" ht="60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</row>
    <row r="119" spans="1:14" s="47" customFormat="1" ht="60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</row>
    <row r="120" spans="1:14" s="47" customFormat="1" ht="60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</row>
    <row r="121" spans="1:14" s="47" customFormat="1" ht="60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</row>
    <row r="122" spans="1:14" s="47" customFormat="1" ht="60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</row>
    <row r="123" spans="1:14" s="47" customFormat="1" ht="60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</row>
    <row r="124" spans="1:14" s="47" customFormat="1" ht="60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</row>
    <row r="125" spans="1:14" s="47" customFormat="1" ht="60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</row>
    <row r="126" spans="1:14" s="47" customFormat="1" ht="60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</row>
    <row r="127" spans="1:14" s="47" customFormat="1" ht="60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</row>
    <row r="128" spans="1:14" s="47" customFormat="1" ht="60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</row>
    <row r="129" spans="1:14" s="47" customFormat="1" ht="60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</row>
    <row r="130" spans="1:14" s="47" customFormat="1" ht="60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</row>
    <row r="131" spans="1:14" s="47" customFormat="1" ht="60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</row>
    <row r="132" spans="1:14" s="47" customFormat="1" ht="60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</row>
    <row r="133" spans="1:14" s="47" customFormat="1" ht="60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</row>
    <row r="134" spans="1:14" s="47" customFormat="1" ht="60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</row>
    <row r="135" spans="1:14" s="47" customFormat="1" ht="60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</row>
    <row r="136" spans="1:14" s="47" customFormat="1" ht="60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</row>
    <row r="137" spans="1:14" s="47" customFormat="1" ht="60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</row>
    <row r="138" spans="1:14" s="47" customFormat="1" ht="60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</row>
    <row r="139" spans="1:14" s="47" customFormat="1" ht="60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</row>
    <row r="140" spans="1:14" s="47" customFormat="1" ht="60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</row>
    <row r="141" spans="1:14" s="47" customFormat="1" ht="60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</row>
    <row r="142" spans="1:14" s="47" customFormat="1" ht="60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</row>
    <row r="143" spans="1:14" s="47" customFormat="1" ht="60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</row>
    <row r="144" spans="1:14" s="47" customFormat="1" ht="60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</row>
    <row r="145" spans="1:14" s="47" customFormat="1" ht="60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</row>
    <row r="146" spans="1:14" s="47" customFormat="1" ht="60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</row>
    <row r="147" spans="1:14" s="47" customFormat="1" ht="60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</row>
    <row r="148" spans="1:14" s="47" customFormat="1" ht="60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</row>
    <row r="149" spans="1:14" s="47" customFormat="1" ht="60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</row>
    <row r="150" spans="1:14" s="47" customFormat="1" ht="60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</row>
    <row r="151" spans="1:14" s="47" customFormat="1" ht="60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</row>
    <row r="152" spans="1:14" s="47" customFormat="1" ht="60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</row>
    <row r="153" spans="1:14" s="47" customFormat="1" ht="60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</row>
    <row r="154" spans="1:14" s="47" customFormat="1" ht="60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</row>
    <row r="155" spans="1:14" s="47" customFormat="1" ht="60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</row>
    <row r="156" spans="1:14" s="47" customFormat="1" ht="60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</row>
    <row r="157" spans="1:14" s="47" customFormat="1" ht="60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</row>
    <row r="158" spans="1:14" s="47" customFormat="1" ht="60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</row>
    <row r="159" spans="1:14" s="47" customFormat="1" ht="60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</row>
    <row r="160" spans="1:14" s="47" customFormat="1" ht="60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</row>
    <row r="161" spans="1:14" s="47" customFormat="1" ht="60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</row>
    <row r="162" spans="1:14" s="47" customFormat="1" ht="60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</row>
    <row r="163" spans="1:14" s="47" customFormat="1" ht="60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</row>
    <row r="164" spans="1:14" s="47" customFormat="1" ht="60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</row>
    <row r="165" spans="1:14" s="47" customFormat="1" ht="60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</row>
    <row r="166" spans="1:14" s="47" customFormat="1" ht="60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</row>
    <row r="167" spans="1:14" s="47" customFormat="1" ht="60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</row>
    <row r="168" spans="1:14" s="47" customFormat="1" ht="60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</row>
    <row r="169" spans="1:14" s="47" customFormat="1" ht="60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</row>
    <row r="170" spans="1:14" s="47" customFormat="1" ht="60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</row>
    <row r="171" spans="1:14" s="47" customFormat="1" ht="60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</row>
    <row r="172" spans="1:14" s="47" customFormat="1" ht="60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</row>
    <row r="173" spans="1:14" s="47" customFormat="1" ht="60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</row>
    <row r="174" spans="1:14" s="47" customFormat="1" ht="60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</row>
    <row r="175" spans="1:14" s="47" customFormat="1" ht="60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</row>
    <row r="176" spans="1:14" s="47" customFormat="1" ht="60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</row>
    <row r="177" spans="1:14" s="47" customFormat="1" ht="60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</row>
    <row r="178" spans="1:14" s="47" customFormat="1" ht="60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</row>
    <row r="179" spans="1:14" s="47" customFormat="1" ht="60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</row>
    <row r="180" spans="1:14" s="47" customFormat="1" ht="60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</row>
    <row r="181" spans="1:14" s="47" customFormat="1" ht="60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</row>
    <row r="182" spans="1:14" s="47" customFormat="1" ht="60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</row>
    <row r="183" spans="1:14" s="47" customFormat="1" ht="60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</row>
    <row r="184" spans="1:14" s="47" customFormat="1" ht="60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</row>
    <row r="185" spans="1:14" s="47" customFormat="1" ht="60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</row>
    <row r="186" spans="1:14" s="47" customFormat="1" ht="60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</row>
    <row r="187" spans="1:14" s="47" customFormat="1" ht="60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</row>
    <row r="188" spans="1:14" s="47" customFormat="1" ht="60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</row>
    <row r="189" spans="1:14" s="47" customFormat="1" ht="60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</row>
    <row r="190" spans="1:14" s="47" customFormat="1" ht="50.1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</row>
    <row r="191" spans="1:14" s="47" customFormat="1" ht="50.1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</row>
    <row r="192" spans="1:14" s="47" customFormat="1" ht="50.1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</row>
    <row r="193" spans="1:14" s="47" customFormat="1" ht="50.1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</row>
    <row r="194" spans="1:14" s="47" customFormat="1" ht="50.1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</row>
    <row r="195" spans="1:14" s="47" customFormat="1" ht="50.1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</row>
    <row r="196" spans="1:14" s="47" customFormat="1" ht="50.1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</row>
    <row r="197" spans="1:14" s="47" customFormat="1" ht="50.1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</row>
    <row r="198" spans="1:14" s="47" customFormat="1" ht="50.1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</row>
    <row r="199" spans="1:14" s="47" customFormat="1" ht="50.1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</row>
    <row r="200" spans="1:14" s="47" customFormat="1" ht="50.1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</row>
    <row r="201" spans="1:14" s="47" customFormat="1" ht="50.1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</row>
    <row r="202" spans="1:14" s="47" customFormat="1" ht="50.1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</row>
    <row r="203" spans="1:14" s="47" customFormat="1" ht="50.1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</row>
    <row r="204" spans="1:14" s="47" customFormat="1" ht="50.1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</row>
    <row r="205" spans="1:14" s="47" customFormat="1" ht="50.1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</row>
    <row r="206" spans="1:14" s="47" customFormat="1" ht="50.1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</row>
    <row r="207" spans="1:14" s="47" customFormat="1" ht="50.1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</row>
    <row r="208" spans="1:14" s="47" customFormat="1" ht="50.1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</row>
    <row r="209" spans="1:14" s="47" customFormat="1" ht="50.1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</row>
    <row r="210" spans="1:14" s="47" customFormat="1" ht="50.1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</row>
    <row r="211" spans="1:14" s="47" customFormat="1" ht="50.1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</row>
    <row r="212" spans="1:14" s="47" customFormat="1" ht="50.1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</row>
    <row r="213" spans="1:14" s="47" customFormat="1" ht="50.1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</row>
    <row r="214" spans="1:14" s="47" customFormat="1" ht="50.1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</row>
    <row r="215" spans="1:14" s="47" customFormat="1" ht="50.1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</row>
    <row r="216" spans="1:14" s="47" customFormat="1" ht="50.1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</row>
    <row r="217" spans="1:14" s="47" customFormat="1" ht="50.1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</row>
    <row r="218" spans="1:14" s="47" customFormat="1" ht="50.1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</row>
    <row r="219" spans="1:14" s="47" customFormat="1" ht="50.1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</row>
    <row r="220" spans="1:14" s="47" customFormat="1" ht="50.1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</row>
    <row r="221" spans="1:14" s="47" customFormat="1" ht="50.1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</row>
    <row r="222" spans="1:14" s="47" customFormat="1" ht="50.1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</row>
    <row r="223" spans="1:14" s="47" customFormat="1" ht="50.1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</row>
    <row r="224" spans="1:14" s="47" customFormat="1" ht="50.1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</row>
    <row r="225" spans="1:14" s="47" customFormat="1" ht="50.1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</row>
    <row r="226" spans="1:14" s="47" customFormat="1" ht="50.1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</row>
    <row r="227" spans="1:14" s="47" customFormat="1" ht="50.1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</row>
    <row r="228" spans="1:14" s="47" customFormat="1" ht="50.1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</row>
    <row r="229" spans="1:14" s="47" customFormat="1" ht="50.1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</row>
    <row r="230" spans="1:14" s="47" customFormat="1" ht="50.1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</row>
    <row r="231" spans="1:14" s="47" customFormat="1" ht="50.1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</row>
    <row r="232" spans="1:14" s="47" customFormat="1" ht="50.1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</row>
    <row r="233" spans="1:14" s="47" customFormat="1" ht="50.1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</row>
    <row r="234" spans="1:14" s="47" customFormat="1" ht="50.1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</row>
    <row r="235" spans="1:14" s="47" customFormat="1" ht="50.1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</row>
    <row r="236" spans="1:14" s="47" customFormat="1" ht="50.1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</row>
    <row r="237" spans="1:14" s="47" customFormat="1" ht="50.1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</row>
    <row r="238" spans="1:14" s="47" customFormat="1" ht="50.1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</row>
    <row r="239" spans="1:14" s="47" customFormat="1" ht="50.1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</row>
    <row r="240" spans="1:14" s="47" customFormat="1" ht="50.1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</row>
    <row r="241" spans="1:14" s="47" customFormat="1" ht="50.1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</row>
    <row r="242" spans="1:14" s="47" customFormat="1" ht="50.1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</row>
    <row r="243" spans="1:14" s="47" customFormat="1" ht="50.1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</row>
    <row r="244" spans="1:14" s="47" customFormat="1" ht="50.1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</row>
    <row r="245" spans="1:14" s="47" customFormat="1" ht="50.1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</row>
    <row r="246" spans="1:14" s="47" customFormat="1" ht="50.1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</row>
    <row r="247" spans="1:14" s="47" customFormat="1" ht="50.1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</row>
    <row r="248" spans="1:14" s="47" customFormat="1" ht="50.1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</row>
    <row r="249" spans="1:14" s="47" customFormat="1" ht="50.1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</row>
    <row r="250" spans="1:14" s="47" customFormat="1" ht="50.1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</row>
    <row r="251" spans="1:14" s="47" customFormat="1" ht="50.1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</row>
    <row r="252" spans="1:14" s="47" customFormat="1" ht="50.1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</row>
    <row r="253" spans="1:14" s="47" customFormat="1" ht="50.1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</row>
    <row r="254" spans="1:14" s="47" customFormat="1" ht="50.1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</row>
    <row r="255" spans="1:14" s="47" customFormat="1" ht="50.1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</row>
    <row r="256" spans="1:14" s="47" customFormat="1" ht="50.1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</row>
    <row r="257" spans="1:14" s="47" customFormat="1" ht="50.1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</row>
    <row r="258" spans="1:14" s="47" customFormat="1" ht="50.1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</row>
    <row r="259" spans="1:14" s="47" customFormat="1" ht="50.1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</row>
    <row r="260" spans="1:14" s="47" customFormat="1" ht="50.1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</row>
    <row r="261" spans="1:14" s="47" customFormat="1" ht="50.1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</row>
    <row r="262" spans="1:14" s="47" customFormat="1" ht="50.1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</row>
    <row r="263" spans="1:14" s="47" customFormat="1" ht="50.1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</row>
    <row r="264" spans="1:14" s="47" customFormat="1" ht="50.1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</row>
    <row r="265" spans="1:14" s="47" customFormat="1" ht="50.1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</row>
    <row r="266" spans="1:14" s="47" customFormat="1" ht="50.1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</row>
    <row r="267" spans="1:14" s="47" customFormat="1" ht="50.1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</row>
    <row r="268" spans="1:14" s="47" customFormat="1" ht="50.1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</row>
    <row r="269" spans="1:14" s="47" customFormat="1" ht="50.1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</row>
    <row r="270" spans="1:14" s="47" customFormat="1" ht="50.1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</row>
    <row r="271" spans="1:14" s="47" customFormat="1" ht="50.1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</row>
    <row r="272" spans="1:14" s="47" customFormat="1" ht="50.1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</row>
    <row r="273" spans="1:14" s="47" customFormat="1" ht="50.1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</row>
    <row r="274" spans="1:14" s="47" customFormat="1" ht="50.1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</row>
    <row r="275" spans="1:14" s="47" customFormat="1" ht="50.1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</row>
    <row r="276" spans="1:14" s="47" customFormat="1" ht="50.1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</row>
    <row r="277" spans="1:14" s="47" customFormat="1" ht="50.1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</row>
    <row r="278" spans="1:14" s="47" customFormat="1" ht="50.1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</row>
    <row r="279" spans="1:14" s="47" customFormat="1" ht="50.1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</row>
    <row r="280" spans="1:14" s="47" customFormat="1" ht="50.1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</row>
    <row r="281" spans="1:14" s="47" customFormat="1" ht="50.1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</row>
    <row r="282" spans="1:14" s="47" customFormat="1" ht="50.1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</row>
    <row r="283" spans="1:14" s="47" customFormat="1" ht="50.1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</row>
    <row r="284" spans="1:14" s="47" customFormat="1" ht="50.1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</row>
    <row r="285" spans="1:14" s="47" customFormat="1" ht="50.1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</row>
    <row r="286" spans="1:14" s="47" customFormat="1" ht="50.1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</row>
    <row r="287" spans="1:14" s="47" customFormat="1" ht="50.1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</row>
    <row r="288" spans="1:14" s="47" customFormat="1" ht="50.1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</row>
    <row r="289" spans="1:14" s="47" customFormat="1" ht="50.1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</row>
    <row r="290" spans="1:14" s="47" customFormat="1" ht="50.1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</row>
    <row r="291" spans="1:14" s="47" customFormat="1" ht="50.1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</row>
    <row r="292" spans="1:14" s="47" customFormat="1" ht="50.1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</row>
    <row r="293" spans="1:14" s="47" customFormat="1" ht="50.1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</row>
    <row r="294" spans="1:14" s="47" customFormat="1" ht="50.1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</row>
    <row r="295" spans="1:14" s="47" customFormat="1" ht="50.1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</row>
    <row r="296" spans="1:14" s="47" customFormat="1" ht="50.1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</row>
    <row r="297" spans="1:14" s="47" customFormat="1" ht="50.1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</row>
    <row r="298" spans="1:14" s="47" customFormat="1" ht="50.1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</row>
    <row r="299" spans="1:14" s="47" customFormat="1" ht="50.1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</row>
    <row r="300" spans="1:14" s="47" customFormat="1" ht="50.1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</row>
    <row r="301" spans="1:14" s="47" customFormat="1" ht="50.1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</row>
    <row r="302" spans="1:14" s="47" customFormat="1" ht="50.1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</row>
    <row r="303" spans="1:14" s="47" customFormat="1" ht="50.1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</row>
    <row r="304" spans="1:14" s="47" customFormat="1" ht="50.1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</row>
    <row r="305" spans="1:14" s="47" customFormat="1" ht="50.1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</row>
    <row r="306" spans="1:14" s="47" customFormat="1" ht="50.1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</row>
    <row r="307" spans="1:14" s="47" customFormat="1" ht="50.1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</row>
    <row r="308" spans="1:14" s="47" customFormat="1" ht="50.1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</row>
    <row r="309" spans="1:14" s="47" customFormat="1" ht="50.1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</row>
    <row r="310" spans="1:14" s="47" customFormat="1" ht="50.1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</row>
    <row r="311" spans="1:14" s="47" customFormat="1" ht="50.1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</row>
    <row r="312" spans="1:14" s="47" customFormat="1" ht="50.1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</row>
    <row r="313" spans="1:14" s="47" customFormat="1" ht="50.1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</row>
    <row r="314" spans="1:14" s="47" customFormat="1" ht="50.1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</row>
    <row r="315" spans="1:14" s="47" customFormat="1" ht="50.1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</row>
    <row r="316" spans="1:14" s="47" customFormat="1" ht="50.1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</row>
    <row r="317" spans="1:14" s="47" customFormat="1" ht="50.1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</row>
    <row r="318" spans="1:14" s="47" customFormat="1" ht="50.1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</row>
    <row r="319" spans="1:14" s="47" customFormat="1" ht="50.1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</row>
    <row r="320" spans="1:14" s="47" customFormat="1" ht="50.1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</row>
    <row r="321" spans="1:14" s="47" customFormat="1" ht="50.1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</row>
    <row r="322" spans="1:14" s="47" customFormat="1" ht="50.1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</row>
    <row r="323" spans="1:14" s="47" customFormat="1" ht="50.1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</row>
    <row r="324" spans="1:14" s="47" customFormat="1" ht="50.1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</row>
    <row r="325" spans="1:14" s="47" customFormat="1" ht="50.1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</row>
    <row r="326" spans="1:14" s="47" customFormat="1" ht="50.1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</row>
    <row r="327" spans="1:14" s="47" customFormat="1" ht="50.1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</row>
    <row r="328" spans="1:14" s="47" customFormat="1" ht="50.1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</row>
    <row r="329" spans="1:14" s="47" customFormat="1" ht="50.1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</row>
    <row r="330" spans="1:14" s="47" customFormat="1" ht="50.1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</row>
    <row r="331" spans="1:14" s="47" customFormat="1" ht="50.1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</row>
    <row r="332" spans="1:14" s="47" customFormat="1" ht="50.1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</row>
    <row r="333" spans="1:14" s="47" customFormat="1" ht="50.1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</row>
    <row r="334" spans="1:14" s="47" customFormat="1" ht="50.1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</row>
    <row r="335" spans="1:14" s="47" customFormat="1" ht="50.1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</row>
    <row r="336" spans="1:14" s="47" customFormat="1" ht="50.1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</row>
    <row r="337" spans="1:14" s="47" customFormat="1" ht="50.1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</row>
    <row r="338" spans="1:14" s="47" customFormat="1" ht="50.1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</row>
    <row r="339" spans="1:14" s="47" customFormat="1" ht="50.1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</row>
    <row r="340" spans="1:14" s="47" customFormat="1" ht="50.1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</row>
    <row r="341" spans="1:14" s="47" customFormat="1" ht="50.1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</row>
    <row r="342" spans="1:14" s="47" customFormat="1" ht="50.1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</row>
    <row r="343" spans="1:14" s="47" customFormat="1" ht="50.1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</row>
    <row r="344" spans="1:14" s="47" customFormat="1" ht="50.1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</row>
    <row r="345" spans="1:14" s="47" customFormat="1" ht="50.1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</row>
    <row r="346" spans="1:14" s="47" customFormat="1" ht="50.1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</row>
    <row r="347" spans="1:14" s="47" customFormat="1" ht="50.1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</row>
    <row r="348" spans="1:14" s="47" customFormat="1" ht="50.1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</row>
    <row r="349" spans="1:14" s="47" customFormat="1" ht="50.1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</row>
    <row r="350" spans="1:14" s="47" customFormat="1" ht="50.1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</row>
    <row r="351" spans="1:14" s="47" customFormat="1" ht="50.1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</row>
    <row r="352" spans="1:14" s="47" customFormat="1" ht="50.1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</row>
    <row r="353" spans="1:14" s="47" customFormat="1" ht="50.1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</row>
    <row r="354" spans="1:14" s="47" customFormat="1" ht="50.1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</row>
    <row r="355" spans="1:14" s="47" customFormat="1" ht="50.1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</row>
    <row r="356" spans="1:14" s="47" customFormat="1" ht="50.1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</row>
    <row r="357" spans="1:14" s="47" customFormat="1" ht="50.1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</row>
    <row r="358" spans="1:14" s="47" customFormat="1" ht="50.1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</row>
    <row r="359" spans="1:14" s="47" customFormat="1" ht="50.1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</row>
    <row r="360" spans="1:14" s="47" customFormat="1" ht="50.1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</row>
    <row r="361" spans="1:14" s="47" customFormat="1" ht="50.1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</row>
    <row r="362" spans="1:14" s="47" customFormat="1" ht="50.1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</row>
    <row r="363" spans="1:14" s="47" customFormat="1" ht="50.1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</row>
    <row r="364" spans="1:23" ht="50.1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47"/>
      <c r="P364" s="47"/>
      <c r="Q364" s="47"/>
      <c r="R364" s="47"/>
      <c r="S364" s="47"/>
      <c r="T364" s="47"/>
      <c r="U364" s="47"/>
      <c r="V364" s="47"/>
      <c r="W364" s="47"/>
    </row>
    <row r="365" spans="1:23" ht="50.1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47"/>
      <c r="P365" s="47"/>
      <c r="Q365" s="47"/>
      <c r="R365" s="47"/>
      <c r="S365" s="47"/>
      <c r="T365" s="47"/>
      <c r="U365" s="47"/>
      <c r="V365" s="47"/>
      <c r="W365" s="47"/>
    </row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</sheetData>
  <mergeCells count="48">
    <mergeCell ref="F4:G4"/>
    <mergeCell ref="C4:E4"/>
    <mergeCell ref="T8:T10"/>
    <mergeCell ref="A5:B5"/>
    <mergeCell ref="A8:A10"/>
    <mergeCell ref="C8:C10"/>
    <mergeCell ref="D8:D10"/>
    <mergeCell ref="B8:B10"/>
    <mergeCell ref="C5:E5"/>
    <mergeCell ref="A6:E7"/>
    <mergeCell ref="O3:Z7"/>
    <mergeCell ref="X8:X10"/>
    <mergeCell ref="E8:E10"/>
    <mergeCell ref="Q8:Q10"/>
    <mergeCell ref="M8:M10"/>
    <mergeCell ref="P8:P10"/>
    <mergeCell ref="F3:G3"/>
    <mergeCell ref="Y8:Y10"/>
    <mergeCell ref="G8:G10"/>
    <mergeCell ref="S8:S10"/>
    <mergeCell ref="O8:O10"/>
    <mergeCell ref="F8:F10"/>
    <mergeCell ref="L8:L10"/>
    <mergeCell ref="R8:R10"/>
    <mergeCell ref="N8:N10"/>
    <mergeCell ref="J8:J10"/>
    <mergeCell ref="I8:I10"/>
    <mergeCell ref="H8:H10"/>
    <mergeCell ref="U8:U10"/>
    <mergeCell ref="V8:V10"/>
    <mergeCell ref="K8:K10"/>
    <mergeCell ref="W8:W10"/>
    <mergeCell ref="O2:Z2"/>
    <mergeCell ref="A1:Z1"/>
    <mergeCell ref="Z8:Z10"/>
    <mergeCell ref="H2:N2"/>
    <mergeCell ref="H3:N3"/>
    <mergeCell ref="H7:N7"/>
    <mergeCell ref="H6:N6"/>
    <mergeCell ref="H5:N5"/>
    <mergeCell ref="H4:N4"/>
    <mergeCell ref="F5:G7"/>
    <mergeCell ref="C3:E3"/>
    <mergeCell ref="C2:E2"/>
    <mergeCell ref="A2:B2"/>
    <mergeCell ref="A3:B3"/>
    <mergeCell ref="A4:B4"/>
    <mergeCell ref="F2:G2"/>
  </mergeCells>
  <conditionalFormatting sqref="P11:P20">
    <cfRule type="containsText" priority="1" dxfId="5" operator="containsText" text="68mm">
      <formula>NOT(ISERROR(SEARCH("68mm",P11)))</formula>
    </cfRule>
  </conditionalFormatting>
  <pageMargins left="0.760629921259872" right="0.760629921259872" top="0.3" bottom="0.3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J20"/>
  <sheetViews>
    <sheetView showZeros="0" view="pageBreakPreview" zoomScale="40" zoomScaleNormal="25" zoomScaleSheetLayoutView="40" zoomScalePageLayoutView="25" workbookViewId="0" topLeftCell="A5">
      <selection pane="topLeft" activeCell="A11" sqref="A11:XFD20"/>
    </sheetView>
  </sheetViews>
  <sheetFormatPr defaultColWidth="9.44140625" defaultRowHeight="40.2" customHeight="1"/>
  <cols>
    <col min="1" max="1" width="18.4285714285714" style="45" customWidth="1"/>
    <col min="2" max="2" width="55.4285714285714" style="45" customWidth="1"/>
    <col min="3" max="3" width="41.8571428571429" style="45" customWidth="1"/>
    <col min="4" max="4" width="36.5714285714286" style="45" customWidth="1"/>
    <col min="5" max="5" width="35.1428571428571" style="45" customWidth="1"/>
    <col min="6" max="6" width="38.1428571428571" style="45" customWidth="1"/>
    <col min="7" max="7" width="107.857142857143" customWidth="1"/>
    <col min="8" max="8" width="24.8571428571429" customWidth="1"/>
    <col min="9" max="9" width="105.857142857143" customWidth="1"/>
    <col min="10" max="10" width="23.2857142857143" customWidth="1"/>
  </cols>
  <sheetData>
    <row r="1" spans="1:10" s="29" customFormat="1" ht="219.45" customHeight="1">
      <c r="A1" s="218" t="s">
        <v>838</v>
      </c>
      <c r="B1" s="218"/>
      <c r="C1" s="218"/>
      <c r="D1" s="218"/>
      <c r="E1" s="218"/>
      <c r="F1" s="218"/>
      <c r="G1" s="218"/>
      <c r="H1" s="218"/>
      <c r="I1" s="218"/>
      <c r="J1" s="218"/>
    </row>
    <row r="2" spans="1:10" s="31" customFormat="1" ht="50.1" customHeight="1">
      <c r="A2" s="231" t="s">
        <v>7</v>
      </c>
      <c r="B2" s="231"/>
      <c r="C2" s="226"/>
      <c r="D2" s="226"/>
      <c r="E2" s="226" t="s">
        <v>118</v>
      </c>
      <c r="F2" s="226"/>
      <c r="G2" s="227" t="str">
        <f>Data!BF5</f>
        <v>Crow, Tahlia</v>
      </c>
      <c r="H2" s="227"/>
      <c r="I2" s="219" t="s">
        <v>4</v>
      </c>
      <c r="J2" s="220"/>
    </row>
    <row r="3" spans="1:10" s="31" customFormat="1" ht="50.1" customHeight="1">
      <c r="A3" s="231" t="s">
        <v>143</v>
      </c>
      <c r="B3" s="231"/>
      <c r="C3" s="225" t="str">
        <f>Data!BC5</f>
        <v>11804</v>
      </c>
      <c r="D3" s="225"/>
      <c r="E3" s="228" t="s">
        <v>8</v>
      </c>
      <c r="F3" s="228"/>
      <c r="G3" s="234" t="str">
        <f>Data!AX5</f>
        <v>Roller Shutters</v>
      </c>
      <c r="H3" s="234"/>
      <c r="I3" s="221" t="str">
        <f>TRIM(Data!BG5)</f>
        <v/>
      </c>
      <c r="J3" s="221"/>
    </row>
    <row r="4" spans="1:10" s="20" customFormat="1" ht="50.1" customHeight="1">
      <c r="A4" s="233" t="s">
        <v>15</v>
      </c>
      <c r="B4" s="233"/>
      <c r="C4" s="225" t="str">
        <f>Data!BD5</f>
        <v>C</v>
      </c>
      <c r="D4" s="225"/>
      <c r="E4" s="228" t="s">
        <v>137</v>
      </c>
      <c r="F4" s="228"/>
      <c r="G4" s="234" t="str">
        <f>Data!BA5</f>
        <v>23/09/2026 12:00:00 AM</v>
      </c>
      <c r="H4" s="234"/>
      <c r="I4" s="221"/>
      <c r="J4" s="221"/>
    </row>
    <row r="5" spans="1:10" s="20" customFormat="1" ht="50.1" customHeight="1">
      <c r="A5" s="232" t="s">
        <v>9</v>
      </c>
      <c r="B5" s="232"/>
      <c r="C5" s="224" t="str">
        <f>Data!AY5</f>
        <v>11/08/2026 12:00:00 AM</v>
      </c>
      <c r="D5" s="224"/>
      <c r="E5" s="225" t="s">
        <v>12</v>
      </c>
      <c r="F5" s="225"/>
      <c r="G5" s="227" t="str">
        <f>TRIM(Data!BF5)</f>
        <v>Crow, Tahlia</v>
      </c>
      <c r="H5" s="227"/>
      <c r="I5" s="221"/>
      <c r="J5" s="221"/>
    </row>
    <row r="6" spans="1:10" s="20" customFormat="1" ht="50.1" customHeight="1">
      <c r="A6" s="223" t="str">
        <f>Data!CZ5</f>
        <v>Retail Customer</v>
      </c>
      <c r="B6" s="223"/>
      <c r="C6" s="223"/>
      <c r="D6" s="223"/>
      <c r="E6" s="225"/>
      <c r="F6" s="225"/>
      <c r="G6" s="227" t="str">
        <f>CONCATENATE(Data!BH5," ",Data!BI5," ",Data!BJ5," ",Data!BK5," ",Data!BL5)</f>
        <v xml:space="preserve"> 25  Banff Road </v>
      </c>
      <c r="H6" s="227"/>
      <c r="I6" s="221"/>
      <c r="J6" s="221"/>
    </row>
    <row r="7" spans="1:10" s="20" customFormat="1" ht="50.1" customHeight="1">
      <c r="A7" s="223"/>
      <c r="B7" s="223"/>
      <c r="C7" s="223"/>
      <c r="D7" s="223"/>
      <c r="E7" s="225"/>
      <c r="F7" s="225"/>
      <c r="G7" s="227" t="str">
        <f>CONCATENATE(Data!BM5," ",Data!BN5," ",Data!BO5)</f>
        <v>Winter Valley VIC 3358</v>
      </c>
      <c r="H7" s="227"/>
      <c r="I7" s="221"/>
      <c r="J7" s="221"/>
    </row>
    <row r="8" spans="1:10" s="43" customFormat="1" ht="50.1" customHeight="1">
      <c r="A8" s="229" t="s">
        <v>142</v>
      </c>
      <c r="B8" s="230" t="s">
        <v>120</v>
      </c>
      <c r="C8" s="222" t="s">
        <v>235</v>
      </c>
      <c r="D8" s="222" t="s">
        <v>236</v>
      </c>
      <c r="E8" s="222" t="s">
        <v>237</v>
      </c>
      <c r="F8" s="222" t="s">
        <v>238</v>
      </c>
      <c r="G8" s="222" t="s">
        <v>201</v>
      </c>
      <c r="H8" s="222" t="s">
        <v>397</v>
      </c>
      <c r="I8" s="222" t="s">
        <v>5</v>
      </c>
      <c r="J8" s="222" t="s">
        <v>790</v>
      </c>
    </row>
    <row r="9" spans="1:10" s="43" customFormat="1" ht="14.25" customHeight="1" hidden="1">
      <c r="A9" s="229"/>
      <c r="B9" s="230"/>
      <c r="C9" s="222"/>
      <c r="D9" s="222"/>
      <c r="E9" s="222"/>
      <c r="F9" s="222"/>
      <c r="G9" s="222"/>
      <c r="H9" s="222"/>
      <c r="I9" s="222"/>
      <c r="J9" s="222"/>
    </row>
    <row r="10" spans="1:10" s="44" customFormat="1" ht="102" customHeight="1">
      <c r="A10" s="229"/>
      <c r="B10" s="230"/>
      <c r="C10" s="222"/>
      <c r="D10" s="222"/>
      <c r="E10" s="222"/>
      <c r="F10" s="222"/>
      <c r="G10" s="222"/>
      <c r="H10" s="222"/>
      <c r="I10" s="222"/>
      <c r="J10" s="222"/>
    </row>
    <row r="11" spans="1:10" s="36" customFormat="1" ht="60" customHeight="1">
      <c r="A11" s="105">
        <f>IF(AND('Job Sheet'!BC11="Davidson's",(OR('Job Sheet'!$A$6="Brax Retail",'Job Sheet'!$A$6="Brax Wholesale",'Job Sheet'!$A$6="Brax Wholesale B2B"))),"",IF('Job Sheet'!BC11="Davidson's",Data!AW11,""))</f>
        <v>1</v>
      </c>
      <c r="B11" s="92" t="str">
        <f>IF(A11="","",Data!AY11)</f>
        <v>Front Lounge</v>
      </c>
      <c r="C11" s="175">
        <f>IF(A11="","",'Tube Cutting'!D11)</f>
        <v>41.8</v>
      </c>
      <c r="D11" s="175">
        <f>IF(A11="","",'Tube Cutting'!E11)</f>
        <v>5</v>
      </c>
      <c r="E11" s="175">
        <f>IF(A11="","",'Tube Cutting'!G11)</f>
        <v>0</v>
      </c>
      <c r="F11" s="175">
        <f>IF(A11="","",IF(Data!AV11="","",C11+D11+E11))</f>
        <v>46.8</v>
      </c>
      <c r="G11" s="93" t="str">
        <f>IF(A11="","",IF('Job Sheet'!O11="No Stripe","",'Job Sheet'!O11))</f>
        <v/>
      </c>
      <c r="H11" s="94" t="str">
        <f>'Tube Cutting'!K11</f>
        <v/>
      </c>
      <c r="I11" s="174" t="str">
        <f>IF(A11="","",'Job Sheet'!AR11)</f>
        <v/>
      </c>
      <c r="J11" s="176">
        <f>A11</f>
        <v>1</v>
      </c>
    </row>
    <row r="12" spans="1:10" s="36" customFormat="1" ht="60" customHeight="1">
      <c r="A12" s="105">
        <f>IF(AND('Job Sheet'!BC12="Davidson's",(OR('Job Sheet'!$A$6="Brax Retail",'Job Sheet'!$A$6="Brax Wholesale",'Job Sheet'!$A$6="Brax Wholesale B2B"))),"",IF('Job Sheet'!BC12="Davidson's",Data!AW12,""))</f>
        <v>2</v>
      </c>
      <c r="B12" s="92" t="str">
        <f>IF(A12="","",Data!AY12)</f>
        <v>Master</v>
      </c>
      <c r="C12" s="175">
        <f>IF(A12="","",'Tube Cutting'!D12)</f>
        <v>27.28</v>
      </c>
      <c r="D12" s="175">
        <f>IF(A12="","",'Tube Cutting'!E12)</f>
        <v>5</v>
      </c>
      <c r="E12" s="175">
        <f>IF(A12="","",'Tube Cutting'!G12)</f>
        <v>0</v>
      </c>
      <c r="F12" s="175">
        <f>IF(A12="","",IF(Data!AV12="","",C12+D12+E12))</f>
        <v>32.28</v>
      </c>
      <c r="G12" s="93" t="str">
        <f>IF(A12="","",IF('Job Sheet'!O12="No Stripe","",'Job Sheet'!O12))</f>
        <v/>
      </c>
      <c r="H12" s="94" t="str">
        <f>'Tube Cutting'!K12</f>
        <v/>
      </c>
      <c r="I12" s="174" t="str">
        <f>IF(A12="","",'Job Sheet'!AR12)</f>
        <v/>
      </c>
      <c r="J12" s="176">
        <f t="shared" si="0" ref="J12:J20">A12</f>
        <v>2</v>
      </c>
    </row>
    <row r="13" spans="1:10" s="36" customFormat="1" ht="60" customHeight="1">
      <c r="A13" s="105">
        <f>IF(AND('Job Sheet'!BC13="Davidson's",(OR('Job Sheet'!$A$6="Brax Retail",'Job Sheet'!$A$6="Brax Wholesale",'Job Sheet'!$A$6="Brax Wholesale B2B"))),"",IF('Job Sheet'!BC13="Davidson's",Data!AW13,""))</f>
        <v>3</v>
      </c>
      <c r="B13" s="92" t="str">
        <f>IF(A13="","",Data!AY13)</f>
        <v>Ensuite</v>
      </c>
      <c r="C13" s="175">
        <f>IF(A13="","",'Tube Cutting'!D13)</f>
        <v>27.28</v>
      </c>
      <c r="D13" s="175">
        <f>IF(A13="","",'Tube Cutting'!E13)</f>
        <v>5</v>
      </c>
      <c r="E13" s="175">
        <f>IF(A13="","",'Tube Cutting'!G13)</f>
        <v>0</v>
      </c>
      <c r="F13" s="175">
        <f>IF(A13="","",IF(Data!AV13="","",C13+D13+E13))</f>
        <v>32.28</v>
      </c>
      <c r="G13" s="93" t="str">
        <f>IF(A13="","",IF('Job Sheet'!O13="No Stripe","",'Job Sheet'!O13))</f>
        <v/>
      </c>
      <c r="H13" s="94">
        <f>'Tube Cutting'!K13</f>
        <v>584</v>
      </c>
      <c r="I13" s="174" t="str">
        <f>IF(A13="","",'Job Sheet'!AR13)</f>
        <v/>
      </c>
      <c r="J13" s="176">
        <f t="shared" si="0"/>
        <v>3</v>
      </c>
    </row>
    <row r="14" spans="1:10" s="36" customFormat="1" ht="60" customHeight="1">
      <c r="A14" s="105">
        <f>IF(AND('Job Sheet'!BC14="Davidson's",(OR('Job Sheet'!$A$6="Brax Retail",'Job Sheet'!$A$6="Brax Wholesale",'Job Sheet'!$A$6="Brax Wholesale B2B"))),"",IF('Job Sheet'!BC14="Davidson's",Data!AW14,""))</f>
        <v>4</v>
      </c>
      <c r="B14" s="92" t="str">
        <f>IF(A14="","",Data!AY14)</f>
        <v>Bath</v>
      </c>
      <c r="C14" s="175">
        <f>IF(A14="","",'Tube Cutting'!D14)</f>
        <v>23.2</v>
      </c>
      <c r="D14" s="175">
        <f>IF(A14="","",'Tube Cutting'!E14)</f>
        <v>5</v>
      </c>
      <c r="E14" s="175">
        <f>IF(A14="","",'Tube Cutting'!G14)</f>
        <v>0</v>
      </c>
      <c r="F14" s="175">
        <f>IF(A14="","",IF(Data!AV14="","",C14+D14+E14))</f>
        <v>28.2</v>
      </c>
      <c r="G14" s="93" t="str">
        <f>IF(A14="","",IF('Job Sheet'!O14="No Stripe","",'Job Sheet'!O14))</f>
        <v/>
      </c>
      <c r="H14" s="94" t="str">
        <f>'Tube Cutting'!K14</f>
        <v/>
      </c>
      <c r="I14" s="174" t="str">
        <f>IF(A14="","",'Job Sheet'!AR14)</f>
        <v/>
      </c>
      <c r="J14" s="176">
        <f t="shared" si="0"/>
        <v>4</v>
      </c>
    </row>
    <row r="15" spans="1:10" s="36" customFormat="1" ht="60" customHeight="1">
      <c r="A15" s="105">
        <f>IF(AND('Job Sheet'!BC15="Davidson's",(OR('Job Sheet'!$A$6="Brax Retail",'Job Sheet'!$A$6="Brax Wholesale",'Job Sheet'!$A$6="Brax Wholesale B2B"))),"",IF('Job Sheet'!BC15="Davidson's",Data!AW15,""))</f>
        <v>5</v>
      </c>
      <c r="B15" s="92" t="str">
        <f>IF(A15="","",Data!AY15)</f>
        <v>Bed 2</v>
      </c>
      <c r="C15" s="175">
        <f>IF(A15="","",'Tube Cutting'!D15)</f>
        <v>27.28</v>
      </c>
      <c r="D15" s="175">
        <f>IF(A15="","",'Tube Cutting'!E15)</f>
        <v>5</v>
      </c>
      <c r="E15" s="175">
        <f>IF(A15="","",'Tube Cutting'!G15)</f>
        <v>0</v>
      </c>
      <c r="F15" s="175">
        <f>IF(A15="","",IF(Data!AV15="","",C15+D15+E15))</f>
        <v>32.28</v>
      </c>
      <c r="G15" s="93" t="str">
        <f>IF(A15="","",IF('Job Sheet'!O15="No Stripe","",'Job Sheet'!O15))</f>
        <v/>
      </c>
      <c r="H15" s="94" t="str">
        <f>'Tube Cutting'!K15</f>
        <v/>
      </c>
      <c r="I15" s="174" t="str">
        <f>IF(A15="","",'Job Sheet'!AR15)</f>
        <v/>
      </c>
      <c r="J15" s="176">
        <f t="shared" si="0"/>
        <v>5</v>
      </c>
    </row>
    <row r="16" spans="1:10" s="36" customFormat="1" ht="60" customHeight="1">
      <c r="A16" s="105">
        <f>IF(AND('Job Sheet'!BC16="Davidson's",(OR('Job Sheet'!$A$6="Brax Retail",'Job Sheet'!$A$6="Brax Wholesale",'Job Sheet'!$A$6="Brax Wholesale B2B"))),"",IF('Job Sheet'!BC16="Davidson's",Data!AW16,""))</f>
        <v>6</v>
      </c>
      <c r="B16" s="92" t="str">
        <f>IF(A16="","",Data!AY16)</f>
        <v>Bed 3</v>
      </c>
      <c r="C16" s="175">
        <f>IF(A16="","",'Tube Cutting'!D16)</f>
        <v>27.28</v>
      </c>
      <c r="D16" s="175">
        <f>IF(A16="","",'Tube Cutting'!E16)</f>
        <v>5</v>
      </c>
      <c r="E16" s="175">
        <f>IF(A16="","",'Tube Cutting'!G16)</f>
        <v>0</v>
      </c>
      <c r="F16" s="175">
        <f>IF(A16="","",IF(Data!AV16="","",C16+D16+E16))</f>
        <v>32.28</v>
      </c>
      <c r="G16" s="93" t="str">
        <f>IF(A16="","",IF('Job Sheet'!O16="No Stripe","",'Job Sheet'!O16))</f>
        <v/>
      </c>
      <c r="H16" s="94" t="str">
        <f>'Tube Cutting'!K16</f>
        <v/>
      </c>
      <c r="I16" s="174" t="str">
        <f>IF(A16="","",'Job Sheet'!AR16)</f>
        <v/>
      </c>
      <c r="J16" s="176">
        <f t="shared" si="0"/>
        <v>6</v>
      </c>
    </row>
    <row r="17" spans="1:10" s="36" customFormat="1" ht="60" customHeight="1">
      <c r="A17" s="105">
        <f>IF(AND('Job Sheet'!BC17="Davidson's",(OR('Job Sheet'!$A$6="Brax Retail",'Job Sheet'!$A$6="Brax Wholesale",'Job Sheet'!$A$6="Brax Wholesale B2B"))),"",IF('Job Sheet'!BC17="Davidson's",Data!AW17,""))</f>
        <v>7</v>
      </c>
      <c r="B17" s="92" t="str">
        <f>IF(A17="","",Data!AY17)</f>
        <v>Rumpus</v>
      </c>
      <c r="C17" s="175">
        <f>IF(A17="","",'Tube Cutting'!D17)</f>
        <v>27.28</v>
      </c>
      <c r="D17" s="175">
        <f>IF(A17="","",'Tube Cutting'!E17)</f>
        <v>5</v>
      </c>
      <c r="E17" s="175">
        <f>IF(A17="","",'Tube Cutting'!G17)</f>
        <v>0</v>
      </c>
      <c r="F17" s="175">
        <f>IF(A17="","",IF(Data!AV17="","",C17+D17+E17))</f>
        <v>32.28</v>
      </c>
      <c r="G17" s="93" t="str">
        <f>IF(A17="","",IF('Job Sheet'!O17="No Stripe","",'Job Sheet'!O17))</f>
        <v/>
      </c>
      <c r="H17" s="94" t="str">
        <f>'Tube Cutting'!K17</f>
        <v/>
      </c>
      <c r="I17" s="174" t="str">
        <f>IF(A17="","",'Job Sheet'!AR17)</f>
        <v/>
      </c>
      <c r="J17" s="176">
        <f t="shared" si="0"/>
        <v>7</v>
      </c>
    </row>
    <row r="18" spans="1:10" s="36" customFormat="1" ht="60" customHeight="1">
      <c r="A18" s="105">
        <f>IF(AND('Job Sheet'!BC18="Davidson's",(OR('Job Sheet'!$A$6="Brax Retail",'Job Sheet'!$A$6="Brax Wholesale",'Job Sheet'!$A$6="Brax Wholesale B2B"))),"",IF('Job Sheet'!BC18="Davidson's",Data!AW18,""))</f>
        <v>8</v>
      </c>
      <c r="B18" s="92" t="str">
        <f>IF(A18="","",Data!AY18)</f>
        <v>Bed 4</v>
      </c>
      <c r="C18" s="175">
        <f>IF(A18="","",'Tube Cutting'!D18)</f>
        <v>27.28</v>
      </c>
      <c r="D18" s="175">
        <f>IF(A18="","",'Tube Cutting'!E18)</f>
        <v>5</v>
      </c>
      <c r="E18" s="175">
        <f>IF(A18="","",'Tube Cutting'!G18)</f>
        <v>0</v>
      </c>
      <c r="F18" s="175">
        <f>IF(A18="","",IF(Data!AV18="","",C18+D18+E18))</f>
        <v>32.28</v>
      </c>
      <c r="G18" s="93" t="str">
        <f>IF(A18="","",IF('Job Sheet'!O18="No Stripe","",'Job Sheet'!O18))</f>
        <v/>
      </c>
      <c r="H18" s="94" t="str">
        <f>'Tube Cutting'!K18</f>
        <v/>
      </c>
      <c r="I18" s="174" t="str">
        <f>IF(A18="","",'Job Sheet'!AR18)</f>
        <v/>
      </c>
      <c r="J18" s="176">
        <f t="shared" si="0"/>
        <v>8</v>
      </c>
    </row>
    <row r="19" spans="1:10" ht="60" customHeight="1">
      <c r="A19" s="105">
        <f>IF(AND('Job Sheet'!BC19="Davidson's",(OR('Job Sheet'!$A$6="Brax Retail",'Job Sheet'!$A$6="Brax Wholesale",'Job Sheet'!$A$6="Brax Wholesale B2B"))),"",IF('Job Sheet'!BC19="Davidson's",Data!AW19,""))</f>
        <v>9</v>
      </c>
      <c r="B19" s="92" t="str">
        <f>IF(A19="","",Data!AY19)</f>
        <v>Slider</v>
      </c>
      <c r="C19" s="175">
        <f>IF(A19="","",'Tube Cutting'!D19)</f>
        <v>49.84</v>
      </c>
      <c r="D19" s="175">
        <f>IF(A19="","",'Tube Cutting'!E19)</f>
        <v>5</v>
      </c>
      <c r="E19" s="175">
        <f>IF(A19="","",'Tube Cutting'!G19)</f>
        <v>0</v>
      </c>
      <c r="F19" s="175">
        <f>IF(A19="","",IF(Data!AV19="","",C19+D19+E19))</f>
        <v>54.84</v>
      </c>
      <c r="G19" s="93" t="str">
        <f>IF(A19="","",IF('Job Sheet'!O19="No Stripe","",'Job Sheet'!O19))</f>
        <v/>
      </c>
      <c r="H19" s="94" t="str">
        <f>'Tube Cutting'!K19</f>
        <v/>
      </c>
      <c r="I19" s="174" t="str">
        <f>IF(A19="","",'Job Sheet'!AR19)</f>
        <v/>
      </c>
      <c r="J19" s="176">
        <f t="shared" si="0"/>
        <v>9</v>
      </c>
    </row>
    <row r="20" spans="1:10" ht="60" customHeight="1">
      <c r="A20" s="105">
        <f>IF(AND('Job Sheet'!BC20="Davidson's",(OR('Job Sheet'!$A$6="Brax Retail",'Job Sheet'!$A$6="Brax Wholesale",'Job Sheet'!$A$6="Brax Wholesale B2B"))),"",IF('Job Sheet'!BC20="Davidson's",Data!AW20,""))</f>
        <v>10</v>
      </c>
      <c r="B20" s="92" t="str">
        <f>IF(A20="","",Data!AY20)</f>
        <v>Lounge</v>
      </c>
      <c r="C20" s="175">
        <f>IF(A20="","",'Tube Cutting'!D20)</f>
        <v>27.28</v>
      </c>
      <c r="D20" s="175">
        <f>IF(A20="","",'Tube Cutting'!E20)</f>
        <v>5</v>
      </c>
      <c r="E20" s="175">
        <f>IF(A20="","",'Tube Cutting'!G20)</f>
        <v>0</v>
      </c>
      <c r="F20" s="175">
        <f>IF(A20="","",IF(Data!AV20="","",C20+D20+E20))</f>
        <v>32.28</v>
      </c>
      <c r="G20" s="93" t="str">
        <f>IF(A20="","",IF('Job Sheet'!O20="No Stripe","",'Job Sheet'!O20))</f>
        <v/>
      </c>
      <c r="H20" s="94" t="str">
        <f>'Tube Cutting'!K20</f>
        <v/>
      </c>
      <c r="I20" s="174" t="str">
        <f>IF(A20="","",'Job Sheet'!AR20)</f>
        <v/>
      </c>
      <c r="J20" s="176">
        <f t="shared" si="0"/>
        <v>10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50.1" customHeight="1"/>
    <row r="53" ht="50.1" customHeight="1"/>
    <row r="54" ht="50.1" customHeight="1"/>
    <row r="55" ht="50.1" customHeight="1"/>
    <row r="56" ht="50.1" customHeight="1"/>
    <row r="57" ht="50.1" customHeight="1"/>
    <row r="58" ht="50.1" customHeight="1"/>
    <row r="59" ht="50.1" customHeight="1"/>
    <row r="60" ht="50.1" customHeight="1"/>
    <row r="61" ht="50.1" customHeight="1"/>
    <row r="62" ht="50.1" customHeight="1"/>
    <row r="63" ht="50.1" customHeight="1"/>
    <row r="64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</sheetData>
  <sheetProtection formatCells="0" formatRows="0" insertColumns="0" insertRows="0"/>
  <mergeCells count="32">
    <mergeCell ref="A2:B2"/>
    <mergeCell ref="A5:B5"/>
    <mergeCell ref="A3:B3"/>
    <mergeCell ref="A4:B4"/>
    <mergeCell ref="G5:H5"/>
    <mergeCell ref="G4:H4"/>
    <mergeCell ref="G3:H3"/>
    <mergeCell ref="A8:A10"/>
    <mergeCell ref="I8:I10"/>
    <mergeCell ref="E8:E10"/>
    <mergeCell ref="B8:B10"/>
    <mergeCell ref="G8:G10"/>
    <mergeCell ref="F8:F10"/>
    <mergeCell ref="D8:D10"/>
    <mergeCell ref="C8:C10"/>
    <mergeCell ref="H8:H10"/>
    <mergeCell ref="A1:J1"/>
    <mergeCell ref="I2:J2"/>
    <mergeCell ref="I3:J7"/>
    <mergeCell ref="J8:J10"/>
    <mergeCell ref="A6:D7"/>
    <mergeCell ref="C5:D5"/>
    <mergeCell ref="C4:D4"/>
    <mergeCell ref="C3:D3"/>
    <mergeCell ref="C2:D2"/>
    <mergeCell ref="G2:H2"/>
    <mergeCell ref="E4:F4"/>
    <mergeCell ref="E3:F3"/>
    <mergeCell ref="E2:F2"/>
    <mergeCell ref="E5:F7"/>
    <mergeCell ref="G7:H7"/>
    <mergeCell ref="G6:H6"/>
  </mergeCells>
  <printOptions horizontalCentered="1"/>
  <pageMargins left="0.760629921259872" right="0.760629921259872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O20"/>
  <sheetViews>
    <sheetView showZeros="0" view="pageBreakPreview" zoomScale="40" zoomScaleNormal="25" zoomScaleSheetLayoutView="40" zoomScalePageLayoutView="25" workbookViewId="0" topLeftCell="A1">
      <selection pane="topLeft" activeCell="H15" sqref="H15:I15"/>
    </sheetView>
  </sheetViews>
  <sheetFormatPr defaultColWidth="9.44140625" defaultRowHeight="40.2" customHeight="1"/>
  <cols>
    <col min="1" max="1" width="12.1428571428571" style="64" customWidth="1"/>
    <col min="2" max="2" width="54" style="64" customWidth="1"/>
    <col min="3" max="3" width="54.7142857142857" style="64" bestFit="1" customWidth="1"/>
    <col min="4" max="4" width="51.4285714285714" style="64" bestFit="1" customWidth="1"/>
    <col min="5" max="5" width="33.7142857142857" style="64" customWidth="1"/>
    <col min="6" max="6" width="28.2857142857143" style="64" customWidth="1"/>
    <col min="7" max="7" width="19.7142857142857" style="64" customWidth="1"/>
    <col min="8" max="8" width="55.7142857142857" style="64" customWidth="1"/>
    <col min="9" max="9" width="96.2857142857143" style="64" customWidth="1"/>
    <col min="10" max="10" width="19.4285714285714" customWidth="1"/>
    <col min="11" max="12" width="8.57142857142857" customWidth="1"/>
    <col min="13" max="13" width="9.42857142857143" customWidth="1"/>
    <col min="14" max="14" width="9.57142857142857" customWidth="1"/>
    <col min="15" max="15" width="11" customWidth="1"/>
    <col min="16" max="18" width="9.42857142857143" customWidth="1"/>
  </cols>
  <sheetData>
    <row r="1" spans="1:15" s="29" customFormat="1" ht="219.45" customHeight="1">
      <c r="A1" s="251" t="s">
        <v>837</v>
      </c>
      <c r="B1" s="251"/>
      <c r="C1" s="251"/>
      <c r="D1" s="251"/>
      <c r="E1" s="251"/>
      <c r="F1" s="251"/>
      <c r="G1" s="251"/>
      <c r="H1" s="251"/>
      <c r="I1" s="251"/>
      <c r="J1" s="251"/>
      <c r="K1" s="28"/>
      <c r="L1" s="28"/>
      <c r="M1" s="28"/>
      <c r="N1" s="28"/>
      <c r="O1" s="28"/>
    </row>
    <row r="2" spans="1:10" s="31" customFormat="1" ht="50.1" customHeight="1">
      <c r="A2" s="235" t="s">
        <v>7</v>
      </c>
      <c r="B2" s="235"/>
      <c r="C2" s="18"/>
      <c r="D2" s="18" t="s">
        <v>118</v>
      </c>
      <c r="E2" s="242" t="str">
        <f>Data!BF5</f>
        <v>Crow, Tahlia</v>
      </c>
      <c r="F2" s="243"/>
      <c r="G2" s="243"/>
      <c r="H2" s="244"/>
      <c r="I2" s="6" t="s">
        <v>4</v>
      </c>
      <c r="J2" s="6"/>
    </row>
    <row r="3" spans="1:10" s="31" customFormat="1" ht="50.1" customHeight="1">
      <c r="A3" s="183" t="s">
        <v>143</v>
      </c>
      <c r="B3" s="183"/>
      <c r="C3" s="15" t="str">
        <f>Data!BC5</f>
        <v>11804</v>
      </c>
      <c r="D3" s="19" t="s">
        <v>8</v>
      </c>
      <c r="E3" s="242" t="str">
        <f>TRIM(Data!AX5)</f>
        <v>Roller Shutters</v>
      </c>
      <c r="F3" s="243"/>
      <c r="G3" s="243"/>
      <c r="H3" s="244"/>
      <c r="I3" s="252" t="str">
        <f>TRIM(Data!BG5)</f>
        <v/>
      </c>
      <c r="J3" s="252"/>
    </row>
    <row r="4" spans="1:10" s="20" customFormat="1" ht="50.1" customHeight="1">
      <c r="A4" s="190" t="s">
        <v>15</v>
      </c>
      <c r="B4" s="190"/>
      <c r="C4" s="15" t="str">
        <f>Data!BD5</f>
        <v>C</v>
      </c>
      <c r="D4" s="19" t="s">
        <v>137</v>
      </c>
      <c r="E4" s="242" t="str">
        <f>LEFT(Data!BA5,10)</f>
        <v>23/09/2026</v>
      </c>
      <c r="F4" s="243"/>
      <c r="G4" s="243"/>
      <c r="H4" s="244"/>
      <c r="I4" s="252"/>
      <c r="J4" s="252"/>
    </row>
    <row r="5" spans="1:10" s="20" customFormat="1" ht="50.1" customHeight="1">
      <c r="A5" s="254" t="s">
        <v>9</v>
      </c>
      <c r="B5" s="254"/>
      <c r="C5" s="15" t="str">
        <f>Data!AY5</f>
        <v>11/08/2026 12:00:00 AM</v>
      </c>
      <c r="D5" s="187" t="s">
        <v>12</v>
      </c>
      <c r="E5" s="242" t="str">
        <f>TRIM(Data!BF5)</f>
        <v>Crow, Tahlia</v>
      </c>
      <c r="F5" s="243"/>
      <c r="G5" s="243"/>
      <c r="H5" s="244"/>
      <c r="I5" s="252"/>
      <c r="J5" s="252"/>
    </row>
    <row r="6" spans="1:10" s="20" customFormat="1" ht="50.1" customHeight="1">
      <c r="A6" s="192" t="str">
        <f>Data!CZ5</f>
        <v>Retail Customer</v>
      </c>
      <c r="B6" s="192"/>
      <c r="C6" s="192"/>
      <c r="D6" s="187"/>
      <c r="E6" s="242" t="str">
        <f>CONCATENATE(Data!BH5," ",Data!BI5," ",Data!BJ5," ",Data!BK5," ",Data!BL5)</f>
        <v xml:space="preserve"> 25  Banff Road </v>
      </c>
      <c r="F6" s="243"/>
      <c r="G6" s="243"/>
      <c r="H6" s="244"/>
      <c r="I6" s="252"/>
      <c r="J6" s="252"/>
    </row>
    <row r="7" spans="1:10" s="20" customFormat="1" ht="50.1" customHeight="1">
      <c r="A7" s="192"/>
      <c r="B7" s="192"/>
      <c r="C7" s="192"/>
      <c r="D7" s="187"/>
      <c r="E7" s="242" t="str">
        <f>CONCATENATE(Data!BM5," ",Data!BN5," ",Data!BO5)</f>
        <v>Winter Valley VIC 3358</v>
      </c>
      <c r="F7" s="243"/>
      <c r="G7" s="243"/>
      <c r="H7" s="244"/>
      <c r="I7" s="252"/>
      <c r="J7" s="252"/>
    </row>
    <row r="8" spans="1:10" s="47" customFormat="1" ht="50.1" customHeight="1">
      <c r="A8" s="213" t="s">
        <v>142</v>
      </c>
      <c r="B8" s="210" t="s">
        <v>120</v>
      </c>
      <c r="C8" s="182" t="s">
        <v>182</v>
      </c>
      <c r="D8" s="6" t="s">
        <v>178</v>
      </c>
      <c r="E8" s="239" t="s">
        <v>813</v>
      </c>
      <c r="F8" s="236" t="s">
        <v>834</v>
      </c>
      <c r="G8" s="239" t="s">
        <v>835</v>
      </c>
      <c r="H8" s="245" t="s">
        <v>5</v>
      </c>
      <c r="I8" s="246"/>
      <c r="J8" s="253" t="s">
        <v>790</v>
      </c>
    </row>
    <row r="9" spans="1:10" s="47" customFormat="1" ht="14.25" customHeight="1" hidden="1">
      <c r="A9" s="213"/>
      <c r="B9" s="210"/>
      <c r="C9" s="182"/>
      <c r="D9" s="6"/>
      <c r="E9" s="240"/>
      <c r="F9" s="237"/>
      <c r="G9" s="240"/>
      <c r="H9" s="247"/>
      <c r="I9" s="248"/>
      <c r="J9" s="253"/>
    </row>
    <row r="10" spans="1:10" s="62" customFormat="1" ht="80.25" customHeight="1">
      <c r="A10" s="213"/>
      <c r="B10" s="210"/>
      <c r="C10" s="182"/>
      <c r="D10" s="6"/>
      <c r="E10" s="241"/>
      <c r="F10" s="238"/>
      <c r="G10" s="241"/>
      <c r="H10" s="249"/>
      <c r="I10" s="250"/>
      <c r="J10" s="253"/>
    </row>
    <row r="11" spans="1:10" s="36" customFormat="1" ht="60" customHeight="1">
      <c r="A11" s="177">
        <f>IF(AND('Job Sheet'!BC11="Davidson's",(OR('Job Sheet'!$A$6="Brax Retail",'Job Sheet'!$A$6="Brax Wholesale",'Job Sheet'!$A$6="Brax Wholesale B2B"))),"",IF('Job Sheet'!BC11="Davidson's",Data!AW11,""))</f>
        <v>1</v>
      </c>
      <c r="B11" s="171" t="str">
        <f>IF(A11="","",'Job Sheet'!B11)</f>
        <v>Front Lounge</v>
      </c>
      <c r="C11" s="174" t="str">
        <f>IF(A11="","",'Job Sheet'!AB11)</f>
        <v>180mm</v>
      </c>
      <c r="D11" s="174" t="str">
        <f>IF(A11="","",'Tube Cutting'!O11)</f>
        <v>Monument</v>
      </c>
      <c r="E11" s="174" t="str">
        <f>IF(OR($A$6="Wholesale",$A$6="Wholesale B2B",Data!AV11=""),"",IF($E$2="Brax Window Treatments","Brax","Davidson's"))</f>
        <v>Davidson's</v>
      </c>
      <c r="F11" s="178" t="str">
        <f>IF(OR(Data!AV11="",'Job Sheet'!V11=""),"",IF('Job Sheet'!V11="N/A","No","Yes"))</f>
        <v>No</v>
      </c>
      <c r="G11" s="179" t="str">
        <f>IF('Job Sheet'!V11="N/A","",'Job Sheet'!V11)</f>
        <v/>
      </c>
      <c r="H11" s="255" t="str">
        <f>IF(A11="","",'Job Sheet'!AR11)</f>
        <v/>
      </c>
      <c r="I11" s="256"/>
      <c r="J11" s="139">
        <f>A11</f>
        <v>1</v>
      </c>
    </row>
    <row r="12" spans="1:10" s="36" customFormat="1" ht="60" customHeight="1">
      <c r="A12" s="177">
        <f>IF(AND('Job Sheet'!BC12="Davidson's",(OR('Job Sheet'!$A$6="Brax Retail",'Job Sheet'!$A$6="Brax Wholesale",'Job Sheet'!$A$6="Brax Wholesale B2B"))),"",IF('Job Sheet'!BC12="Davidson's",Data!AW12,""))</f>
        <v>2</v>
      </c>
      <c r="B12" s="171" t="str">
        <f>IF(A12="","",'Job Sheet'!B12)</f>
        <v>Master</v>
      </c>
      <c r="C12" s="174" t="str">
        <f>IF(A12="","",'Job Sheet'!AB12)</f>
        <v>180mm</v>
      </c>
      <c r="D12" s="174" t="str">
        <f>IF(A12="","",'Tube Cutting'!O12)</f>
        <v>Monument</v>
      </c>
      <c r="E12" s="174" t="str">
        <f>IF(OR($A$6="Wholesale",$A$6="Wholesale B2B",Data!AV12=""),"",IF($E$2="Brax Window Treatments","Brax","Davidson's"))</f>
        <v>Davidson's</v>
      </c>
      <c r="F12" s="178" t="str">
        <f>IF(OR(Data!AV12="",'Job Sheet'!V12=""),"",IF('Job Sheet'!V12="N/A","No","Yes"))</f>
        <v>No</v>
      </c>
      <c r="G12" s="179" t="str">
        <f>IF('Job Sheet'!V12="N/A","",'Job Sheet'!V12)</f>
        <v/>
      </c>
      <c r="H12" s="255" t="str">
        <f>IF(A12="","",'Job Sheet'!AR12)</f>
        <v/>
      </c>
      <c r="I12" s="256"/>
      <c r="J12" s="139">
        <f t="shared" si="0" ref="J12:J20">A12</f>
        <v>2</v>
      </c>
    </row>
    <row r="13" spans="1:10" s="36" customFormat="1" ht="60" customHeight="1">
      <c r="A13" s="177">
        <f>IF(AND('Job Sheet'!BC13="Davidson's",(OR('Job Sheet'!$A$6="Brax Retail",'Job Sheet'!$A$6="Brax Wholesale",'Job Sheet'!$A$6="Brax Wholesale B2B"))),"",IF('Job Sheet'!BC13="Davidson's",Data!AW13,""))</f>
        <v>3</v>
      </c>
      <c r="B13" s="171" t="str">
        <f>IF(A13="","",'Job Sheet'!B13)</f>
        <v>Ensuite</v>
      </c>
      <c r="C13" s="174" t="str">
        <f>IF(A13="","",'Job Sheet'!AB13)</f>
        <v>180mm</v>
      </c>
      <c r="D13" s="174" t="str">
        <f>IF(A13="","",'Tube Cutting'!O13)</f>
        <v>Monument</v>
      </c>
      <c r="E13" s="174" t="str">
        <f>IF(OR($A$6="Wholesale",$A$6="Wholesale B2B",Data!AV13=""),"",IF($E$2="Brax Window Treatments","Brax","Davidson's"))</f>
        <v>Davidson's</v>
      </c>
      <c r="F13" s="178" t="str">
        <f>IF(OR(Data!AV13="",'Job Sheet'!V13=""),"",IF('Job Sheet'!V13="N/A","No","Yes"))</f>
        <v>No</v>
      </c>
      <c r="G13" s="179" t="str">
        <f>IF('Job Sheet'!V13="N/A","",'Job Sheet'!V13)</f>
        <v/>
      </c>
      <c r="H13" s="255" t="str">
        <f>IF(A13="","",'Job Sheet'!AR13)</f>
        <v/>
      </c>
      <c r="I13" s="256"/>
      <c r="J13" s="139">
        <f t="shared" si="0"/>
        <v>3</v>
      </c>
    </row>
    <row r="14" spans="1:10" s="36" customFormat="1" ht="60" customHeight="1">
      <c r="A14" s="177">
        <f>IF(AND('Job Sheet'!BC14="Davidson's",(OR('Job Sheet'!$A$6="Brax Retail",'Job Sheet'!$A$6="Brax Wholesale",'Job Sheet'!$A$6="Brax Wholesale B2B"))),"",IF('Job Sheet'!BC14="Davidson's",Data!AW14,""))</f>
        <v>4</v>
      </c>
      <c r="B14" s="171" t="str">
        <f>IF(A14="","",'Job Sheet'!B14)</f>
        <v>Bath</v>
      </c>
      <c r="C14" s="174" t="str">
        <f>IF(A14="","",'Job Sheet'!AB14)</f>
        <v>180mm</v>
      </c>
      <c r="D14" s="174" t="str">
        <f>IF(A14="","",'Tube Cutting'!O14)</f>
        <v>Monument</v>
      </c>
      <c r="E14" s="174" t="str">
        <f>IF(OR($A$6="Wholesale",$A$6="Wholesale B2B",Data!AV14=""),"",IF($E$2="Brax Window Treatments","Brax","Davidson's"))</f>
        <v>Davidson's</v>
      </c>
      <c r="F14" s="178" t="str">
        <f>IF(OR(Data!AV14="",'Job Sheet'!V14=""),"",IF('Job Sheet'!V14="N/A","No","Yes"))</f>
        <v>No</v>
      </c>
      <c r="G14" s="179" t="str">
        <f>IF('Job Sheet'!V14="N/A","",'Job Sheet'!V14)</f>
        <v/>
      </c>
      <c r="H14" s="255" t="str">
        <f>IF(A14="","",'Job Sheet'!AR14)</f>
        <v/>
      </c>
      <c r="I14" s="256"/>
      <c r="J14" s="139">
        <f t="shared" si="0"/>
        <v>4</v>
      </c>
    </row>
    <row r="15" spans="1:10" s="36" customFormat="1" ht="60" customHeight="1">
      <c r="A15" s="177">
        <f>IF(AND('Job Sheet'!BC15="Davidson's",(OR('Job Sheet'!$A$6="Brax Retail",'Job Sheet'!$A$6="Brax Wholesale",'Job Sheet'!$A$6="Brax Wholesale B2B"))),"",IF('Job Sheet'!BC15="Davidson's",Data!AW15,""))</f>
        <v>5</v>
      </c>
      <c r="B15" s="171" t="str">
        <f>IF(A15="","",'Job Sheet'!B15)</f>
        <v>Bed 2</v>
      </c>
      <c r="C15" s="174" t="str">
        <f>IF(A15="","",'Job Sheet'!AB15)</f>
        <v>180mm</v>
      </c>
      <c r="D15" s="174" t="str">
        <f>IF(A15="","",'Tube Cutting'!O15)</f>
        <v>Monument</v>
      </c>
      <c r="E15" s="174" t="str">
        <f>IF(OR($A$6="Wholesale",$A$6="Wholesale B2B",Data!AV15=""),"",IF($E$2="Brax Window Treatments","Brax","Davidson's"))</f>
        <v>Davidson's</v>
      </c>
      <c r="F15" s="178" t="str">
        <f>IF(OR(Data!AV15="",'Job Sheet'!V15=""),"",IF('Job Sheet'!V15="N/A","No","Yes"))</f>
        <v>No</v>
      </c>
      <c r="G15" s="179" t="str">
        <f>IF('Job Sheet'!V15="N/A","",'Job Sheet'!V15)</f>
        <v/>
      </c>
      <c r="H15" s="255" t="str">
        <f>IF(A15="","",'Job Sheet'!AR15)</f>
        <v/>
      </c>
      <c r="I15" s="256"/>
      <c r="J15" s="139">
        <f t="shared" si="0"/>
        <v>5</v>
      </c>
    </row>
    <row r="16" spans="1:10" s="36" customFormat="1" ht="60" customHeight="1">
      <c r="A16" s="177">
        <f>IF(AND('Job Sheet'!BC16="Davidson's",(OR('Job Sheet'!$A$6="Brax Retail",'Job Sheet'!$A$6="Brax Wholesale",'Job Sheet'!$A$6="Brax Wholesale B2B"))),"",IF('Job Sheet'!BC16="Davidson's",Data!AW16,""))</f>
        <v>6</v>
      </c>
      <c r="B16" s="171" t="str">
        <f>IF(A16="","",'Job Sheet'!B16)</f>
        <v>Bed 3</v>
      </c>
      <c r="C16" s="174" t="str">
        <f>IF(A16="","",'Job Sheet'!AB16)</f>
        <v>180mm</v>
      </c>
      <c r="D16" s="174" t="str">
        <f>IF(A16="","",'Tube Cutting'!O16)</f>
        <v>Monument</v>
      </c>
      <c r="E16" s="174" t="str">
        <f>IF(OR($A$6="Wholesale",$A$6="Wholesale B2B",Data!AV16=""),"",IF($E$2="Brax Window Treatments","Brax","Davidson's"))</f>
        <v>Davidson's</v>
      </c>
      <c r="F16" s="178" t="str">
        <f>IF(OR(Data!AV16="",'Job Sheet'!V16=""),"",IF('Job Sheet'!V16="N/A","No","Yes"))</f>
        <v>No</v>
      </c>
      <c r="G16" s="179" t="str">
        <f>IF('Job Sheet'!V16="N/A","",'Job Sheet'!V16)</f>
        <v/>
      </c>
      <c r="H16" s="255" t="str">
        <f>IF(A16="","",'Job Sheet'!AR16)</f>
        <v/>
      </c>
      <c r="I16" s="256"/>
      <c r="J16" s="139">
        <f t="shared" si="0"/>
        <v>6</v>
      </c>
    </row>
    <row r="17" spans="1:10" s="36" customFormat="1" ht="60" customHeight="1">
      <c r="A17" s="177">
        <f>IF(AND('Job Sheet'!BC17="Davidson's",(OR('Job Sheet'!$A$6="Brax Retail",'Job Sheet'!$A$6="Brax Wholesale",'Job Sheet'!$A$6="Brax Wholesale B2B"))),"",IF('Job Sheet'!BC17="Davidson's",Data!AW17,""))</f>
        <v>7</v>
      </c>
      <c r="B17" s="171" t="str">
        <f>IF(A17="","",'Job Sheet'!B17)</f>
        <v>Rumpus</v>
      </c>
      <c r="C17" s="174" t="str">
        <f>IF(A17="","",'Job Sheet'!AB17)</f>
        <v>180mm</v>
      </c>
      <c r="D17" s="174" t="str">
        <f>IF(A17="","",'Tube Cutting'!O17)</f>
        <v>Monument</v>
      </c>
      <c r="E17" s="174" t="str">
        <f>IF(OR($A$6="Wholesale",$A$6="Wholesale B2B",Data!AV17=""),"",IF($E$2="Brax Window Treatments","Brax","Davidson's"))</f>
        <v>Davidson's</v>
      </c>
      <c r="F17" s="178" t="str">
        <f>IF(OR(Data!AV17="",'Job Sheet'!V17=""),"",IF('Job Sheet'!V17="N/A","No","Yes"))</f>
        <v>No</v>
      </c>
      <c r="G17" s="179" t="str">
        <f>IF('Job Sheet'!V17="N/A","",'Job Sheet'!V17)</f>
        <v/>
      </c>
      <c r="H17" s="255" t="str">
        <f>IF(A17="","",'Job Sheet'!AR17)</f>
        <v/>
      </c>
      <c r="I17" s="256"/>
      <c r="J17" s="139">
        <f t="shared" si="0"/>
        <v>7</v>
      </c>
    </row>
    <row r="18" spans="1:10" s="36" customFormat="1" ht="60" customHeight="1">
      <c r="A18" s="177">
        <f>IF(AND('Job Sheet'!BC18="Davidson's",(OR('Job Sheet'!$A$6="Brax Retail",'Job Sheet'!$A$6="Brax Wholesale",'Job Sheet'!$A$6="Brax Wholesale B2B"))),"",IF('Job Sheet'!BC18="Davidson's",Data!AW18,""))</f>
        <v>8</v>
      </c>
      <c r="B18" s="171" t="str">
        <f>IF(A18="","",'Job Sheet'!B18)</f>
        <v>Bed 4</v>
      </c>
      <c r="C18" s="174" t="str">
        <f>IF(A18="","",'Job Sheet'!AB18)</f>
        <v>180mm</v>
      </c>
      <c r="D18" s="174" t="str">
        <f>IF(A18="","",'Tube Cutting'!O18)</f>
        <v>Monument</v>
      </c>
      <c r="E18" s="174" t="str">
        <f>IF(OR($A$6="Wholesale",$A$6="Wholesale B2B",Data!AV18=""),"",IF($E$2="Brax Window Treatments","Brax","Davidson's"))</f>
        <v>Davidson's</v>
      </c>
      <c r="F18" s="178" t="str">
        <f>IF(OR(Data!AV18="",'Job Sheet'!V18=""),"",IF('Job Sheet'!V18="N/A","No","Yes"))</f>
        <v>No</v>
      </c>
      <c r="G18" s="179" t="str">
        <f>IF('Job Sheet'!V18="N/A","",'Job Sheet'!V18)</f>
        <v/>
      </c>
      <c r="H18" s="255" t="str">
        <f>IF(A18="","",'Job Sheet'!AR18)</f>
        <v/>
      </c>
      <c r="I18" s="256"/>
      <c r="J18" s="139">
        <f t="shared" si="0"/>
        <v>8</v>
      </c>
    </row>
    <row r="19" spans="1:10" ht="60" customHeight="1">
      <c r="A19" s="177">
        <f>IF(AND('Job Sheet'!BC19="Davidson's",(OR('Job Sheet'!$A$6="Brax Retail",'Job Sheet'!$A$6="Brax Wholesale",'Job Sheet'!$A$6="Brax Wholesale B2B"))),"",IF('Job Sheet'!BC19="Davidson's",Data!AW19,""))</f>
        <v>9</v>
      </c>
      <c r="B19" s="171" t="str">
        <f>IF(A19="","",'Job Sheet'!B19)</f>
        <v>Slider</v>
      </c>
      <c r="C19" s="174" t="str">
        <f>IF(A19="","",'Job Sheet'!AB19)</f>
        <v>205mm</v>
      </c>
      <c r="D19" s="174" t="str">
        <f>IF(A19="","",'Tube Cutting'!O19)</f>
        <v>Monument</v>
      </c>
      <c r="E19" s="174" t="str">
        <f>IF(OR($A$6="Wholesale",$A$6="Wholesale B2B",Data!AV19=""),"",IF($E$2="Brax Window Treatments","Brax","Davidson's"))</f>
        <v>Davidson's</v>
      </c>
      <c r="F19" s="178" t="str">
        <f>IF(OR(Data!AV19="",'Job Sheet'!V19=""),"",IF('Job Sheet'!V19="N/A","No","Yes"))</f>
        <v>No</v>
      </c>
      <c r="G19" s="179" t="str">
        <f>IF('Job Sheet'!V19="N/A","",'Job Sheet'!V19)</f>
        <v/>
      </c>
      <c r="H19" s="255" t="str">
        <f>IF(A19="","",'Job Sheet'!AR19)</f>
        <v/>
      </c>
      <c r="I19" s="256"/>
      <c r="J19" s="139">
        <f t="shared" si="0"/>
        <v>9</v>
      </c>
    </row>
    <row r="20" spans="1:10" ht="60" customHeight="1">
      <c r="A20" s="177">
        <f>IF(AND('Job Sheet'!BC20="Davidson's",(OR('Job Sheet'!$A$6="Brax Retail",'Job Sheet'!$A$6="Brax Wholesale",'Job Sheet'!$A$6="Brax Wholesale B2B"))),"",IF('Job Sheet'!BC20="Davidson's",Data!AW20,""))</f>
        <v>10</v>
      </c>
      <c r="B20" s="171" t="str">
        <f>IF(A20="","",'Job Sheet'!B20)</f>
        <v>Lounge</v>
      </c>
      <c r="C20" s="174" t="str">
        <f>IF(A20="","",'Job Sheet'!AB20)</f>
        <v>180mm</v>
      </c>
      <c r="D20" s="174" t="str">
        <f>IF(A20="","",'Tube Cutting'!O20)</f>
        <v>Monument</v>
      </c>
      <c r="E20" s="174" t="str">
        <f>IF(OR($A$6="Wholesale",$A$6="Wholesale B2B",Data!AV20=""),"",IF($E$2="Brax Window Treatments","Brax","Davidson's"))</f>
        <v>Davidson's</v>
      </c>
      <c r="F20" s="178" t="str">
        <f>IF(OR(Data!AV20="",'Job Sheet'!V20=""),"",IF('Job Sheet'!V20="N/A","No","Yes"))</f>
        <v>No</v>
      </c>
      <c r="G20" s="179" t="str">
        <f>IF('Job Sheet'!V20="N/A","",'Job Sheet'!V20)</f>
        <v/>
      </c>
      <c r="H20" s="255" t="str">
        <f>IF(A20="","",'Job Sheet'!AR20)</f>
        <v/>
      </c>
      <c r="I20" s="256"/>
      <c r="J20" s="139">
        <f t="shared" si="0"/>
        <v>10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55.2" customHeight="1"/>
    <row r="133" ht="55.2" customHeight="1"/>
    <row r="134" ht="55.2" customHeight="1"/>
    <row r="135" ht="55.2" customHeight="1"/>
    <row r="136" ht="55.2" customHeight="1"/>
    <row r="137" ht="55.2" customHeight="1"/>
    <row r="138" ht="55.2" customHeight="1"/>
    <row r="139" ht="55.2" customHeight="1"/>
    <row r="140" ht="55.2" customHeight="1"/>
    <row r="141" ht="55.2" customHeight="1"/>
    <row r="142" ht="55.2" customHeight="1"/>
    <row r="143" ht="55.2" customHeight="1"/>
    <row r="144" ht="55.2" customHeight="1"/>
    <row r="145" ht="55.2" customHeight="1"/>
    <row r="146" ht="55.2" customHeight="1"/>
    <row r="147" ht="55.2" customHeight="1"/>
    <row r="148" ht="55.2" customHeight="1"/>
    <row r="149" ht="55.2" customHeight="1"/>
    <row r="150" ht="55.2" customHeight="1"/>
    <row r="151" ht="55.2" customHeight="1"/>
    <row r="152" ht="55.2" customHeight="1"/>
    <row r="153" ht="55.2" customHeight="1"/>
    <row r="154" ht="55.2" customHeight="1"/>
    <row r="155" ht="55.2" customHeight="1"/>
    <row r="156" ht="55.2" customHeight="1"/>
    <row r="157" ht="55.2" customHeight="1"/>
    <row r="158" ht="55.2" customHeight="1"/>
    <row r="159" ht="55.2" customHeight="1"/>
    <row r="160" ht="55.2" customHeight="1"/>
    <row r="161" ht="55.2" customHeight="1"/>
    <row r="162" ht="55.2" customHeight="1"/>
    <row r="163" ht="55.2" customHeight="1"/>
    <row r="164" ht="55.2" customHeight="1"/>
    <row r="165" ht="55.2" customHeight="1"/>
    <row r="166" ht="55.2" customHeight="1"/>
    <row r="167" ht="55.2" customHeight="1"/>
    <row r="168" ht="55.2" customHeight="1"/>
    <row r="169" ht="55.2" customHeight="1"/>
    <row r="170" ht="55.2" customHeight="1"/>
    <row r="171" ht="55.2" customHeight="1"/>
    <row r="172" ht="55.2" customHeight="1"/>
    <row r="173" ht="55.2" customHeight="1"/>
    <row r="174" ht="55.2" customHeight="1"/>
    <row r="175" ht="55.2" customHeight="1"/>
    <row r="176" ht="55.2" customHeight="1"/>
    <row r="177" ht="55.2" customHeight="1"/>
    <row r="178" ht="55.2" customHeight="1"/>
    <row r="179" ht="55.2" customHeight="1"/>
    <row r="180" ht="55.2" customHeight="1"/>
    <row r="181" ht="55.2" customHeight="1"/>
    <row r="182" ht="55.2" customHeight="1"/>
    <row r="183" ht="55.2" customHeight="1"/>
    <row r="184" ht="55.2" customHeight="1"/>
    <row r="185" ht="55.2" customHeight="1"/>
    <row r="186" ht="55.2" customHeight="1"/>
    <row r="187" ht="55.2" customHeight="1"/>
    <row r="188" ht="55.2" customHeight="1"/>
    <row r="189" ht="55.2" customHeight="1"/>
    <row r="190" ht="55.2" customHeight="1"/>
    <row r="191" ht="55.2" customHeight="1"/>
    <row r="192" ht="55.2" customHeight="1"/>
    <row r="193" ht="55.2" customHeight="1"/>
    <row r="194" ht="55.2" customHeight="1"/>
    <row r="195" ht="55.2" customHeight="1"/>
    <row r="196" ht="55.2" customHeight="1"/>
    <row r="197" ht="55.2" customHeight="1"/>
    <row r="198" ht="55.2" customHeight="1"/>
    <row r="199" ht="55.2" customHeight="1"/>
    <row r="200" ht="55.2" customHeight="1"/>
    <row r="201" ht="55.2" customHeight="1"/>
    <row r="202" ht="55.2" customHeight="1"/>
    <row r="203" ht="55.2" customHeight="1"/>
    <row r="204" ht="55.2" customHeight="1"/>
    <row r="205" ht="55.2" customHeight="1"/>
    <row r="206" ht="55.2" customHeight="1"/>
    <row r="207" ht="55.2" customHeight="1"/>
    <row r="208" ht="55.2" customHeight="1"/>
    <row r="209" ht="55.2" customHeight="1"/>
    <row r="210" ht="55.2" customHeight="1"/>
    <row r="211" ht="55.2" customHeight="1"/>
    <row r="212" ht="55.2" customHeight="1"/>
    <row r="213" ht="55.2" customHeight="1"/>
    <row r="214" ht="55.2" customHeight="1"/>
    <row r="215" ht="55.2" customHeight="1"/>
    <row r="216" ht="55.2" customHeight="1"/>
    <row r="217" ht="55.2" customHeight="1"/>
    <row r="218" ht="55.2" customHeight="1"/>
    <row r="219" ht="55.2" customHeight="1"/>
    <row r="220" ht="55.2" customHeight="1"/>
    <row r="221" ht="55.2" customHeight="1"/>
    <row r="222" ht="55.2" customHeight="1"/>
    <row r="223" ht="55.2" customHeight="1"/>
    <row r="224" ht="55.2" customHeight="1"/>
    <row r="225" ht="55.2" customHeight="1"/>
    <row r="226" ht="55.2" customHeight="1"/>
    <row r="227" ht="55.2" customHeight="1"/>
    <row r="228" ht="55.2" customHeight="1"/>
    <row r="229" ht="55.2" customHeight="1"/>
    <row r="230" ht="55.2" customHeight="1"/>
    <row r="231" ht="55.2" customHeight="1"/>
    <row r="232" ht="55.2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60" customHeight="1"/>
    <row r="312" ht="60" customHeight="1"/>
    <row r="313" ht="60" customHeight="1"/>
    <row r="314" ht="60" customHeight="1"/>
    <row r="315" ht="60" customHeight="1"/>
    <row r="316" ht="60" customHeight="1"/>
    <row r="317" ht="60" customHeight="1"/>
    <row r="318" ht="60" customHeight="1"/>
    <row r="319" ht="60" customHeight="1"/>
    <row r="320" ht="60" customHeight="1"/>
    <row r="321" ht="60" customHeight="1"/>
    <row r="322" ht="60" customHeight="1"/>
    <row r="323" ht="60" customHeight="1"/>
    <row r="324" ht="60" customHeight="1"/>
    <row r="325" ht="60" customHeight="1"/>
    <row r="326" ht="60" customHeight="1"/>
    <row r="327" ht="60" customHeight="1"/>
    <row r="328" ht="60" customHeight="1"/>
    <row r="329" ht="60" customHeight="1"/>
  </sheetData>
  <sheetProtection formatCells="0" formatRows="0" insertColumns="0" insertRows="0"/>
  <mergeCells count="34">
    <mergeCell ref="H15:I15"/>
    <mergeCell ref="H14:I14"/>
    <mergeCell ref="H13:I13"/>
    <mergeCell ref="H12:I12"/>
    <mergeCell ref="H11:I11"/>
    <mergeCell ref="H20:I20"/>
    <mergeCell ref="H19:I19"/>
    <mergeCell ref="H18:I18"/>
    <mergeCell ref="H17:I17"/>
    <mergeCell ref="H16:I16"/>
    <mergeCell ref="A1:J1"/>
    <mergeCell ref="I2:J2"/>
    <mergeCell ref="I3:J7"/>
    <mergeCell ref="J8:J10"/>
    <mergeCell ref="A6:C7"/>
    <mergeCell ref="D5:D7"/>
    <mergeCell ref="E7:H7"/>
    <mergeCell ref="E6:H6"/>
    <mergeCell ref="E5:H5"/>
    <mergeCell ref="E4:H4"/>
    <mergeCell ref="E3:H3"/>
    <mergeCell ref="D8:D10"/>
    <mergeCell ref="B8:B10"/>
    <mergeCell ref="A3:B3"/>
    <mergeCell ref="A4:B4"/>
    <mergeCell ref="A5:B5"/>
    <mergeCell ref="C8:C10"/>
    <mergeCell ref="A2:B2"/>
    <mergeCell ref="F8:F10"/>
    <mergeCell ref="G8:G10"/>
    <mergeCell ref="E2:H2"/>
    <mergeCell ref="A8:A10"/>
    <mergeCell ref="H8:I10"/>
    <mergeCell ref="E8:E10"/>
  </mergeCells>
  <printOptions horizontalCentered="1"/>
  <pageMargins left="0.760629921259872" right="0.760629921259872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X84"/>
  <sheetViews>
    <sheetView showZeros="0" view="pageBreakPreview" zoomScale="40" zoomScaleNormal="50" zoomScaleSheetLayoutView="40" zoomScalePageLayoutView="25" workbookViewId="0" topLeftCell="A1">
      <selection pane="topLeft" activeCell="A11" sqref="A11:XFD20"/>
    </sheetView>
  </sheetViews>
  <sheetFormatPr defaultColWidth="9.44140625" defaultRowHeight="40.2" customHeight="1"/>
  <cols>
    <col min="1" max="1" width="14.7142857142857" style="60" customWidth="1"/>
    <col min="2" max="2" width="41.5714285714286" style="60" customWidth="1"/>
    <col min="3" max="3" width="47.2857142857143" style="60" customWidth="1"/>
    <col min="4" max="4" width="15.4285714285714" style="60" customWidth="1"/>
    <col min="5" max="5" width="37.1428571428571" style="60" customWidth="1"/>
    <col min="6" max="6" width="23.5714285714286" style="60" customWidth="1"/>
    <col min="7" max="7" width="35.2857142857143" style="60" customWidth="1"/>
    <col min="8" max="8" width="29.4285714285714" style="60" customWidth="1"/>
    <col min="9" max="9" width="31" style="60" customWidth="1"/>
    <col min="10" max="10" width="24.7142857142857" style="61" customWidth="1"/>
    <col min="11" max="11" width="22.8571428571429" style="60" customWidth="1"/>
    <col min="12" max="12" width="15.2857142857143" style="60" customWidth="1"/>
    <col min="13" max="13" width="20.4285714285714" style="60" customWidth="1"/>
    <col min="14" max="14" width="20.8571428571429" style="60" customWidth="1"/>
    <col min="15" max="15" width="24.5714285714286" style="60" customWidth="1"/>
    <col min="16" max="16" width="27.2857142857143" style="60" customWidth="1"/>
    <col min="17" max="17" width="27.8571428571429" customWidth="1"/>
    <col min="18" max="18" width="26.8571428571429" customWidth="1"/>
    <col min="19" max="20" width="27.1428571428571" customWidth="1"/>
    <col min="21" max="21" width="25.2857142857143" customWidth="1"/>
    <col min="22" max="22" width="25.8571428571429" customWidth="1"/>
    <col min="23" max="23" width="69.8571428571429" customWidth="1"/>
    <col min="24" max="24" width="20.1428571428571" customWidth="1"/>
  </cols>
  <sheetData>
    <row r="1" spans="1:24" s="29" customFormat="1" ht="219.45" customHeight="1">
      <c r="A1" s="258" t="s">
        <v>203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</row>
    <row r="2" spans="1:24" s="31" customFormat="1" ht="50.1" customHeight="1">
      <c r="A2" s="182" t="s">
        <v>7</v>
      </c>
      <c r="B2" s="182"/>
      <c r="C2" s="186"/>
      <c r="D2" s="186"/>
      <c r="E2" s="205" t="s">
        <v>118</v>
      </c>
      <c r="F2" s="205"/>
      <c r="G2" s="242" t="str">
        <f>Data!BF5</f>
        <v>Crow, Tahlia</v>
      </c>
      <c r="H2" s="243"/>
      <c r="I2" s="243"/>
      <c r="J2" s="243"/>
      <c r="K2" s="243"/>
      <c r="L2" s="244"/>
      <c r="M2" s="268" t="s">
        <v>4</v>
      </c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70"/>
    </row>
    <row r="3" spans="1:24" s="31" customFormat="1" ht="50.1" customHeight="1">
      <c r="A3" s="183" t="s">
        <v>143</v>
      </c>
      <c r="B3" s="183"/>
      <c r="C3" s="187" t="str">
        <f>Data!BC5</f>
        <v>11804</v>
      </c>
      <c r="D3" s="187"/>
      <c r="E3" s="208" t="s">
        <v>8</v>
      </c>
      <c r="F3" s="208"/>
      <c r="G3" s="242" t="str">
        <f>TRIM(Data!AX5)</f>
        <v>Roller Shutters</v>
      </c>
      <c r="H3" s="243"/>
      <c r="I3" s="243"/>
      <c r="J3" s="243"/>
      <c r="K3" s="243"/>
      <c r="L3" s="244"/>
      <c r="M3" s="259" t="str">
        <f>TRIM(Data!BG5)</f>
        <v/>
      </c>
      <c r="N3" s="260"/>
      <c r="O3" s="260"/>
      <c r="P3" s="260"/>
      <c r="Q3" s="260"/>
      <c r="R3" s="260"/>
      <c r="S3" s="260"/>
      <c r="T3" s="260"/>
      <c r="U3" s="260"/>
      <c r="V3" s="260"/>
      <c r="W3" s="260"/>
      <c r="X3" s="261"/>
    </row>
    <row r="4" spans="1:24" s="20" customFormat="1" ht="50.1" customHeight="1">
      <c r="A4" s="190" t="s">
        <v>15</v>
      </c>
      <c r="B4" s="190"/>
      <c r="C4" s="187" t="str">
        <f>Data!BD5</f>
        <v>C</v>
      </c>
      <c r="D4" s="187"/>
      <c r="E4" s="208" t="s">
        <v>137</v>
      </c>
      <c r="F4" s="208"/>
      <c r="G4" s="242" t="str">
        <f>LEFT(Data!BA5,10)</f>
        <v>23/09/2026</v>
      </c>
      <c r="H4" s="243"/>
      <c r="I4" s="243"/>
      <c r="J4" s="243"/>
      <c r="K4" s="243"/>
      <c r="L4" s="244"/>
      <c r="M4" s="262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264"/>
    </row>
    <row r="5" spans="1:24" s="20" customFormat="1" ht="50.1" customHeight="1">
      <c r="A5" s="193" t="s">
        <v>9</v>
      </c>
      <c r="B5" s="193"/>
      <c r="C5" s="191" t="str">
        <f>Data!AY5</f>
        <v>11/08/2026 12:00:00 AM</v>
      </c>
      <c r="D5" s="191"/>
      <c r="E5" s="204" t="s">
        <v>12</v>
      </c>
      <c r="F5" s="204"/>
      <c r="G5" s="242" t="str">
        <f>TRIM(Data!BF5)</f>
        <v>Crow, Tahlia</v>
      </c>
      <c r="H5" s="243"/>
      <c r="I5" s="243"/>
      <c r="J5" s="243"/>
      <c r="K5" s="243"/>
      <c r="L5" s="244"/>
      <c r="M5" s="262"/>
      <c r="N5" s="263"/>
      <c r="O5" s="263"/>
      <c r="P5" s="263"/>
      <c r="Q5" s="263"/>
      <c r="R5" s="263"/>
      <c r="S5" s="263"/>
      <c r="T5" s="263"/>
      <c r="U5" s="263"/>
      <c r="V5" s="263"/>
      <c r="W5" s="263"/>
      <c r="X5" s="264"/>
    </row>
    <row r="6" spans="1:24" s="20" customFormat="1" ht="50.1" customHeight="1">
      <c r="A6" s="192" t="str">
        <f>Data!CZ5</f>
        <v>Retail Customer</v>
      </c>
      <c r="B6" s="192"/>
      <c r="C6" s="192"/>
      <c r="D6" s="192"/>
      <c r="E6" s="204"/>
      <c r="F6" s="204"/>
      <c r="G6" s="242" t="str">
        <f>CONCATENATE(Data!BH5," ",Data!BI5," ",Data!BJ5," ",Data!BK5," ",Data!BL5)</f>
        <v xml:space="preserve"> 25  Banff Road </v>
      </c>
      <c r="H6" s="243"/>
      <c r="I6" s="243"/>
      <c r="J6" s="243"/>
      <c r="K6" s="243"/>
      <c r="L6" s="244"/>
      <c r="M6" s="262"/>
      <c r="N6" s="263"/>
      <c r="O6" s="263"/>
      <c r="P6" s="263"/>
      <c r="Q6" s="263"/>
      <c r="R6" s="263"/>
      <c r="S6" s="263"/>
      <c r="T6" s="263"/>
      <c r="U6" s="263"/>
      <c r="V6" s="263"/>
      <c r="W6" s="263"/>
      <c r="X6" s="264"/>
    </row>
    <row r="7" spans="1:24" s="20" customFormat="1" ht="48" customHeight="1">
      <c r="A7" s="192"/>
      <c r="B7" s="192"/>
      <c r="C7" s="192"/>
      <c r="D7" s="192"/>
      <c r="E7" s="204"/>
      <c r="F7" s="204"/>
      <c r="G7" s="242" t="str">
        <f>CONCATENATE(Data!BM5," ",Data!BN5," ",Data!BO5," ",Data!BP5)</f>
        <v>Winter Valley VIC 3358 Australia</v>
      </c>
      <c r="H7" s="243"/>
      <c r="I7" s="243"/>
      <c r="J7" s="243"/>
      <c r="K7" s="243"/>
      <c r="L7" s="244"/>
      <c r="M7" s="265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7"/>
    </row>
    <row r="8" spans="1:24" s="20" customFormat="1" ht="3" customHeight="1" hidden="1">
      <c r="A8" s="192"/>
      <c r="B8" s="192"/>
      <c r="C8" s="192"/>
      <c r="D8" s="192"/>
      <c r="E8" s="225" t="s">
        <v>367</v>
      </c>
      <c r="F8" s="225"/>
      <c r="G8" s="187" t="str">
        <f>Data!BR5</f>
        <v>crowwi60@gmail.com</v>
      </c>
      <c r="H8" s="187"/>
      <c r="I8" s="187"/>
      <c r="J8" s="187"/>
      <c r="K8" s="5" t="s">
        <v>168</v>
      </c>
      <c r="L8" s="5"/>
      <c r="M8" s="242" t="str">
        <f>TRIM(Data!DB5)</f>
        <v>0448445594</v>
      </c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4"/>
    </row>
    <row r="9" spans="1:24" s="43" customFormat="1" ht="50.1" customHeight="1">
      <c r="A9" s="213" t="s">
        <v>142</v>
      </c>
      <c r="B9" s="210" t="s">
        <v>120</v>
      </c>
      <c r="C9" s="6" t="s">
        <v>268</v>
      </c>
      <c r="D9" s="6" t="s">
        <v>270</v>
      </c>
      <c r="E9" s="6" t="s">
        <v>175</v>
      </c>
      <c r="F9" s="6" t="s">
        <v>172</v>
      </c>
      <c r="G9" s="6" t="s">
        <v>812</v>
      </c>
      <c r="H9" s="6" t="s">
        <v>219</v>
      </c>
      <c r="I9" s="6" t="s">
        <v>301</v>
      </c>
      <c r="J9" s="6" t="s">
        <v>204</v>
      </c>
      <c r="K9" s="6" t="s">
        <v>463</v>
      </c>
      <c r="L9" s="6" t="s">
        <v>205</v>
      </c>
      <c r="M9" s="6" t="s">
        <v>206</v>
      </c>
      <c r="N9" s="6" t="s">
        <v>319</v>
      </c>
      <c r="O9" s="257" t="s">
        <v>734</v>
      </c>
      <c r="P9" s="257" t="s">
        <v>255</v>
      </c>
      <c r="Q9" s="257" t="s">
        <v>256</v>
      </c>
      <c r="R9" s="257" t="s">
        <v>257</v>
      </c>
      <c r="S9" s="257" t="s">
        <v>258</v>
      </c>
      <c r="T9" s="257" t="s">
        <v>240</v>
      </c>
      <c r="U9" s="6" t="s">
        <v>404</v>
      </c>
      <c r="V9" s="6" t="s">
        <v>806</v>
      </c>
      <c r="W9" s="6" t="s">
        <v>5</v>
      </c>
      <c r="X9" s="6" t="s">
        <v>790</v>
      </c>
    </row>
    <row r="10" spans="1:24" s="44" customFormat="1" ht="77.25" customHeight="1">
      <c r="A10" s="213"/>
      <c r="B10" s="210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57"/>
      <c r="P10" s="257"/>
      <c r="Q10" s="257"/>
      <c r="R10" s="257"/>
      <c r="S10" s="257"/>
      <c r="T10" s="257"/>
      <c r="U10" s="6"/>
      <c r="V10" s="6"/>
      <c r="W10" s="6"/>
      <c r="X10" s="6"/>
    </row>
    <row r="11" spans="1:24" s="71" customFormat="1" ht="99">
      <c r="A11" s="16">
        <f>Data!AW11</f>
        <v>1</v>
      </c>
      <c r="B11" s="42" t="str">
        <f>Data!AY11</f>
        <v>Front Lounge</v>
      </c>
      <c r="C11" s="41" t="str">
        <f>'Job Sheet'!U11</f>
        <v>Maxim 20nm Switch Motor</v>
      </c>
      <c r="D11" s="93" t="str">
        <f>IF(Data!AV11="","",IF(OR('Job Sheet'!T11="12v ODS System",'Job Sheet'!T11="Firesafe 12v ODS System"),"1",""))</f>
        <v/>
      </c>
      <c r="E11" s="41" t="str">
        <f>IF(OR('Job Sheet'!W11="No Controller or Charger",'Job Sheet'!W11="None"),"",'Job Sheet'!W11)</f>
        <v>Toggle Wall Switch</v>
      </c>
      <c r="F11" s="41" t="str">
        <f>IF('Job Sheet'!AT11="No","",'Job Sheet'!AT11)</f>
        <v>Included with Motor</v>
      </c>
      <c r="G11" s="41" t="str">
        <f>IF(OR(Data!AV11="",'Job Sheet'!T11="Spring"),"",VLOOKUP(C11,DriveSets,2,FALSE))</f>
        <v>Included with Motor</v>
      </c>
      <c r="H11" s="41" t="str">
        <f>'Job Sheet'!Z11</f>
        <v/>
      </c>
      <c r="I11" s="41" t="str">
        <f>'Job Sheet'!AA11</f>
        <v/>
      </c>
      <c r="J11" s="174" t="str">
        <f t="array" ref="J11">IF(Data!AV11="","",IF('Job Sheet'!J11&gt;2100,CONCATENATE('Job Sheet'!BD11," x 10"),IF(OR(bpLOOKUP(Data!$AV11,"FIXING",CustOrdOpt,6,FALSE)="Hebel",'Job Sheet'!J11&gt;1800),CONCATENATE('Job Sheet'!BD11," x 8"),CONCATENATE('Job Sheet'!BD11," x 6"))))</f>
        <v>Monument x 8</v>
      </c>
      <c r="K11" s="93">
        <f>IF(Data!AV11="","",VLOOKUP('Job Sheet'!I11,SecurityClips,2,TRUE))</f>
        <v>5</v>
      </c>
      <c r="L11" s="93" t="str">
        <f>IF(Data!AV11="","","1")</f>
        <v>1</v>
      </c>
      <c r="M11" s="93" t="str">
        <f>IF(Data!AV11="","",IF(A11="","","1 Pair"))</f>
        <v>1 Pair</v>
      </c>
      <c r="N11" s="93" t="str">
        <f>IF('Job Sheet'!AE11="Yes","2","")</f>
        <v>2</v>
      </c>
      <c r="O11" s="41" t="str">
        <f>'Tube Cutting'!T11</f>
        <v/>
      </c>
      <c r="P11" s="133" t="str">
        <f>'Tube Cutting'!U11</f>
        <v/>
      </c>
      <c r="Q11" s="133" t="str">
        <f>'Tube Cutting'!V11</f>
        <v/>
      </c>
      <c r="R11" s="133" t="str">
        <f>'Tube Cutting'!W11</f>
        <v/>
      </c>
      <c r="S11" s="133" t="str">
        <f>'Tube Cutting'!X11</f>
        <v/>
      </c>
      <c r="T11" s="41" t="str">
        <f>'Job Sheet'!AL11</f>
        <v/>
      </c>
      <c r="U11" s="133" t="str">
        <f>'Job Sheet'!Y11</f>
        <v/>
      </c>
      <c r="V11" s="41" t="str">
        <f>IF('Job Sheet'!X11="","",CONCATENATE('Job Sheet'!X11," Parts"))</f>
        <v/>
      </c>
      <c r="W11" s="41" t="str">
        <f>'Job Sheet'!AR11</f>
        <v/>
      </c>
      <c r="X11" s="180">
        <f>A11</f>
        <v>1</v>
      </c>
    </row>
    <row r="12" spans="1:24" s="71" customFormat="1" ht="99">
      <c r="A12" s="16">
        <f>Data!AW12</f>
        <v>2</v>
      </c>
      <c r="B12" s="42" t="str">
        <f>Data!AY12</f>
        <v>Master</v>
      </c>
      <c r="C12" s="41" t="str">
        <f>'Job Sheet'!U12</f>
        <v>Maxim 10nm Switch Motor</v>
      </c>
      <c r="D12" s="93" t="str">
        <f>IF(Data!AV12="","",IF(OR('Job Sheet'!T12="12v ODS System",'Job Sheet'!T12="Firesafe 12v ODS System"),"1",""))</f>
        <v/>
      </c>
      <c r="E12" s="41" t="str">
        <f>IF(OR('Job Sheet'!W12="No Controller or Charger",'Job Sheet'!W12="None"),"",'Job Sheet'!W12)</f>
        <v>Toggle Wall Switch</v>
      </c>
      <c r="F12" s="41" t="str">
        <f>IF('Job Sheet'!AT12="No","",'Job Sheet'!AT12)</f>
        <v>Included with Motor</v>
      </c>
      <c r="G12" s="41" t="str">
        <f>IF(OR(Data!AV12="",'Job Sheet'!T12="Spring"),"",VLOOKUP(C12,DriveSets,2,FALSE))</f>
        <v>Included with Motor</v>
      </c>
      <c r="H12" s="41" t="str">
        <f>'Job Sheet'!Z12</f>
        <v/>
      </c>
      <c r="I12" s="41" t="str">
        <f>'Job Sheet'!AA12</f>
        <v/>
      </c>
      <c r="J12" s="174" t="str">
        <f t="array" ref="J12">IF(Data!AV12="","",IF('Job Sheet'!J12&gt;2100,CONCATENATE('Job Sheet'!BD12," x 10"),IF(OR(bpLOOKUP(Data!$AV12,"FIXING",CustOrdOpt,6,FALSE)="Hebel",'Job Sheet'!J12&gt;1800),CONCATENATE('Job Sheet'!BD12," x 8"),CONCATENATE('Job Sheet'!BD12," x 6"))))</f>
        <v>Monument x 6</v>
      </c>
      <c r="K12" s="93">
        <f>IF(Data!AV12="","",VLOOKUP('Job Sheet'!I12,SecurityClips,2,TRUE))</f>
        <v>4</v>
      </c>
      <c r="L12" s="93" t="str">
        <f>IF(Data!AV12="","","1")</f>
        <v>1</v>
      </c>
      <c r="M12" s="93" t="str">
        <f>IF(Data!AV12="","",IF(A12="","","1 Pair"))</f>
        <v>1 Pair</v>
      </c>
      <c r="N12" s="93" t="str">
        <f>IF('Job Sheet'!AE12="Yes","2","")</f>
        <v>2</v>
      </c>
      <c r="O12" s="41" t="str">
        <f>'Tube Cutting'!T12</f>
        <v/>
      </c>
      <c r="P12" s="133" t="str">
        <f>'Tube Cutting'!U12</f>
        <v/>
      </c>
      <c r="Q12" s="133" t="str">
        <f>'Tube Cutting'!V12</f>
        <v/>
      </c>
      <c r="R12" s="133" t="str">
        <f>'Tube Cutting'!W12</f>
        <v/>
      </c>
      <c r="S12" s="133" t="str">
        <f>'Tube Cutting'!X12</f>
        <v/>
      </c>
      <c r="T12" s="41" t="str">
        <f>'Job Sheet'!AL12</f>
        <v/>
      </c>
      <c r="U12" s="133" t="str">
        <f>'Job Sheet'!Y12</f>
        <v/>
      </c>
      <c r="V12" s="41" t="str">
        <f>IF('Job Sheet'!X12="","",CONCATENATE('Job Sheet'!X12," Parts"))</f>
        <v/>
      </c>
      <c r="W12" s="41" t="str">
        <f>'Job Sheet'!AR12</f>
        <v/>
      </c>
      <c r="X12" s="180">
        <f t="shared" si="0" ref="X12:X20">A12</f>
        <v>2</v>
      </c>
    </row>
    <row r="13" spans="1:24" s="71" customFormat="1" ht="99">
      <c r="A13" s="16">
        <f>Data!AW13</f>
        <v>3</v>
      </c>
      <c r="B13" s="42" t="str">
        <f>Data!AY13</f>
        <v>Ensuite</v>
      </c>
      <c r="C13" s="41" t="str">
        <f>'Job Sheet'!U13</f>
        <v>Maxim 10nm Switch Motor</v>
      </c>
      <c r="D13" s="93" t="str">
        <f>IF(Data!AV13="","",IF(OR('Job Sheet'!T13="12v ODS System",'Job Sheet'!T13="Firesafe 12v ODS System"),"1",""))</f>
        <v/>
      </c>
      <c r="E13" s="41" t="str">
        <f>IF(OR('Job Sheet'!W13="No Controller or Charger",'Job Sheet'!W13="None"),"",'Job Sheet'!W13)</f>
        <v>Toggle Wall Switch</v>
      </c>
      <c r="F13" s="41" t="str">
        <f>IF('Job Sheet'!AT13="No","",'Job Sheet'!AT13)</f>
        <v>Included with Motor</v>
      </c>
      <c r="G13" s="41" t="str">
        <f>IF(OR(Data!AV13="",'Job Sheet'!T13="Spring"),"",VLOOKUP(C13,DriveSets,2,FALSE))</f>
        <v>Included with Motor</v>
      </c>
      <c r="H13" s="41" t="str">
        <f>'Job Sheet'!Z13</f>
        <v/>
      </c>
      <c r="I13" s="41" t="str">
        <f>'Job Sheet'!AA13</f>
        <v/>
      </c>
      <c r="J13" s="174" t="str">
        <f t="array" ref="J13">IF(Data!AV13="","",IF('Job Sheet'!J13&gt;2100,CONCATENATE('Job Sheet'!BD13," x 10"),IF(OR(bpLOOKUP(Data!$AV13,"FIXING",CustOrdOpt,6,FALSE)="Hebel",'Job Sheet'!J13&gt;1800),CONCATENATE('Job Sheet'!BD13," x 8"),CONCATENATE('Job Sheet'!BD13," x 6"))))</f>
        <v>Monument x 6</v>
      </c>
      <c r="K13" s="93">
        <f>IF(Data!AV13="","",VLOOKUP('Job Sheet'!I13,SecurityClips,2,TRUE))</f>
        <v>2</v>
      </c>
      <c r="L13" s="93" t="str">
        <f>IF(Data!AV13="","","1")</f>
        <v>1</v>
      </c>
      <c r="M13" s="93" t="str">
        <f>IF(Data!AV13="","",IF(A13="","","1 Pair"))</f>
        <v>1 Pair</v>
      </c>
      <c r="N13" s="93" t="str">
        <f>IF('Job Sheet'!AE13="Yes","2","")</f>
        <v>2</v>
      </c>
      <c r="O13" s="41" t="str">
        <f>'Tube Cutting'!T13</f>
        <v/>
      </c>
      <c r="P13" s="133" t="str">
        <f>'Tube Cutting'!U13</f>
        <v/>
      </c>
      <c r="Q13" s="133" t="str">
        <f>'Tube Cutting'!V13</f>
        <v/>
      </c>
      <c r="R13" s="133" t="str">
        <f>'Tube Cutting'!W13</f>
        <v/>
      </c>
      <c r="S13" s="133" t="str">
        <f>'Tube Cutting'!X13</f>
        <v/>
      </c>
      <c r="T13" s="41" t="str">
        <f>'Job Sheet'!AL13</f>
        <v/>
      </c>
      <c r="U13" s="133" t="str">
        <f>'Job Sheet'!Y13</f>
        <v/>
      </c>
      <c r="V13" s="41" t="str">
        <f>IF('Job Sheet'!X13="","",CONCATENATE('Job Sheet'!X13," Parts"))</f>
        <v/>
      </c>
      <c r="W13" s="41" t="str">
        <f>'Job Sheet'!AR13</f>
        <v/>
      </c>
      <c r="X13" s="180">
        <f t="shared" si="0"/>
        <v>3</v>
      </c>
    </row>
    <row r="14" spans="1:24" s="71" customFormat="1" ht="99">
      <c r="A14" s="16">
        <f>Data!AW14</f>
        <v>4</v>
      </c>
      <c r="B14" s="42" t="str">
        <f>Data!AY14</f>
        <v>Bath</v>
      </c>
      <c r="C14" s="41" t="str">
        <f>'Job Sheet'!U14</f>
        <v>Maxim 10nm Switch Motor</v>
      </c>
      <c r="D14" s="93" t="str">
        <f>IF(Data!AV14="","",IF(OR('Job Sheet'!T14="12v ODS System",'Job Sheet'!T14="Firesafe 12v ODS System"),"1",""))</f>
        <v/>
      </c>
      <c r="E14" s="41" t="str">
        <f>IF(OR('Job Sheet'!W14="No Controller or Charger",'Job Sheet'!W14="None"),"",'Job Sheet'!W14)</f>
        <v>Toggle Wall Switch</v>
      </c>
      <c r="F14" s="41" t="str">
        <f>IF('Job Sheet'!AT14="No","",'Job Sheet'!AT14)</f>
        <v>Included with Motor</v>
      </c>
      <c r="G14" s="41" t="str">
        <f>IF(OR(Data!AV14="",'Job Sheet'!T14="Spring"),"",VLOOKUP(C14,DriveSets,2,FALSE))</f>
        <v>Included with Motor</v>
      </c>
      <c r="H14" s="41" t="str">
        <f>'Job Sheet'!Z14</f>
        <v/>
      </c>
      <c r="I14" s="41" t="str">
        <f>'Job Sheet'!AA14</f>
        <v/>
      </c>
      <c r="J14" s="174" t="str">
        <f t="array" ref="J14">IF(Data!AV14="","",IF('Job Sheet'!J14&gt;2100,CONCATENATE('Job Sheet'!BD14," x 10"),IF(OR(bpLOOKUP(Data!$AV14,"FIXING",CustOrdOpt,6,FALSE)="Hebel",'Job Sheet'!J14&gt;1800),CONCATENATE('Job Sheet'!BD14," x 8"),CONCATENATE('Job Sheet'!BD14," x 6"))))</f>
        <v>Monument x 6</v>
      </c>
      <c r="K14" s="93">
        <f>IF(Data!AV14="","",VLOOKUP('Job Sheet'!I14,SecurityClips,2,TRUE))</f>
        <v>3</v>
      </c>
      <c r="L14" s="93" t="str">
        <f>IF(Data!AV14="","","1")</f>
        <v>1</v>
      </c>
      <c r="M14" s="93" t="str">
        <f>IF(Data!AV14="","",IF(A14="","","1 Pair"))</f>
        <v>1 Pair</v>
      </c>
      <c r="N14" s="93" t="str">
        <f>IF('Job Sheet'!AE14="Yes","2","")</f>
        <v>2</v>
      </c>
      <c r="O14" s="41" t="str">
        <f>'Tube Cutting'!T14</f>
        <v/>
      </c>
      <c r="P14" s="133" t="str">
        <f>'Tube Cutting'!U14</f>
        <v/>
      </c>
      <c r="Q14" s="133" t="str">
        <f>'Tube Cutting'!V14</f>
        <v/>
      </c>
      <c r="R14" s="133" t="str">
        <f>'Tube Cutting'!W14</f>
        <v/>
      </c>
      <c r="S14" s="133" t="str">
        <f>'Tube Cutting'!X14</f>
        <v/>
      </c>
      <c r="T14" s="41" t="str">
        <f>'Job Sheet'!AL14</f>
        <v/>
      </c>
      <c r="U14" s="133" t="str">
        <f>'Job Sheet'!Y14</f>
        <v/>
      </c>
      <c r="V14" s="41" t="str">
        <f>IF('Job Sheet'!X14="","",CONCATENATE('Job Sheet'!X14," Parts"))</f>
        <v/>
      </c>
      <c r="W14" s="41" t="str">
        <f>'Job Sheet'!AR14</f>
        <v/>
      </c>
      <c r="X14" s="180">
        <f t="shared" si="0"/>
        <v>4</v>
      </c>
    </row>
    <row r="15" spans="1:24" s="71" customFormat="1" ht="99">
      <c r="A15" s="16">
        <f>Data!AW15</f>
        <v>5</v>
      </c>
      <c r="B15" s="42" t="str">
        <f>Data!AY15</f>
        <v>Bed 2</v>
      </c>
      <c r="C15" s="41" t="str">
        <f>'Job Sheet'!U15</f>
        <v>Maxim 10nm Switch Motor</v>
      </c>
      <c r="D15" s="93" t="str">
        <f>IF(Data!AV15="","",IF(OR('Job Sheet'!T15="12v ODS System",'Job Sheet'!T15="Firesafe 12v ODS System"),"1",""))</f>
        <v/>
      </c>
      <c r="E15" s="41" t="str">
        <f>IF(OR('Job Sheet'!W15="No Controller or Charger",'Job Sheet'!W15="None"),"",'Job Sheet'!W15)</f>
        <v>Toggle Wall Switch</v>
      </c>
      <c r="F15" s="41" t="str">
        <f>IF('Job Sheet'!AT15="No","",'Job Sheet'!AT15)</f>
        <v>Included with Motor</v>
      </c>
      <c r="G15" s="41" t="str">
        <f>IF(OR(Data!AV15="",'Job Sheet'!T15="Spring"),"",VLOOKUP(C15,DriveSets,2,FALSE))</f>
        <v>Included with Motor</v>
      </c>
      <c r="H15" s="41" t="str">
        <f>'Job Sheet'!Z15</f>
        <v/>
      </c>
      <c r="I15" s="41" t="str">
        <f>'Job Sheet'!AA15</f>
        <v/>
      </c>
      <c r="J15" s="174" t="str">
        <f t="array" ref="J15">IF(Data!AV15="","",IF('Job Sheet'!J15&gt;2100,CONCATENATE('Job Sheet'!BD15," x 10"),IF(OR(bpLOOKUP(Data!$AV15,"FIXING",CustOrdOpt,6,FALSE)="Hebel",'Job Sheet'!J15&gt;1800),CONCATENATE('Job Sheet'!BD15," x 8"),CONCATENATE('Job Sheet'!BD15," x 6"))))</f>
        <v>Monument x 6</v>
      </c>
      <c r="K15" s="93">
        <f>IF(Data!AV15="","",VLOOKUP('Job Sheet'!I15,SecurityClips,2,TRUE))</f>
        <v>4</v>
      </c>
      <c r="L15" s="93" t="str">
        <f>IF(Data!AV15="","","1")</f>
        <v>1</v>
      </c>
      <c r="M15" s="93" t="str">
        <f>IF(Data!AV15="","",IF(A15="","","1 Pair"))</f>
        <v>1 Pair</v>
      </c>
      <c r="N15" s="93" t="str">
        <f>IF('Job Sheet'!AE15="Yes","2","")</f>
        <v>2</v>
      </c>
      <c r="O15" s="41" t="str">
        <f>'Tube Cutting'!T15</f>
        <v/>
      </c>
      <c r="P15" s="133" t="str">
        <f>'Tube Cutting'!U15</f>
        <v/>
      </c>
      <c r="Q15" s="133" t="str">
        <f>'Tube Cutting'!V15</f>
        <v/>
      </c>
      <c r="R15" s="133" t="str">
        <f>'Tube Cutting'!W15</f>
        <v/>
      </c>
      <c r="S15" s="133" t="str">
        <f>'Tube Cutting'!X15</f>
        <v/>
      </c>
      <c r="T15" s="41" t="str">
        <f>'Job Sheet'!AL15</f>
        <v/>
      </c>
      <c r="U15" s="133" t="str">
        <f>'Job Sheet'!Y15</f>
        <v/>
      </c>
      <c r="V15" s="41" t="str">
        <f>IF('Job Sheet'!X15="","",CONCATENATE('Job Sheet'!X15," Parts"))</f>
        <v/>
      </c>
      <c r="W15" s="41" t="str">
        <f>'Job Sheet'!AR15</f>
        <v/>
      </c>
      <c r="X15" s="180">
        <f t="shared" si="0"/>
        <v>5</v>
      </c>
    </row>
    <row r="16" spans="1:24" s="71" customFormat="1" ht="99">
      <c r="A16" s="16">
        <f>Data!AW16</f>
        <v>6</v>
      </c>
      <c r="B16" s="42" t="str">
        <f>Data!AY16</f>
        <v>Bed 3</v>
      </c>
      <c r="C16" s="41" t="str">
        <f>'Job Sheet'!U16</f>
        <v>Maxim 10nm Switch Motor</v>
      </c>
      <c r="D16" s="93" t="str">
        <f>IF(Data!AV16="","",IF(OR('Job Sheet'!T16="12v ODS System",'Job Sheet'!T16="Firesafe 12v ODS System"),"1",""))</f>
        <v/>
      </c>
      <c r="E16" s="41" t="str">
        <f>IF(OR('Job Sheet'!W16="No Controller or Charger",'Job Sheet'!W16="None"),"",'Job Sheet'!W16)</f>
        <v>Toggle Wall Switch</v>
      </c>
      <c r="F16" s="41" t="str">
        <f>IF('Job Sheet'!AT16="No","",'Job Sheet'!AT16)</f>
        <v>Included with Motor</v>
      </c>
      <c r="G16" s="41" t="str">
        <f>IF(OR(Data!AV16="",'Job Sheet'!T16="Spring"),"",VLOOKUP(C16,DriveSets,2,FALSE))</f>
        <v>Included with Motor</v>
      </c>
      <c r="H16" s="41" t="str">
        <f>'Job Sheet'!Z16</f>
        <v/>
      </c>
      <c r="I16" s="41" t="str">
        <f>'Job Sheet'!AA16</f>
        <v/>
      </c>
      <c r="J16" s="174" t="str">
        <f t="array" ref="J16">IF(Data!AV16="","",IF('Job Sheet'!J16&gt;2100,CONCATENATE('Job Sheet'!BD16," x 10"),IF(OR(bpLOOKUP(Data!$AV16,"FIXING",CustOrdOpt,6,FALSE)="Hebel",'Job Sheet'!J16&gt;1800),CONCATENATE('Job Sheet'!BD16," x 8"),CONCATENATE('Job Sheet'!BD16," x 6"))))</f>
        <v>Monument x 6</v>
      </c>
      <c r="K16" s="93">
        <f>IF(Data!AV16="","",VLOOKUP('Job Sheet'!I16,SecurityClips,2,TRUE))</f>
        <v>4</v>
      </c>
      <c r="L16" s="93" t="str">
        <f>IF(Data!AV16="","","1")</f>
        <v>1</v>
      </c>
      <c r="M16" s="93" t="str">
        <f>IF(Data!AV16="","",IF(A16="","","1 Pair"))</f>
        <v>1 Pair</v>
      </c>
      <c r="N16" s="93" t="str">
        <f>IF('Job Sheet'!AE16="Yes","2","")</f>
        <v>2</v>
      </c>
      <c r="O16" s="41" t="str">
        <f>'Tube Cutting'!T16</f>
        <v/>
      </c>
      <c r="P16" s="133" t="str">
        <f>'Tube Cutting'!U16</f>
        <v/>
      </c>
      <c r="Q16" s="133" t="str">
        <f>'Tube Cutting'!V16</f>
        <v/>
      </c>
      <c r="R16" s="133" t="str">
        <f>'Tube Cutting'!W16</f>
        <v/>
      </c>
      <c r="S16" s="133" t="str">
        <f>'Tube Cutting'!X16</f>
        <v/>
      </c>
      <c r="T16" s="41" t="str">
        <f>'Job Sheet'!AL16</f>
        <v/>
      </c>
      <c r="U16" s="133" t="str">
        <f>'Job Sheet'!Y16</f>
        <v/>
      </c>
      <c r="V16" s="41" t="str">
        <f>IF('Job Sheet'!X16="","",CONCATENATE('Job Sheet'!X16," Parts"))</f>
        <v/>
      </c>
      <c r="W16" s="41" t="str">
        <f>'Job Sheet'!AR16</f>
        <v/>
      </c>
      <c r="X16" s="180">
        <f t="shared" si="0"/>
        <v>6</v>
      </c>
    </row>
    <row r="17" spans="1:24" s="71" customFormat="1" ht="99">
      <c r="A17" s="16">
        <f>Data!AW17</f>
        <v>7</v>
      </c>
      <c r="B17" s="42" t="str">
        <f>Data!AY17</f>
        <v>Rumpus</v>
      </c>
      <c r="C17" s="41" t="str">
        <f>'Job Sheet'!U17</f>
        <v>Maxim 10nm Switch Motor</v>
      </c>
      <c r="D17" s="93" t="str">
        <f>IF(Data!AV17="","",IF(OR('Job Sheet'!T17="12v ODS System",'Job Sheet'!T17="Firesafe 12v ODS System"),"1",""))</f>
        <v/>
      </c>
      <c r="E17" s="41" t="str">
        <f>IF(OR('Job Sheet'!W17="No Controller or Charger",'Job Sheet'!W17="None"),"",'Job Sheet'!W17)</f>
        <v>Toggle Wall Switch</v>
      </c>
      <c r="F17" s="41" t="str">
        <f>IF('Job Sheet'!AT17="No","",'Job Sheet'!AT17)</f>
        <v>Included with Motor</v>
      </c>
      <c r="G17" s="41" t="str">
        <f>IF(OR(Data!AV17="",'Job Sheet'!T17="Spring"),"",VLOOKUP(C17,DriveSets,2,FALSE))</f>
        <v>Included with Motor</v>
      </c>
      <c r="H17" s="41" t="str">
        <f>'Job Sheet'!Z17</f>
        <v/>
      </c>
      <c r="I17" s="41" t="str">
        <f>'Job Sheet'!AA17</f>
        <v/>
      </c>
      <c r="J17" s="174" t="str">
        <f t="array" ref="J17">IF(Data!AV17="","",IF('Job Sheet'!J17&gt;2100,CONCATENATE('Job Sheet'!BD17," x 10"),IF(OR(bpLOOKUP(Data!$AV17,"FIXING",CustOrdOpt,6,FALSE)="Hebel",'Job Sheet'!J17&gt;1800),CONCATENATE('Job Sheet'!BD17," x 8"),CONCATENATE('Job Sheet'!BD17," x 6"))))</f>
        <v>Monument x 6</v>
      </c>
      <c r="K17" s="93">
        <f>IF(Data!AV17="","",VLOOKUP('Job Sheet'!I17,SecurityClips,2,TRUE))</f>
        <v>4</v>
      </c>
      <c r="L17" s="93" t="str">
        <f>IF(Data!AV17="","","1")</f>
        <v>1</v>
      </c>
      <c r="M17" s="93" t="str">
        <f>IF(Data!AV17="","",IF(A17="","","1 Pair"))</f>
        <v>1 Pair</v>
      </c>
      <c r="N17" s="93" t="str">
        <f>IF('Job Sheet'!AE17="Yes","2","")</f>
        <v>2</v>
      </c>
      <c r="O17" s="41" t="str">
        <f>'Tube Cutting'!T17</f>
        <v/>
      </c>
      <c r="P17" s="133" t="str">
        <f>'Tube Cutting'!U17</f>
        <v/>
      </c>
      <c r="Q17" s="133" t="str">
        <f>'Tube Cutting'!V17</f>
        <v/>
      </c>
      <c r="R17" s="133" t="str">
        <f>'Tube Cutting'!W17</f>
        <v/>
      </c>
      <c r="S17" s="133" t="str">
        <f>'Tube Cutting'!X17</f>
        <v/>
      </c>
      <c r="T17" s="41" t="str">
        <f>'Job Sheet'!AL17</f>
        <v/>
      </c>
      <c r="U17" s="133" t="str">
        <f>'Job Sheet'!Y17</f>
        <v/>
      </c>
      <c r="V17" s="41" t="str">
        <f>IF('Job Sheet'!X17="","",CONCATENATE('Job Sheet'!X17," Parts"))</f>
        <v/>
      </c>
      <c r="W17" s="41" t="str">
        <f>'Job Sheet'!AR17</f>
        <v/>
      </c>
      <c r="X17" s="180">
        <f t="shared" si="0"/>
        <v>7</v>
      </c>
    </row>
    <row r="18" spans="1:24" s="71" customFormat="1" ht="99">
      <c r="A18" s="16">
        <f>Data!AW18</f>
        <v>8</v>
      </c>
      <c r="B18" s="42" t="str">
        <f>Data!AY18</f>
        <v>Bed 4</v>
      </c>
      <c r="C18" s="41" t="str">
        <f>'Job Sheet'!U18</f>
        <v>Maxim 10nm Switch Motor</v>
      </c>
      <c r="D18" s="93" t="str">
        <f>IF(Data!AV18="","",IF(OR('Job Sheet'!T18="12v ODS System",'Job Sheet'!T18="Firesafe 12v ODS System"),"1",""))</f>
        <v/>
      </c>
      <c r="E18" s="41" t="str">
        <f>IF(OR('Job Sheet'!W18="No Controller or Charger",'Job Sheet'!W18="None"),"",'Job Sheet'!W18)</f>
        <v>Toggle Wall Switch</v>
      </c>
      <c r="F18" s="41" t="str">
        <f>IF('Job Sheet'!AT18="No","",'Job Sheet'!AT18)</f>
        <v>Included with Motor</v>
      </c>
      <c r="G18" s="41" t="str">
        <f>IF(OR(Data!AV18="",'Job Sheet'!T18="Spring"),"",VLOOKUP(C18,DriveSets,2,FALSE))</f>
        <v>Included with Motor</v>
      </c>
      <c r="H18" s="41" t="str">
        <f>'Job Sheet'!Z18</f>
        <v/>
      </c>
      <c r="I18" s="41" t="str">
        <f>'Job Sheet'!AA18</f>
        <v/>
      </c>
      <c r="J18" s="174" t="str">
        <f t="array" ref="J18">IF(Data!AV18="","",IF('Job Sheet'!J18&gt;2100,CONCATENATE('Job Sheet'!BD18," x 10"),IF(OR(bpLOOKUP(Data!$AV18,"FIXING",CustOrdOpt,6,FALSE)="Hebel",'Job Sheet'!J18&gt;1800),CONCATENATE('Job Sheet'!BD18," x 8"),CONCATENATE('Job Sheet'!BD18," x 6"))))</f>
        <v>Monument x 6</v>
      </c>
      <c r="K18" s="93">
        <f>IF(Data!AV18="","",VLOOKUP('Job Sheet'!I18,SecurityClips,2,TRUE))</f>
        <v>4</v>
      </c>
      <c r="L18" s="93" t="str">
        <f>IF(Data!AV18="","","1")</f>
        <v>1</v>
      </c>
      <c r="M18" s="93" t="str">
        <f>IF(Data!AV18="","",IF(A18="","","1 Pair"))</f>
        <v>1 Pair</v>
      </c>
      <c r="N18" s="93" t="str">
        <f>IF('Job Sheet'!AE18="Yes","2","")</f>
        <v>2</v>
      </c>
      <c r="O18" s="41" t="str">
        <f>'Tube Cutting'!T18</f>
        <v/>
      </c>
      <c r="P18" s="133" t="str">
        <f>'Tube Cutting'!U18</f>
        <v/>
      </c>
      <c r="Q18" s="133" t="str">
        <f>'Tube Cutting'!V18</f>
        <v/>
      </c>
      <c r="R18" s="133" t="str">
        <f>'Tube Cutting'!W18</f>
        <v/>
      </c>
      <c r="S18" s="133" t="str">
        <f>'Tube Cutting'!X18</f>
        <v/>
      </c>
      <c r="T18" s="41" t="str">
        <f>'Job Sheet'!AL18</f>
        <v/>
      </c>
      <c r="U18" s="133" t="str">
        <f>'Job Sheet'!Y18</f>
        <v/>
      </c>
      <c r="V18" s="41" t="str">
        <f>IF('Job Sheet'!X18="","",CONCATENATE('Job Sheet'!X18," Parts"))</f>
        <v/>
      </c>
      <c r="W18" s="41" t="str">
        <f>'Job Sheet'!AR18</f>
        <v/>
      </c>
      <c r="X18" s="180">
        <f t="shared" si="0"/>
        <v>8</v>
      </c>
    </row>
    <row r="19" spans="1:24" s="71" customFormat="1" ht="99">
      <c r="A19" s="16">
        <f>Data!AW19</f>
        <v>9</v>
      </c>
      <c r="B19" s="42" t="str">
        <f>Data!AY19</f>
        <v>Slider</v>
      </c>
      <c r="C19" s="41" t="str">
        <f>'Job Sheet'!U19</f>
        <v>Maxim 20nm Switch Motor</v>
      </c>
      <c r="D19" s="93" t="str">
        <f>IF(Data!AV19="","",IF(OR('Job Sheet'!T19="12v ODS System",'Job Sheet'!T19="Firesafe 12v ODS System"),"1",""))</f>
        <v/>
      </c>
      <c r="E19" s="41" t="str">
        <f>IF(OR('Job Sheet'!W19="No Controller or Charger",'Job Sheet'!W19="None"),"",'Job Sheet'!W19)</f>
        <v>Toggle Wall Switch</v>
      </c>
      <c r="F19" s="41" t="str">
        <f>IF('Job Sheet'!AT19="No","",'Job Sheet'!AT19)</f>
        <v>Included with Motor</v>
      </c>
      <c r="G19" s="41" t="str">
        <f>IF(OR(Data!AV19="",'Job Sheet'!T19="Spring"),"",VLOOKUP(C19,DriveSets,2,FALSE))</f>
        <v>Included with Motor</v>
      </c>
      <c r="H19" s="41" t="str">
        <f>'Job Sheet'!Z19</f>
        <v/>
      </c>
      <c r="I19" s="41" t="str">
        <f>'Job Sheet'!AA19</f>
        <v/>
      </c>
      <c r="J19" s="174" t="str">
        <f t="array" ref="J19">IF(Data!AV19="","",IF('Job Sheet'!J19&gt;2100,CONCATENATE('Job Sheet'!BD19," x 10"),IF(OR(bpLOOKUP(Data!$AV19,"FIXING",CustOrdOpt,6,FALSE)="Hebel",'Job Sheet'!J19&gt;1800),CONCATENATE('Job Sheet'!BD19," x 8"),CONCATENATE('Job Sheet'!BD19," x 6"))))</f>
        <v>Monument x 10</v>
      </c>
      <c r="K19" s="93">
        <f>IF(Data!AV19="","",VLOOKUP('Job Sheet'!I19,SecurityClips,2,TRUE))</f>
        <v>4</v>
      </c>
      <c r="L19" s="93" t="str">
        <f>IF(Data!AV19="","","1")</f>
        <v>1</v>
      </c>
      <c r="M19" s="93" t="str">
        <f>IF(Data!AV19="","",IF(A19="","","1 Pair"))</f>
        <v>1 Pair</v>
      </c>
      <c r="N19" s="93" t="str">
        <f>IF('Job Sheet'!AE19="Yes","2","")</f>
        <v/>
      </c>
      <c r="O19" s="41" t="str">
        <f>'Tube Cutting'!T19</f>
        <v/>
      </c>
      <c r="P19" s="133" t="str">
        <f>'Tube Cutting'!U19</f>
        <v/>
      </c>
      <c r="Q19" s="133" t="str">
        <f>'Tube Cutting'!V19</f>
        <v/>
      </c>
      <c r="R19" s="133" t="str">
        <f>'Tube Cutting'!W19</f>
        <v/>
      </c>
      <c r="S19" s="133" t="str">
        <f>'Tube Cutting'!X19</f>
        <v/>
      </c>
      <c r="T19" s="41" t="str">
        <f>'Job Sheet'!AL19</f>
        <v/>
      </c>
      <c r="U19" s="133" t="str">
        <f>'Job Sheet'!Y19</f>
        <v/>
      </c>
      <c r="V19" s="41" t="str">
        <f>IF('Job Sheet'!X19="","",CONCATENATE('Job Sheet'!X19," Parts"))</f>
        <v/>
      </c>
      <c r="W19" s="41" t="str">
        <f>'Job Sheet'!AR19</f>
        <v/>
      </c>
      <c r="X19" s="180">
        <f t="shared" si="0"/>
        <v>9</v>
      </c>
    </row>
    <row r="20" spans="1:24" s="45" customFormat="1" ht="99">
      <c r="A20" s="16">
        <f>Data!AW20</f>
        <v>10</v>
      </c>
      <c r="B20" s="42" t="str">
        <f>Data!AY20</f>
        <v>Lounge</v>
      </c>
      <c r="C20" s="41" t="str">
        <f>'Job Sheet'!U20</f>
        <v>Maxim 10nm Switch Motor</v>
      </c>
      <c r="D20" s="93" t="str">
        <f>IF(Data!AV20="","",IF(OR('Job Sheet'!T20="12v ODS System",'Job Sheet'!T20="Firesafe 12v ODS System"),"1",""))</f>
        <v/>
      </c>
      <c r="E20" s="41" t="str">
        <f>IF(OR('Job Sheet'!W20="No Controller or Charger",'Job Sheet'!W20="None"),"",'Job Sheet'!W20)</f>
        <v>Toggle Wall Switch</v>
      </c>
      <c r="F20" s="41" t="str">
        <f>IF('Job Sheet'!AT20="No","",'Job Sheet'!AT20)</f>
        <v>Included with Motor</v>
      </c>
      <c r="G20" s="41" t="str">
        <f>IF(OR(Data!AV20="",'Job Sheet'!T20="Spring"),"",VLOOKUP(C20,DriveSets,2,FALSE))</f>
        <v>Included with Motor</v>
      </c>
      <c r="H20" s="41" t="str">
        <f>'Job Sheet'!Z20</f>
        <v/>
      </c>
      <c r="I20" s="41" t="str">
        <f>'Job Sheet'!AA20</f>
        <v/>
      </c>
      <c r="J20" s="174" t="str">
        <f t="array" ref="J20">IF(Data!AV20="","",IF('Job Sheet'!J20&gt;2100,CONCATENATE('Job Sheet'!BD20," x 10"),IF(OR(bpLOOKUP(Data!$AV20,"FIXING",CustOrdOpt,6,FALSE)="Hebel",'Job Sheet'!J20&gt;1800),CONCATENATE('Job Sheet'!BD20," x 8"),CONCATENATE('Job Sheet'!BD20," x 6"))))</f>
        <v>Monument x 6</v>
      </c>
      <c r="K20" s="93">
        <f>IF(Data!AV20="","",VLOOKUP('Job Sheet'!I20,SecurityClips,2,TRUE))</f>
        <v>4</v>
      </c>
      <c r="L20" s="93" t="str">
        <f>IF(Data!AV20="","","1")</f>
        <v>1</v>
      </c>
      <c r="M20" s="93" t="str">
        <f>IF(Data!AV20="","",IF(A20="","","1 Pair"))</f>
        <v>1 Pair</v>
      </c>
      <c r="N20" s="93" t="str">
        <f>IF('Job Sheet'!AE20="Yes","2","")</f>
        <v>2</v>
      </c>
      <c r="O20" s="41" t="str">
        <f>'Tube Cutting'!T20</f>
        <v/>
      </c>
      <c r="P20" s="133" t="str">
        <f>'Tube Cutting'!U20</f>
        <v/>
      </c>
      <c r="Q20" s="133" t="str">
        <f>'Tube Cutting'!V20</f>
        <v/>
      </c>
      <c r="R20" s="133" t="str">
        <f>'Tube Cutting'!W20</f>
        <v/>
      </c>
      <c r="S20" s="133" t="str">
        <f>'Tube Cutting'!X20</f>
        <v/>
      </c>
      <c r="T20" s="41" t="str">
        <f>'Job Sheet'!AL20</f>
        <v/>
      </c>
      <c r="U20" s="133" t="str">
        <f>'Job Sheet'!Y20</f>
        <v/>
      </c>
      <c r="V20" s="41" t="str">
        <f>IF('Job Sheet'!X20="","",CONCATENATE('Job Sheet'!X20," Parts"))</f>
        <v/>
      </c>
      <c r="W20" s="41" t="str">
        <f>'Job Sheet'!AR20</f>
        <v/>
      </c>
      <c r="X20" s="180">
        <f t="shared" si="0"/>
        <v>10</v>
      </c>
    </row>
    <row r="21" spans="1:16" s="45" customFormat="1" ht="60" customHeight="1">
      <c r="A21" s="60"/>
      <c r="B21" s="60"/>
      <c r="C21" s="60"/>
      <c r="D21" s="60"/>
      <c r="E21" s="60"/>
      <c r="F21" s="60"/>
      <c r="G21" s="60"/>
      <c r="H21" s="60"/>
      <c r="I21" s="60"/>
      <c r="J21" s="61"/>
      <c r="K21" s="60"/>
      <c r="L21" s="60"/>
      <c r="M21" s="60"/>
      <c r="N21" s="60"/>
      <c r="O21" s="60"/>
      <c r="P21" s="60"/>
    </row>
    <row r="22" spans="1:16" s="45" customFormat="1" ht="60" customHeight="1">
      <c r="A22" s="60"/>
      <c r="B22" s="60"/>
      <c r="C22" s="60"/>
      <c r="D22" s="60"/>
      <c r="E22" s="60"/>
      <c r="F22" s="60"/>
      <c r="G22" s="60"/>
      <c r="H22" s="60"/>
      <c r="I22" s="60"/>
      <c r="J22" s="61"/>
      <c r="K22" s="60"/>
      <c r="L22" s="60"/>
      <c r="M22" s="60"/>
      <c r="N22" s="60"/>
      <c r="O22" s="60"/>
      <c r="P22" s="60"/>
    </row>
    <row r="23" spans="1:16" s="45" customFormat="1" ht="60" customHeight="1">
      <c r="A23" s="60"/>
      <c r="B23" s="60"/>
      <c r="C23" s="60"/>
      <c r="D23" s="60"/>
      <c r="E23" s="60"/>
      <c r="F23" s="60"/>
      <c r="G23" s="60"/>
      <c r="H23" s="60"/>
      <c r="I23" s="60"/>
      <c r="J23" s="61"/>
      <c r="K23" s="60"/>
      <c r="L23" s="60"/>
      <c r="M23" s="60"/>
      <c r="N23" s="60"/>
      <c r="O23" s="60"/>
      <c r="P23" s="60"/>
    </row>
    <row r="24" spans="1:16" s="45" customFormat="1" ht="60" customHeight="1">
      <c r="A24" s="60"/>
      <c r="B24" s="60"/>
      <c r="C24" s="60"/>
      <c r="D24" s="60"/>
      <c r="E24" s="60"/>
      <c r="F24" s="60"/>
      <c r="G24" s="60"/>
      <c r="H24" s="60"/>
      <c r="I24" s="60"/>
      <c r="J24" s="61"/>
      <c r="K24" s="60"/>
      <c r="L24" s="60"/>
      <c r="M24" s="60"/>
      <c r="N24" s="60"/>
      <c r="O24" s="60"/>
      <c r="P24" s="60"/>
    </row>
    <row r="25" spans="1:16" s="45" customFormat="1" ht="60" customHeight="1">
      <c r="A25" s="60"/>
      <c r="B25" s="60"/>
      <c r="C25" s="60"/>
      <c r="D25" s="60"/>
      <c r="E25" s="60"/>
      <c r="F25" s="60"/>
      <c r="G25" s="60"/>
      <c r="H25" s="60"/>
      <c r="I25" s="60"/>
      <c r="J25" s="61"/>
      <c r="K25" s="60"/>
      <c r="L25" s="60"/>
      <c r="M25" s="60"/>
      <c r="N25" s="60"/>
      <c r="O25" s="60"/>
      <c r="P25" s="60"/>
    </row>
    <row r="26" spans="1:16" s="45" customFormat="1" ht="60" customHeight="1">
      <c r="A26" s="60"/>
      <c r="B26" s="60"/>
      <c r="C26" s="60"/>
      <c r="D26" s="60"/>
      <c r="E26" s="60"/>
      <c r="F26" s="60"/>
      <c r="G26" s="60"/>
      <c r="H26" s="60"/>
      <c r="I26" s="60"/>
      <c r="J26" s="61"/>
      <c r="K26" s="60"/>
      <c r="L26" s="60"/>
      <c r="M26" s="60"/>
      <c r="N26" s="60"/>
      <c r="O26" s="60"/>
      <c r="P26" s="60"/>
    </row>
    <row r="27" spans="1:16" s="45" customFormat="1" ht="60" customHeight="1">
      <c r="A27" s="60"/>
      <c r="B27" s="60"/>
      <c r="C27" s="60"/>
      <c r="D27" s="60"/>
      <c r="E27" s="60"/>
      <c r="F27" s="60"/>
      <c r="G27" s="60"/>
      <c r="H27" s="60"/>
      <c r="I27" s="60"/>
      <c r="J27" s="61"/>
      <c r="K27" s="60"/>
      <c r="L27" s="60"/>
      <c r="M27" s="60"/>
      <c r="N27" s="60"/>
      <c r="O27" s="60"/>
      <c r="P27" s="60"/>
    </row>
    <row r="28" spans="1:16" s="45" customFormat="1" ht="60" customHeight="1">
      <c r="A28" s="60"/>
      <c r="B28" s="60"/>
      <c r="C28" s="60"/>
      <c r="D28" s="60"/>
      <c r="E28" s="60"/>
      <c r="F28" s="60"/>
      <c r="G28" s="60"/>
      <c r="H28" s="60"/>
      <c r="I28" s="60"/>
      <c r="J28" s="61"/>
      <c r="K28" s="60"/>
      <c r="L28" s="60"/>
      <c r="M28" s="60"/>
      <c r="N28" s="60"/>
      <c r="O28" s="60"/>
      <c r="P28" s="60"/>
    </row>
    <row r="29" spans="1:16" s="45" customFormat="1" ht="60" customHeight="1">
      <c r="A29" s="60"/>
      <c r="B29" s="60"/>
      <c r="C29" s="60"/>
      <c r="D29" s="60"/>
      <c r="E29" s="60"/>
      <c r="F29" s="60"/>
      <c r="G29" s="60"/>
      <c r="H29" s="60"/>
      <c r="I29" s="60"/>
      <c r="J29" s="61"/>
      <c r="K29" s="60"/>
      <c r="L29" s="60"/>
      <c r="M29" s="60"/>
      <c r="N29" s="60"/>
      <c r="O29" s="60"/>
      <c r="P29" s="60"/>
    </row>
    <row r="30" spans="1:16" s="45" customFormat="1" ht="60" customHeight="1">
      <c r="A30" s="60"/>
      <c r="B30" s="60"/>
      <c r="C30" s="60"/>
      <c r="D30" s="60"/>
      <c r="E30" s="60"/>
      <c r="F30" s="60"/>
      <c r="G30" s="60"/>
      <c r="H30" s="60"/>
      <c r="I30" s="60"/>
      <c r="J30" s="61"/>
      <c r="K30" s="60"/>
      <c r="L30" s="60"/>
      <c r="M30" s="60"/>
      <c r="N30" s="60"/>
      <c r="O30" s="60"/>
      <c r="P30" s="60"/>
    </row>
    <row r="31" spans="1:16" s="45" customFormat="1" ht="60" customHeight="1">
      <c r="A31" s="60"/>
      <c r="B31" s="60"/>
      <c r="C31" s="60"/>
      <c r="D31" s="60"/>
      <c r="E31" s="60"/>
      <c r="F31" s="60"/>
      <c r="G31" s="60"/>
      <c r="H31" s="60"/>
      <c r="I31" s="60"/>
      <c r="J31" s="61"/>
      <c r="K31" s="60"/>
      <c r="L31" s="60"/>
      <c r="M31" s="60"/>
      <c r="N31" s="60"/>
      <c r="O31" s="60"/>
      <c r="P31" s="60"/>
    </row>
    <row r="32" spans="1:16" s="45" customFormat="1" ht="60" customHeight="1">
      <c r="A32" s="60"/>
      <c r="B32" s="60"/>
      <c r="C32" s="60"/>
      <c r="D32" s="60"/>
      <c r="E32" s="60"/>
      <c r="F32" s="60"/>
      <c r="G32" s="60"/>
      <c r="H32" s="60"/>
      <c r="I32" s="60"/>
      <c r="J32" s="61"/>
      <c r="K32" s="60"/>
      <c r="L32" s="60"/>
      <c r="M32" s="60"/>
      <c r="N32" s="60"/>
      <c r="O32" s="60"/>
      <c r="P32" s="60"/>
    </row>
    <row r="33" spans="1:16" s="45" customFormat="1" ht="60" customHeight="1">
      <c r="A33" s="60"/>
      <c r="B33" s="60"/>
      <c r="C33" s="60"/>
      <c r="D33" s="60"/>
      <c r="E33" s="60"/>
      <c r="F33" s="60"/>
      <c r="G33" s="60"/>
      <c r="H33" s="60"/>
      <c r="I33" s="60"/>
      <c r="J33" s="61"/>
      <c r="K33" s="60"/>
      <c r="L33" s="60"/>
      <c r="M33" s="60"/>
      <c r="N33" s="60"/>
      <c r="O33" s="60"/>
      <c r="P33" s="60"/>
    </row>
    <row r="34" spans="1:16" s="45" customFormat="1" ht="60" customHeight="1">
      <c r="A34" s="60"/>
      <c r="B34" s="60"/>
      <c r="C34" s="60"/>
      <c r="D34" s="60"/>
      <c r="E34" s="60"/>
      <c r="F34" s="60"/>
      <c r="G34" s="60"/>
      <c r="H34" s="60"/>
      <c r="I34" s="60"/>
      <c r="J34" s="61"/>
      <c r="K34" s="60"/>
      <c r="L34" s="60"/>
      <c r="M34" s="60"/>
      <c r="N34" s="60"/>
      <c r="O34" s="60"/>
      <c r="P34" s="60"/>
    </row>
    <row r="35" spans="1:16" s="45" customFormat="1" ht="60" customHeight="1">
      <c r="A35" s="60"/>
      <c r="B35" s="60"/>
      <c r="C35" s="60"/>
      <c r="D35" s="60"/>
      <c r="E35" s="60"/>
      <c r="F35" s="60"/>
      <c r="G35" s="60"/>
      <c r="H35" s="60"/>
      <c r="I35" s="60"/>
      <c r="J35" s="61"/>
      <c r="K35" s="60"/>
      <c r="L35" s="60"/>
      <c r="M35" s="60"/>
      <c r="N35" s="60"/>
      <c r="O35" s="60"/>
      <c r="P35" s="60"/>
    </row>
    <row r="36" spans="1:16" s="45" customFormat="1" ht="60" customHeight="1">
      <c r="A36" s="60"/>
      <c r="B36" s="60"/>
      <c r="C36" s="60"/>
      <c r="D36" s="60"/>
      <c r="E36" s="60"/>
      <c r="F36" s="60"/>
      <c r="G36" s="60"/>
      <c r="H36" s="60"/>
      <c r="I36" s="60"/>
      <c r="J36" s="61"/>
      <c r="K36" s="60"/>
      <c r="L36" s="60"/>
      <c r="M36" s="60"/>
      <c r="N36" s="60"/>
      <c r="O36" s="60"/>
      <c r="P36" s="60"/>
    </row>
    <row r="37" spans="1:16" s="45" customFormat="1" ht="60" customHeight="1">
      <c r="A37" s="60"/>
      <c r="B37" s="60"/>
      <c r="C37" s="60"/>
      <c r="D37" s="60"/>
      <c r="E37" s="60"/>
      <c r="F37" s="60"/>
      <c r="G37" s="60"/>
      <c r="H37" s="60"/>
      <c r="I37" s="60"/>
      <c r="J37" s="61"/>
      <c r="K37" s="60"/>
      <c r="L37" s="60"/>
      <c r="M37" s="60"/>
      <c r="N37" s="60"/>
      <c r="O37" s="60"/>
      <c r="P37" s="60"/>
    </row>
    <row r="38" spans="1:16" s="45" customFormat="1" ht="60" customHeight="1">
      <c r="A38" s="60"/>
      <c r="B38" s="60"/>
      <c r="C38" s="60"/>
      <c r="D38" s="60"/>
      <c r="E38" s="60"/>
      <c r="F38" s="60"/>
      <c r="G38" s="60"/>
      <c r="H38" s="60"/>
      <c r="I38" s="60"/>
      <c r="J38" s="61"/>
      <c r="K38" s="60"/>
      <c r="L38" s="60"/>
      <c r="M38" s="60"/>
      <c r="N38" s="60"/>
      <c r="O38" s="60"/>
      <c r="P38" s="60"/>
    </row>
    <row r="39" spans="1:16" s="45" customFormat="1" ht="60" customHeight="1">
      <c r="A39" s="60"/>
      <c r="B39" s="60"/>
      <c r="C39" s="60"/>
      <c r="D39" s="60"/>
      <c r="E39" s="60"/>
      <c r="F39" s="60"/>
      <c r="G39" s="60"/>
      <c r="H39" s="60"/>
      <c r="I39" s="60"/>
      <c r="J39" s="61"/>
      <c r="K39" s="60"/>
      <c r="L39" s="60"/>
      <c r="M39" s="60"/>
      <c r="N39" s="60"/>
      <c r="O39" s="60"/>
      <c r="P39" s="60"/>
    </row>
    <row r="40" spans="1:16" s="45" customFormat="1" ht="60" customHeight="1">
      <c r="A40" s="60"/>
      <c r="B40" s="60"/>
      <c r="C40" s="60"/>
      <c r="D40" s="60"/>
      <c r="E40" s="60"/>
      <c r="F40" s="60"/>
      <c r="G40" s="60"/>
      <c r="H40" s="60"/>
      <c r="I40" s="60"/>
      <c r="J40" s="61"/>
      <c r="K40" s="60"/>
      <c r="L40" s="60"/>
      <c r="M40" s="60"/>
      <c r="N40" s="60"/>
      <c r="O40" s="60"/>
      <c r="P40" s="60"/>
    </row>
    <row r="41" spans="1:16" s="45" customFormat="1" ht="60" customHeight="1">
      <c r="A41" s="60"/>
      <c r="B41" s="60"/>
      <c r="C41" s="60"/>
      <c r="D41" s="60"/>
      <c r="E41" s="60"/>
      <c r="F41" s="60"/>
      <c r="G41" s="60"/>
      <c r="H41" s="60"/>
      <c r="I41" s="60"/>
      <c r="J41" s="61"/>
      <c r="K41" s="60"/>
      <c r="L41" s="60"/>
      <c r="M41" s="60"/>
      <c r="N41" s="60"/>
      <c r="O41" s="60"/>
      <c r="P41" s="60"/>
    </row>
    <row r="42" spans="1:16" s="45" customFormat="1" ht="60" customHeight="1">
      <c r="A42" s="60"/>
      <c r="B42" s="60"/>
      <c r="C42" s="60"/>
      <c r="D42" s="60"/>
      <c r="E42" s="60"/>
      <c r="F42" s="60"/>
      <c r="G42" s="60"/>
      <c r="H42" s="60"/>
      <c r="I42" s="60"/>
      <c r="J42" s="61"/>
      <c r="K42" s="60"/>
      <c r="L42" s="60"/>
      <c r="M42" s="60"/>
      <c r="N42" s="60"/>
      <c r="O42" s="60"/>
      <c r="P42" s="60"/>
    </row>
    <row r="43" spans="1:16" s="45" customFormat="1" ht="60" customHeight="1">
      <c r="A43" s="60"/>
      <c r="B43" s="60"/>
      <c r="C43" s="60"/>
      <c r="D43" s="60"/>
      <c r="E43" s="60"/>
      <c r="F43" s="60"/>
      <c r="G43" s="60"/>
      <c r="H43" s="60"/>
      <c r="I43" s="60"/>
      <c r="J43" s="61"/>
      <c r="K43" s="60"/>
      <c r="L43" s="60"/>
      <c r="M43" s="60"/>
      <c r="N43" s="60"/>
      <c r="O43" s="60"/>
      <c r="P43" s="60"/>
    </row>
    <row r="44" spans="1:16" s="45" customFormat="1" ht="60" customHeight="1">
      <c r="A44" s="60"/>
      <c r="B44" s="60"/>
      <c r="C44" s="60"/>
      <c r="D44" s="60"/>
      <c r="E44" s="60"/>
      <c r="F44" s="60"/>
      <c r="G44" s="60"/>
      <c r="H44" s="60"/>
      <c r="I44" s="60"/>
      <c r="J44" s="61"/>
      <c r="K44" s="60"/>
      <c r="L44" s="60"/>
      <c r="M44" s="60"/>
      <c r="N44" s="60"/>
      <c r="O44" s="60"/>
      <c r="P44" s="60"/>
    </row>
    <row r="45" spans="1:16" s="45" customFormat="1" ht="60" customHeight="1">
      <c r="A45" s="60"/>
      <c r="B45" s="60"/>
      <c r="C45" s="60"/>
      <c r="D45" s="60"/>
      <c r="E45" s="60"/>
      <c r="F45" s="60"/>
      <c r="G45" s="60"/>
      <c r="H45" s="60"/>
      <c r="I45" s="60"/>
      <c r="J45" s="61"/>
      <c r="K45" s="60"/>
      <c r="L45" s="60"/>
      <c r="M45" s="60"/>
      <c r="N45" s="60"/>
      <c r="O45" s="60"/>
      <c r="P45" s="60"/>
    </row>
    <row r="46" spans="1:16" s="45" customFormat="1" ht="60" customHeight="1">
      <c r="A46" s="60"/>
      <c r="B46" s="60"/>
      <c r="C46" s="60"/>
      <c r="D46" s="60"/>
      <c r="E46" s="60"/>
      <c r="F46" s="60"/>
      <c r="G46" s="60"/>
      <c r="H46" s="60"/>
      <c r="I46" s="60"/>
      <c r="J46" s="61"/>
      <c r="K46" s="60"/>
      <c r="L46" s="60"/>
      <c r="M46" s="60"/>
      <c r="N46" s="60"/>
      <c r="O46" s="60"/>
      <c r="P46" s="60"/>
    </row>
    <row r="47" spans="1:16" s="45" customFormat="1" ht="60" customHeight="1">
      <c r="A47" s="60"/>
      <c r="B47" s="60"/>
      <c r="C47" s="60"/>
      <c r="D47" s="60"/>
      <c r="E47" s="60"/>
      <c r="F47" s="60"/>
      <c r="G47" s="60"/>
      <c r="H47" s="60"/>
      <c r="I47" s="60"/>
      <c r="J47" s="61"/>
      <c r="K47" s="60"/>
      <c r="L47" s="60"/>
      <c r="M47" s="60"/>
      <c r="N47" s="60"/>
      <c r="O47" s="60"/>
      <c r="P47" s="60"/>
    </row>
    <row r="48" spans="1:16" s="45" customFormat="1" ht="60" customHeight="1">
      <c r="A48" s="60"/>
      <c r="B48" s="60"/>
      <c r="C48" s="60"/>
      <c r="D48" s="60"/>
      <c r="E48" s="60"/>
      <c r="F48" s="60"/>
      <c r="G48" s="60"/>
      <c r="H48" s="60"/>
      <c r="I48" s="60"/>
      <c r="J48" s="61"/>
      <c r="K48" s="60"/>
      <c r="L48" s="60"/>
      <c r="M48" s="60"/>
      <c r="N48" s="60"/>
      <c r="O48" s="60"/>
      <c r="P48" s="60"/>
    </row>
    <row r="49" spans="1:16" s="45" customFormat="1" ht="60" customHeight="1">
      <c r="A49" s="60"/>
      <c r="B49" s="60"/>
      <c r="C49" s="60"/>
      <c r="D49" s="60"/>
      <c r="E49" s="60"/>
      <c r="F49" s="60"/>
      <c r="G49" s="60"/>
      <c r="H49" s="60"/>
      <c r="I49" s="60"/>
      <c r="J49" s="61"/>
      <c r="K49" s="60"/>
      <c r="L49" s="60"/>
      <c r="M49" s="60"/>
      <c r="N49" s="60"/>
      <c r="O49" s="60"/>
      <c r="P49" s="60"/>
    </row>
    <row r="50" spans="1:16" s="45" customFormat="1" ht="60" customHeight="1">
      <c r="A50" s="60"/>
      <c r="B50" s="60"/>
      <c r="C50" s="60"/>
      <c r="D50" s="60"/>
      <c r="E50" s="60"/>
      <c r="F50" s="60"/>
      <c r="G50" s="60"/>
      <c r="H50" s="60"/>
      <c r="I50" s="60"/>
      <c r="J50" s="61"/>
      <c r="K50" s="60"/>
      <c r="L50" s="60"/>
      <c r="M50" s="60"/>
      <c r="N50" s="60"/>
      <c r="O50" s="60"/>
      <c r="P50" s="60"/>
    </row>
    <row r="51" spans="1:16" s="45" customFormat="1" ht="60" customHeight="1">
      <c r="A51" s="60"/>
      <c r="B51" s="60"/>
      <c r="C51" s="60"/>
      <c r="D51" s="60"/>
      <c r="E51" s="60"/>
      <c r="F51" s="60"/>
      <c r="G51" s="60"/>
      <c r="H51" s="60"/>
      <c r="I51" s="60"/>
      <c r="J51" s="61"/>
      <c r="K51" s="60"/>
      <c r="L51" s="60"/>
      <c r="M51" s="60"/>
      <c r="N51" s="60"/>
      <c r="O51" s="60"/>
      <c r="P51" s="60"/>
    </row>
    <row r="52" spans="1:16" s="45" customFormat="1" ht="60" customHeight="1">
      <c r="A52" s="60"/>
      <c r="B52" s="60"/>
      <c r="C52" s="60"/>
      <c r="D52" s="60"/>
      <c r="E52" s="60"/>
      <c r="F52" s="60"/>
      <c r="G52" s="60"/>
      <c r="H52" s="60"/>
      <c r="I52" s="60"/>
      <c r="J52" s="61"/>
      <c r="K52" s="60"/>
      <c r="L52" s="60"/>
      <c r="M52" s="60"/>
      <c r="N52" s="60"/>
      <c r="O52" s="60"/>
      <c r="P52" s="60"/>
    </row>
    <row r="53" spans="1:16" s="45" customFormat="1" ht="60" customHeight="1">
      <c r="A53" s="60"/>
      <c r="B53" s="60"/>
      <c r="C53" s="60"/>
      <c r="D53" s="60"/>
      <c r="E53" s="60"/>
      <c r="F53" s="60"/>
      <c r="G53" s="60"/>
      <c r="H53" s="60"/>
      <c r="I53" s="60"/>
      <c r="J53" s="61"/>
      <c r="K53" s="60"/>
      <c r="L53" s="60"/>
      <c r="M53" s="60"/>
      <c r="N53" s="60"/>
      <c r="O53" s="60"/>
      <c r="P53" s="60"/>
    </row>
    <row r="54" spans="1:16" s="45" customFormat="1" ht="60" customHeight="1">
      <c r="A54" s="60"/>
      <c r="B54" s="60"/>
      <c r="C54" s="60"/>
      <c r="D54" s="60"/>
      <c r="E54" s="60"/>
      <c r="F54" s="60"/>
      <c r="G54" s="60"/>
      <c r="H54" s="60"/>
      <c r="I54" s="60"/>
      <c r="J54" s="61"/>
      <c r="K54" s="60"/>
      <c r="L54" s="60"/>
      <c r="M54" s="60"/>
      <c r="N54" s="60"/>
      <c r="O54" s="60"/>
      <c r="P54" s="60"/>
    </row>
    <row r="55" spans="1:16" s="45" customFormat="1" ht="60" customHeight="1">
      <c r="A55" s="60"/>
      <c r="B55" s="60"/>
      <c r="C55" s="60"/>
      <c r="D55" s="60"/>
      <c r="E55" s="60"/>
      <c r="F55" s="60"/>
      <c r="G55" s="60"/>
      <c r="H55" s="60"/>
      <c r="I55" s="60"/>
      <c r="J55" s="61"/>
      <c r="K55" s="60"/>
      <c r="L55" s="60"/>
      <c r="M55" s="60"/>
      <c r="N55" s="60"/>
      <c r="O55" s="60"/>
      <c r="P55" s="60"/>
    </row>
    <row r="56" spans="1:16" s="45" customFormat="1" ht="60" customHeight="1">
      <c r="A56" s="60"/>
      <c r="B56" s="60"/>
      <c r="C56" s="60"/>
      <c r="D56" s="60"/>
      <c r="E56" s="60"/>
      <c r="F56" s="60"/>
      <c r="G56" s="60"/>
      <c r="H56" s="60"/>
      <c r="I56" s="60"/>
      <c r="J56" s="61"/>
      <c r="K56" s="60"/>
      <c r="L56" s="60"/>
      <c r="M56" s="60"/>
      <c r="N56" s="60"/>
      <c r="O56" s="60"/>
      <c r="P56" s="60"/>
    </row>
    <row r="57" spans="1:16" s="45" customFormat="1" ht="60" customHeight="1">
      <c r="A57" s="60"/>
      <c r="B57" s="60"/>
      <c r="C57" s="60"/>
      <c r="D57" s="60"/>
      <c r="E57" s="60"/>
      <c r="F57" s="60"/>
      <c r="G57" s="60"/>
      <c r="H57" s="60"/>
      <c r="I57" s="60"/>
      <c r="J57" s="61"/>
      <c r="K57" s="60"/>
      <c r="L57" s="60"/>
      <c r="M57" s="60"/>
      <c r="N57" s="60"/>
      <c r="O57" s="60"/>
      <c r="P57" s="60"/>
    </row>
    <row r="58" spans="1:16" s="45" customFormat="1" ht="60" customHeight="1">
      <c r="A58" s="60"/>
      <c r="B58" s="60"/>
      <c r="C58" s="60"/>
      <c r="D58" s="60"/>
      <c r="E58" s="60"/>
      <c r="F58" s="60"/>
      <c r="G58" s="60"/>
      <c r="H58" s="60"/>
      <c r="I58" s="60"/>
      <c r="J58" s="61"/>
      <c r="K58" s="60"/>
      <c r="L58" s="60"/>
      <c r="M58" s="60"/>
      <c r="N58" s="60"/>
      <c r="O58" s="60"/>
      <c r="P58" s="60"/>
    </row>
    <row r="59" spans="1:16" s="45" customFormat="1" ht="60" customHeight="1">
      <c r="A59" s="60"/>
      <c r="B59" s="60"/>
      <c r="C59" s="60"/>
      <c r="D59" s="60"/>
      <c r="E59" s="60"/>
      <c r="F59" s="60"/>
      <c r="G59" s="60"/>
      <c r="H59" s="60"/>
      <c r="I59" s="60"/>
      <c r="J59" s="61"/>
      <c r="K59" s="60"/>
      <c r="L59" s="60"/>
      <c r="M59" s="60"/>
      <c r="N59" s="60"/>
      <c r="O59" s="60"/>
      <c r="P59" s="60"/>
    </row>
    <row r="60" spans="1:16" s="45" customFormat="1" ht="60" customHeight="1">
      <c r="A60" s="60"/>
      <c r="B60" s="60"/>
      <c r="C60" s="60"/>
      <c r="D60" s="60"/>
      <c r="E60" s="60"/>
      <c r="F60" s="60"/>
      <c r="G60" s="60"/>
      <c r="H60" s="60"/>
      <c r="I60" s="60"/>
      <c r="J60" s="61"/>
      <c r="K60" s="60"/>
      <c r="L60" s="60"/>
      <c r="M60" s="60"/>
      <c r="N60" s="60"/>
      <c r="O60" s="60"/>
      <c r="P60" s="60"/>
    </row>
    <row r="61" spans="1:16" s="45" customFormat="1" ht="60" customHeight="1">
      <c r="A61" s="60"/>
      <c r="B61" s="60"/>
      <c r="C61" s="60"/>
      <c r="D61" s="60"/>
      <c r="E61" s="60"/>
      <c r="F61" s="60"/>
      <c r="G61" s="60"/>
      <c r="H61" s="60"/>
      <c r="I61" s="60"/>
      <c r="J61" s="61"/>
      <c r="K61" s="60"/>
      <c r="L61" s="60"/>
      <c r="M61" s="60"/>
      <c r="N61" s="60"/>
      <c r="O61" s="60"/>
      <c r="P61" s="60"/>
    </row>
    <row r="62" spans="1:16" s="45" customFormat="1" ht="60" customHeight="1">
      <c r="A62" s="60"/>
      <c r="B62" s="60"/>
      <c r="C62" s="60"/>
      <c r="D62" s="60"/>
      <c r="E62" s="60"/>
      <c r="F62" s="60"/>
      <c r="G62" s="60"/>
      <c r="H62" s="60"/>
      <c r="I62" s="60"/>
      <c r="J62" s="61"/>
      <c r="K62" s="60"/>
      <c r="L62" s="60"/>
      <c r="M62" s="60"/>
      <c r="N62" s="60"/>
      <c r="O62" s="60"/>
      <c r="P62" s="60"/>
    </row>
    <row r="63" spans="1:16" s="45" customFormat="1" ht="60" customHeight="1">
      <c r="A63" s="60"/>
      <c r="B63" s="60"/>
      <c r="C63" s="60"/>
      <c r="D63" s="60"/>
      <c r="E63" s="60"/>
      <c r="F63" s="60"/>
      <c r="G63" s="60"/>
      <c r="H63" s="60"/>
      <c r="I63" s="60"/>
      <c r="J63" s="61"/>
      <c r="K63" s="60"/>
      <c r="L63" s="60"/>
      <c r="M63" s="60"/>
      <c r="N63" s="60"/>
      <c r="O63" s="60"/>
      <c r="P63" s="60"/>
    </row>
    <row r="64" spans="1:16" s="45" customFormat="1" ht="60" customHeight="1">
      <c r="A64" s="60"/>
      <c r="B64" s="60"/>
      <c r="C64" s="60"/>
      <c r="D64" s="60"/>
      <c r="E64" s="60"/>
      <c r="F64" s="60"/>
      <c r="G64" s="60"/>
      <c r="H64" s="60"/>
      <c r="I64" s="60"/>
      <c r="J64" s="61"/>
      <c r="K64" s="60"/>
      <c r="L64" s="60"/>
      <c r="M64" s="60"/>
      <c r="N64" s="60"/>
      <c r="O64" s="60"/>
      <c r="P64" s="60"/>
    </row>
    <row r="65" spans="1:16" s="45" customFormat="1" ht="60" customHeight="1">
      <c r="A65" s="60"/>
      <c r="B65" s="60"/>
      <c r="C65" s="60"/>
      <c r="D65" s="60"/>
      <c r="E65" s="60"/>
      <c r="F65" s="60"/>
      <c r="G65" s="60"/>
      <c r="H65" s="60"/>
      <c r="I65" s="60"/>
      <c r="J65" s="61"/>
      <c r="K65" s="60"/>
      <c r="L65" s="60"/>
      <c r="M65" s="60"/>
      <c r="N65" s="60"/>
      <c r="O65" s="60"/>
      <c r="P65" s="60"/>
    </row>
    <row r="66" spans="1:16" s="45" customFormat="1" ht="60" customHeight="1">
      <c r="A66" s="60"/>
      <c r="B66" s="60"/>
      <c r="C66" s="60"/>
      <c r="D66" s="60"/>
      <c r="E66" s="60"/>
      <c r="F66" s="60"/>
      <c r="G66" s="60"/>
      <c r="H66" s="60"/>
      <c r="I66" s="60"/>
      <c r="J66" s="61"/>
      <c r="K66" s="60"/>
      <c r="L66" s="60"/>
      <c r="M66" s="60"/>
      <c r="N66" s="60"/>
      <c r="O66" s="60"/>
      <c r="P66" s="60"/>
    </row>
    <row r="67" spans="1:16" s="45" customFormat="1" ht="60" customHeight="1">
      <c r="A67" s="60"/>
      <c r="B67" s="60"/>
      <c r="C67" s="60"/>
      <c r="D67" s="60"/>
      <c r="E67" s="60"/>
      <c r="F67" s="60"/>
      <c r="G67" s="60"/>
      <c r="H67" s="60"/>
      <c r="I67" s="60"/>
      <c r="J67" s="61"/>
      <c r="K67" s="60"/>
      <c r="L67" s="60"/>
      <c r="M67" s="60"/>
      <c r="N67" s="60"/>
      <c r="O67" s="60"/>
      <c r="P67" s="60"/>
    </row>
    <row r="68" spans="1:16" s="45" customFormat="1" ht="60" customHeight="1">
      <c r="A68" s="60"/>
      <c r="B68" s="60"/>
      <c r="C68" s="60"/>
      <c r="D68" s="60"/>
      <c r="E68" s="60"/>
      <c r="F68" s="60"/>
      <c r="G68" s="60"/>
      <c r="H68" s="60"/>
      <c r="I68" s="60"/>
      <c r="J68" s="61"/>
      <c r="K68" s="60"/>
      <c r="L68" s="60"/>
      <c r="M68" s="60"/>
      <c r="N68" s="60"/>
      <c r="O68" s="60"/>
      <c r="P68" s="60"/>
    </row>
    <row r="69" spans="1:16" s="45" customFormat="1" ht="60" customHeight="1">
      <c r="A69" s="60"/>
      <c r="B69" s="60"/>
      <c r="C69" s="60"/>
      <c r="D69" s="60"/>
      <c r="E69" s="60"/>
      <c r="F69" s="60"/>
      <c r="G69" s="60"/>
      <c r="H69" s="60"/>
      <c r="I69" s="60"/>
      <c r="J69" s="61"/>
      <c r="K69" s="60"/>
      <c r="L69" s="60"/>
      <c r="M69" s="60"/>
      <c r="N69" s="60"/>
      <c r="O69" s="60"/>
      <c r="P69" s="60"/>
    </row>
    <row r="70" spans="1:16" s="45" customFormat="1" ht="60" customHeight="1">
      <c r="A70" s="60"/>
      <c r="B70" s="60"/>
      <c r="C70" s="60"/>
      <c r="D70" s="60"/>
      <c r="E70" s="60"/>
      <c r="F70" s="60"/>
      <c r="G70" s="60"/>
      <c r="H70" s="60"/>
      <c r="I70" s="60"/>
      <c r="J70" s="61"/>
      <c r="K70" s="60"/>
      <c r="L70" s="60"/>
      <c r="M70" s="60"/>
      <c r="N70" s="60"/>
      <c r="O70" s="60"/>
      <c r="P70" s="60"/>
    </row>
    <row r="71" spans="1:16" s="45" customFormat="1" ht="60" customHeight="1">
      <c r="A71" s="60"/>
      <c r="B71" s="60"/>
      <c r="C71" s="60"/>
      <c r="D71" s="60"/>
      <c r="E71" s="60"/>
      <c r="F71" s="60"/>
      <c r="G71" s="60"/>
      <c r="H71" s="60"/>
      <c r="I71" s="60"/>
      <c r="J71" s="61"/>
      <c r="K71" s="60"/>
      <c r="L71" s="60"/>
      <c r="M71" s="60"/>
      <c r="N71" s="60"/>
      <c r="O71" s="60"/>
      <c r="P71" s="60"/>
    </row>
    <row r="72" spans="1:16" s="45" customFormat="1" ht="60" customHeight="1">
      <c r="A72" s="60"/>
      <c r="B72" s="60"/>
      <c r="C72" s="60"/>
      <c r="D72" s="60"/>
      <c r="E72" s="60"/>
      <c r="F72" s="60"/>
      <c r="G72" s="60"/>
      <c r="H72" s="60"/>
      <c r="I72" s="60"/>
      <c r="J72" s="61"/>
      <c r="K72" s="60"/>
      <c r="L72" s="60"/>
      <c r="M72" s="60"/>
      <c r="N72" s="60"/>
      <c r="O72" s="60"/>
      <c r="P72" s="60"/>
    </row>
    <row r="73" spans="1:16" s="45" customFormat="1" ht="60" customHeight="1">
      <c r="A73" s="60"/>
      <c r="B73" s="60"/>
      <c r="C73" s="60"/>
      <c r="D73" s="60"/>
      <c r="E73" s="60"/>
      <c r="F73" s="60"/>
      <c r="G73" s="60"/>
      <c r="H73" s="60"/>
      <c r="I73" s="60"/>
      <c r="J73" s="61"/>
      <c r="K73" s="60"/>
      <c r="L73" s="60"/>
      <c r="M73" s="60"/>
      <c r="N73" s="60"/>
      <c r="O73" s="60"/>
      <c r="P73" s="60"/>
    </row>
    <row r="74" spans="1:16" s="45" customFormat="1" ht="60" customHeight="1">
      <c r="A74" s="60"/>
      <c r="B74" s="60"/>
      <c r="C74" s="60"/>
      <c r="D74" s="60"/>
      <c r="E74" s="60"/>
      <c r="F74" s="60"/>
      <c r="G74" s="60"/>
      <c r="H74" s="60"/>
      <c r="I74" s="60"/>
      <c r="J74" s="61"/>
      <c r="K74" s="60"/>
      <c r="L74" s="60"/>
      <c r="M74" s="60"/>
      <c r="N74" s="60"/>
      <c r="O74" s="60"/>
      <c r="P74" s="60"/>
    </row>
    <row r="75" spans="1:16" s="45" customFormat="1" ht="60" customHeight="1">
      <c r="A75" s="60"/>
      <c r="B75" s="60"/>
      <c r="C75" s="60"/>
      <c r="D75" s="60"/>
      <c r="E75" s="60"/>
      <c r="F75" s="60"/>
      <c r="G75" s="60"/>
      <c r="H75" s="60"/>
      <c r="I75" s="60"/>
      <c r="J75" s="61"/>
      <c r="K75" s="60"/>
      <c r="L75" s="60"/>
      <c r="M75" s="60"/>
      <c r="N75" s="60"/>
      <c r="O75" s="60"/>
      <c r="P75" s="60"/>
    </row>
    <row r="76" spans="1:16" s="45" customFormat="1" ht="60" customHeight="1">
      <c r="A76" s="60"/>
      <c r="B76" s="60"/>
      <c r="C76" s="60"/>
      <c r="D76" s="60"/>
      <c r="E76" s="60"/>
      <c r="F76" s="60"/>
      <c r="G76" s="60"/>
      <c r="H76" s="60"/>
      <c r="I76" s="60"/>
      <c r="J76" s="61"/>
      <c r="K76" s="60"/>
      <c r="L76" s="60"/>
      <c r="M76" s="60"/>
      <c r="N76" s="60"/>
      <c r="O76" s="60"/>
      <c r="P76" s="60"/>
    </row>
    <row r="77" spans="1:16" s="45" customFormat="1" ht="60" customHeight="1">
      <c r="A77" s="60"/>
      <c r="B77" s="60"/>
      <c r="C77" s="60"/>
      <c r="D77" s="60"/>
      <c r="E77" s="60"/>
      <c r="F77" s="60"/>
      <c r="G77" s="60"/>
      <c r="H77" s="60"/>
      <c r="I77" s="60"/>
      <c r="J77" s="61"/>
      <c r="K77" s="60"/>
      <c r="L77" s="60"/>
      <c r="M77" s="60"/>
      <c r="N77" s="60"/>
      <c r="O77" s="60"/>
      <c r="P77" s="60"/>
    </row>
    <row r="78" spans="1:16" s="45" customFormat="1" ht="60" customHeight="1">
      <c r="A78" s="60"/>
      <c r="B78" s="60"/>
      <c r="C78" s="60"/>
      <c r="D78" s="60"/>
      <c r="E78" s="60"/>
      <c r="F78" s="60"/>
      <c r="G78" s="60"/>
      <c r="H78" s="60"/>
      <c r="I78" s="60"/>
      <c r="J78" s="61"/>
      <c r="K78" s="60"/>
      <c r="L78" s="60"/>
      <c r="M78" s="60"/>
      <c r="N78" s="60"/>
      <c r="O78" s="60"/>
      <c r="P78" s="60"/>
    </row>
    <row r="79" spans="1:16" s="45" customFormat="1" ht="60" customHeight="1">
      <c r="A79" s="60"/>
      <c r="B79" s="60"/>
      <c r="C79" s="60"/>
      <c r="D79" s="60"/>
      <c r="E79" s="60"/>
      <c r="F79" s="60"/>
      <c r="G79" s="60"/>
      <c r="H79" s="60"/>
      <c r="I79" s="60"/>
      <c r="J79" s="61"/>
      <c r="K79" s="60"/>
      <c r="L79" s="60"/>
      <c r="M79" s="60"/>
      <c r="N79" s="60"/>
      <c r="O79" s="60"/>
      <c r="P79" s="60"/>
    </row>
    <row r="80" spans="1:16" s="45" customFormat="1" ht="60" customHeight="1">
      <c r="A80" s="60"/>
      <c r="B80" s="60"/>
      <c r="C80" s="60"/>
      <c r="D80" s="60"/>
      <c r="E80" s="60"/>
      <c r="F80" s="60"/>
      <c r="G80" s="60"/>
      <c r="H80" s="60"/>
      <c r="I80" s="60"/>
      <c r="J80" s="61"/>
      <c r="K80" s="60"/>
      <c r="L80" s="60"/>
      <c r="M80" s="60"/>
      <c r="N80" s="60"/>
      <c r="O80" s="60"/>
      <c r="P80" s="60"/>
    </row>
    <row r="81" spans="1:16" s="45" customFormat="1" ht="60" customHeight="1">
      <c r="A81" s="60"/>
      <c r="B81" s="60"/>
      <c r="C81" s="60"/>
      <c r="D81" s="60"/>
      <c r="E81" s="60"/>
      <c r="F81" s="60"/>
      <c r="G81" s="60"/>
      <c r="H81" s="60"/>
      <c r="I81" s="60"/>
      <c r="J81" s="61"/>
      <c r="K81" s="60"/>
      <c r="L81" s="60"/>
      <c r="M81" s="60"/>
      <c r="N81" s="60"/>
      <c r="O81" s="60"/>
      <c r="P81" s="60"/>
    </row>
    <row r="82" spans="1:16" s="45" customFormat="1" ht="60" customHeight="1">
      <c r="A82" s="60"/>
      <c r="B82" s="60"/>
      <c r="C82" s="60"/>
      <c r="D82" s="60"/>
      <c r="E82" s="60"/>
      <c r="F82" s="60"/>
      <c r="G82" s="60"/>
      <c r="H82" s="60"/>
      <c r="I82" s="60"/>
      <c r="J82" s="61"/>
      <c r="K82" s="60"/>
      <c r="L82" s="60"/>
      <c r="M82" s="60"/>
      <c r="N82" s="60"/>
      <c r="O82" s="60"/>
      <c r="P82" s="60"/>
    </row>
    <row r="83" spans="17:23" ht="60" customHeight="1">
      <c r="Q83" s="45"/>
      <c r="R83" s="45"/>
      <c r="S83" s="45"/>
      <c r="T83" s="45"/>
      <c r="U83" s="45"/>
      <c r="V83" s="45"/>
      <c r="W83" s="45"/>
    </row>
    <row r="84" spans="17:18" ht="60" customHeight="1">
      <c r="Q84" s="45"/>
      <c r="R84" s="45"/>
    </row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100.2" customHeight="1"/>
    <row r="119" ht="100.2" customHeight="1"/>
    <row r="120" ht="100.2" customHeight="1"/>
    <row r="121" ht="100.2" customHeight="1"/>
    <row r="122" ht="100.2" customHeight="1"/>
    <row r="123" ht="100.2" customHeight="1"/>
    <row r="124" ht="100.2" customHeight="1"/>
    <row r="125" ht="100.2" customHeight="1"/>
    <row r="126" ht="100.2" customHeight="1"/>
    <row r="127" ht="100.2" customHeight="1"/>
    <row r="128" ht="100.2" customHeight="1"/>
    <row r="129" ht="100.2" customHeight="1"/>
    <row r="130" ht="100.2" customHeight="1"/>
    <row r="131" ht="100.2" customHeight="1"/>
    <row r="132" ht="100.2" customHeight="1"/>
    <row r="133" ht="100.2" customHeight="1"/>
    <row r="134" ht="100.2" customHeight="1"/>
    <row r="135" ht="100.2" customHeight="1"/>
    <row r="136" ht="100.2" customHeight="1"/>
    <row r="137" ht="100.2" customHeight="1"/>
    <row r="138" ht="100.2" customHeight="1"/>
    <row r="139" ht="100.2" customHeight="1"/>
    <row r="140" ht="100.2" customHeight="1"/>
    <row r="141" ht="100.2" customHeight="1"/>
    <row r="142" ht="100.2" customHeight="1"/>
    <row r="143" ht="100.2" customHeight="1"/>
    <row r="144" ht="100.2" customHeight="1"/>
    <row r="145" ht="100.2" customHeight="1"/>
    <row r="146" ht="100.2" customHeight="1"/>
    <row r="147" ht="100.2" customHeight="1"/>
    <row r="148" ht="100.2" customHeight="1"/>
    <row r="149" ht="100.2" customHeight="1"/>
    <row r="150" ht="100.2" customHeight="1"/>
    <row r="151" ht="100.2" customHeight="1"/>
    <row r="152" ht="100.2" customHeight="1"/>
    <row r="153" ht="100.2" customHeight="1"/>
    <row r="154" ht="100.2" customHeight="1"/>
    <row r="155" ht="100.2" customHeight="1"/>
    <row r="156" ht="100.2" customHeight="1"/>
    <row r="157" ht="100.2" customHeight="1"/>
    <row r="158" ht="100.2" customHeight="1"/>
    <row r="159" ht="100.2" customHeight="1"/>
    <row r="160" ht="100.2" customHeight="1"/>
    <row r="161" ht="100.2" customHeight="1"/>
    <row r="162" ht="100.2" customHeight="1"/>
    <row r="163" ht="100.2" customHeight="1"/>
    <row r="164" ht="100.2" customHeight="1"/>
    <row r="165" ht="100.2" customHeight="1"/>
    <row r="166" ht="100.2" customHeight="1"/>
    <row r="167" ht="100.2" customHeight="1"/>
    <row r="168" ht="100.2" customHeight="1"/>
    <row r="169" ht="100.2" customHeight="1"/>
    <row r="170" ht="100.2" customHeight="1"/>
    <row r="171" ht="100.2" customHeight="1"/>
    <row r="172" ht="100.2" customHeight="1"/>
    <row r="173" ht="100.2" customHeight="1"/>
    <row r="174" ht="100.2" customHeight="1"/>
    <row r="175" ht="100.2" customHeight="1"/>
    <row r="176" ht="100.2" customHeight="1"/>
    <row r="177" ht="100.2" customHeight="1"/>
    <row r="178" ht="100.2" customHeight="1"/>
    <row r="179" ht="100.2" customHeight="1"/>
    <row r="180" ht="100.2" customHeight="1"/>
    <row r="181" ht="100.2" customHeight="1"/>
    <row r="182" ht="100.2" customHeight="1"/>
    <row r="183" ht="100.2" customHeight="1"/>
    <row r="184" ht="100.2" customHeight="1"/>
    <row r="185" ht="100.2" customHeight="1"/>
    <row r="186" ht="100.2" customHeight="1"/>
    <row r="187" ht="100.2" customHeight="1"/>
    <row r="188" ht="100.2" customHeight="1"/>
    <row r="189" ht="100.2" customHeight="1"/>
    <row r="190" ht="100.2" customHeight="1"/>
    <row r="191" ht="100.2" customHeight="1"/>
    <row r="192" ht="100.2" customHeight="1"/>
    <row r="193" ht="100.2" customHeight="1"/>
    <row r="194" ht="100.2" customHeight="1"/>
    <row r="195" ht="100.2" customHeight="1"/>
    <row r="196" ht="100.2" customHeight="1"/>
    <row r="197" ht="100.2" customHeight="1"/>
    <row r="198" ht="100.2" customHeight="1"/>
    <row r="199" ht="100.2" customHeight="1"/>
    <row r="200" ht="100.2" customHeight="1"/>
    <row r="201" ht="100.2" customHeight="1"/>
    <row r="202" ht="100.2" customHeight="1"/>
    <row r="203" ht="100.2" customHeight="1"/>
    <row r="204" ht="100.2" customHeight="1"/>
    <row r="205" ht="100.2" customHeight="1"/>
    <row r="206" ht="100.2" customHeight="1"/>
    <row r="207" ht="100.2" customHeight="1"/>
    <row r="208" ht="100.2" customHeight="1"/>
    <row r="209" ht="100.2" customHeight="1"/>
    <row r="210" ht="100.2" customHeight="1"/>
    <row r="211" ht="100.2" customHeight="1"/>
    <row r="212" ht="100.2" customHeight="1"/>
    <row r="213" ht="100.2" customHeight="1"/>
    <row r="214" ht="100.2" customHeight="1"/>
    <row r="215" ht="100.2" customHeight="1"/>
    <row r="216" ht="100.2" customHeight="1"/>
    <row r="217" ht="100.2" customHeight="1"/>
    <row r="218" ht="100.2" customHeight="1"/>
    <row r="219" ht="100.2" customHeight="1"/>
    <row r="220" ht="100.2" customHeight="1"/>
    <row r="221" ht="100.2" customHeight="1"/>
    <row r="222" ht="100.2" customHeight="1"/>
    <row r="223" ht="100.2" customHeight="1"/>
    <row r="224" ht="100.2" customHeight="1"/>
    <row r="225" ht="100.2" customHeight="1"/>
    <row r="226" ht="100.2" customHeight="1"/>
    <row r="227" ht="100.2" customHeight="1"/>
    <row r="228" ht="100.2" customHeight="1"/>
    <row r="229" ht="100.2" customHeight="1"/>
    <row r="230" ht="100.2" customHeight="1"/>
    <row r="231" ht="100.2" customHeight="1"/>
    <row r="232" ht="100.2" customHeight="1"/>
    <row r="233" ht="100.2" customHeight="1"/>
    <row r="234" ht="100.2" customHeight="1"/>
    <row r="235" ht="100.2" customHeight="1"/>
    <row r="236" ht="100.2" customHeight="1"/>
    <row r="237" ht="100.2" customHeight="1"/>
    <row r="238" ht="100.2" customHeight="1"/>
    <row r="239" ht="100.2" customHeight="1"/>
    <row r="240" ht="100.2" customHeight="1"/>
    <row r="241" ht="100.2" customHeight="1"/>
    <row r="242" ht="100.2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</sheetData>
  <sheetProtection formatCells="0" formatRows="0" insertColumns="0" insertRows="0"/>
  <mergeCells count="50">
    <mergeCell ref="R9:R10"/>
    <mergeCell ref="L9:L10"/>
    <mergeCell ref="C9:C10"/>
    <mergeCell ref="A9:A10"/>
    <mergeCell ref="B9:B10"/>
    <mergeCell ref="D9:D10"/>
    <mergeCell ref="E9:E10"/>
    <mergeCell ref="E2:F2"/>
    <mergeCell ref="E3:F3"/>
    <mergeCell ref="E4:F4"/>
    <mergeCell ref="F9:F10"/>
    <mergeCell ref="K9:K10"/>
    <mergeCell ref="H9:H10"/>
    <mergeCell ref="C2:D2"/>
    <mergeCell ref="C3:D3"/>
    <mergeCell ref="C4:D4"/>
    <mergeCell ref="C5:D5"/>
    <mergeCell ref="A6:D8"/>
    <mergeCell ref="A1:X1"/>
    <mergeCell ref="M8:X8"/>
    <mergeCell ref="G7:L7"/>
    <mergeCell ref="G6:L6"/>
    <mergeCell ref="G5:L5"/>
    <mergeCell ref="G4:L4"/>
    <mergeCell ref="G3:L3"/>
    <mergeCell ref="E5:F7"/>
    <mergeCell ref="E8:F8"/>
    <mergeCell ref="A2:B2"/>
    <mergeCell ref="A3:B3"/>
    <mergeCell ref="A4:B4"/>
    <mergeCell ref="A5:B5"/>
    <mergeCell ref="G2:L2"/>
    <mergeCell ref="M3:X7"/>
    <mergeCell ref="M2:X2"/>
    <mergeCell ref="X9:X10"/>
    <mergeCell ref="I9:I10"/>
    <mergeCell ref="J9:J10"/>
    <mergeCell ref="K8:L8"/>
    <mergeCell ref="G8:J8"/>
    <mergeCell ref="S9:S10"/>
    <mergeCell ref="V9:V10"/>
    <mergeCell ref="U9:U10"/>
    <mergeCell ref="W9:W10"/>
    <mergeCell ref="O9:O10"/>
    <mergeCell ref="M9:M10"/>
    <mergeCell ref="N9:N10"/>
    <mergeCell ref="G9:G10"/>
    <mergeCell ref="P9:P10"/>
    <mergeCell ref="Q9:Q10"/>
    <mergeCell ref="T9:T10"/>
  </mergeCells>
  <printOptions horizontalCentered="1"/>
  <pageMargins left="0.381889763779532" right="0.381889763779532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4DB45-4EF4-4288-A77C-84509A8121DF}">
  <sheetPr codeName="Sheet2">
    <pageSetUpPr fitToPage="1"/>
  </sheetPr>
  <dimension ref="A1:M21"/>
  <sheetViews>
    <sheetView view="pageBreakPreview" zoomScale="40" zoomScaleNormal="40" zoomScaleSheetLayoutView="40" workbookViewId="0" topLeftCell="A1">
      <selection pane="topLeft" activeCell="A11" sqref="A11:XFD21"/>
    </sheetView>
  </sheetViews>
  <sheetFormatPr defaultColWidth="9.33203125" defaultRowHeight="13.5"/>
  <cols>
    <col min="1" max="1" width="10.4285714285714" style="60" customWidth="1"/>
    <col min="2" max="2" width="37" style="60" customWidth="1"/>
    <col min="3" max="3" width="24.8571428571429" style="60" customWidth="1"/>
    <col min="4" max="4" width="38.2857142857143" style="60" customWidth="1"/>
    <col min="5" max="5" width="26" style="60" customWidth="1"/>
    <col min="6" max="6" width="40.1428571428571" style="60" customWidth="1"/>
    <col min="7" max="7" width="32" style="60" customWidth="1"/>
    <col min="8" max="8" width="30.2857142857143" style="60" customWidth="1"/>
    <col min="9" max="9" width="29.7142857142857" style="60" customWidth="1"/>
    <col min="10" max="10" width="27.2857142857143" style="61" customWidth="1"/>
    <col min="11" max="11" width="26.7142857142857" style="61" customWidth="1"/>
    <col min="12" max="12" width="27" style="60" customWidth="1"/>
    <col min="13" max="13" width="44" style="60" customWidth="1"/>
  </cols>
  <sheetData>
    <row r="1" spans="1:13" ht="108" customHeight="1">
      <c r="A1" s="273" t="s">
        <v>247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</row>
    <row r="2" spans="1:13" s="46" customFormat="1" ht="50.1" customHeight="1">
      <c r="A2" s="182" t="s">
        <v>7</v>
      </c>
      <c r="B2" s="182"/>
      <c r="C2" s="182"/>
      <c r="D2" s="182"/>
      <c r="E2" s="186" t="s">
        <v>118</v>
      </c>
      <c r="F2" s="186"/>
      <c r="G2" s="5" t="str">
        <f>TRIM(Data!BF5)</f>
        <v>Crow, Tahlia</v>
      </c>
      <c r="H2" s="5"/>
      <c r="I2" s="5"/>
      <c r="J2" s="5"/>
      <c r="K2" s="6" t="s">
        <v>4</v>
      </c>
      <c r="L2" s="6"/>
      <c r="M2" s="6"/>
    </row>
    <row r="3" spans="1:13" s="46" customFormat="1" ht="50.1" customHeight="1">
      <c r="A3" s="183" t="s">
        <v>143</v>
      </c>
      <c r="B3" s="183"/>
      <c r="C3" s="187" t="str">
        <f>TRIM(Data!BC5)</f>
        <v>11804</v>
      </c>
      <c r="D3" s="187"/>
      <c r="E3" s="188" t="s">
        <v>8</v>
      </c>
      <c r="F3" s="188"/>
      <c r="G3" s="5" t="str">
        <f>TRIM(Data!AX5)</f>
        <v>Roller Shutters</v>
      </c>
      <c r="H3" s="5"/>
      <c r="I3" s="5"/>
      <c r="J3" s="5"/>
      <c r="K3" s="259" t="str">
        <f>TRIM(Data!BG5)</f>
        <v/>
      </c>
      <c r="L3" s="260"/>
      <c r="M3" s="261"/>
    </row>
    <row r="4" spans="1:13" s="47" customFormat="1" ht="50.1" customHeight="1">
      <c r="A4" s="190" t="s">
        <v>15</v>
      </c>
      <c r="B4" s="190"/>
      <c r="C4" s="187" t="str">
        <f>TRIM(Data!BD5)</f>
        <v>C</v>
      </c>
      <c r="D4" s="187"/>
      <c r="E4" s="188" t="s">
        <v>137</v>
      </c>
      <c r="F4" s="188"/>
      <c r="G4" s="5" t="str">
        <f>LEFT(Data!BA5,10)</f>
        <v>23/09/2026</v>
      </c>
      <c r="H4" s="5"/>
      <c r="I4" s="5"/>
      <c r="J4" s="5"/>
      <c r="K4" s="262"/>
      <c r="L4" s="263"/>
      <c r="M4" s="264"/>
    </row>
    <row r="5" spans="1:13" s="47" customFormat="1" ht="50.1" customHeight="1">
      <c r="A5" s="193" t="s">
        <v>9</v>
      </c>
      <c r="B5" s="193"/>
      <c r="C5" s="191" t="str">
        <f>TRIM(Data!AY5)</f>
        <v>11/08/2026 12:00:00 AM</v>
      </c>
      <c r="D5" s="191"/>
      <c r="E5" s="187" t="s">
        <v>12</v>
      </c>
      <c r="F5" s="187"/>
      <c r="G5" s="5" t="str">
        <f>TRIM(Data!BF5)</f>
        <v>Crow, Tahlia</v>
      </c>
      <c r="H5" s="5"/>
      <c r="I5" s="5"/>
      <c r="J5" s="5"/>
      <c r="K5" s="265"/>
      <c r="L5" s="266"/>
      <c r="M5" s="267"/>
    </row>
    <row r="6" spans="1:13" s="47" customFormat="1" ht="50.1" customHeight="1">
      <c r="A6" s="192" t="str">
        <f>TRIM(Data!CZ5)</f>
        <v>Retail Customer</v>
      </c>
      <c r="B6" s="192"/>
      <c r="C6" s="192"/>
      <c r="D6" s="192"/>
      <c r="E6" s="187"/>
      <c r="F6" s="187"/>
      <c r="G6" s="5" t="str">
        <f>CONCATENATE(Data!BH5," ",Data!BI5," ",Data!BJ5," ",Data!BK5," ",Data!BL5)</f>
        <v xml:space="preserve"> 25  Banff Road </v>
      </c>
      <c r="H6" s="5"/>
      <c r="I6" s="5"/>
      <c r="J6" s="5"/>
      <c r="K6" s="17" t="s">
        <v>367</v>
      </c>
      <c r="L6" s="271" t="str">
        <f>TRIM(Data!BR5)</f>
        <v>crowwi60@gmail.com</v>
      </c>
      <c r="M6" s="272"/>
    </row>
    <row r="7" spans="1:13" s="47" customFormat="1" ht="50.1" customHeight="1">
      <c r="A7" s="192"/>
      <c r="B7" s="192"/>
      <c r="C7" s="192"/>
      <c r="D7" s="192"/>
      <c r="E7" s="187"/>
      <c r="F7" s="187"/>
      <c r="G7" s="5" t="str">
        <f>CONCATENATE(Data!BM5," ",Data!BN5," ",Data!BO5," ",Data!BP5)</f>
        <v>Winter Valley VIC 3358 Australia</v>
      </c>
      <c r="H7" s="5"/>
      <c r="I7" s="5"/>
      <c r="J7" s="5"/>
      <c r="K7" s="5" t="s">
        <v>168</v>
      </c>
      <c r="L7" s="5"/>
      <c r="M7" s="42" t="str">
        <f>TRIM(Data!BT5)</f>
        <v>0448445594</v>
      </c>
    </row>
    <row r="8" spans="1:13" ht="23.25" customHeight="1">
      <c r="A8" s="185" t="s">
        <v>142</v>
      </c>
      <c r="B8" s="13" t="s">
        <v>120</v>
      </c>
      <c r="C8" s="13" t="s">
        <v>248</v>
      </c>
      <c r="D8" s="12" t="s">
        <v>119</v>
      </c>
      <c r="E8" s="12" t="s">
        <v>11</v>
      </c>
      <c r="F8" s="13" t="s">
        <v>269</v>
      </c>
      <c r="G8" s="13" t="s">
        <v>175</v>
      </c>
      <c r="H8" s="12" t="s">
        <v>249</v>
      </c>
      <c r="I8" s="12" t="s">
        <v>250</v>
      </c>
      <c r="J8" s="12" t="s">
        <v>251</v>
      </c>
      <c r="K8" s="12" t="s">
        <v>252</v>
      </c>
      <c r="L8" s="12" t="s">
        <v>308</v>
      </c>
      <c r="M8" s="12" t="s">
        <v>5</v>
      </c>
    </row>
    <row r="9" spans="1:13" ht="13.2">
      <c r="A9" s="185"/>
      <c r="B9" s="13"/>
      <c r="C9" s="13"/>
      <c r="D9" s="12"/>
      <c r="E9" s="12"/>
      <c r="F9" s="13"/>
      <c r="G9" s="13"/>
      <c r="H9" s="12"/>
      <c r="I9" s="12"/>
      <c r="J9" s="12"/>
      <c r="K9" s="12"/>
      <c r="L9" s="12"/>
      <c r="M9" s="12"/>
    </row>
    <row r="10" spans="1:13" ht="79.5" customHeight="1">
      <c r="A10" s="185"/>
      <c r="B10" s="13"/>
      <c r="C10" s="13"/>
      <c r="D10" s="12"/>
      <c r="E10" s="12"/>
      <c r="F10" s="13"/>
      <c r="G10" s="13"/>
      <c r="H10" s="12"/>
      <c r="I10" s="12"/>
      <c r="J10" s="12"/>
      <c r="K10" s="12"/>
      <c r="L10" s="12"/>
      <c r="M10" s="12"/>
    </row>
    <row r="11" spans="1:13" ht="68.4" customHeight="1">
      <c r="A11" s="100">
        <f>IF(Data!AX11="","",'Job Sheet'!A11)</f>
        <v>1</v>
      </c>
      <c r="B11" s="95" t="str">
        <f>IF(C11="","",'Job Sheet'!B11)</f>
        <v>Front Lounge</v>
      </c>
      <c r="C11" s="95" t="str">
        <f>IF(bpLOOKUP(Data!$AV11,"ELECTRICIAN",CustOrdOpt,6,FALSE)="Yes","Yes","")</f>
        <v>Yes</v>
      </c>
      <c r="D11" s="95" t="str">
        <f>IF(C11="","",Data!AX11)</f>
        <v>Roller Shutters</v>
      </c>
      <c r="E11" s="96" t="str">
        <f>IF(C11="","",'Job Sheet'!K11)</f>
        <v>Face</v>
      </c>
      <c r="F11" s="96" t="str">
        <f>IF(C11="","",'Job Sheet'!U11)</f>
        <v>Maxim 20nm Switch Motor</v>
      </c>
      <c r="G11" s="96" t="str">
        <f>IF(C11="","",'Job Sheet'!W11)</f>
        <v>Toggle Wall Switch</v>
      </c>
      <c r="H11" s="96" t="str">
        <f>bpLOOKUP(Data!$AV11,"HOUSECONSTRUCTION",CustOrdOpt,6,FALSE)</f>
        <v>Brick</v>
      </c>
      <c r="I11" s="96" t="str">
        <f>bpLOOKUP(Data!$AV11,"ROOF",CustOrdOpt,6,FALSE)</f>
        <v>Pitched Iron</v>
      </c>
      <c r="J11" s="96" t="str">
        <f>bpLOOKUP(Data!$AV11,"SWITCHBOARD",CustOrdOpt,6,FALSE)</f>
        <v>No</v>
      </c>
      <c r="K11" s="96" t="str">
        <f>bpLOOKUP(Data!$AV11,"STOREYS",CustOrdOpt,6,FALSE)</f>
        <v>1</v>
      </c>
      <c r="L11" s="96" t="str">
        <f>bpLOOKUP(Data!$AV11,"STOREYSFIT",CustOrdOpt,6,FALSE)</f>
        <v>1st Storey</v>
      </c>
      <c r="M11" s="96" t="str">
        <f>IF(C11="","",'Job Sheet'!AR11)</f>
        <v/>
      </c>
    </row>
    <row r="12" spans="1:13" ht="68.4" customHeight="1">
      <c r="A12" s="100">
        <f>IF(Data!AX12="","",'Job Sheet'!A12)</f>
        <v>2</v>
      </c>
      <c r="B12" s="95" t="str">
        <f>IF(C12="","",'Job Sheet'!B12)</f>
        <v>Master</v>
      </c>
      <c r="C12" s="95" t="str">
        <f>IF(bpLOOKUP(Data!$AV12,"ELECTRICIAN",CustOrdOpt,6,FALSE)="Yes","Yes","")</f>
        <v>Yes</v>
      </c>
      <c r="D12" s="95" t="str">
        <f>IF(C12="","",Data!AX12)</f>
        <v>Roller Shutters</v>
      </c>
      <c r="E12" s="96" t="str">
        <f>IF(C12="","",'Job Sheet'!K12)</f>
        <v>Face</v>
      </c>
      <c r="F12" s="96" t="str">
        <f>IF(C12="","",'Job Sheet'!U12)</f>
        <v>Maxim 10nm Switch Motor</v>
      </c>
      <c r="G12" s="96" t="str">
        <f>IF(C12="","",'Job Sheet'!W12)</f>
        <v>Toggle Wall Switch</v>
      </c>
      <c r="H12" s="96" t="str">
        <f>bpLOOKUP(Data!$AV12,"HOUSECONSTRUCTION",CustOrdOpt,6,FALSE)</f>
        <v>Brick</v>
      </c>
      <c r="I12" s="96" t="str">
        <f>bpLOOKUP(Data!$AV12,"ROOF",CustOrdOpt,6,FALSE)</f>
        <v>Pitched Iron</v>
      </c>
      <c r="J12" s="96" t="str">
        <f>bpLOOKUP(Data!$AV12,"SWITCHBOARD",CustOrdOpt,6,FALSE)</f>
        <v>No</v>
      </c>
      <c r="K12" s="96" t="str">
        <f>bpLOOKUP(Data!$AV12,"STOREYS",CustOrdOpt,6,FALSE)</f>
        <v>1</v>
      </c>
      <c r="L12" s="96" t="str">
        <f>bpLOOKUP(Data!$AV12,"STOREYSFIT",CustOrdOpt,6,FALSE)</f>
        <v>1st Storey</v>
      </c>
      <c r="M12" s="96" t="str">
        <f>IF(C12="","",'Job Sheet'!AR12)</f>
        <v/>
      </c>
    </row>
    <row r="13" spans="1:13" ht="68.4" customHeight="1">
      <c r="A13" s="100">
        <f>IF(Data!AX13="","",'Job Sheet'!A13)</f>
        <v>3</v>
      </c>
      <c r="B13" s="95" t="str">
        <f>IF(C13="","",'Job Sheet'!B13)</f>
        <v>Ensuite</v>
      </c>
      <c r="C13" s="95" t="str">
        <f>IF(bpLOOKUP(Data!$AV13,"ELECTRICIAN",CustOrdOpt,6,FALSE)="Yes","Yes","")</f>
        <v>Yes</v>
      </c>
      <c r="D13" s="95" t="str">
        <f>IF(C13="","",Data!AX13)</f>
        <v>Roller Shutters</v>
      </c>
      <c r="E13" s="96" t="str">
        <f>IF(C13="","",'Job Sheet'!K13)</f>
        <v>Face</v>
      </c>
      <c r="F13" s="96" t="str">
        <f>IF(C13="","",'Job Sheet'!U13)</f>
        <v>Maxim 10nm Switch Motor</v>
      </c>
      <c r="G13" s="96" t="str">
        <f>IF(C13="","",'Job Sheet'!W13)</f>
        <v>Toggle Wall Switch</v>
      </c>
      <c r="H13" s="96" t="str">
        <f>bpLOOKUP(Data!$AV13,"HOUSECONSTRUCTION",CustOrdOpt,6,FALSE)</f>
        <v>Brick</v>
      </c>
      <c r="I13" s="96" t="str">
        <f>bpLOOKUP(Data!$AV13,"ROOF",CustOrdOpt,6,FALSE)</f>
        <v>Pitched Iron</v>
      </c>
      <c r="J13" s="96" t="str">
        <f>bpLOOKUP(Data!$AV13,"SWITCHBOARD",CustOrdOpt,6,FALSE)</f>
        <v>No</v>
      </c>
      <c r="K13" s="96" t="str">
        <f>bpLOOKUP(Data!$AV13,"STOREYS",CustOrdOpt,6,FALSE)</f>
        <v>1</v>
      </c>
      <c r="L13" s="96" t="str">
        <f>bpLOOKUP(Data!$AV13,"STOREYSFIT",CustOrdOpt,6,FALSE)</f>
        <v>1st Storey</v>
      </c>
      <c r="M13" s="96" t="str">
        <f>IF(C13="","",'Job Sheet'!AR13)</f>
        <v/>
      </c>
    </row>
    <row r="14" spans="1:13" ht="60" customHeight="1">
      <c r="A14" s="100">
        <f>IF(Data!AX14="","",'Job Sheet'!A14)</f>
        <v>4</v>
      </c>
      <c r="B14" s="95" t="str">
        <f>IF(C14="","",'Job Sheet'!B14)</f>
        <v>Bath</v>
      </c>
      <c r="C14" s="95" t="str">
        <f>IF(bpLOOKUP(Data!$AV14,"ELECTRICIAN",CustOrdOpt,6,FALSE)="Yes","Yes","")</f>
        <v>Yes</v>
      </c>
      <c r="D14" s="95" t="str">
        <f>IF(C14="","",Data!AX14)</f>
        <v>Roller Shutters</v>
      </c>
      <c r="E14" s="96" t="str">
        <f>IF(C14="","",'Job Sheet'!K14)</f>
        <v>Face</v>
      </c>
      <c r="F14" s="96" t="str">
        <f>IF(C14="","",'Job Sheet'!U14)</f>
        <v>Maxim 10nm Switch Motor</v>
      </c>
      <c r="G14" s="96" t="str">
        <f>IF(C14="","",'Job Sheet'!W14)</f>
        <v>Toggle Wall Switch</v>
      </c>
      <c r="H14" s="96" t="str">
        <f>bpLOOKUP(Data!$AV14,"HOUSECONSTRUCTION",CustOrdOpt,6,FALSE)</f>
        <v>Brick</v>
      </c>
      <c r="I14" s="96" t="str">
        <f>bpLOOKUP(Data!$AV14,"ROOF",CustOrdOpt,6,FALSE)</f>
        <v>Pitched Iron</v>
      </c>
      <c r="J14" s="96" t="str">
        <f>bpLOOKUP(Data!$AV14,"SWITCHBOARD",CustOrdOpt,6,FALSE)</f>
        <v>No</v>
      </c>
      <c r="K14" s="96" t="str">
        <f>bpLOOKUP(Data!$AV14,"STOREYS",CustOrdOpt,6,FALSE)</f>
        <v>1</v>
      </c>
      <c r="L14" s="96" t="str">
        <f>bpLOOKUP(Data!$AV14,"STOREYSFIT",CustOrdOpt,6,FALSE)</f>
        <v>1st Storey</v>
      </c>
      <c r="M14" s="96" t="str">
        <f>IF(C14="","",'Job Sheet'!AR14)</f>
        <v/>
      </c>
    </row>
    <row r="15" spans="1:13" ht="60" customHeight="1">
      <c r="A15" s="100">
        <f>IF(Data!AX15="","",'Job Sheet'!A15)</f>
        <v>5</v>
      </c>
      <c r="B15" s="95" t="str">
        <f>IF(C15="","",'Job Sheet'!B15)</f>
        <v>Bed 2</v>
      </c>
      <c r="C15" s="95" t="str">
        <f>IF(bpLOOKUP(Data!$AV15,"ELECTRICIAN",CustOrdOpt,6,FALSE)="Yes","Yes","")</f>
        <v>Yes</v>
      </c>
      <c r="D15" s="95" t="str">
        <f>IF(C15="","",Data!AX15)</f>
        <v>Roller Shutters</v>
      </c>
      <c r="E15" s="96" t="str">
        <f>IF(C15="","",'Job Sheet'!K15)</f>
        <v>Face</v>
      </c>
      <c r="F15" s="96" t="str">
        <f>IF(C15="","",'Job Sheet'!U15)</f>
        <v>Maxim 10nm Switch Motor</v>
      </c>
      <c r="G15" s="96" t="str">
        <f>IF(C15="","",'Job Sheet'!W15)</f>
        <v>Toggle Wall Switch</v>
      </c>
      <c r="H15" s="96" t="str">
        <f>bpLOOKUP(Data!$AV15,"HOUSECONSTRUCTION",CustOrdOpt,6,FALSE)</f>
        <v>Brick</v>
      </c>
      <c r="I15" s="96" t="str">
        <f>bpLOOKUP(Data!$AV15,"ROOF",CustOrdOpt,6,FALSE)</f>
        <v>Pitched Iron</v>
      </c>
      <c r="J15" s="96" t="str">
        <f>bpLOOKUP(Data!$AV15,"SWITCHBOARD",CustOrdOpt,6,FALSE)</f>
        <v>No</v>
      </c>
      <c r="K15" s="96" t="str">
        <f>bpLOOKUP(Data!$AV15,"STOREYS",CustOrdOpt,6,FALSE)</f>
        <v>1</v>
      </c>
      <c r="L15" s="96" t="str">
        <f>bpLOOKUP(Data!$AV15,"STOREYSFIT",CustOrdOpt,6,FALSE)</f>
        <v>1st Storey</v>
      </c>
      <c r="M15" s="96" t="str">
        <f>IF(C15="","",'Job Sheet'!AR15)</f>
        <v/>
      </c>
    </row>
    <row r="16" spans="1:13" ht="60" customHeight="1">
      <c r="A16" s="100">
        <f>IF(Data!AX16="","",'Job Sheet'!A16)</f>
        <v>6</v>
      </c>
      <c r="B16" s="95" t="str">
        <f>IF(C16="","",'Job Sheet'!B16)</f>
        <v>Bed 3</v>
      </c>
      <c r="C16" s="95" t="str">
        <f>IF(bpLOOKUP(Data!$AV16,"ELECTRICIAN",CustOrdOpt,6,FALSE)="Yes","Yes","")</f>
        <v>Yes</v>
      </c>
      <c r="D16" s="95" t="str">
        <f>IF(C16="","",Data!AX16)</f>
        <v>Roller Shutters</v>
      </c>
      <c r="E16" s="96" t="str">
        <f>IF(C16="","",'Job Sheet'!K16)</f>
        <v>Face</v>
      </c>
      <c r="F16" s="96" t="str">
        <f>IF(C16="","",'Job Sheet'!U16)</f>
        <v>Maxim 10nm Switch Motor</v>
      </c>
      <c r="G16" s="96" t="str">
        <f>IF(C16="","",'Job Sheet'!W16)</f>
        <v>Toggle Wall Switch</v>
      </c>
      <c r="H16" s="96" t="str">
        <f>bpLOOKUP(Data!$AV16,"HOUSECONSTRUCTION",CustOrdOpt,6,FALSE)</f>
        <v>Brick</v>
      </c>
      <c r="I16" s="96" t="str">
        <f>bpLOOKUP(Data!$AV16,"ROOF",CustOrdOpt,6,FALSE)</f>
        <v>Pitched Iron</v>
      </c>
      <c r="J16" s="96" t="str">
        <f>bpLOOKUP(Data!$AV16,"SWITCHBOARD",CustOrdOpt,6,FALSE)</f>
        <v>No</v>
      </c>
      <c r="K16" s="96" t="str">
        <f>bpLOOKUP(Data!$AV16,"STOREYS",CustOrdOpt,6,FALSE)</f>
        <v>1</v>
      </c>
      <c r="L16" s="96" t="str">
        <f>bpLOOKUP(Data!$AV16,"STOREYSFIT",CustOrdOpt,6,FALSE)</f>
        <v>1st Storey</v>
      </c>
      <c r="M16" s="96" t="str">
        <f>IF(C16="","",'Job Sheet'!AR16)</f>
        <v/>
      </c>
    </row>
    <row r="17" spans="1:13" ht="60" customHeight="1">
      <c r="A17" s="100">
        <f>IF(Data!AX17="","",'Job Sheet'!A17)</f>
        <v>7</v>
      </c>
      <c r="B17" s="95" t="str">
        <f>IF(C17="","",'Job Sheet'!B17)</f>
        <v>Rumpus</v>
      </c>
      <c r="C17" s="95" t="str">
        <f>IF(bpLOOKUP(Data!$AV17,"ELECTRICIAN",CustOrdOpt,6,FALSE)="Yes","Yes","")</f>
        <v>Yes</v>
      </c>
      <c r="D17" s="95" t="str">
        <f>IF(C17="","",Data!AX17)</f>
        <v>Roller Shutters</v>
      </c>
      <c r="E17" s="96" t="str">
        <f>IF(C17="","",'Job Sheet'!K17)</f>
        <v>Face</v>
      </c>
      <c r="F17" s="96" t="str">
        <f>IF(C17="","",'Job Sheet'!U17)</f>
        <v>Maxim 10nm Switch Motor</v>
      </c>
      <c r="G17" s="96" t="str">
        <f>IF(C17="","",'Job Sheet'!W17)</f>
        <v>Toggle Wall Switch</v>
      </c>
      <c r="H17" s="96" t="str">
        <f>bpLOOKUP(Data!$AV17,"HOUSECONSTRUCTION",CustOrdOpt,6,FALSE)</f>
        <v>Brick</v>
      </c>
      <c r="I17" s="96" t="str">
        <f>bpLOOKUP(Data!$AV17,"ROOF",CustOrdOpt,6,FALSE)</f>
        <v>Pitched Iron</v>
      </c>
      <c r="J17" s="96" t="str">
        <f>bpLOOKUP(Data!$AV17,"SWITCHBOARD",CustOrdOpt,6,FALSE)</f>
        <v>No</v>
      </c>
      <c r="K17" s="96" t="str">
        <f>bpLOOKUP(Data!$AV17,"STOREYS",CustOrdOpt,6,FALSE)</f>
        <v>1</v>
      </c>
      <c r="L17" s="96" t="str">
        <f>bpLOOKUP(Data!$AV17,"STOREYSFIT",CustOrdOpt,6,FALSE)</f>
        <v>1st Storey</v>
      </c>
      <c r="M17" s="96" t="str">
        <f>IF(C17="","",'Job Sheet'!AR17)</f>
        <v/>
      </c>
    </row>
    <row r="18" spans="1:13" ht="60" customHeight="1">
      <c r="A18" s="100">
        <f>IF(Data!AX18="","",'Job Sheet'!A18)</f>
        <v>8</v>
      </c>
      <c r="B18" s="95" t="str">
        <f>IF(C18="","",'Job Sheet'!B18)</f>
        <v>Bed 4</v>
      </c>
      <c r="C18" s="95" t="str">
        <f>IF(bpLOOKUP(Data!$AV18,"ELECTRICIAN",CustOrdOpt,6,FALSE)="Yes","Yes","")</f>
        <v>Yes</v>
      </c>
      <c r="D18" s="95" t="str">
        <f>IF(C18="","",Data!AX18)</f>
        <v>Roller Shutters</v>
      </c>
      <c r="E18" s="96" t="str">
        <f>IF(C18="","",'Job Sheet'!K18)</f>
        <v>Face</v>
      </c>
      <c r="F18" s="96" t="str">
        <f>IF(C18="","",'Job Sheet'!U18)</f>
        <v>Maxim 10nm Switch Motor</v>
      </c>
      <c r="G18" s="96" t="str">
        <f>IF(C18="","",'Job Sheet'!W18)</f>
        <v>Toggle Wall Switch</v>
      </c>
      <c r="H18" s="96" t="str">
        <f>bpLOOKUP(Data!$AV18,"HOUSECONSTRUCTION",CustOrdOpt,6,FALSE)</f>
        <v>Brick</v>
      </c>
      <c r="I18" s="96" t="str">
        <f>bpLOOKUP(Data!$AV18,"ROOF",CustOrdOpt,6,FALSE)</f>
        <v>Pitched Iron</v>
      </c>
      <c r="J18" s="96" t="str">
        <f>bpLOOKUP(Data!$AV18,"SWITCHBOARD",CustOrdOpt,6,FALSE)</f>
        <v>No</v>
      </c>
      <c r="K18" s="96" t="str">
        <f>bpLOOKUP(Data!$AV18,"STOREYS",CustOrdOpt,6,FALSE)</f>
        <v>1</v>
      </c>
      <c r="L18" s="96" t="str">
        <f>bpLOOKUP(Data!$AV18,"STOREYSFIT",CustOrdOpt,6,FALSE)</f>
        <v>1st Storey</v>
      </c>
      <c r="M18" s="96" t="str">
        <f>IF(C18="","",'Job Sheet'!AR18)</f>
        <v/>
      </c>
    </row>
    <row r="19" spans="1:13" ht="60" customHeight="1">
      <c r="A19" s="100">
        <f>IF(Data!AX19="","",'Job Sheet'!A19)</f>
        <v>9</v>
      </c>
      <c r="B19" s="95" t="str">
        <f>IF(C19="","",'Job Sheet'!B19)</f>
        <v>Slider</v>
      </c>
      <c r="C19" s="95" t="str">
        <f>IF(bpLOOKUP(Data!$AV19,"ELECTRICIAN",CustOrdOpt,6,FALSE)="Yes","Yes","")</f>
        <v>Yes</v>
      </c>
      <c r="D19" s="95" t="str">
        <f>IF(C19="","",Data!AX19)</f>
        <v>Roller Shutters</v>
      </c>
      <c r="E19" s="96" t="str">
        <f>IF(C19="","",'Job Sheet'!K19)</f>
        <v>Face</v>
      </c>
      <c r="F19" s="96" t="str">
        <f>IF(C19="","",'Job Sheet'!U19)</f>
        <v>Maxim 20nm Switch Motor</v>
      </c>
      <c r="G19" s="96" t="str">
        <f>IF(C19="","",'Job Sheet'!W19)</f>
        <v>Toggle Wall Switch</v>
      </c>
      <c r="H19" s="96" t="str">
        <f>bpLOOKUP(Data!$AV19,"HOUSECONSTRUCTION",CustOrdOpt,6,FALSE)</f>
        <v>Brick</v>
      </c>
      <c r="I19" s="96" t="str">
        <f>bpLOOKUP(Data!$AV19,"ROOF",CustOrdOpt,6,FALSE)</f>
        <v>Pitched Iron</v>
      </c>
      <c r="J19" s="96" t="str">
        <f>bpLOOKUP(Data!$AV19,"SWITCHBOARD",CustOrdOpt,6,FALSE)</f>
        <v>No</v>
      </c>
      <c r="K19" s="96" t="str">
        <f>bpLOOKUP(Data!$AV19,"STOREYS",CustOrdOpt,6,FALSE)</f>
        <v>1</v>
      </c>
      <c r="L19" s="96" t="str">
        <f>bpLOOKUP(Data!$AV19,"STOREYSFIT",CustOrdOpt,6,FALSE)</f>
        <v>1st Storey</v>
      </c>
      <c r="M19" s="96" t="str">
        <f>IF(C19="","",'Job Sheet'!AR19)</f>
        <v/>
      </c>
    </row>
    <row r="20" spans="1:13" ht="60" customHeight="1">
      <c r="A20" s="100">
        <f>IF(Data!AX20="","",'Job Sheet'!A20)</f>
        <v>10</v>
      </c>
      <c r="B20" s="95" t="str">
        <f>IF(C20="","",'Job Sheet'!B20)</f>
        <v>Lounge</v>
      </c>
      <c r="C20" s="95" t="str">
        <f>IF(bpLOOKUP(Data!$AV20,"ELECTRICIAN",CustOrdOpt,6,FALSE)="Yes","Yes","")</f>
        <v>Yes</v>
      </c>
      <c r="D20" s="95" t="str">
        <f>IF(C20="","",Data!AX20)</f>
        <v>Roller Shutters</v>
      </c>
      <c r="E20" s="96" t="str">
        <f>IF(C20="","",'Job Sheet'!K20)</f>
        <v>Face</v>
      </c>
      <c r="F20" s="96" t="str">
        <f>IF(C20="","",'Job Sheet'!U20)</f>
        <v>Maxim 10nm Switch Motor</v>
      </c>
      <c r="G20" s="96" t="str">
        <f>IF(C20="","",'Job Sheet'!W20)</f>
        <v>Toggle Wall Switch</v>
      </c>
      <c r="H20" s="96" t="str">
        <f>bpLOOKUP(Data!$AV20,"HOUSECONSTRUCTION",CustOrdOpt,6,FALSE)</f>
        <v>Brick</v>
      </c>
      <c r="I20" s="96" t="str">
        <f>bpLOOKUP(Data!$AV20,"ROOF",CustOrdOpt,6,FALSE)</f>
        <v>Pitched Iron</v>
      </c>
      <c r="J20" s="96" t="str">
        <f>bpLOOKUP(Data!$AV20,"SWITCHBOARD",CustOrdOpt,6,FALSE)</f>
        <v>No</v>
      </c>
      <c r="K20" s="96" t="str">
        <f>bpLOOKUP(Data!$AV20,"STOREYS",CustOrdOpt,6,FALSE)</f>
        <v>1</v>
      </c>
      <c r="L20" s="96" t="str">
        <f>bpLOOKUP(Data!$AV20,"STOREYSFIT",CustOrdOpt,6,FALSE)</f>
        <v>1st Storey</v>
      </c>
      <c r="M20" s="96" t="str">
        <f>IF(C20="","",'Job Sheet'!AR20)</f>
        <v/>
      </c>
    </row>
    <row r="21" spans="1:13" ht="60" customHeight="1">
      <c r="A21" s="100" t="str">
        <f>IF(Data!AX21="","",#REF!)</f>
        <v/>
      </c>
      <c r="B21" s="95" t="str">
        <f>IF(C21="","",#REF!)</f>
        <v/>
      </c>
      <c r="C21" s="95" t="str">
        <f>IF(bpLOOKUP(Data!$AV21,"ELECTRICIAN",CustOrdOpt,6,FALSE)="Yes","Yes","")</f>
        <v/>
      </c>
      <c r="D21" s="95" t="str">
        <f>IF(C21="","",Data!AX21)</f>
        <v/>
      </c>
      <c r="E21" s="96" t="str">
        <f>IF(C21="","",#REF!)</f>
        <v/>
      </c>
      <c r="F21" s="96" t="str">
        <f>IF(C21="","",#REF!)</f>
        <v/>
      </c>
      <c r="G21" s="96" t="str">
        <f>IF(C21="","",#REF!)</f>
        <v/>
      </c>
      <c r="H21" s="96" t="str">
        <f>bpLOOKUP(Data!$AV21,"HOUSECONSTRUCTION",CustOrdOpt,6,FALSE)</f>
        <v/>
      </c>
      <c r="I21" s="96" t="str">
        <f>bpLOOKUP(Data!$AV21,"ROOF",CustOrdOpt,6,FALSE)</f>
        <v/>
      </c>
      <c r="J21" s="96" t="str">
        <f>bpLOOKUP(Data!$AV21,"SWITCHBOARD",CustOrdOpt,6,FALSE)</f>
        <v/>
      </c>
      <c r="K21" s="96" t="str">
        <f>bpLOOKUP(Data!$AV21,"STOREYS",CustOrdOpt,6,FALSE)</f>
        <v/>
      </c>
      <c r="L21" s="96" t="str">
        <f>bpLOOKUP(Data!$AV21,"STOREYSFIT",CustOrdOpt,6,FALSE)</f>
        <v/>
      </c>
      <c r="M21" s="96" t="str">
        <f>IF(C21="","",#REF!)</f>
        <v/>
      </c>
    </row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40.2" customHeight="1"/>
    <row r="37" ht="40.2" customHeight="1"/>
    <row r="38" ht="40.2" customHeight="1"/>
    <row r="39" ht="40.2" customHeight="1"/>
    <row r="40" ht="40.2" customHeight="1"/>
    <row r="41" ht="40.2" customHeight="1"/>
    <row r="42" ht="40.2" customHeight="1"/>
    <row r="43" ht="40.2" customHeight="1"/>
    <row r="44" ht="40.2" customHeight="1"/>
    <row r="45" ht="40.2" customHeight="1"/>
    <row r="46" ht="40.2" customHeight="1"/>
    <row r="47" ht="40.2" customHeight="1"/>
    <row r="48" ht="40.2" customHeight="1"/>
    <row r="49" ht="40.2" customHeight="1"/>
    <row r="50" ht="40.2" customHeight="1"/>
    <row r="51" ht="40.2" customHeight="1"/>
    <row r="52" ht="40.2" customHeight="1"/>
    <row r="53" ht="40.2" customHeight="1"/>
    <row r="54" ht="40.2" customHeight="1"/>
    <row r="55" ht="40.2" customHeight="1"/>
    <row r="56" ht="40.2" customHeight="1"/>
    <row r="57" ht="40.2" customHeight="1"/>
    <row r="58" ht="40.2" customHeight="1"/>
    <row r="59" ht="40.2" customHeight="1"/>
    <row r="60" ht="40.2" customHeight="1"/>
    <row r="61" ht="40.2" customHeight="1"/>
    <row r="62" ht="40.2" customHeight="1"/>
    <row r="63" ht="40.2" customHeight="1"/>
    <row r="64" ht="40.2" customHeight="1"/>
    <row r="65" ht="40.2" customHeight="1"/>
    <row r="66" ht="40.2" customHeight="1"/>
    <row r="67" ht="40.2" customHeight="1"/>
    <row r="68" ht="40.2" customHeight="1"/>
    <row r="69" ht="40.2" customHeight="1"/>
    <row r="70" ht="40.2" customHeight="1"/>
    <row r="71" ht="40.2" customHeight="1"/>
    <row r="72" ht="40.2" customHeight="1"/>
    <row r="73" ht="40.2" customHeight="1"/>
    <row r="74" ht="40.2" customHeight="1"/>
    <row r="75" ht="40.2" customHeight="1"/>
    <row r="76" ht="40.2" customHeight="1"/>
    <row r="77" ht="40.2" customHeight="1"/>
    <row r="78" ht="40.2" customHeight="1"/>
    <row r="79" ht="40.2" customHeight="1"/>
    <row r="80" ht="40.2" customHeight="1"/>
    <row r="81" ht="40.2" customHeight="1"/>
    <row r="82" ht="40.2" customHeight="1"/>
    <row r="83" ht="40.2" customHeight="1"/>
    <row r="84" ht="40.2" customHeight="1"/>
    <row r="85" ht="40.2" customHeight="1"/>
    <row r="86" ht="40.2" customHeight="1"/>
    <row r="87" ht="40.2" customHeight="1"/>
    <row r="88" ht="40.2" customHeight="1"/>
    <row r="89" ht="40.2" customHeight="1"/>
    <row r="90" ht="40.2" customHeight="1"/>
    <row r="91" ht="40.2" customHeight="1"/>
    <row r="92" ht="40.2" customHeight="1"/>
    <row r="93" ht="40.2" customHeight="1"/>
    <row r="94" ht="40.2" customHeight="1"/>
    <row r="95" ht="40.2" customHeight="1"/>
    <row r="96" ht="40.2" customHeight="1"/>
    <row r="97" ht="40.2" customHeight="1"/>
    <row r="98" ht="40.2" customHeight="1"/>
    <row r="99" ht="40.2" customHeight="1"/>
    <row r="100" ht="40.2" customHeight="1"/>
    <row r="101" ht="40.2" customHeight="1"/>
    <row r="102" ht="40.2" customHeight="1"/>
    <row r="103" ht="40.2" customHeight="1"/>
    <row r="104" ht="40.2" customHeight="1"/>
    <row r="105" ht="40.2" customHeight="1"/>
    <row r="106" ht="40.2" customHeight="1"/>
    <row r="107" ht="40.2" customHeight="1"/>
    <row r="108" ht="40.2" customHeight="1"/>
    <row r="109" ht="40.2" customHeight="1"/>
    <row r="110" ht="40.2" customHeight="1"/>
    <row r="111" ht="40.2" customHeight="1"/>
    <row r="112" ht="40.2" customHeight="1"/>
    <row r="113" ht="40.2" customHeight="1"/>
    <row r="114" ht="40.2" customHeight="1"/>
    <row r="115" ht="40.2" customHeight="1"/>
    <row r="116" ht="40.2" customHeight="1"/>
    <row r="117" ht="40.2" customHeight="1"/>
    <row r="118" ht="40.2" customHeight="1"/>
    <row r="119" ht="40.2" customHeight="1"/>
    <row r="120" ht="40.2" customHeight="1"/>
    <row r="121" ht="40.2" customHeight="1"/>
    <row r="122" ht="40.2" customHeight="1"/>
    <row r="123" ht="40.2" customHeight="1"/>
    <row r="124" ht="40.2" customHeight="1"/>
    <row r="125" ht="40.2" customHeight="1"/>
    <row r="126" ht="40.2" customHeight="1"/>
    <row r="127" ht="40.2" customHeight="1"/>
    <row r="128" ht="40.2" customHeight="1"/>
    <row r="129" ht="40.2" customHeight="1"/>
    <row r="130" ht="40.2" customHeight="1"/>
    <row r="131" ht="40.2" customHeight="1"/>
    <row r="132" ht="40.2" customHeight="1"/>
    <row r="133" ht="40.2" customHeight="1"/>
    <row r="134" ht="40.2" customHeight="1"/>
    <row r="135" ht="40.2" customHeight="1"/>
    <row r="136" ht="40.2" customHeight="1"/>
    <row r="137" ht="40.2" customHeight="1"/>
    <row r="138" ht="40.2" customHeight="1"/>
    <row r="139" ht="40.2" customHeight="1"/>
    <row r="140" ht="40.2" customHeight="1"/>
    <row r="141" ht="40.2" customHeight="1"/>
    <row r="142" ht="40.2" customHeight="1"/>
    <row r="143" ht="40.2" customHeight="1"/>
    <row r="144" ht="40.2" customHeight="1"/>
    <row r="145" ht="40.2" customHeight="1"/>
    <row r="146" ht="40.2" customHeight="1"/>
    <row r="147" ht="40.2" customHeight="1"/>
    <row r="148" ht="40.2" customHeight="1"/>
    <row r="149" ht="40.2" customHeight="1"/>
    <row r="150" ht="40.2" customHeight="1"/>
    <row r="151" ht="40.2" customHeight="1"/>
    <row r="152" ht="40.2" customHeight="1"/>
    <row r="153" ht="40.2" customHeight="1"/>
    <row r="154" ht="40.2" customHeight="1"/>
    <row r="155" ht="40.2" customHeight="1"/>
    <row r="156" ht="40.2" customHeight="1"/>
    <row r="157" ht="40.2" customHeight="1"/>
    <row r="158" ht="40.2" customHeight="1"/>
    <row r="159" ht="40.2" customHeight="1"/>
    <row r="160" ht="40.2" customHeight="1"/>
    <row r="161" ht="40.2" customHeight="1"/>
    <row r="162" ht="40.2" customHeight="1"/>
    <row r="163" ht="40.2" customHeight="1"/>
    <row r="164" ht="40.2" customHeight="1"/>
    <row r="165" ht="40.2" customHeight="1"/>
    <row r="166" ht="40.2" customHeight="1"/>
    <row r="167" ht="40.2" customHeight="1"/>
    <row r="168" ht="40.2" customHeight="1"/>
    <row r="169" ht="40.2" customHeight="1"/>
    <row r="170" ht="40.2" customHeight="1"/>
    <row r="171" ht="40.2" customHeight="1"/>
    <row r="172" ht="40.2" customHeight="1"/>
    <row r="173" ht="40.2" customHeight="1"/>
    <row r="174" ht="40.2" customHeight="1"/>
    <row r="175" ht="40.2" customHeight="1"/>
    <row r="176" ht="40.2" customHeight="1"/>
    <row r="177" ht="40.2" customHeight="1"/>
    <row r="178" ht="40.2" customHeight="1"/>
    <row r="179" ht="40.2" customHeight="1"/>
    <row r="180" ht="40.2" customHeight="1"/>
    <row r="181" ht="40.2" customHeight="1"/>
    <row r="182" ht="40.2" customHeight="1"/>
    <row r="183" ht="40.2" customHeight="1"/>
    <row r="184" ht="40.2" customHeight="1"/>
    <row r="185" ht="40.2" customHeight="1"/>
    <row r="186" ht="40.2" customHeight="1"/>
    <row r="187" ht="40.2" customHeight="1"/>
    <row r="188" ht="40.2" customHeight="1"/>
    <row r="189" ht="40.2" customHeight="1"/>
    <row r="190" ht="40.2" customHeight="1"/>
    <row r="191" ht="40.2" customHeight="1"/>
    <row r="192" ht="40.2" customHeight="1"/>
    <row r="193" ht="40.2" customHeight="1"/>
    <row r="194" ht="40.2" customHeight="1"/>
    <row r="195" ht="40.2" customHeight="1"/>
    <row r="196" ht="40.2" customHeight="1"/>
    <row r="197" ht="40.2" customHeight="1"/>
    <row r="198" ht="40.2" customHeight="1"/>
    <row r="199" ht="40.2" customHeight="1"/>
    <row r="200" ht="40.2" customHeight="1"/>
    <row r="201" ht="40.2" customHeight="1"/>
    <row r="202" ht="40.2" customHeight="1"/>
    <row r="203" ht="40.2" customHeight="1"/>
    <row r="204" ht="40.2" customHeight="1"/>
    <row r="205" ht="40.2" customHeight="1"/>
    <row r="206" ht="40.2" customHeight="1"/>
    <row r="207" ht="40.2" customHeight="1"/>
    <row r="208" ht="40.2" customHeight="1"/>
    <row r="209" ht="40.2" customHeight="1"/>
    <row r="210" ht="40.2" customHeight="1"/>
    <row r="211" ht="40.2" customHeight="1"/>
    <row r="212" ht="40.2" customHeight="1"/>
    <row r="213" ht="40.2" customHeight="1"/>
    <row r="214" ht="40.2" customHeight="1"/>
    <row r="215" ht="40.2" customHeight="1"/>
    <row r="216" ht="40.2" customHeight="1"/>
    <row r="217" ht="40.2" customHeight="1"/>
    <row r="218" ht="40.2" customHeight="1"/>
    <row r="219" ht="40.2" customHeight="1"/>
    <row r="220" ht="40.2" customHeight="1"/>
    <row r="221" ht="40.2" customHeight="1"/>
    <row r="222" ht="40.2" customHeight="1"/>
    <row r="223" ht="40.2" customHeight="1"/>
    <row r="224" ht="40.2" customHeight="1"/>
    <row r="225" ht="40.2" customHeight="1"/>
    <row r="226" ht="40.2" customHeight="1"/>
    <row r="227" ht="40.2" customHeight="1"/>
    <row r="228" ht="40.2" customHeight="1"/>
    <row r="229" ht="40.2" customHeight="1"/>
    <row r="230" ht="40.2" customHeight="1"/>
    <row r="231" ht="40.2" customHeight="1"/>
    <row r="232" ht="40.2" customHeight="1"/>
    <row r="233" ht="40.2" customHeight="1"/>
    <row r="234" ht="40.2" customHeight="1"/>
    <row r="235" ht="40.2" customHeight="1"/>
    <row r="236" ht="40.2" customHeight="1"/>
    <row r="237" ht="40.2" customHeight="1"/>
    <row r="238" ht="40.2" customHeight="1"/>
    <row r="239" ht="40.2" customHeight="1"/>
    <row r="240" ht="40.2" customHeight="1"/>
    <row r="241" ht="40.2" customHeight="1"/>
    <row r="242" ht="40.2" customHeight="1"/>
    <row r="243" ht="40.2" customHeight="1"/>
    <row r="244" ht="40.2" customHeight="1"/>
    <row r="245" ht="40.2" customHeight="1"/>
    <row r="246" ht="40.2" customHeight="1"/>
    <row r="247" ht="40.2" customHeight="1"/>
    <row r="248" ht="40.2" customHeight="1"/>
    <row r="249" ht="40.2" customHeight="1"/>
    <row r="250" ht="40.2" customHeight="1"/>
    <row r="251" ht="40.2" customHeight="1"/>
    <row r="252" ht="40.2" customHeight="1"/>
    <row r="253" ht="40.2" customHeight="1"/>
    <row r="254" ht="40.2" customHeight="1"/>
    <row r="255" ht="40.2" customHeight="1"/>
    <row r="256" ht="40.2" customHeight="1"/>
    <row r="257" ht="40.2" customHeight="1"/>
    <row r="258" ht="40.2" customHeight="1"/>
    <row r="259" ht="40.2" customHeight="1"/>
    <row r="260" ht="40.2" customHeight="1"/>
    <row r="261" ht="40.2" customHeight="1"/>
    <row r="262" ht="40.2" customHeight="1"/>
    <row r="263" ht="40.2" customHeight="1"/>
    <row r="264" ht="40.2" customHeight="1"/>
    <row r="265" ht="40.2" customHeight="1"/>
    <row r="266" ht="40.2" customHeight="1"/>
    <row r="267" ht="40.2" customHeight="1"/>
    <row r="268" ht="40.2" customHeight="1"/>
    <row r="269" ht="40.2" customHeight="1"/>
    <row r="270" ht="40.2" customHeight="1"/>
    <row r="271" ht="40.2" customHeight="1"/>
    <row r="272" ht="40.2" customHeight="1"/>
    <row r="273" ht="40.2" customHeight="1"/>
    <row r="274" ht="40.2" customHeight="1"/>
    <row r="275" ht="40.2" customHeight="1"/>
    <row r="276" ht="40.2" customHeight="1"/>
    <row r="277" ht="40.2" customHeight="1"/>
    <row r="278" ht="40.2" customHeight="1"/>
    <row r="279" ht="40.2" customHeight="1"/>
    <row r="280" ht="40.2" customHeight="1"/>
    <row r="281" ht="40.2" customHeight="1"/>
    <row r="282" ht="40.2" customHeight="1"/>
    <row r="283" ht="40.2" customHeight="1"/>
    <row r="284" ht="40.2" customHeight="1"/>
    <row r="285" ht="40.2" customHeight="1"/>
    <row r="286" ht="40.2" customHeight="1"/>
    <row r="287" ht="40.2" customHeight="1"/>
    <row r="288" ht="40.2" customHeight="1"/>
    <row r="289" ht="40.2" customHeight="1"/>
    <row r="290" ht="40.2" customHeight="1"/>
    <row r="291" ht="40.2" customHeight="1"/>
    <row r="292" ht="40.2" customHeight="1"/>
    <row r="293" ht="40.2" customHeight="1"/>
    <row r="294" ht="40.2" customHeight="1"/>
    <row r="295" ht="40.2" customHeight="1"/>
    <row r="296" ht="40.2" customHeight="1"/>
    <row r="297" ht="40.2" customHeight="1"/>
    <row r="298" ht="40.2" customHeight="1"/>
    <row r="299" ht="40.2" customHeight="1"/>
    <row r="300" ht="40.2" customHeight="1"/>
    <row r="301" ht="40.2" customHeight="1"/>
    <row r="302" ht="40.2" customHeight="1"/>
    <row r="303" ht="40.2" customHeight="1"/>
    <row r="304" ht="40.2" customHeight="1"/>
    <row r="305" ht="40.2" customHeight="1"/>
    <row r="306" ht="40.2" customHeight="1"/>
    <row r="307" ht="40.2" customHeight="1"/>
    <row r="308" ht="40.2" customHeight="1"/>
    <row r="309" ht="40.2" customHeight="1"/>
    <row r="310" ht="40.2" customHeight="1"/>
    <row r="311" ht="40.2" customHeight="1"/>
    <row r="312" ht="40.2" customHeight="1"/>
    <row r="313" ht="40.2" customHeight="1"/>
    <row r="314" ht="40.2" customHeight="1"/>
    <row r="315" ht="40.2" customHeight="1"/>
    <row r="316" ht="40.2" customHeight="1"/>
    <row r="317" ht="40.2" customHeight="1"/>
    <row r="318" ht="40.2" customHeight="1"/>
    <row r="319" ht="40.2" customHeight="1"/>
    <row r="320" ht="40.2" customHeight="1"/>
    <row r="321" ht="40.2" customHeight="1"/>
    <row r="322" ht="40.2" customHeight="1"/>
    <row r="323" ht="40.2" customHeight="1"/>
    <row r="324" ht="40.2" customHeight="1"/>
    <row r="325" ht="40.2" customHeight="1"/>
    <row r="326" ht="40.2" customHeight="1"/>
    <row r="327" ht="40.2" customHeight="1"/>
    <row r="328" ht="40.2" customHeight="1"/>
    <row r="329" ht="40.2" customHeight="1"/>
    <row r="330" ht="40.2" customHeight="1"/>
    <row r="331" ht="40.2" customHeight="1"/>
    <row r="332" ht="40.2" customHeight="1"/>
    <row r="333" ht="40.2" customHeight="1"/>
    <row r="334" ht="40.2" customHeight="1"/>
    <row r="335" ht="40.2" customHeight="1"/>
    <row r="336" ht="40.2" customHeight="1"/>
    <row r="337" ht="40.2" customHeight="1"/>
    <row r="338" ht="40.2" customHeight="1"/>
    <row r="339" ht="40.2" customHeight="1"/>
    <row r="340" ht="40.2" customHeight="1"/>
    <row r="341" ht="40.2" customHeight="1"/>
    <row r="342" ht="40.2" customHeight="1"/>
    <row r="343" ht="40.2" customHeight="1"/>
    <row r="344" ht="40.2" customHeight="1"/>
    <row r="345" ht="40.2" customHeight="1"/>
    <row r="346" ht="40.2" customHeight="1"/>
    <row r="347" ht="40.2" customHeight="1"/>
    <row r="348" ht="40.2" customHeight="1"/>
    <row r="349" ht="40.2" customHeight="1"/>
    <row r="350" ht="40.2" customHeight="1"/>
    <row r="351" ht="40.2" customHeight="1"/>
    <row r="352" ht="40.2" customHeight="1"/>
    <row r="353" ht="40.2" customHeight="1"/>
    <row r="354" ht="40.2" customHeight="1"/>
    <row r="355" ht="40.2" customHeight="1"/>
    <row r="356" ht="40.2" customHeight="1"/>
    <row r="357" ht="40.2" customHeight="1"/>
    <row r="358" ht="40.2" customHeight="1"/>
    <row r="359" ht="40.2" customHeight="1"/>
    <row r="360" ht="40.2" customHeight="1"/>
    <row r="361" ht="40.2" customHeight="1"/>
    <row r="362" ht="40.2" customHeight="1"/>
    <row r="363" ht="40.2" customHeight="1"/>
    <row r="364" ht="40.2" customHeight="1"/>
    <row r="365" ht="40.2" customHeight="1"/>
    <row r="366" ht="40.2" customHeight="1"/>
    <row r="367" ht="40.2" customHeight="1"/>
    <row r="368" ht="40.2" customHeight="1"/>
    <row r="369" ht="40.2" customHeight="1"/>
    <row r="370" ht="40.2" customHeight="1"/>
    <row r="371" ht="40.2" customHeight="1"/>
    <row r="372" ht="40.2" customHeight="1"/>
    <row r="373" ht="40.2" customHeight="1"/>
    <row r="374" ht="40.2" customHeight="1"/>
    <row r="375" ht="40.2" customHeight="1"/>
    <row r="376" ht="40.2" customHeight="1"/>
    <row r="377" ht="40.2" customHeight="1"/>
    <row r="378" ht="40.2" customHeight="1"/>
    <row r="379" ht="40.2" customHeight="1"/>
    <row r="380" ht="40.2" customHeight="1"/>
    <row r="381" ht="40.2" customHeight="1"/>
    <row r="382" ht="40.2" customHeight="1"/>
    <row r="383" ht="40.2" customHeight="1"/>
    <row r="384" ht="40.2" customHeight="1"/>
    <row r="385" ht="40.2" customHeight="1"/>
    <row r="386" ht="40.2" customHeight="1"/>
    <row r="387" ht="40.2" customHeight="1"/>
    <row r="388" ht="40.2" customHeight="1"/>
    <row r="389" ht="40.2" customHeight="1"/>
    <row r="390" ht="40.2" customHeight="1"/>
    <row r="391" ht="40.2" customHeight="1"/>
    <row r="392" ht="40.2" customHeight="1"/>
    <row r="393" ht="40.2" customHeight="1"/>
    <row r="394" ht="40.2" customHeight="1"/>
    <row r="395" ht="40.2" customHeight="1"/>
    <row r="396" ht="40.2" customHeight="1"/>
    <row r="397" ht="40.2" customHeight="1"/>
    <row r="398" ht="40.2" customHeight="1"/>
    <row r="399" ht="40.2" customHeight="1"/>
    <row r="400" ht="40.2" customHeight="1"/>
    <row r="401" ht="40.2" customHeight="1"/>
    <row r="402" ht="40.2" customHeight="1"/>
    <row r="403" ht="40.2" customHeight="1"/>
    <row r="404" ht="40.2" customHeight="1"/>
    <row r="405" ht="40.2" customHeight="1"/>
    <row r="406" ht="40.2" customHeight="1"/>
    <row r="407" ht="40.2" customHeight="1"/>
    <row r="408" ht="40.2" customHeight="1"/>
    <row r="409" ht="40.2" customHeight="1"/>
    <row r="410" ht="40.2" customHeight="1"/>
    <row r="411" ht="40.2" customHeight="1"/>
    <row r="412" ht="40.2" customHeight="1"/>
    <row r="413" ht="40.2" customHeight="1"/>
    <row r="414" ht="40.2" customHeight="1"/>
    <row r="415" ht="40.2" customHeight="1"/>
    <row r="416" ht="40.2" customHeight="1"/>
    <row r="417" ht="40.2" customHeight="1"/>
    <row r="418" ht="40.2" customHeight="1"/>
    <row r="419" ht="40.2" customHeight="1"/>
    <row r="420" ht="40.2" customHeight="1"/>
    <row r="421" ht="40.2" customHeight="1"/>
    <row r="422" ht="40.2" customHeight="1"/>
    <row r="423" ht="40.2" customHeight="1"/>
    <row r="424" ht="40.2" customHeight="1"/>
    <row r="425" ht="40.2" customHeight="1"/>
    <row r="426" ht="40.2" customHeight="1"/>
    <row r="427" ht="40.2" customHeight="1"/>
    <row r="428" ht="40.2" customHeight="1"/>
    <row r="429" ht="40.2" customHeight="1"/>
    <row r="430" ht="40.2" customHeight="1"/>
    <row r="431" ht="40.2" customHeight="1"/>
    <row r="432" ht="40.2" customHeight="1"/>
    <row r="433" ht="40.2" customHeight="1"/>
    <row r="434" ht="40.2" customHeight="1"/>
    <row r="435" ht="40.2" customHeight="1"/>
    <row r="436" ht="40.2" customHeight="1"/>
    <row r="437" ht="40.2" customHeight="1"/>
    <row r="438" ht="40.2" customHeight="1"/>
    <row r="439" ht="40.2" customHeight="1"/>
    <row r="440" ht="40.2" customHeight="1"/>
    <row r="441" ht="40.2" customHeight="1"/>
    <row r="442" ht="40.2" customHeight="1"/>
    <row r="443" ht="40.2" customHeight="1"/>
    <row r="444" ht="40.2" customHeight="1"/>
    <row r="445" ht="40.2" customHeight="1"/>
    <row r="446" ht="40.2" customHeight="1"/>
    <row r="447" ht="40.2" customHeight="1"/>
    <row r="448" ht="40.2" customHeight="1"/>
    <row r="449" ht="40.2" customHeight="1"/>
    <row r="450" ht="40.2" customHeight="1"/>
    <row r="451" ht="40.2" customHeight="1"/>
  </sheetData>
  <mergeCells count="37">
    <mergeCell ref="M8:M10"/>
    <mergeCell ref="K8:K10"/>
    <mergeCell ref="F8:F10"/>
    <mergeCell ref="A8:A10"/>
    <mergeCell ref="B8:B10"/>
    <mergeCell ref="D8:D10"/>
    <mergeCell ref="E8:E10"/>
    <mergeCell ref="C8:C10"/>
    <mergeCell ref="G8:G10"/>
    <mergeCell ref="H8:H10"/>
    <mergeCell ref="I8:I10"/>
    <mergeCell ref="J8:J10"/>
    <mergeCell ref="L8:L10"/>
    <mergeCell ref="A1:M1"/>
    <mergeCell ref="A2:B2"/>
    <mergeCell ref="A3:B3"/>
    <mergeCell ref="A4:B4"/>
    <mergeCell ref="A5:B5"/>
    <mergeCell ref="C3:D3"/>
    <mergeCell ref="C4:D4"/>
    <mergeCell ref="C5:D5"/>
    <mergeCell ref="L6:M6"/>
    <mergeCell ref="G7:J7"/>
    <mergeCell ref="K2:M2"/>
    <mergeCell ref="K7:L7"/>
    <mergeCell ref="A6:D7"/>
    <mergeCell ref="G2:J2"/>
    <mergeCell ref="G3:J3"/>
    <mergeCell ref="G4:J4"/>
    <mergeCell ref="G5:J5"/>
    <mergeCell ref="G6:J6"/>
    <mergeCell ref="C2:D2"/>
    <mergeCell ref="E2:F2"/>
    <mergeCell ref="E3:F3"/>
    <mergeCell ref="E4:F4"/>
    <mergeCell ref="E5:F7"/>
    <mergeCell ref="K3:M5"/>
  </mergeCells>
  <printOptions horizontalCentered="1"/>
  <pageMargins left="0.760629921259872" right="0.760629921259872" top="0.3" bottom="0.3" header="0.3" footer="0.3"/>
  <pageSetup fitToHeight="0" horizontalDpi="300" verticalDpi="300" orientation="landscape" paperSize="9" scale="1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ABA1-953A-44AE-A796-505FE391DD8B}">
  <sheetPr codeName="JobSheet1">
    <pageSetUpPr fitToPage="1"/>
  </sheetPr>
  <dimension ref="A1:AL62"/>
  <sheetViews>
    <sheetView showZeros="0" view="pageBreakPreview" zoomScale="40" zoomScaleNormal="25" zoomScaleSheetLayoutView="40" zoomScalePageLayoutView="25" workbookViewId="0" topLeftCell="A2">
      <selection pane="topLeft" activeCell="F9" sqref="F9"/>
    </sheetView>
  </sheetViews>
  <sheetFormatPr defaultColWidth="9.44140625" defaultRowHeight="40.2" customHeight="1"/>
  <cols>
    <col min="1" max="1" width="9.71428571428571" style="60" customWidth="1"/>
    <col min="2" max="2" width="19.7142857142857" style="60" customWidth="1"/>
    <col min="3" max="3" width="21.7142857142857" style="60" customWidth="1"/>
    <col min="4" max="4" width="18.8571428571429" style="60" customWidth="1"/>
    <col min="5" max="5" width="14.2857142857143" style="60" customWidth="1"/>
    <col min="6" max="6" width="16.7142857142857" style="60" bestFit="1" customWidth="1"/>
    <col min="7" max="7" width="14.2857142857143" style="60" customWidth="1"/>
    <col min="8" max="8" width="16.7142857142857" style="60" bestFit="1" customWidth="1"/>
    <col min="9" max="9" width="17" style="60" customWidth="1"/>
    <col min="10" max="10" width="14.8571428571429" style="61" customWidth="1"/>
    <col min="11" max="11" width="15.2857142857143" style="61" customWidth="1"/>
    <col min="12" max="12" width="24.5714285714286" style="60" customWidth="1"/>
    <col min="13" max="13" width="18.1428571428571" style="60" customWidth="1"/>
    <col min="14" max="14" width="17.7142857142857" style="60" customWidth="1"/>
    <col min="15" max="15" width="15.5714285714286" style="60" customWidth="1"/>
    <col min="16" max="16" width="18.4285714285714" style="60" customWidth="1"/>
    <col min="17" max="17" width="19.8571428571429" style="60" customWidth="1"/>
    <col min="18" max="18" width="22.5714285714286" style="60" customWidth="1"/>
    <col min="19" max="19" width="16.5714285714286" style="60" customWidth="1"/>
    <col min="20" max="20" width="22.1428571428571" style="60" customWidth="1"/>
    <col min="21" max="21" width="22.5714285714286" style="60" customWidth="1"/>
    <col min="22" max="22" width="27.4285714285714" style="60" customWidth="1"/>
    <col min="23" max="23" width="19.4285714285714" style="60" customWidth="1"/>
    <col min="24" max="24" width="21.2857142857143" style="60" customWidth="1"/>
    <col min="25" max="25" width="19.7142857142857" customWidth="1"/>
    <col min="26" max="26" width="19.1428571428571" customWidth="1"/>
    <col min="27" max="27" width="21.7142857142857" customWidth="1"/>
    <col min="28" max="28" width="22.4285714285714" customWidth="1"/>
    <col min="29" max="29" width="26.5714285714286" customWidth="1"/>
    <col min="30" max="30" width="24.8571428571429" customWidth="1"/>
    <col min="31" max="31" width="19.5714285714286" customWidth="1"/>
    <col min="32" max="32" width="23.5714285714286" customWidth="1"/>
    <col min="33" max="33" width="20.2857142857143" customWidth="1"/>
    <col min="34" max="34" width="32" customWidth="1"/>
  </cols>
  <sheetData>
    <row r="1" spans="1:34" s="29" customFormat="1" ht="157.2" customHeight="1">
      <c r="A1" s="273" t="s">
        <v>243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</row>
    <row r="2" spans="1:34" ht="59.25" customHeight="1">
      <c r="A2" s="274" t="s">
        <v>307</v>
      </c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</row>
    <row r="3" spans="1:34" s="46" customFormat="1" ht="50.1" customHeight="1">
      <c r="A3" s="182" t="s">
        <v>7</v>
      </c>
      <c r="B3" s="182"/>
      <c r="C3" s="182"/>
      <c r="D3" s="186"/>
      <c r="E3" s="186"/>
      <c r="F3" s="186"/>
      <c r="G3" s="186" t="s">
        <v>118</v>
      </c>
      <c r="H3" s="186"/>
      <c r="I3" s="186"/>
      <c r="J3" s="186"/>
      <c r="K3" s="5" t="str">
        <f>Data!BF5</f>
        <v>Crow, Tahlia</v>
      </c>
      <c r="L3" s="5"/>
      <c r="M3" s="5"/>
      <c r="N3" s="5"/>
      <c r="O3" s="5"/>
      <c r="P3" s="5"/>
      <c r="Q3" s="6" t="s">
        <v>4</v>
      </c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1:34" s="46" customFormat="1" ht="50.1" customHeight="1">
      <c r="A4" s="183" t="s">
        <v>143</v>
      </c>
      <c r="B4" s="183"/>
      <c r="C4" s="183"/>
      <c r="D4" s="187" t="str">
        <f>Data!BC5</f>
        <v>11804</v>
      </c>
      <c r="E4" s="187"/>
      <c r="F4" s="187"/>
      <c r="G4" s="188" t="s">
        <v>8</v>
      </c>
      <c r="H4" s="188"/>
      <c r="I4" s="188"/>
      <c r="J4" s="188"/>
      <c r="K4" s="5" t="str">
        <f>TRIM(Data!AX5)</f>
        <v>Roller Shutters</v>
      </c>
      <c r="L4" s="5"/>
      <c r="M4" s="5"/>
      <c r="N4" s="5"/>
      <c r="O4" s="5"/>
      <c r="P4" s="5"/>
      <c r="Q4" s="5" t="str">
        <f>TRIM(Data!BG5)</f>
        <v/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1:34" s="47" customFormat="1" ht="50.1" customHeight="1">
      <c r="A5" s="182" t="s">
        <v>15</v>
      </c>
      <c r="B5" s="182"/>
      <c r="C5" s="182"/>
      <c r="D5" s="187" t="str">
        <f>Data!BD5</f>
        <v>C</v>
      </c>
      <c r="E5" s="187"/>
      <c r="F5" s="187"/>
      <c r="G5" s="188" t="s">
        <v>137</v>
      </c>
      <c r="H5" s="188"/>
      <c r="I5" s="188"/>
      <c r="J5" s="188"/>
      <c r="K5" s="5" t="str">
        <f>LEFT(Data!BA5,10)</f>
        <v>23/09/2026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1:34" s="55" customFormat="1" ht="50.1" customHeight="1">
      <c r="A6" s="185" t="s">
        <v>142</v>
      </c>
      <c r="B6" s="12" t="s">
        <v>398</v>
      </c>
      <c r="C6" s="12" t="s">
        <v>399</v>
      </c>
      <c r="D6" s="13" t="s">
        <v>120</v>
      </c>
      <c r="E6" s="275" t="s">
        <v>225</v>
      </c>
      <c r="F6" s="275" t="s">
        <v>228</v>
      </c>
      <c r="G6" s="275" t="s">
        <v>226</v>
      </c>
      <c r="H6" s="275" t="s">
        <v>230</v>
      </c>
      <c r="I6" s="12" t="s">
        <v>145</v>
      </c>
      <c r="J6" s="12" t="s">
        <v>11</v>
      </c>
      <c r="K6" s="12" t="s">
        <v>400</v>
      </c>
      <c r="L6" s="12" t="s">
        <v>181</v>
      </c>
      <c r="M6" s="12" t="s">
        <v>176</v>
      </c>
      <c r="N6" s="12" t="s">
        <v>178</v>
      </c>
      <c r="O6" s="12" t="s">
        <v>314</v>
      </c>
      <c r="P6" s="12" t="s">
        <v>179</v>
      </c>
      <c r="Q6" s="12" t="s">
        <v>218</v>
      </c>
      <c r="R6" s="13" t="s">
        <v>171</v>
      </c>
      <c r="S6" s="13" t="s">
        <v>832</v>
      </c>
      <c r="T6" s="13" t="s">
        <v>175</v>
      </c>
      <c r="U6" s="12" t="s">
        <v>183</v>
      </c>
      <c r="V6" s="12" t="s">
        <v>822</v>
      </c>
      <c r="W6" s="12" t="s">
        <v>319</v>
      </c>
      <c r="X6" s="12" t="s">
        <v>737</v>
      </c>
      <c r="Y6" s="12" t="s">
        <v>255</v>
      </c>
      <c r="Z6" s="12" t="s">
        <v>256</v>
      </c>
      <c r="AA6" s="12" t="s">
        <v>257</v>
      </c>
      <c r="AB6" s="12" t="s">
        <v>258</v>
      </c>
      <c r="AC6" s="12" t="s">
        <v>401</v>
      </c>
      <c r="AD6" s="12" t="s">
        <v>301</v>
      </c>
      <c r="AE6" s="12" t="s">
        <v>240</v>
      </c>
      <c r="AF6" s="12" t="s">
        <v>403</v>
      </c>
      <c r="AG6" s="12" t="s">
        <v>404</v>
      </c>
      <c r="AH6" s="12" t="s">
        <v>5</v>
      </c>
    </row>
    <row r="7" spans="1:34" s="55" customFormat="1" ht="14.25" customHeight="1" hidden="1">
      <c r="A7" s="185"/>
      <c r="B7" s="12"/>
      <c r="C7" s="12"/>
      <c r="D7" s="13"/>
      <c r="E7" s="275"/>
      <c r="F7" s="275"/>
      <c r="G7" s="275"/>
      <c r="H7" s="275"/>
      <c r="I7" s="12"/>
      <c r="J7" s="12"/>
      <c r="K7" s="12"/>
      <c r="L7" s="12"/>
      <c r="M7" s="12"/>
      <c r="N7" s="12"/>
      <c r="O7" s="12"/>
      <c r="P7" s="12"/>
      <c r="Q7" s="12"/>
      <c r="R7" s="13"/>
      <c r="S7" s="13"/>
      <c r="T7" s="13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</row>
    <row r="8" spans="1:34" s="56" customFormat="1" ht="50.1" customHeight="1">
      <c r="A8" s="185"/>
      <c r="B8" s="12"/>
      <c r="C8" s="12"/>
      <c r="D8" s="13"/>
      <c r="E8" s="275"/>
      <c r="F8" s="275"/>
      <c r="G8" s="275"/>
      <c r="H8" s="275"/>
      <c r="I8" s="12"/>
      <c r="J8" s="12"/>
      <c r="K8" s="12"/>
      <c r="L8" s="12"/>
      <c r="M8" s="12"/>
      <c r="N8" s="12"/>
      <c r="O8" s="12"/>
      <c r="P8" s="12"/>
      <c r="Q8" s="12"/>
      <c r="R8" s="13"/>
      <c r="S8" s="13"/>
      <c r="T8" s="13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</row>
    <row r="9" spans="1:34" s="36" customFormat="1" ht="60" customHeight="1">
      <c r="A9" s="100" t="str">
        <f>IF(Data!AV11="","",IF(OR('Job Sheet'!BC11="CW Products",'Job Sheet'!$A$6="Brax Retail",'Job Sheet'!$A$6="Brax Wholesale",'Job Sheet'!$A$6="Brax Wholesale B2B"),'Job Sheet'!A11,""))</f>
        <v/>
      </c>
      <c r="B9" s="96" t="str">
        <f>IF(Data!AV11="","",IF(OR('Job Sheet'!BC11="CW Products",'Job Sheet'!$A$6="Brax Retail",'Job Sheet'!$A$6="Brax Wholesale",'Job Sheet'!$A$6="Brax Wholesale B2B"),Data!BN11,""))</f>
        <v/>
      </c>
      <c r="C9" s="96" t="str">
        <f t="array" ref="C9">IF(OR(Data!AV11="",A9=""),"",IF(AND('Job Sheet'!BC11="CW Products",Data!BO11="Custom Powdercoat"),CONCATENATE(bpLOOKUP(Data!$AV11,"PCOAT",CustOrdOpt,6,FALSE)," ",Data!BO11),Data!BO11))</f>
        <v/>
      </c>
      <c r="D9" s="95" t="str">
        <f>IF(Data!AV11="","",IF(OR('Job Sheet'!BC11="CW Products",'Job Sheet'!$A$6="Brax Retail",'Job Sheet'!$A$6="Brax Wholesale",'Job Sheet'!$A$6="Brax Wholesale B2B"),'Job Sheet'!B11,""))</f>
        <v/>
      </c>
      <c r="E9" s="91" t="str">
        <f>IF(Data!AV11="","",IF(AND('Job Sheet'!G11="Opening",(OR('Job Sheet'!$A$6="Brax Retail",'Job Sheet'!$A$6="Brax Wholesale",'Job Sheet'!$A$6="Brax Wholesale B2B"))),Data!BA11-VLOOKUP('Job Sheet'!K11,FitDeduct,2,FALSE)-VLOOKUP('Job Sheet'!H11,SideDeduct,2,FALSE),IF(AND('Job Sheet'!G11="Making",(OR('Job Sheet'!BC11="CW Products",'Job Sheet'!$A$6="Brax Retail",'Job Sheet'!$A$6="Brax Wholesale",'Job Sheet'!$A$6="Brax Wholesale B2B"))),Data!BA11,IF(AND('Job Sheet'!G11="Opening",'Job Sheet'!BC11="CW Products"),'Job Sheet'!I11,""))))</f>
        <v/>
      </c>
      <c r="F9" s="91" t="str">
        <f>IF(OR(Data!AV11="",A9=""),"",IF(OR('Job Sheet'!G11="Making",'Job Sheet'!$A$6="Brax Retail",'Job Sheet'!$A$6="Brax Wholesale",'Job Sheet'!$A$6="Brax Wholesale B2B"),'Job Sheet'!D11,IF(AND('Job Sheet'!G11="Opening",(OR('Job Sheet'!BC11="CW Products",'Job Sheet'!$A$6="Brax Retail",'Job Sheet'!$A$6="Brax Wholesale",'Job Sheet'!$A$6="Brax Wholesale B2B"))),"(--)","")))</f>
        <v/>
      </c>
      <c r="G9" s="91" t="str">
        <f>IF(Data!AV11="","",IF(AND('Job Sheet'!G11="Opening",(OR('Job Sheet'!$A$6="Brax Retail",'Job Sheet'!$A$6="Brax Wholesale",'Job Sheet'!$A$6="Brax Wholesale B2B"))),'Job Sheet'!E11,IF(AND('Job Sheet'!G11="Making",(OR('Job Sheet'!BC11="CW Products",'Job Sheet'!$A$6="Brax Retail",'Job Sheet'!$A$6="Brax Wholesale",'Job Sheet'!$A$6="Brax Wholesale B2B"))),'Job Sheet'!J11,IF(AND('Job Sheet'!G11="Opening",'Job Sheet'!BC11="CW Products"),'Job Sheet'!J11,""))))</f>
        <v/>
      </c>
      <c r="H9" s="91" t="str">
        <f>IF(OR(Data!AV11="",A9=""),"",IF(OR('Job Sheet'!G11="Making",'Job Sheet'!$A$6="Brax Retail",'Job Sheet'!$A$6="Brax Wholesale",'Job Sheet'!$A$6="Brax Wholesale B2B"),'Job Sheet'!F11,IF(AND('Job Sheet'!G11="Opening",(OR('Job Sheet'!BC11="CW Products",'Job Sheet'!$A$6="Brax Retail",'Job Sheet'!$A$6="Brax Wholesale",'Job Sheet'!$A$6="Brax Wholesale B2B"))),"(-Box)","")))</f>
        <v/>
      </c>
      <c r="I9" s="96" t="str">
        <f>IF(Data!AV11="","",IF(OR(,'Job Sheet'!$A$6="Brax Retail",'Job Sheet'!$A$6="Brax Wholesale",'Job Sheet'!$A$6="Brax Wholesale B2B"),'Job Sheet'!G11,""))</f>
        <v/>
      </c>
      <c r="J9" s="96" t="str">
        <f>IF(Data!AV11="","",IF(OR('Job Sheet'!BC11="CW Products",'Job Sheet'!$A$6="Brax Retail",'Job Sheet'!$A$6="Brax Wholesale",'Job Sheet'!$A$6="Brax Wholesale B2B"),'Job Sheet'!K11,""))</f>
        <v/>
      </c>
      <c r="K9" s="96" t="str">
        <f>IF(Data!AV11="","",IF(OR('Job Sheet'!$A$6="Brax Retail",'Job Sheet'!$A$6="Brax Wholesale",'Job Sheet'!$A$6="Brax Wholesale B2B"),_xlfn.SINGLE(bpLOOKUP(Data!$AV11,"FIXING",CustOrdOpt,6,FALSE)),""))</f>
        <v/>
      </c>
      <c r="L9" s="96" t="str">
        <f>IF(Data!AV11="","",IF(OR('Job Sheet'!BC11="CW Products",'Job Sheet'!$A$6="Brax Retail",'Job Sheet'!$A$6="Brax Wholesale",'Job Sheet'!$A$6="Brax Wholesale B2B"),'Job Sheet'!O11,""))</f>
        <v/>
      </c>
      <c r="M9" s="96" t="str">
        <f>IF(Data!AV11="","",IF(OR('Job Sheet'!BC11="CW Products",'Job Sheet'!$A$6="Brax Retail",'Job Sheet'!$A$6="Brax Wholesale",'Job Sheet'!$A$6="Brax Wholesale B2B"),'Job Sheet'!N11,""))</f>
        <v/>
      </c>
      <c r="N9" s="96" t="str">
        <f>IF(Data!AV11="","",IF(OR('Job Sheet'!BC11="CW Products",'Job Sheet'!$A$6="Brax Retail",'Job Sheet'!$A$6="Brax Wholesale",'Job Sheet'!$A$6="Brax Wholesale B2B"),'Job Sheet'!P11,""))</f>
        <v/>
      </c>
      <c r="O9" s="96" t="str">
        <f>IF(Data!AV11="","",IF(OR('Job Sheet'!BC11="CW Products",'Job Sheet'!$A$6="Brax Retail",'Job Sheet'!$A$6="Brax Wholesale",'Job Sheet'!$A$6="Brax Wholesale B2B"),'Job Sheet'!R11,""))</f>
        <v/>
      </c>
      <c r="P9" s="96" t="str">
        <f>IF(Data!AV11="","",IF(OR('Job Sheet'!BC11="CW Products",'Job Sheet'!$A$6="Brax Retail",'Job Sheet'!$A$6="Brax Wholesale",'Job Sheet'!$A$6="Brax Wholesale B2B"),'Job Sheet'!Q11,""))</f>
        <v/>
      </c>
      <c r="Q9" s="96" t="str">
        <f>IF(Data!AV11="","",IF(OR('Job Sheet'!BC11="CW Products",'Job Sheet'!$A$6="Brax Retail",'Job Sheet'!$A$6="Brax Wholesale",'Job Sheet'!$A$6="Brax Wholesale B2B"),'Job Sheet'!S11,""))</f>
        <v/>
      </c>
      <c r="R9" s="96" t="str">
        <f>IF(Data!AV11="","",IF(OR('Job Sheet'!$A$6="Brax Retail",'Job Sheet'!$A$6="Brax Wholesale",'Job Sheet'!$A$6="Brax Wholesale B2B"),'Job Sheet'!T11,IF(AND('Job Sheet'!BC11="CW Products",(OR('Job Sheet'!T11="Acmeda External Motor",'Job Sheet'!T11="12v ODS System",'Job Sheet'!T11="Firesafe 12v ODS System"))),"Supplied by Davidson's",IF('Job Sheet'!BC11="Davidson's","",IF(OR('Job Sheet'!T11="Spring",'Job Sheet'!T11="Strap Winch"),'Job Sheet'!T11,'Job Sheet'!U11)))))</f>
        <v/>
      </c>
      <c r="S9" s="96" t="str">
        <f>IF(A9="","",'Job Sheet'!V11)</f>
        <v/>
      </c>
      <c r="T9" s="96" t="str">
        <f>IF(OR(Data!AV11="",R9="Supplied by Davidson's"),"",IF(OR('Job Sheet'!BC11="CW Products",'Job Sheet'!$A$6="Brax Retail",'Job Sheet'!$A$6="Brax Wholesale",'Job Sheet'!$A$6="Brax Wholesale B2B"),'Job Sheet'!W11,IF(AND('Job Sheet'!BC11="CW Products",(OR('Job Sheet'!T11="Acmeda External Motor",'Job Sheet'!T11="12v ODS System",'Job Sheet'!T11="Firesafe 12v ODS System"))),"",IF('Job Sheet'!BC11="Davidson's","",IF(OR('Job Sheet'!T11="Spring",'Job Sheet'!T11="Strap Winch"),"")))))</f>
        <v/>
      </c>
      <c r="U9" s="96" t="str">
        <f>IF(Data!AV11="","",IF(OR('Job Sheet'!BC11="CW Products",'Job Sheet'!$A$6="Brax Retail",'Job Sheet'!$A$6="Brax Wholesale",'Job Sheet'!$A$6="Brax Wholesale B2B"),'Job Sheet'!AC11,""))</f>
        <v/>
      </c>
      <c r="V9" s="96" t="str">
        <f>IF(OR(Data!AV11="",'Job Sheet'!AD11=""),"",IF(OR('Job Sheet'!BC11="CW Products",'Job Sheet'!$A$6="Brax Retail",'Job Sheet'!$A$6="Brax Wholesale",'Job Sheet'!$A$6="Brax Wholesale B2B"),CONCATENATE('Job Sheet'!AD11,"mm"),""))</f>
        <v/>
      </c>
      <c r="W9" s="97" t="str">
        <f>IF(Data!AV11="","",IF(OR('Job Sheet'!BC11="CW Products",'Job Sheet'!$A$6="Brax Retail",'Job Sheet'!$A$6="Brax Wholesale",'Job Sheet'!$A$6="Brax Wholesale B2B"),'Job Sheet'!AE11,""))</f>
        <v/>
      </c>
      <c r="X9" s="96" t="str">
        <f>IF(OR(Data!AU11="",'Job Sheet'!AG11=""),"",IF(OR('Job Sheet'!BB11="CW Products",'Job Sheet'!$A$6="Brax Retail",'Job Sheet'!$A$6="Brax Wholesale",'Job Sheet'!$A$6="Brax Wholesale B2B"),Packing!O11))</f>
        <v/>
      </c>
      <c r="Y9" s="96" t="str">
        <f>IF(OR(Data!AV11="",'Job Sheet'!AH11=""),"",IF(OR('Job Sheet'!BC11="CW Products",'Job Sheet'!$A$6="Brax Retail",'Job Sheet'!$A$6="Brax Wholesale",'Job Sheet'!$A$6="Brax Wholesale B2B"),CONCATENATE('Job Sheet'!AH11," x ",'Job Sheet'!I11,"mm"),""))</f>
        <v/>
      </c>
      <c r="Z9" s="96" t="str">
        <f>IF(OR(Data!AV11="",'Job Sheet'!AI11=""),"",IF(OR('Job Sheet'!BC11="CW Products",'Job Sheet'!$A$6="Brax Retail",'Job Sheet'!$A$6="Brax Wholesale",'Job Sheet'!$A$6="Brax Wholesale B2B"),CONCATENATE('Job Sheet'!AI11," x ",'Job Sheet'!I11,"mm"),""))</f>
        <v/>
      </c>
      <c r="AA9" s="96" t="str">
        <f>IF(OR(Data!AV11="",'Job Sheet'!AJ11=""),"",IF(AND(OR('Job Sheet'!BC11="CW Products",'Job Sheet'!$A$6="Brax Retail",'Job Sheet'!$A$6="Brax Wholesale",'Job Sheet'!$A$6="Brax Wholesale B2B"),OR('Job Sheet'!AJ11="25 x 25 Sill Angle for Headbox Only",'Job Sheet'!AJ11="25 x 50 Sill Angle for Headbox Only",'Job Sheet'!AJ11="25 x 75 Sill Angle for Headbox Only",'Job Sheet'!AJ11="8mm Slat for Headbox Only",'Job Sheet'!AJ11="22mm Side Guide for Headbox Only")),CONCATENATE('Job Sheet'!AJ11," x ",'Job Sheet'!AB11),IF(OR('Job Sheet'!BC11="CW Products",'Job Sheet'!$A$6="Brax Retail",'Job Sheet'!$A$6="Brax Wholesale",'Job Sheet'!$A$6="Brax Wholesale B2B"),CONCATENATE('Job Sheet'!AJ11," x ",'Job Sheet'!J11,"mm"),"")))</f>
        <v/>
      </c>
      <c r="AB9" s="96" t="str">
        <f>IF(OR(Data!AV11="",'Job Sheet'!AK11=""),"",IF(AND(OR('Job Sheet'!BC11="CW Products",'Job Sheet'!$A$6="Brax Retail",'Job Sheet'!$A$6="Brax Wholesale",'Job Sheet'!$A$6="Brax Wholesale B2B"),OR('Job Sheet'!AJ11="25 x 25 Sill Angle for Headbox Only",'Job Sheet'!AJ11="25 x 50 Sill Angle for Headbox Only",'Job Sheet'!AJ11="25 x 75 Sill Angle for Headbox Only",'Job Sheet'!AJ11="8mm Slat for Headbox Only",'Job Sheet'!AJ11="22mm Side Guide for Headbox Only")),CONCATENATE('Job Sheet'!AK11," x ",'Job Sheet'!AB11),IF(OR('Job Sheet'!BC11="CW Products",'Job Sheet'!$A$6="Brax Retail",'Job Sheet'!$A$6="Brax Wholesale",'Job Sheet'!$A$6="Brax Wholesale B2B"),CONCATENATE('Job Sheet'!AK11," x ",'Job Sheet'!J11,"mm"),"")))</f>
        <v/>
      </c>
      <c r="AC9" s="96" t="str">
        <f>IF(Data!AV11="","",IF(OR('Job Sheet'!$A$6="Brax Retail",'Job Sheet'!$A$6="Brax Wholesale",'Job Sheet'!$A$6="Brax Wholesale B2B"),"",IF(AND('Job Sheet'!BC11="CW Products",(OR('Job Sheet'!T11="Acmeda External Motor",'Job Sheet'!T11="12v ODS System",'Job Sheet'!T11="Firesafe 12v ODS System"))),"",'Job Sheet'!Z11)))</f>
        <v/>
      </c>
      <c r="AD9" s="96" t="str">
        <f>IF(Data!AV11="","",IF(OR('Job Sheet'!$A$6="Brax Retail",'Job Sheet'!$A$6="Brax Wholesale",'Job Sheet'!$A$6="Brax Wholesale B2B"),"",IF(AND('Job Sheet'!BC11="CW Products",(OR('Job Sheet'!T11="Acmeda External Motor",'Job Sheet'!T11="12v ODS System",'Job Sheet'!T11="Firesafe 12v ODS System"))),"",'Job Sheet'!AA12)))</f>
        <v/>
      </c>
      <c r="AE9" s="96" t="str">
        <f>IF(Data!AV11="","",IF(OR('Job Sheet'!BC11="CW Products",'Job Sheet'!$A$6="Brax Retail",'Job Sheet'!$A$6="Brax Wholesale",'Job Sheet'!$A$6="Brax Wholesale B2B"),'Job Sheet'!AL11,""))</f>
        <v/>
      </c>
      <c r="AF9" s="96" t="str">
        <f>IF(Data!AV11="","",IF(OR('Job Sheet'!BC11="CW Products",'Job Sheet'!$A$6="Brax Retail",'Job Sheet'!$A$6="Brax Wholesale",'Job Sheet'!$A$6="Brax Wholesale B2B"),'Job Sheet'!X11,""))</f>
        <v/>
      </c>
      <c r="AG9" s="96" t="str">
        <f>IF(Data!AV11="","",IF(OR('Job Sheet'!BC11="CW Products",'Job Sheet'!$A$6="Brax Retail",'Job Sheet'!$A$6="Brax Wholesale",'Job Sheet'!$A$6="Brax Wholesale B2B"),'Job Sheet'!Y11,""))</f>
        <v/>
      </c>
      <c r="AH9" s="96" t="str">
        <f>IF(Data!AV11="","",IF(OR('Job Sheet'!BC11="CW Products",'Job Sheet'!$A$6="Brax Retail",'Job Sheet'!$A$6="Brax Wholesale",'Job Sheet'!$A$6="Brax Wholesale B2B"),'Job Sheet'!AR11,""))</f>
        <v/>
      </c>
    </row>
    <row r="10" spans="1:34" s="36" customFormat="1" ht="60" customHeight="1">
      <c r="A10" s="100" t="str">
        <f>IF(Data!AV12="","",IF(OR('Job Sheet'!BC12="CW Products",'Job Sheet'!$A$6="Brax Retail",'Job Sheet'!$A$6="Brax Wholesale",'Job Sheet'!$A$6="Brax Wholesale B2B"),'Job Sheet'!A12,""))</f>
        <v/>
      </c>
      <c r="B10" s="96" t="str">
        <f>IF(Data!AV12="","",IF(OR('Job Sheet'!BC12="CW Products",'Job Sheet'!$A$6="Brax Retail",'Job Sheet'!$A$6="Brax Wholesale",'Job Sheet'!$A$6="Brax Wholesale B2B"),Data!BN12,""))</f>
        <v/>
      </c>
      <c r="C10" s="96" t="str">
        <f t="array" ref="C10">IF(OR(Data!AV12="",A10=""),"",IF(AND('Job Sheet'!BC12="CW Products",Data!BO12="Custom Powdercoat"),CONCATENATE(bpLOOKUP(Data!$AV12,"PCOAT",CustOrdOpt,6,FALSE)," ",Data!BO12),Data!BO12))</f>
        <v/>
      </c>
      <c r="D10" s="95" t="str">
        <f>IF(Data!AV12="","",IF(OR('Job Sheet'!BC12="CW Products",'Job Sheet'!$A$6="Brax Retail",'Job Sheet'!$A$6="Brax Wholesale",'Job Sheet'!$A$6="Brax Wholesale B2B"),'Job Sheet'!B12,""))</f>
        <v/>
      </c>
      <c r="E10" s="91" t="str">
        <f>IF(Data!AV12="","",IF(AND('Job Sheet'!G12="Opening",(OR('Job Sheet'!$A$6="Brax Retail",'Job Sheet'!$A$6="Brax Wholesale",'Job Sheet'!$A$6="Brax Wholesale B2B"))),Data!BA12-VLOOKUP('Job Sheet'!K12,FitDeduct,2,FALSE)-VLOOKUP('Job Sheet'!H12,SideDeduct,2,FALSE),IF(AND('Job Sheet'!G12="Making",(OR('Job Sheet'!BC12="CW Products",'Job Sheet'!$A$6="Brax Retail",'Job Sheet'!$A$6="Brax Wholesale",'Job Sheet'!$A$6="Brax Wholesale B2B"))),Data!BA12,IF(AND('Job Sheet'!G12="Opening",'Job Sheet'!BC12="CW Products"),'Job Sheet'!I12,""))))</f>
        <v/>
      </c>
      <c r="F10" s="91" t="str">
        <f>IF(OR(Data!AV12="",A10=""),"",IF(OR('Job Sheet'!G12="Making",'Job Sheet'!$A$6="Brax Retail",'Job Sheet'!$A$6="Brax Wholesale",'Job Sheet'!$A$6="Brax Wholesale B2B"),'Job Sheet'!D12,IF(AND('Job Sheet'!G12="Opening",(OR('Job Sheet'!BC12="CW Products",'Job Sheet'!$A$6="Brax Retail",'Job Sheet'!$A$6="Brax Wholesale",'Job Sheet'!$A$6="Brax Wholesale B2B"))),"(--)","")))</f>
        <v/>
      </c>
      <c r="G10" s="91" t="str">
        <f>IF(Data!AV12="","",IF(AND('Job Sheet'!G12="Opening",(OR('Job Sheet'!$A$6="Brax Retail",'Job Sheet'!$A$6="Brax Wholesale",'Job Sheet'!$A$6="Brax Wholesale B2B"))),'Job Sheet'!E12,IF(AND('Job Sheet'!G12="Making",(OR('Job Sheet'!BC12="CW Products",'Job Sheet'!$A$6="Brax Retail",'Job Sheet'!$A$6="Brax Wholesale",'Job Sheet'!$A$6="Brax Wholesale B2B"))),'Job Sheet'!J12,IF(AND('Job Sheet'!G12="Opening",'Job Sheet'!BC12="CW Products"),'Job Sheet'!J12,""))))</f>
        <v/>
      </c>
      <c r="H10" s="91" t="str">
        <f>IF(OR(Data!AV12="",A10=""),"",IF(OR('Job Sheet'!G12="Making",'Job Sheet'!$A$6="Brax Retail",'Job Sheet'!$A$6="Brax Wholesale",'Job Sheet'!$A$6="Brax Wholesale B2B"),'Job Sheet'!F12,IF(AND('Job Sheet'!G12="Opening",(OR('Job Sheet'!BC12="CW Products",'Job Sheet'!$A$6="Brax Retail",'Job Sheet'!$A$6="Brax Wholesale",'Job Sheet'!$A$6="Brax Wholesale B2B"))),"(-Box)","")))</f>
        <v/>
      </c>
      <c r="I10" s="96" t="str">
        <f>IF(Data!AV12="","",IF(OR(,'Job Sheet'!$A$6="Brax Retail",'Job Sheet'!$A$6="Brax Wholesale",'Job Sheet'!$A$6="Brax Wholesale B2B"),'Job Sheet'!G12,""))</f>
        <v/>
      </c>
      <c r="J10" s="96" t="str">
        <f>IF(Data!AV12="","",IF(OR('Job Sheet'!BC12="CW Products",'Job Sheet'!$A$6="Brax Retail",'Job Sheet'!$A$6="Brax Wholesale",'Job Sheet'!$A$6="Brax Wholesale B2B"),'Job Sheet'!K12,""))</f>
        <v/>
      </c>
      <c r="K10" s="96" t="str">
        <f>IF(Data!AV12="","",IF(OR('Job Sheet'!$A$6="Brax Retail",'Job Sheet'!$A$6="Brax Wholesale",'Job Sheet'!$A$6="Brax Wholesale B2B"),_xlfn.SINGLE(bpLOOKUP(Data!$AV12,"FIXING",CustOrdOpt,6,FALSE)),""))</f>
        <v/>
      </c>
      <c r="L10" s="96" t="str">
        <f>IF(Data!AV12="","",IF(OR('Job Sheet'!BC12="CW Products",'Job Sheet'!$A$6="Brax Retail",'Job Sheet'!$A$6="Brax Wholesale",'Job Sheet'!$A$6="Brax Wholesale B2B"),'Job Sheet'!O12,""))</f>
        <v/>
      </c>
      <c r="M10" s="96" t="str">
        <f>IF(Data!AV12="","",IF(OR('Job Sheet'!BC12="CW Products",'Job Sheet'!$A$6="Brax Retail",'Job Sheet'!$A$6="Brax Wholesale",'Job Sheet'!$A$6="Brax Wholesale B2B"),'Job Sheet'!N12,""))</f>
        <v/>
      </c>
      <c r="N10" s="96" t="str">
        <f>IF(Data!AV12="","",IF(OR('Job Sheet'!BC12="CW Products",'Job Sheet'!$A$6="Brax Retail",'Job Sheet'!$A$6="Brax Wholesale",'Job Sheet'!$A$6="Brax Wholesale B2B"),'Job Sheet'!P12,""))</f>
        <v/>
      </c>
      <c r="O10" s="96" t="str">
        <f>IF(Data!AV12="","",IF(OR('Job Sheet'!BC12="CW Products",'Job Sheet'!$A$6="Brax Retail",'Job Sheet'!$A$6="Brax Wholesale",'Job Sheet'!$A$6="Brax Wholesale B2B"),'Job Sheet'!R12,""))</f>
        <v/>
      </c>
      <c r="P10" s="96" t="str">
        <f>IF(Data!AV12="","",IF(OR('Job Sheet'!BC12="CW Products",'Job Sheet'!$A$6="Brax Retail",'Job Sheet'!$A$6="Brax Wholesale",'Job Sheet'!$A$6="Brax Wholesale B2B"),'Job Sheet'!Q12,""))</f>
        <v/>
      </c>
      <c r="Q10" s="96" t="str">
        <f>IF(Data!AV12="","",IF(OR('Job Sheet'!BC12="CW Products",'Job Sheet'!$A$6="Brax Retail",'Job Sheet'!$A$6="Brax Wholesale",'Job Sheet'!$A$6="Brax Wholesale B2B"),'Job Sheet'!S12,""))</f>
        <v/>
      </c>
      <c r="R10" s="96" t="str">
        <f>IF(Data!AV12="","",IF(OR('Job Sheet'!$A$6="Brax Retail",'Job Sheet'!$A$6="Brax Wholesale",'Job Sheet'!$A$6="Brax Wholesale B2B"),'Job Sheet'!T12,IF(AND('Job Sheet'!BC12="CW Products",(OR('Job Sheet'!T12="Acmeda External Motor",'Job Sheet'!T12="12v ODS System",'Job Sheet'!T12="Firesafe 12v ODS System"))),"Supplied by Davidson's",IF('Job Sheet'!BC12="Davidson's","",IF(OR('Job Sheet'!T12="Spring",'Job Sheet'!T12="Strap Winch"),'Job Sheet'!T12,'Job Sheet'!U12)))))</f>
        <v/>
      </c>
      <c r="S10" s="96" t="str">
        <f>IF(A10="","",'Job Sheet'!V12)</f>
        <v/>
      </c>
      <c r="T10" s="96" t="str">
        <f>IF(OR(Data!AV12="",R10="Supplied by Davidson's"),"",IF(OR('Job Sheet'!BC12="CW Products",'Job Sheet'!$A$6="Brax Retail",'Job Sheet'!$A$6="Brax Wholesale",'Job Sheet'!$A$6="Brax Wholesale B2B"),'Job Sheet'!W12,IF(AND('Job Sheet'!BC12="CW Products",(OR('Job Sheet'!T12="Acmeda External Motor",'Job Sheet'!T12="12v ODS System",'Job Sheet'!T12="Firesafe 12v ODS System"))),"",IF('Job Sheet'!BC12="Davidson's","",IF(OR('Job Sheet'!T12="Spring",'Job Sheet'!T12="Strap Winch"),"")))))</f>
        <v/>
      </c>
      <c r="U10" s="96" t="str">
        <f>IF(Data!AV12="","",IF(OR('Job Sheet'!BC12="CW Products",'Job Sheet'!$A$6="Brax Retail",'Job Sheet'!$A$6="Brax Wholesale",'Job Sheet'!$A$6="Brax Wholesale B2B"),'Job Sheet'!AC12,""))</f>
        <v/>
      </c>
      <c r="V10" s="96" t="str">
        <f>IF(OR(Data!AV12="",'Job Sheet'!AD12=""),"",IF(OR('Job Sheet'!BC12="CW Products",'Job Sheet'!$A$6="Brax Retail",'Job Sheet'!$A$6="Brax Wholesale",'Job Sheet'!$A$6="Brax Wholesale B2B"),CONCATENATE('Job Sheet'!AD12,"mm"),""))</f>
        <v/>
      </c>
      <c r="W10" s="97" t="str">
        <f>IF(Data!AV12="","",IF(OR('Job Sheet'!BC12="CW Products",'Job Sheet'!$A$6="Brax Retail",'Job Sheet'!$A$6="Brax Wholesale",'Job Sheet'!$A$6="Brax Wholesale B2B"),'Job Sheet'!AE12,""))</f>
        <v/>
      </c>
      <c r="X10" s="96" t="str">
        <f>IF(OR(Data!AU12="",'Job Sheet'!AG12=""),"",IF(OR('Job Sheet'!BB12="CW Products",'Job Sheet'!$A$6="Brax Retail",'Job Sheet'!$A$6="Brax Wholesale",'Job Sheet'!$A$6="Brax Wholesale B2B"),Packing!O12))</f>
        <v/>
      </c>
      <c r="Y10" s="96" t="str">
        <f>IF(OR(Data!AV12="",'Job Sheet'!AH12=""),"",IF(OR('Job Sheet'!BC12="CW Products",'Job Sheet'!$A$6="Brax Retail",'Job Sheet'!$A$6="Brax Wholesale",'Job Sheet'!$A$6="Brax Wholesale B2B"),CONCATENATE('Job Sheet'!AH12," x ",'Job Sheet'!I12,"mm"),""))</f>
        <v/>
      </c>
      <c r="Z10" s="96" t="str">
        <f>IF(OR(Data!AV12="",'Job Sheet'!AI12=""),"",IF(OR('Job Sheet'!BC12="CW Products",'Job Sheet'!$A$6="Brax Retail",'Job Sheet'!$A$6="Brax Wholesale",'Job Sheet'!$A$6="Brax Wholesale B2B"),CONCATENATE('Job Sheet'!AI12," x ",'Job Sheet'!I12,"mm"),""))</f>
        <v/>
      </c>
      <c r="AA10" s="96" t="str">
        <f>IF(OR(Data!AV12="",'Job Sheet'!AJ12=""),"",IF(AND(OR('Job Sheet'!BC12="CW Products",'Job Sheet'!$A$6="Brax Retail",'Job Sheet'!$A$6="Brax Wholesale",'Job Sheet'!$A$6="Brax Wholesale B2B"),OR('Job Sheet'!AJ12="25 x 25 Sill Angle for Headbox Only",'Job Sheet'!AJ12="25 x 50 Sill Angle for Headbox Only",'Job Sheet'!AJ12="25 x 75 Sill Angle for Headbox Only",'Job Sheet'!AJ12="8mm Slat for Headbox Only",'Job Sheet'!AJ12="22mm Side Guide for Headbox Only")),CONCATENATE('Job Sheet'!AJ12," x ",'Job Sheet'!AB12),IF(OR('Job Sheet'!BC12="CW Products",'Job Sheet'!$A$6="Brax Retail",'Job Sheet'!$A$6="Brax Wholesale",'Job Sheet'!$A$6="Brax Wholesale B2B"),CONCATENATE('Job Sheet'!AJ12," x ",'Job Sheet'!J12,"mm"),"")))</f>
        <v/>
      </c>
      <c r="AB10" s="96" t="str">
        <f>IF(OR(Data!AV12="",'Job Sheet'!AK12=""),"",IF(AND(OR('Job Sheet'!BC12="CW Products",'Job Sheet'!$A$6="Brax Retail",'Job Sheet'!$A$6="Brax Wholesale",'Job Sheet'!$A$6="Brax Wholesale B2B"),OR('Job Sheet'!AJ12="25 x 25 Sill Angle for Headbox Only",'Job Sheet'!AJ12="25 x 50 Sill Angle for Headbox Only",'Job Sheet'!AJ12="25 x 75 Sill Angle for Headbox Only",'Job Sheet'!AJ12="8mm Slat for Headbox Only",'Job Sheet'!AJ12="22mm Side Guide for Headbox Only")),CONCATENATE('Job Sheet'!AK12," x ",'Job Sheet'!AB12),IF(OR('Job Sheet'!BC12="CW Products",'Job Sheet'!$A$6="Brax Retail",'Job Sheet'!$A$6="Brax Wholesale",'Job Sheet'!$A$6="Brax Wholesale B2B"),CONCATENATE('Job Sheet'!AK12," x ",'Job Sheet'!J12,"mm"),"")))</f>
        <v/>
      </c>
      <c r="AC10" s="96" t="str">
        <f>IF(Data!AV12="","",IF(OR('Job Sheet'!$A$6="Brax Retail",'Job Sheet'!$A$6="Brax Wholesale",'Job Sheet'!$A$6="Brax Wholesale B2B"),"",IF(AND('Job Sheet'!BC12="CW Products",(OR('Job Sheet'!T12="Acmeda External Motor",'Job Sheet'!T12="12v ODS System",'Job Sheet'!T12="Firesafe 12v ODS System"))),"",'Job Sheet'!Z12)))</f>
        <v/>
      </c>
      <c r="AD10" s="96" t="str">
        <f>IF(Data!AV12="","",IF(OR('Job Sheet'!$A$6="Brax Retail",'Job Sheet'!$A$6="Brax Wholesale",'Job Sheet'!$A$6="Brax Wholesale B2B"),"",IF(AND('Job Sheet'!BC12="CW Products",(OR('Job Sheet'!T12="Acmeda External Motor",'Job Sheet'!T12="12v ODS System",'Job Sheet'!T12="Firesafe 12v ODS System"))),"",'Job Sheet'!AA13)))</f>
        <v/>
      </c>
      <c r="AE10" s="96" t="str">
        <f>IF(Data!AV12="","",IF(OR('Job Sheet'!BC12="CW Products",'Job Sheet'!$A$6="Brax Retail",'Job Sheet'!$A$6="Brax Wholesale",'Job Sheet'!$A$6="Brax Wholesale B2B"),'Job Sheet'!AL12,""))</f>
        <v/>
      </c>
      <c r="AF10" s="96" t="str">
        <f>IF(Data!AV12="","",IF(OR('Job Sheet'!BC12="CW Products",'Job Sheet'!$A$6="Brax Retail",'Job Sheet'!$A$6="Brax Wholesale",'Job Sheet'!$A$6="Brax Wholesale B2B"),'Job Sheet'!X12,""))</f>
        <v/>
      </c>
      <c r="AG10" s="96" t="str">
        <f>IF(Data!AV12="","",IF(OR('Job Sheet'!BC12="CW Products",'Job Sheet'!$A$6="Brax Retail",'Job Sheet'!$A$6="Brax Wholesale",'Job Sheet'!$A$6="Brax Wholesale B2B"),'Job Sheet'!Y12,""))</f>
        <v/>
      </c>
      <c r="AH10" s="96" t="str">
        <f>IF(Data!AV12="","",IF(OR('Job Sheet'!BC12="CW Products",'Job Sheet'!$A$6="Brax Retail",'Job Sheet'!$A$6="Brax Wholesale",'Job Sheet'!$A$6="Brax Wholesale B2B"),'Job Sheet'!AR12,""))</f>
        <v/>
      </c>
    </row>
    <row r="11" spans="1:34" s="36" customFormat="1" ht="60" customHeight="1">
      <c r="A11" s="100" t="str">
        <f>IF(Data!AV13="","",IF(OR('Job Sheet'!BC13="CW Products",'Job Sheet'!$A$6="Brax Retail",'Job Sheet'!$A$6="Brax Wholesale",'Job Sheet'!$A$6="Brax Wholesale B2B"),'Job Sheet'!A13,""))</f>
        <v/>
      </c>
      <c r="B11" s="96" t="str">
        <f>IF(Data!AV13="","",IF(OR('Job Sheet'!BC13="CW Products",'Job Sheet'!$A$6="Brax Retail",'Job Sheet'!$A$6="Brax Wholesale",'Job Sheet'!$A$6="Brax Wholesale B2B"),Data!BN13,""))</f>
        <v/>
      </c>
      <c r="C11" s="96" t="str">
        <f t="array" ref="C11">IF(OR(Data!AV13="",A11=""),"",IF(AND('Job Sheet'!BC13="CW Products",Data!BO13="Custom Powdercoat"),CONCATENATE(bpLOOKUP(Data!$AV13,"PCOAT",CustOrdOpt,6,FALSE)," ",Data!BO13),Data!BO13))</f>
        <v/>
      </c>
      <c r="D11" s="95" t="str">
        <f>IF(Data!AV13="","",IF(OR('Job Sheet'!BC13="CW Products",'Job Sheet'!$A$6="Brax Retail",'Job Sheet'!$A$6="Brax Wholesale",'Job Sheet'!$A$6="Brax Wholesale B2B"),'Job Sheet'!B13,""))</f>
        <v/>
      </c>
      <c r="E11" s="91" t="str">
        <f>IF(Data!AV13="","",IF(AND('Job Sheet'!G13="Opening",(OR('Job Sheet'!$A$6="Brax Retail",'Job Sheet'!$A$6="Brax Wholesale",'Job Sheet'!$A$6="Brax Wholesale B2B"))),Data!BA13-VLOOKUP('Job Sheet'!K13,FitDeduct,2,FALSE)-VLOOKUP('Job Sheet'!H13,SideDeduct,2,FALSE),IF(AND('Job Sheet'!G13="Making",(OR('Job Sheet'!BC13="CW Products",'Job Sheet'!$A$6="Brax Retail",'Job Sheet'!$A$6="Brax Wholesale",'Job Sheet'!$A$6="Brax Wholesale B2B"))),Data!BA13,IF(AND('Job Sheet'!G13="Opening",'Job Sheet'!BC13="CW Products"),'Job Sheet'!I13,""))))</f>
        <v/>
      </c>
      <c r="F11" s="91" t="str">
        <f>IF(OR(Data!AV13="",A11=""),"",IF(OR('Job Sheet'!G13="Making",'Job Sheet'!$A$6="Brax Retail",'Job Sheet'!$A$6="Brax Wholesale",'Job Sheet'!$A$6="Brax Wholesale B2B"),'Job Sheet'!D13,IF(AND('Job Sheet'!G13="Opening",(OR('Job Sheet'!BC13="CW Products",'Job Sheet'!$A$6="Brax Retail",'Job Sheet'!$A$6="Brax Wholesale",'Job Sheet'!$A$6="Brax Wholesale B2B"))),"(--)","")))</f>
        <v/>
      </c>
      <c r="G11" s="91" t="str">
        <f>IF(Data!AV13="","",IF(AND('Job Sheet'!G13="Opening",(OR('Job Sheet'!$A$6="Brax Retail",'Job Sheet'!$A$6="Brax Wholesale",'Job Sheet'!$A$6="Brax Wholesale B2B"))),'Job Sheet'!E13,IF(AND('Job Sheet'!G13="Making",(OR('Job Sheet'!BC13="CW Products",'Job Sheet'!$A$6="Brax Retail",'Job Sheet'!$A$6="Brax Wholesale",'Job Sheet'!$A$6="Brax Wholesale B2B"))),'Job Sheet'!J13,IF(AND('Job Sheet'!G13="Opening",'Job Sheet'!BC13="CW Products"),'Job Sheet'!J13,""))))</f>
        <v/>
      </c>
      <c r="H11" s="91" t="str">
        <f>IF(OR(Data!AV13="",A11=""),"",IF(OR('Job Sheet'!G13="Making",'Job Sheet'!$A$6="Brax Retail",'Job Sheet'!$A$6="Brax Wholesale",'Job Sheet'!$A$6="Brax Wholesale B2B"),'Job Sheet'!F13,IF(AND('Job Sheet'!G13="Opening",(OR('Job Sheet'!BC13="CW Products",'Job Sheet'!$A$6="Brax Retail",'Job Sheet'!$A$6="Brax Wholesale",'Job Sheet'!$A$6="Brax Wholesale B2B"))),"(-Box)","")))</f>
        <v/>
      </c>
      <c r="I11" s="96" t="str">
        <f>IF(Data!AV13="","",IF(OR(,'Job Sheet'!$A$6="Brax Retail",'Job Sheet'!$A$6="Brax Wholesale",'Job Sheet'!$A$6="Brax Wholesale B2B"),'Job Sheet'!G13,""))</f>
        <v/>
      </c>
      <c r="J11" s="96" t="str">
        <f>IF(Data!AV13="","",IF(OR('Job Sheet'!BC13="CW Products",'Job Sheet'!$A$6="Brax Retail",'Job Sheet'!$A$6="Brax Wholesale",'Job Sheet'!$A$6="Brax Wholesale B2B"),'Job Sheet'!K13,""))</f>
        <v/>
      </c>
      <c r="K11" s="96" t="str">
        <f>IF(Data!AV13="","",IF(OR('Job Sheet'!$A$6="Brax Retail",'Job Sheet'!$A$6="Brax Wholesale",'Job Sheet'!$A$6="Brax Wholesale B2B"),_xlfn.SINGLE(bpLOOKUP(Data!$AV13,"FIXING",CustOrdOpt,6,FALSE)),""))</f>
        <v/>
      </c>
      <c r="L11" s="96" t="str">
        <f>IF(Data!AV13="","",IF(OR('Job Sheet'!BC13="CW Products",'Job Sheet'!$A$6="Brax Retail",'Job Sheet'!$A$6="Brax Wholesale",'Job Sheet'!$A$6="Brax Wholesale B2B"),'Job Sheet'!O13,""))</f>
        <v/>
      </c>
      <c r="M11" s="96" t="str">
        <f>IF(Data!AV13="","",IF(OR('Job Sheet'!BC13="CW Products",'Job Sheet'!$A$6="Brax Retail",'Job Sheet'!$A$6="Brax Wholesale",'Job Sheet'!$A$6="Brax Wholesale B2B"),'Job Sheet'!N13,""))</f>
        <v/>
      </c>
      <c r="N11" s="96" t="str">
        <f>IF(Data!AV13="","",IF(OR('Job Sheet'!BC13="CW Products",'Job Sheet'!$A$6="Brax Retail",'Job Sheet'!$A$6="Brax Wholesale",'Job Sheet'!$A$6="Brax Wholesale B2B"),'Job Sheet'!P13,""))</f>
        <v/>
      </c>
      <c r="O11" s="96" t="str">
        <f>IF(Data!AV13="","",IF(OR('Job Sheet'!BC13="CW Products",'Job Sheet'!$A$6="Brax Retail",'Job Sheet'!$A$6="Brax Wholesale",'Job Sheet'!$A$6="Brax Wholesale B2B"),'Job Sheet'!R13,""))</f>
        <v/>
      </c>
      <c r="P11" s="96" t="str">
        <f>IF(Data!AV13="","",IF(OR('Job Sheet'!BC13="CW Products",'Job Sheet'!$A$6="Brax Retail",'Job Sheet'!$A$6="Brax Wholesale",'Job Sheet'!$A$6="Brax Wholesale B2B"),'Job Sheet'!Q13,""))</f>
        <v/>
      </c>
      <c r="Q11" s="96" t="str">
        <f>IF(Data!AV13="","",IF(OR('Job Sheet'!BC13="CW Products",'Job Sheet'!$A$6="Brax Retail",'Job Sheet'!$A$6="Brax Wholesale",'Job Sheet'!$A$6="Brax Wholesale B2B"),'Job Sheet'!S13,""))</f>
        <v/>
      </c>
      <c r="R11" s="96" t="str">
        <f>IF(Data!AV13="","",IF(OR('Job Sheet'!$A$6="Brax Retail",'Job Sheet'!$A$6="Brax Wholesale",'Job Sheet'!$A$6="Brax Wholesale B2B"),'Job Sheet'!T13,IF(AND('Job Sheet'!BC13="CW Products",(OR('Job Sheet'!T13="Acmeda External Motor",'Job Sheet'!T13="12v ODS System",'Job Sheet'!T13="Firesafe 12v ODS System"))),"Supplied by Davidson's",IF('Job Sheet'!BC13="Davidson's","",IF(OR('Job Sheet'!T13="Spring",'Job Sheet'!T13="Strap Winch"),'Job Sheet'!T13,'Job Sheet'!U13)))))</f>
        <v/>
      </c>
      <c r="S11" s="96" t="str">
        <f>IF(A11="","",'Job Sheet'!V13)</f>
        <v/>
      </c>
      <c r="T11" s="96" t="str">
        <f>IF(OR(Data!AV13="",R11="Supplied by Davidson's"),"",IF(OR('Job Sheet'!BC13="CW Products",'Job Sheet'!$A$6="Brax Retail",'Job Sheet'!$A$6="Brax Wholesale",'Job Sheet'!$A$6="Brax Wholesale B2B"),'Job Sheet'!W13,IF(AND('Job Sheet'!BC13="CW Products",(OR('Job Sheet'!T13="Acmeda External Motor",'Job Sheet'!T13="12v ODS System",'Job Sheet'!T13="Firesafe 12v ODS System"))),"",IF('Job Sheet'!BC13="Davidson's","",IF(OR('Job Sheet'!T13="Spring",'Job Sheet'!T13="Strap Winch"),"")))))</f>
        <v/>
      </c>
      <c r="U11" s="96" t="str">
        <f>IF(Data!AV13="","",IF(OR('Job Sheet'!BC13="CW Products",'Job Sheet'!$A$6="Brax Retail",'Job Sheet'!$A$6="Brax Wholesale",'Job Sheet'!$A$6="Brax Wholesale B2B"),'Job Sheet'!AC13,""))</f>
        <v/>
      </c>
      <c r="V11" s="96" t="str">
        <f>IF(OR(Data!AV13="",'Job Sheet'!AD13=""),"",IF(OR('Job Sheet'!BC13="CW Products",'Job Sheet'!$A$6="Brax Retail",'Job Sheet'!$A$6="Brax Wholesale",'Job Sheet'!$A$6="Brax Wholesale B2B"),CONCATENATE('Job Sheet'!AD13,"mm"),""))</f>
        <v/>
      </c>
      <c r="W11" s="97" t="str">
        <f>IF(Data!AV13="","",IF(OR('Job Sheet'!BC13="CW Products",'Job Sheet'!$A$6="Brax Retail",'Job Sheet'!$A$6="Brax Wholesale",'Job Sheet'!$A$6="Brax Wholesale B2B"),'Job Sheet'!AE13,""))</f>
        <v/>
      </c>
      <c r="X11" s="96" t="str">
        <f>IF(OR(Data!AU13="",'Job Sheet'!AG13=""),"",IF(OR('Job Sheet'!BB13="CW Products",'Job Sheet'!$A$6="Brax Retail",'Job Sheet'!$A$6="Brax Wholesale",'Job Sheet'!$A$6="Brax Wholesale B2B"),Packing!O13))</f>
        <v/>
      </c>
      <c r="Y11" s="96" t="str">
        <f>IF(OR(Data!AV13="",'Job Sheet'!AH13=""),"",IF(OR('Job Sheet'!BC13="CW Products",'Job Sheet'!$A$6="Brax Retail",'Job Sheet'!$A$6="Brax Wholesale",'Job Sheet'!$A$6="Brax Wholesale B2B"),CONCATENATE('Job Sheet'!AH13," x ",'Job Sheet'!I13,"mm"),""))</f>
        <v/>
      </c>
      <c r="Z11" s="96" t="str">
        <f>IF(OR(Data!AV13="",'Job Sheet'!AI13=""),"",IF(OR('Job Sheet'!BC13="CW Products",'Job Sheet'!$A$6="Brax Retail",'Job Sheet'!$A$6="Brax Wholesale",'Job Sheet'!$A$6="Brax Wholesale B2B"),CONCATENATE('Job Sheet'!AI13," x ",'Job Sheet'!I13,"mm"),""))</f>
        <v/>
      </c>
      <c r="AA11" s="96" t="str">
        <f>IF(OR(Data!AV13="",'Job Sheet'!AJ13=""),"",IF(AND(OR('Job Sheet'!BC13="CW Products",'Job Sheet'!$A$6="Brax Retail",'Job Sheet'!$A$6="Brax Wholesale",'Job Sheet'!$A$6="Brax Wholesale B2B"),OR('Job Sheet'!AJ13="25 x 25 Sill Angle for Headbox Only",'Job Sheet'!AJ13="25 x 50 Sill Angle for Headbox Only",'Job Sheet'!AJ13="25 x 75 Sill Angle for Headbox Only",'Job Sheet'!AJ13="8mm Slat for Headbox Only",'Job Sheet'!AJ13="22mm Side Guide for Headbox Only")),CONCATENATE('Job Sheet'!AJ13," x ",'Job Sheet'!AB13),IF(OR('Job Sheet'!BC13="CW Products",'Job Sheet'!$A$6="Brax Retail",'Job Sheet'!$A$6="Brax Wholesale",'Job Sheet'!$A$6="Brax Wholesale B2B"),CONCATENATE('Job Sheet'!AJ13," x ",'Job Sheet'!J13,"mm"),"")))</f>
        <v/>
      </c>
      <c r="AB11" s="96" t="str">
        <f>IF(OR(Data!AV13="",'Job Sheet'!AK13=""),"",IF(AND(OR('Job Sheet'!BC13="CW Products",'Job Sheet'!$A$6="Brax Retail",'Job Sheet'!$A$6="Brax Wholesale",'Job Sheet'!$A$6="Brax Wholesale B2B"),OR('Job Sheet'!AJ13="25 x 25 Sill Angle for Headbox Only",'Job Sheet'!AJ13="25 x 50 Sill Angle for Headbox Only",'Job Sheet'!AJ13="25 x 75 Sill Angle for Headbox Only",'Job Sheet'!AJ13="8mm Slat for Headbox Only",'Job Sheet'!AJ13="22mm Side Guide for Headbox Only")),CONCATENATE('Job Sheet'!AK13," x ",'Job Sheet'!AB13),IF(OR('Job Sheet'!BC13="CW Products",'Job Sheet'!$A$6="Brax Retail",'Job Sheet'!$A$6="Brax Wholesale",'Job Sheet'!$A$6="Brax Wholesale B2B"),CONCATENATE('Job Sheet'!AK13," x ",'Job Sheet'!J13,"mm"),"")))</f>
        <v/>
      </c>
      <c r="AC11" s="96" t="str">
        <f>IF(Data!AV13="","",IF(OR('Job Sheet'!$A$6="Brax Retail",'Job Sheet'!$A$6="Brax Wholesale",'Job Sheet'!$A$6="Brax Wholesale B2B"),"",IF(AND('Job Sheet'!BC13="CW Products",(OR('Job Sheet'!T13="Acmeda External Motor",'Job Sheet'!T13="12v ODS System",'Job Sheet'!T13="Firesafe 12v ODS System"))),"",'Job Sheet'!Z13)))</f>
        <v/>
      </c>
      <c r="AD11" s="96" t="str">
        <f>IF(Data!AV13="","",IF(OR('Job Sheet'!$A$6="Brax Retail",'Job Sheet'!$A$6="Brax Wholesale",'Job Sheet'!$A$6="Brax Wholesale B2B"),"",IF(AND('Job Sheet'!BC13="CW Products",(OR('Job Sheet'!T13="Acmeda External Motor",'Job Sheet'!T13="12v ODS System",'Job Sheet'!T13="Firesafe 12v ODS System"))),"",'Job Sheet'!AA14)))</f>
        <v/>
      </c>
      <c r="AE11" s="96" t="str">
        <f>IF(Data!AV13="","",IF(OR('Job Sheet'!BC13="CW Products",'Job Sheet'!$A$6="Brax Retail",'Job Sheet'!$A$6="Brax Wholesale",'Job Sheet'!$A$6="Brax Wholesale B2B"),'Job Sheet'!AL13,""))</f>
        <v/>
      </c>
      <c r="AF11" s="96" t="str">
        <f>IF(Data!AV13="","",IF(OR('Job Sheet'!BC13="CW Products",'Job Sheet'!$A$6="Brax Retail",'Job Sheet'!$A$6="Brax Wholesale",'Job Sheet'!$A$6="Brax Wholesale B2B"),'Job Sheet'!X13,""))</f>
        <v/>
      </c>
      <c r="AG11" s="96" t="str">
        <f>IF(Data!AV13="","",IF(OR('Job Sheet'!BC13="CW Products",'Job Sheet'!$A$6="Brax Retail",'Job Sheet'!$A$6="Brax Wholesale",'Job Sheet'!$A$6="Brax Wholesale B2B"),'Job Sheet'!Y13,""))</f>
        <v/>
      </c>
      <c r="AH11" s="96" t="str">
        <f>IF(Data!AV13="","",IF(OR('Job Sheet'!BC13="CW Products",'Job Sheet'!$A$6="Brax Retail",'Job Sheet'!$A$6="Brax Wholesale",'Job Sheet'!$A$6="Brax Wholesale B2B"),'Job Sheet'!AR13,""))</f>
        <v/>
      </c>
    </row>
    <row r="12" spans="1:34" s="36" customFormat="1" ht="60" customHeight="1">
      <c r="A12" s="100" t="str">
        <f>IF(Data!AV14="","",IF(OR('Job Sheet'!BC14="CW Products",'Job Sheet'!$A$6="Brax Retail",'Job Sheet'!$A$6="Brax Wholesale",'Job Sheet'!$A$6="Brax Wholesale B2B"),'Job Sheet'!A14,""))</f>
        <v/>
      </c>
      <c r="B12" s="96" t="str">
        <f>IF(Data!AV14="","",IF(OR('Job Sheet'!BC14="CW Products",'Job Sheet'!$A$6="Brax Retail",'Job Sheet'!$A$6="Brax Wholesale",'Job Sheet'!$A$6="Brax Wholesale B2B"),Data!BN14,""))</f>
        <v/>
      </c>
      <c r="C12" s="96" t="str">
        <f t="array" ref="C12">IF(OR(Data!AV14="",A12=""),"",IF(AND('Job Sheet'!BC14="CW Products",Data!BO14="Custom Powdercoat"),CONCATENATE(bpLOOKUP(Data!$AV14,"PCOAT",CustOrdOpt,6,FALSE)," ",Data!BO14),Data!BO14))</f>
        <v/>
      </c>
      <c r="D12" s="95" t="str">
        <f>IF(Data!AV14="","",IF(OR('Job Sheet'!BC14="CW Products",'Job Sheet'!$A$6="Brax Retail",'Job Sheet'!$A$6="Brax Wholesale",'Job Sheet'!$A$6="Brax Wholesale B2B"),'Job Sheet'!B14,""))</f>
        <v/>
      </c>
      <c r="E12" s="91" t="str">
        <f>IF(Data!AV14="","",IF(AND('Job Sheet'!G14="Opening",(OR('Job Sheet'!$A$6="Brax Retail",'Job Sheet'!$A$6="Brax Wholesale",'Job Sheet'!$A$6="Brax Wholesale B2B"))),Data!BA14-VLOOKUP('Job Sheet'!K14,FitDeduct,2,FALSE)-VLOOKUP('Job Sheet'!H14,SideDeduct,2,FALSE),IF(AND('Job Sheet'!G14="Making",(OR('Job Sheet'!BC14="CW Products",'Job Sheet'!$A$6="Brax Retail",'Job Sheet'!$A$6="Brax Wholesale",'Job Sheet'!$A$6="Brax Wholesale B2B"))),Data!BA14,IF(AND('Job Sheet'!G14="Opening",'Job Sheet'!BC14="CW Products"),'Job Sheet'!I14,""))))</f>
        <v/>
      </c>
      <c r="F12" s="91" t="str">
        <f>IF(OR(Data!AV14="",A12=""),"",IF(OR('Job Sheet'!G14="Making",'Job Sheet'!$A$6="Brax Retail",'Job Sheet'!$A$6="Brax Wholesale",'Job Sheet'!$A$6="Brax Wholesale B2B"),'Job Sheet'!D14,IF(AND('Job Sheet'!G14="Opening",(OR('Job Sheet'!BC14="CW Products",'Job Sheet'!$A$6="Brax Retail",'Job Sheet'!$A$6="Brax Wholesale",'Job Sheet'!$A$6="Brax Wholesale B2B"))),"(--)","")))</f>
        <v/>
      </c>
      <c r="G12" s="91" t="str">
        <f>IF(Data!AV14="","",IF(AND('Job Sheet'!G14="Opening",(OR('Job Sheet'!$A$6="Brax Retail",'Job Sheet'!$A$6="Brax Wholesale",'Job Sheet'!$A$6="Brax Wholesale B2B"))),'Job Sheet'!E14,IF(AND('Job Sheet'!G14="Making",(OR('Job Sheet'!BC14="CW Products",'Job Sheet'!$A$6="Brax Retail",'Job Sheet'!$A$6="Brax Wholesale",'Job Sheet'!$A$6="Brax Wholesale B2B"))),'Job Sheet'!J14,IF(AND('Job Sheet'!G14="Opening",'Job Sheet'!BC14="CW Products"),'Job Sheet'!J14,""))))</f>
        <v/>
      </c>
      <c r="H12" s="91" t="str">
        <f>IF(OR(Data!AV14="",A12=""),"",IF(OR('Job Sheet'!G14="Making",'Job Sheet'!$A$6="Brax Retail",'Job Sheet'!$A$6="Brax Wholesale",'Job Sheet'!$A$6="Brax Wholesale B2B"),'Job Sheet'!F14,IF(AND('Job Sheet'!G14="Opening",(OR('Job Sheet'!BC14="CW Products",'Job Sheet'!$A$6="Brax Retail",'Job Sheet'!$A$6="Brax Wholesale",'Job Sheet'!$A$6="Brax Wholesale B2B"))),"(-Box)","")))</f>
        <v/>
      </c>
      <c r="I12" s="96" t="str">
        <f>IF(Data!AV14="","",IF(OR(,'Job Sheet'!$A$6="Brax Retail",'Job Sheet'!$A$6="Brax Wholesale",'Job Sheet'!$A$6="Brax Wholesale B2B"),'Job Sheet'!G14,""))</f>
        <v/>
      </c>
      <c r="J12" s="96" t="str">
        <f>IF(Data!AV14="","",IF(OR('Job Sheet'!BC14="CW Products",'Job Sheet'!$A$6="Brax Retail",'Job Sheet'!$A$6="Brax Wholesale",'Job Sheet'!$A$6="Brax Wholesale B2B"),'Job Sheet'!K14,""))</f>
        <v/>
      </c>
      <c r="K12" s="96" t="str">
        <f>IF(Data!AV14="","",IF(OR('Job Sheet'!$A$6="Brax Retail",'Job Sheet'!$A$6="Brax Wholesale",'Job Sheet'!$A$6="Brax Wholesale B2B"),_xlfn.SINGLE(bpLOOKUP(Data!$AV14,"FIXING",CustOrdOpt,6,FALSE)),""))</f>
        <v/>
      </c>
      <c r="L12" s="96" t="str">
        <f>IF(Data!AV14="","",IF(OR('Job Sheet'!BC14="CW Products",'Job Sheet'!$A$6="Brax Retail",'Job Sheet'!$A$6="Brax Wholesale",'Job Sheet'!$A$6="Brax Wholesale B2B"),'Job Sheet'!O14,""))</f>
        <v/>
      </c>
      <c r="M12" s="96" t="str">
        <f>IF(Data!AV14="","",IF(OR('Job Sheet'!BC14="CW Products",'Job Sheet'!$A$6="Brax Retail",'Job Sheet'!$A$6="Brax Wholesale",'Job Sheet'!$A$6="Brax Wholesale B2B"),'Job Sheet'!N14,""))</f>
        <v/>
      </c>
      <c r="N12" s="96" t="str">
        <f>IF(Data!AV14="","",IF(OR('Job Sheet'!BC14="CW Products",'Job Sheet'!$A$6="Brax Retail",'Job Sheet'!$A$6="Brax Wholesale",'Job Sheet'!$A$6="Brax Wholesale B2B"),'Job Sheet'!P14,""))</f>
        <v/>
      </c>
      <c r="O12" s="96" t="str">
        <f>IF(Data!AV14="","",IF(OR('Job Sheet'!BC14="CW Products",'Job Sheet'!$A$6="Brax Retail",'Job Sheet'!$A$6="Brax Wholesale",'Job Sheet'!$A$6="Brax Wholesale B2B"),'Job Sheet'!R14,""))</f>
        <v/>
      </c>
      <c r="P12" s="96" t="str">
        <f>IF(Data!AV14="","",IF(OR('Job Sheet'!BC14="CW Products",'Job Sheet'!$A$6="Brax Retail",'Job Sheet'!$A$6="Brax Wholesale",'Job Sheet'!$A$6="Brax Wholesale B2B"),'Job Sheet'!Q14,""))</f>
        <v/>
      </c>
      <c r="Q12" s="96" t="str">
        <f>IF(Data!AV14="","",IF(OR('Job Sheet'!BC14="CW Products",'Job Sheet'!$A$6="Brax Retail",'Job Sheet'!$A$6="Brax Wholesale",'Job Sheet'!$A$6="Brax Wholesale B2B"),'Job Sheet'!S14,""))</f>
        <v/>
      </c>
      <c r="R12" s="96" t="str">
        <f>IF(Data!AV14="","",IF(OR('Job Sheet'!$A$6="Brax Retail",'Job Sheet'!$A$6="Brax Wholesale",'Job Sheet'!$A$6="Brax Wholesale B2B"),'Job Sheet'!T14,IF(AND('Job Sheet'!BC14="CW Products",(OR('Job Sheet'!T14="Acmeda External Motor",'Job Sheet'!T14="12v ODS System",'Job Sheet'!T14="Firesafe 12v ODS System"))),"Supplied by Davidson's",IF('Job Sheet'!BC14="Davidson's","",IF(OR('Job Sheet'!T14="Spring",'Job Sheet'!T14="Strap Winch"),'Job Sheet'!T14,'Job Sheet'!U14)))))</f>
        <v/>
      </c>
      <c r="S12" s="96" t="str">
        <f>IF(A12="","",'Job Sheet'!V14)</f>
        <v/>
      </c>
      <c r="T12" s="96" t="str">
        <f>IF(OR(Data!AV14="",R12="Supplied by Davidson's"),"",IF(OR('Job Sheet'!BC14="CW Products",'Job Sheet'!$A$6="Brax Retail",'Job Sheet'!$A$6="Brax Wholesale",'Job Sheet'!$A$6="Brax Wholesale B2B"),'Job Sheet'!W14,IF(AND('Job Sheet'!BC14="CW Products",(OR('Job Sheet'!T14="Acmeda External Motor",'Job Sheet'!T14="12v ODS System",'Job Sheet'!T14="Firesafe 12v ODS System"))),"",IF('Job Sheet'!BC14="Davidson's","",IF(OR('Job Sheet'!T14="Spring",'Job Sheet'!T14="Strap Winch"),"")))))</f>
        <v/>
      </c>
      <c r="U12" s="96" t="str">
        <f>IF(Data!AV14="","",IF(OR('Job Sheet'!BC14="CW Products",'Job Sheet'!$A$6="Brax Retail",'Job Sheet'!$A$6="Brax Wholesale",'Job Sheet'!$A$6="Brax Wholesale B2B"),'Job Sheet'!AC14,""))</f>
        <v/>
      </c>
      <c r="V12" s="96" t="str">
        <f>IF(OR(Data!AV14="",'Job Sheet'!AD14=""),"",IF(OR('Job Sheet'!BC14="CW Products",'Job Sheet'!$A$6="Brax Retail",'Job Sheet'!$A$6="Brax Wholesale",'Job Sheet'!$A$6="Brax Wholesale B2B"),CONCATENATE('Job Sheet'!AD14,"mm"),""))</f>
        <v/>
      </c>
      <c r="W12" s="97" t="str">
        <f>IF(Data!AV14="","",IF(OR('Job Sheet'!BC14="CW Products",'Job Sheet'!$A$6="Brax Retail",'Job Sheet'!$A$6="Brax Wholesale",'Job Sheet'!$A$6="Brax Wholesale B2B"),'Job Sheet'!AE14,""))</f>
        <v/>
      </c>
      <c r="X12" s="96" t="str">
        <f>IF(OR(Data!AU14="",'Job Sheet'!AG14=""),"",IF(OR('Job Sheet'!BB14="CW Products",'Job Sheet'!$A$6="Brax Retail",'Job Sheet'!$A$6="Brax Wholesale",'Job Sheet'!$A$6="Brax Wholesale B2B"),Packing!O14))</f>
        <v/>
      </c>
      <c r="Y12" s="96" t="str">
        <f>IF(OR(Data!AV14="",'Job Sheet'!AH14=""),"",IF(OR('Job Sheet'!BC14="CW Products",'Job Sheet'!$A$6="Brax Retail",'Job Sheet'!$A$6="Brax Wholesale",'Job Sheet'!$A$6="Brax Wholesale B2B"),CONCATENATE('Job Sheet'!AH14," x ",'Job Sheet'!I14,"mm"),""))</f>
        <v/>
      </c>
      <c r="Z12" s="96" t="str">
        <f>IF(OR(Data!AV14="",'Job Sheet'!AI14=""),"",IF(OR('Job Sheet'!BC14="CW Products",'Job Sheet'!$A$6="Brax Retail",'Job Sheet'!$A$6="Brax Wholesale",'Job Sheet'!$A$6="Brax Wholesale B2B"),CONCATENATE('Job Sheet'!AI14," x ",'Job Sheet'!I14,"mm"),""))</f>
        <v/>
      </c>
      <c r="AA12" s="96" t="str">
        <f>IF(OR(Data!AV14="",'Job Sheet'!AJ14=""),"",IF(AND(OR('Job Sheet'!BC14="CW Products",'Job Sheet'!$A$6="Brax Retail",'Job Sheet'!$A$6="Brax Wholesale",'Job Sheet'!$A$6="Brax Wholesale B2B"),OR('Job Sheet'!AJ14="25 x 25 Sill Angle for Headbox Only",'Job Sheet'!AJ14="25 x 50 Sill Angle for Headbox Only",'Job Sheet'!AJ14="25 x 75 Sill Angle for Headbox Only",'Job Sheet'!AJ14="8mm Slat for Headbox Only",'Job Sheet'!AJ14="22mm Side Guide for Headbox Only")),CONCATENATE('Job Sheet'!AJ14," x ",'Job Sheet'!AB14),IF(OR('Job Sheet'!BC14="CW Products",'Job Sheet'!$A$6="Brax Retail",'Job Sheet'!$A$6="Brax Wholesale",'Job Sheet'!$A$6="Brax Wholesale B2B"),CONCATENATE('Job Sheet'!AJ14," x ",'Job Sheet'!J14,"mm"),"")))</f>
        <v/>
      </c>
      <c r="AB12" s="96" t="str">
        <f>IF(OR(Data!AV14="",'Job Sheet'!AK14=""),"",IF(AND(OR('Job Sheet'!BC14="CW Products",'Job Sheet'!$A$6="Brax Retail",'Job Sheet'!$A$6="Brax Wholesale",'Job Sheet'!$A$6="Brax Wholesale B2B"),OR('Job Sheet'!AJ14="25 x 25 Sill Angle for Headbox Only",'Job Sheet'!AJ14="25 x 50 Sill Angle for Headbox Only",'Job Sheet'!AJ14="25 x 75 Sill Angle for Headbox Only",'Job Sheet'!AJ14="8mm Slat for Headbox Only",'Job Sheet'!AJ14="22mm Side Guide for Headbox Only")),CONCATENATE('Job Sheet'!AK14," x ",'Job Sheet'!AB14),IF(OR('Job Sheet'!BC14="CW Products",'Job Sheet'!$A$6="Brax Retail",'Job Sheet'!$A$6="Brax Wholesale",'Job Sheet'!$A$6="Brax Wholesale B2B"),CONCATENATE('Job Sheet'!AK14," x ",'Job Sheet'!J14,"mm"),"")))</f>
        <v/>
      </c>
      <c r="AC12" s="96" t="str">
        <f>IF(Data!AV14="","",IF(OR('Job Sheet'!$A$6="Brax Retail",'Job Sheet'!$A$6="Brax Wholesale",'Job Sheet'!$A$6="Brax Wholesale B2B"),"",IF(AND('Job Sheet'!BC14="CW Products",(OR('Job Sheet'!T14="Acmeda External Motor",'Job Sheet'!T14="12v ODS System",'Job Sheet'!T14="Firesafe 12v ODS System"))),"",'Job Sheet'!Z14)))</f>
        <v/>
      </c>
      <c r="AD12" s="96" t="str">
        <f>IF(Data!AV14="","",IF(OR('Job Sheet'!$A$6="Brax Retail",'Job Sheet'!$A$6="Brax Wholesale",'Job Sheet'!$A$6="Brax Wholesale B2B"),"",IF(AND('Job Sheet'!BC14="CW Products",(OR('Job Sheet'!T14="Acmeda External Motor",'Job Sheet'!T14="12v ODS System",'Job Sheet'!T14="Firesafe 12v ODS System"))),"",'Job Sheet'!AA15)))</f>
        <v/>
      </c>
      <c r="AE12" s="96" t="str">
        <f>IF(Data!AV14="","",IF(OR('Job Sheet'!BC14="CW Products",'Job Sheet'!$A$6="Brax Retail",'Job Sheet'!$A$6="Brax Wholesale",'Job Sheet'!$A$6="Brax Wholesale B2B"),'Job Sheet'!AL14,""))</f>
        <v/>
      </c>
      <c r="AF12" s="96" t="str">
        <f>IF(Data!AV14="","",IF(OR('Job Sheet'!BC14="CW Products",'Job Sheet'!$A$6="Brax Retail",'Job Sheet'!$A$6="Brax Wholesale",'Job Sheet'!$A$6="Brax Wholesale B2B"),'Job Sheet'!X14,""))</f>
        <v/>
      </c>
      <c r="AG12" s="96" t="str">
        <f>IF(Data!AV14="","",IF(OR('Job Sheet'!BC14="CW Products",'Job Sheet'!$A$6="Brax Retail",'Job Sheet'!$A$6="Brax Wholesale",'Job Sheet'!$A$6="Brax Wholesale B2B"),'Job Sheet'!Y14,""))</f>
        <v/>
      </c>
      <c r="AH12" s="96" t="str">
        <f>IF(Data!AV14="","",IF(OR('Job Sheet'!BC14="CW Products",'Job Sheet'!$A$6="Brax Retail",'Job Sheet'!$A$6="Brax Wholesale",'Job Sheet'!$A$6="Brax Wholesale B2B"),'Job Sheet'!AR14,""))</f>
        <v/>
      </c>
    </row>
    <row r="13" spans="1:34" s="36" customFormat="1" ht="60" customHeight="1">
      <c r="A13" s="100" t="str">
        <f>IF(Data!AV15="","",IF(OR('Job Sheet'!BC15="CW Products",'Job Sheet'!$A$6="Brax Retail",'Job Sheet'!$A$6="Brax Wholesale",'Job Sheet'!$A$6="Brax Wholesale B2B"),'Job Sheet'!A15,""))</f>
        <v/>
      </c>
      <c r="B13" s="96" t="str">
        <f>IF(Data!AV15="","",IF(OR('Job Sheet'!BC15="CW Products",'Job Sheet'!$A$6="Brax Retail",'Job Sheet'!$A$6="Brax Wholesale",'Job Sheet'!$A$6="Brax Wholesale B2B"),Data!BN15,""))</f>
        <v/>
      </c>
      <c r="C13" s="96" t="str">
        <f t="array" ref="C13">IF(OR(Data!AV15="",A13=""),"",IF(AND('Job Sheet'!BC15="CW Products",Data!BO15="Custom Powdercoat"),CONCATENATE(bpLOOKUP(Data!$AV15,"PCOAT",CustOrdOpt,6,FALSE)," ",Data!BO15),Data!BO15))</f>
        <v/>
      </c>
      <c r="D13" s="95" t="str">
        <f>IF(Data!AV15="","",IF(OR('Job Sheet'!BC15="CW Products",'Job Sheet'!$A$6="Brax Retail",'Job Sheet'!$A$6="Brax Wholesale",'Job Sheet'!$A$6="Brax Wholesale B2B"),'Job Sheet'!B15,""))</f>
        <v/>
      </c>
      <c r="E13" s="91" t="str">
        <f>IF(Data!AV15="","",IF(AND('Job Sheet'!G15="Opening",(OR('Job Sheet'!$A$6="Brax Retail",'Job Sheet'!$A$6="Brax Wholesale",'Job Sheet'!$A$6="Brax Wholesale B2B"))),Data!BA15-VLOOKUP('Job Sheet'!K15,FitDeduct,2,FALSE)-VLOOKUP('Job Sheet'!H15,SideDeduct,2,FALSE),IF(AND('Job Sheet'!G15="Making",(OR('Job Sheet'!BC15="CW Products",'Job Sheet'!$A$6="Brax Retail",'Job Sheet'!$A$6="Brax Wholesale",'Job Sheet'!$A$6="Brax Wholesale B2B"))),Data!BA15,IF(AND('Job Sheet'!G15="Opening",'Job Sheet'!BC15="CW Products"),'Job Sheet'!I15,""))))</f>
        <v/>
      </c>
      <c r="F13" s="91" t="str">
        <f>IF(OR(Data!AV15="",A13=""),"",IF(OR('Job Sheet'!G15="Making",'Job Sheet'!$A$6="Brax Retail",'Job Sheet'!$A$6="Brax Wholesale",'Job Sheet'!$A$6="Brax Wholesale B2B"),'Job Sheet'!D15,IF(AND('Job Sheet'!G15="Opening",(OR('Job Sheet'!BC15="CW Products",'Job Sheet'!$A$6="Brax Retail",'Job Sheet'!$A$6="Brax Wholesale",'Job Sheet'!$A$6="Brax Wholesale B2B"))),"(--)","")))</f>
        <v/>
      </c>
      <c r="G13" s="91" t="str">
        <f>IF(Data!AV15="","",IF(AND('Job Sheet'!G15="Opening",(OR('Job Sheet'!$A$6="Brax Retail",'Job Sheet'!$A$6="Brax Wholesale",'Job Sheet'!$A$6="Brax Wholesale B2B"))),'Job Sheet'!E15,IF(AND('Job Sheet'!G15="Making",(OR('Job Sheet'!BC15="CW Products",'Job Sheet'!$A$6="Brax Retail",'Job Sheet'!$A$6="Brax Wholesale",'Job Sheet'!$A$6="Brax Wholesale B2B"))),'Job Sheet'!J15,IF(AND('Job Sheet'!G15="Opening",'Job Sheet'!BC15="CW Products"),'Job Sheet'!J15,""))))</f>
        <v/>
      </c>
      <c r="H13" s="91" t="str">
        <f>IF(OR(Data!AV15="",A13=""),"",IF(OR('Job Sheet'!G15="Making",'Job Sheet'!$A$6="Brax Retail",'Job Sheet'!$A$6="Brax Wholesale",'Job Sheet'!$A$6="Brax Wholesale B2B"),'Job Sheet'!F15,IF(AND('Job Sheet'!G15="Opening",(OR('Job Sheet'!BC15="CW Products",'Job Sheet'!$A$6="Brax Retail",'Job Sheet'!$A$6="Brax Wholesale",'Job Sheet'!$A$6="Brax Wholesale B2B"))),"(-Box)","")))</f>
        <v/>
      </c>
      <c r="I13" s="96" t="str">
        <f>IF(Data!AV15="","",IF(OR(,'Job Sheet'!$A$6="Brax Retail",'Job Sheet'!$A$6="Brax Wholesale",'Job Sheet'!$A$6="Brax Wholesale B2B"),'Job Sheet'!G15,""))</f>
        <v/>
      </c>
      <c r="J13" s="96" t="str">
        <f>IF(Data!AV15="","",IF(OR('Job Sheet'!BC15="CW Products",'Job Sheet'!$A$6="Brax Retail",'Job Sheet'!$A$6="Brax Wholesale",'Job Sheet'!$A$6="Brax Wholesale B2B"),'Job Sheet'!K15,""))</f>
        <v/>
      </c>
      <c r="K13" s="96" t="str">
        <f>IF(Data!AV15="","",IF(OR('Job Sheet'!$A$6="Brax Retail",'Job Sheet'!$A$6="Brax Wholesale",'Job Sheet'!$A$6="Brax Wholesale B2B"),_xlfn.SINGLE(bpLOOKUP(Data!$AV15,"FIXING",CustOrdOpt,6,FALSE)),""))</f>
        <v/>
      </c>
      <c r="L13" s="96" t="str">
        <f>IF(Data!AV15="","",IF(OR('Job Sheet'!BC15="CW Products",'Job Sheet'!$A$6="Brax Retail",'Job Sheet'!$A$6="Brax Wholesale",'Job Sheet'!$A$6="Brax Wholesale B2B"),'Job Sheet'!O15,""))</f>
        <v/>
      </c>
      <c r="M13" s="96" t="str">
        <f>IF(Data!AV15="","",IF(OR('Job Sheet'!BC15="CW Products",'Job Sheet'!$A$6="Brax Retail",'Job Sheet'!$A$6="Brax Wholesale",'Job Sheet'!$A$6="Brax Wholesale B2B"),'Job Sheet'!N15,""))</f>
        <v/>
      </c>
      <c r="N13" s="96" t="str">
        <f>IF(Data!AV15="","",IF(OR('Job Sheet'!BC15="CW Products",'Job Sheet'!$A$6="Brax Retail",'Job Sheet'!$A$6="Brax Wholesale",'Job Sheet'!$A$6="Brax Wholesale B2B"),'Job Sheet'!P15,""))</f>
        <v/>
      </c>
      <c r="O13" s="96" t="str">
        <f>IF(Data!AV15="","",IF(OR('Job Sheet'!BC15="CW Products",'Job Sheet'!$A$6="Brax Retail",'Job Sheet'!$A$6="Brax Wholesale",'Job Sheet'!$A$6="Brax Wholesale B2B"),'Job Sheet'!R15,""))</f>
        <v/>
      </c>
      <c r="P13" s="96" t="str">
        <f>IF(Data!AV15="","",IF(OR('Job Sheet'!BC15="CW Products",'Job Sheet'!$A$6="Brax Retail",'Job Sheet'!$A$6="Brax Wholesale",'Job Sheet'!$A$6="Brax Wholesale B2B"),'Job Sheet'!Q15,""))</f>
        <v/>
      </c>
      <c r="Q13" s="96" t="str">
        <f>IF(Data!AV15="","",IF(OR('Job Sheet'!BC15="CW Products",'Job Sheet'!$A$6="Brax Retail",'Job Sheet'!$A$6="Brax Wholesale",'Job Sheet'!$A$6="Brax Wholesale B2B"),'Job Sheet'!S15,""))</f>
        <v/>
      </c>
      <c r="R13" s="96" t="str">
        <f>IF(Data!AV15="","",IF(OR('Job Sheet'!$A$6="Brax Retail",'Job Sheet'!$A$6="Brax Wholesale",'Job Sheet'!$A$6="Brax Wholesale B2B"),'Job Sheet'!T15,IF(AND('Job Sheet'!BC15="CW Products",(OR('Job Sheet'!T15="Acmeda External Motor",'Job Sheet'!T15="12v ODS System",'Job Sheet'!T15="Firesafe 12v ODS System"))),"Supplied by Davidson's",IF('Job Sheet'!BC15="Davidson's","",IF(OR('Job Sheet'!T15="Spring",'Job Sheet'!T15="Strap Winch"),'Job Sheet'!T15,'Job Sheet'!U15)))))</f>
        <v/>
      </c>
      <c r="S13" s="96" t="str">
        <f>IF(A13="","",'Job Sheet'!V15)</f>
        <v/>
      </c>
      <c r="T13" s="96" t="str">
        <f>IF(OR(Data!AV15="",R13="Supplied by Davidson's"),"",IF(OR('Job Sheet'!BC15="CW Products",'Job Sheet'!$A$6="Brax Retail",'Job Sheet'!$A$6="Brax Wholesale",'Job Sheet'!$A$6="Brax Wholesale B2B"),'Job Sheet'!W15,IF(AND('Job Sheet'!BC15="CW Products",(OR('Job Sheet'!T15="Acmeda External Motor",'Job Sheet'!T15="12v ODS System",'Job Sheet'!T15="Firesafe 12v ODS System"))),"",IF('Job Sheet'!BC15="Davidson's","",IF(OR('Job Sheet'!T15="Spring",'Job Sheet'!T15="Strap Winch"),"")))))</f>
        <v/>
      </c>
      <c r="U13" s="96" t="str">
        <f>IF(Data!AV15="","",IF(OR('Job Sheet'!BC15="CW Products",'Job Sheet'!$A$6="Brax Retail",'Job Sheet'!$A$6="Brax Wholesale",'Job Sheet'!$A$6="Brax Wholesale B2B"),'Job Sheet'!AC15,""))</f>
        <v/>
      </c>
      <c r="V13" s="96" t="str">
        <f>IF(OR(Data!AV15="",'Job Sheet'!AD15=""),"",IF(OR('Job Sheet'!BC15="CW Products",'Job Sheet'!$A$6="Brax Retail",'Job Sheet'!$A$6="Brax Wholesale",'Job Sheet'!$A$6="Brax Wholesale B2B"),CONCATENATE('Job Sheet'!AD15,"mm"),""))</f>
        <v/>
      </c>
      <c r="W13" s="97" t="str">
        <f>IF(Data!AV15="","",IF(OR('Job Sheet'!BC15="CW Products",'Job Sheet'!$A$6="Brax Retail",'Job Sheet'!$A$6="Brax Wholesale",'Job Sheet'!$A$6="Brax Wholesale B2B"),'Job Sheet'!AE15,""))</f>
        <v/>
      </c>
      <c r="X13" s="96" t="str">
        <f>IF(OR(Data!AU15="",'Job Sheet'!AG15=""),"",IF(OR('Job Sheet'!BB15="CW Products",'Job Sheet'!$A$6="Brax Retail",'Job Sheet'!$A$6="Brax Wholesale",'Job Sheet'!$A$6="Brax Wholesale B2B"),Packing!O15))</f>
        <v/>
      </c>
      <c r="Y13" s="96" t="str">
        <f>IF(OR(Data!AV15="",'Job Sheet'!AH15=""),"",IF(OR('Job Sheet'!BC15="CW Products",'Job Sheet'!$A$6="Brax Retail",'Job Sheet'!$A$6="Brax Wholesale",'Job Sheet'!$A$6="Brax Wholesale B2B"),CONCATENATE('Job Sheet'!AH15," x ",'Job Sheet'!I15,"mm"),""))</f>
        <v/>
      </c>
      <c r="Z13" s="96" t="str">
        <f>IF(OR(Data!AV15="",'Job Sheet'!AI15=""),"",IF(OR('Job Sheet'!BC15="CW Products",'Job Sheet'!$A$6="Brax Retail",'Job Sheet'!$A$6="Brax Wholesale",'Job Sheet'!$A$6="Brax Wholesale B2B"),CONCATENATE('Job Sheet'!AI15," x ",'Job Sheet'!I15,"mm"),""))</f>
        <v/>
      </c>
      <c r="AA13" s="96" t="str">
        <f>IF(OR(Data!AV15="",'Job Sheet'!AJ15=""),"",IF(AND(OR('Job Sheet'!BC15="CW Products",'Job Sheet'!$A$6="Brax Retail",'Job Sheet'!$A$6="Brax Wholesale",'Job Sheet'!$A$6="Brax Wholesale B2B"),OR('Job Sheet'!AJ15="25 x 25 Sill Angle for Headbox Only",'Job Sheet'!AJ15="25 x 50 Sill Angle for Headbox Only",'Job Sheet'!AJ15="25 x 75 Sill Angle for Headbox Only",'Job Sheet'!AJ15="8mm Slat for Headbox Only",'Job Sheet'!AJ15="22mm Side Guide for Headbox Only")),CONCATENATE('Job Sheet'!AJ15," x ",'Job Sheet'!AB15),IF(OR('Job Sheet'!BC15="CW Products",'Job Sheet'!$A$6="Brax Retail",'Job Sheet'!$A$6="Brax Wholesale",'Job Sheet'!$A$6="Brax Wholesale B2B"),CONCATENATE('Job Sheet'!AJ15," x ",'Job Sheet'!J15,"mm"),"")))</f>
        <v/>
      </c>
      <c r="AB13" s="96" t="str">
        <f>IF(OR(Data!AV15="",'Job Sheet'!AK15=""),"",IF(AND(OR('Job Sheet'!BC15="CW Products",'Job Sheet'!$A$6="Brax Retail",'Job Sheet'!$A$6="Brax Wholesale",'Job Sheet'!$A$6="Brax Wholesale B2B"),OR('Job Sheet'!AJ15="25 x 25 Sill Angle for Headbox Only",'Job Sheet'!AJ15="25 x 50 Sill Angle for Headbox Only",'Job Sheet'!AJ15="25 x 75 Sill Angle for Headbox Only",'Job Sheet'!AJ15="8mm Slat for Headbox Only",'Job Sheet'!AJ15="22mm Side Guide for Headbox Only")),CONCATENATE('Job Sheet'!AK15," x ",'Job Sheet'!AB15),IF(OR('Job Sheet'!BC15="CW Products",'Job Sheet'!$A$6="Brax Retail",'Job Sheet'!$A$6="Brax Wholesale",'Job Sheet'!$A$6="Brax Wholesale B2B"),CONCATENATE('Job Sheet'!AK15," x ",'Job Sheet'!J15,"mm"),"")))</f>
        <v/>
      </c>
      <c r="AC13" s="96" t="str">
        <f>IF(Data!AV15="","",IF(OR('Job Sheet'!$A$6="Brax Retail",'Job Sheet'!$A$6="Brax Wholesale",'Job Sheet'!$A$6="Brax Wholesale B2B"),"",IF(AND('Job Sheet'!BC15="CW Products",(OR('Job Sheet'!T15="Acmeda External Motor",'Job Sheet'!T15="12v ODS System",'Job Sheet'!T15="Firesafe 12v ODS System"))),"",'Job Sheet'!Z15)))</f>
        <v/>
      </c>
      <c r="AD13" s="96" t="str">
        <f>IF(Data!AV15="","",IF(OR('Job Sheet'!$A$6="Brax Retail",'Job Sheet'!$A$6="Brax Wholesale",'Job Sheet'!$A$6="Brax Wholesale B2B"),"",IF(AND('Job Sheet'!BC15="CW Products",(OR('Job Sheet'!T15="Acmeda External Motor",'Job Sheet'!T15="12v ODS System",'Job Sheet'!T15="Firesafe 12v ODS System"))),"",'Job Sheet'!AA16)))</f>
        <v/>
      </c>
      <c r="AE13" s="96" t="str">
        <f>IF(Data!AV15="","",IF(OR('Job Sheet'!BC15="CW Products",'Job Sheet'!$A$6="Brax Retail",'Job Sheet'!$A$6="Brax Wholesale",'Job Sheet'!$A$6="Brax Wholesale B2B"),'Job Sheet'!AL15,""))</f>
        <v/>
      </c>
      <c r="AF13" s="96" t="str">
        <f>IF(Data!AV15="","",IF(OR('Job Sheet'!BC15="CW Products",'Job Sheet'!$A$6="Brax Retail",'Job Sheet'!$A$6="Brax Wholesale",'Job Sheet'!$A$6="Brax Wholesale B2B"),'Job Sheet'!X15,""))</f>
        <v/>
      </c>
      <c r="AG13" s="96" t="str">
        <f>IF(Data!AV15="","",IF(OR('Job Sheet'!BC15="CW Products",'Job Sheet'!$A$6="Brax Retail",'Job Sheet'!$A$6="Brax Wholesale",'Job Sheet'!$A$6="Brax Wholesale B2B"),'Job Sheet'!Y15,""))</f>
        <v/>
      </c>
      <c r="AH13" s="96" t="str">
        <f>IF(Data!AV15="","",IF(OR('Job Sheet'!BC15="CW Products",'Job Sheet'!$A$6="Brax Retail",'Job Sheet'!$A$6="Brax Wholesale",'Job Sheet'!$A$6="Brax Wholesale B2B"),'Job Sheet'!AR15,""))</f>
        <v/>
      </c>
    </row>
    <row r="14" spans="1:34" s="36" customFormat="1" ht="60" customHeight="1">
      <c r="A14" s="100" t="str">
        <f>IF(Data!AV16="","",IF(OR('Job Sheet'!BC16="CW Products",'Job Sheet'!$A$6="Brax Retail",'Job Sheet'!$A$6="Brax Wholesale",'Job Sheet'!$A$6="Brax Wholesale B2B"),'Job Sheet'!A16,""))</f>
        <v/>
      </c>
      <c r="B14" s="96" t="str">
        <f>IF(Data!AV16="","",IF(OR('Job Sheet'!BC16="CW Products",'Job Sheet'!$A$6="Brax Retail",'Job Sheet'!$A$6="Brax Wholesale",'Job Sheet'!$A$6="Brax Wholesale B2B"),Data!BN16,""))</f>
        <v/>
      </c>
      <c r="C14" s="96" t="str">
        <f t="array" ref="C14">IF(OR(Data!AV16="",A14=""),"",IF(AND('Job Sheet'!BC16="CW Products",Data!BO16="Custom Powdercoat"),CONCATENATE(bpLOOKUP(Data!$AV16,"PCOAT",CustOrdOpt,6,FALSE)," ",Data!BO16),Data!BO16))</f>
        <v/>
      </c>
      <c r="D14" s="95" t="str">
        <f>IF(Data!AV16="","",IF(OR('Job Sheet'!BC16="CW Products",'Job Sheet'!$A$6="Brax Retail",'Job Sheet'!$A$6="Brax Wholesale",'Job Sheet'!$A$6="Brax Wholesale B2B"),'Job Sheet'!B16,""))</f>
        <v/>
      </c>
      <c r="E14" s="91" t="str">
        <f>IF(Data!AV16="","",IF(AND('Job Sheet'!G16="Opening",(OR('Job Sheet'!$A$6="Brax Retail",'Job Sheet'!$A$6="Brax Wholesale",'Job Sheet'!$A$6="Brax Wholesale B2B"))),Data!BA16-VLOOKUP('Job Sheet'!K16,FitDeduct,2,FALSE)-VLOOKUP('Job Sheet'!H16,SideDeduct,2,FALSE),IF(AND('Job Sheet'!G16="Making",(OR('Job Sheet'!BC16="CW Products",'Job Sheet'!$A$6="Brax Retail",'Job Sheet'!$A$6="Brax Wholesale",'Job Sheet'!$A$6="Brax Wholesale B2B"))),Data!BA16,IF(AND('Job Sheet'!G16="Opening",'Job Sheet'!BC16="CW Products"),'Job Sheet'!I16,""))))</f>
        <v/>
      </c>
      <c r="F14" s="91" t="str">
        <f>IF(OR(Data!AV16="",A14=""),"",IF(OR('Job Sheet'!G16="Making",'Job Sheet'!$A$6="Brax Retail",'Job Sheet'!$A$6="Brax Wholesale",'Job Sheet'!$A$6="Brax Wholesale B2B"),'Job Sheet'!D16,IF(AND('Job Sheet'!G16="Opening",(OR('Job Sheet'!BC16="CW Products",'Job Sheet'!$A$6="Brax Retail",'Job Sheet'!$A$6="Brax Wholesale",'Job Sheet'!$A$6="Brax Wholesale B2B"))),"(--)","")))</f>
        <v/>
      </c>
      <c r="G14" s="91" t="str">
        <f>IF(Data!AV16="","",IF(AND('Job Sheet'!G16="Opening",(OR('Job Sheet'!$A$6="Brax Retail",'Job Sheet'!$A$6="Brax Wholesale",'Job Sheet'!$A$6="Brax Wholesale B2B"))),'Job Sheet'!E16,IF(AND('Job Sheet'!G16="Making",(OR('Job Sheet'!BC16="CW Products",'Job Sheet'!$A$6="Brax Retail",'Job Sheet'!$A$6="Brax Wholesale",'Job Sheet'!$A$6="Brax Wholesale B2B"))),'Job Sheet'!J16,IF(AND('Job Sheet'!G16="Opening",'Job Sheet'!BC16="CW Products"),'Job Sheet'!J16,""))))</f>
        <v/>
      </c>
      <c r="H14" s="91" t="str">
        <f>IF(OR(Data!AV16="",A14=""),"",IF(OR('Job Sheet'!G16="Making",'Job Sheet'!$A$6="Brax Retail",'Job Sheet'!$A$6="Brax Wholesale",'Job Sheet'!$A$6="Brax Wholesale B2B"),'Job Sheet'!F16,IF(AND('Job Sheet'!G16="Opening",(OR('Job Sheet'!BC16="CW Products",'Job Sheet'!$A$6="Brax Retail",'Job Sheet'!$A$6="Brax Wholesale",'Job Sheet'!$A$6="Brax Wholesale B2B"))),"(-Box)","")))</f>
        <v/>
      </c>
      <c r="I14" s="96" t="str">
        <f>IF(Data!AV16="","",IF(OR(,'Job Sheet'!$A$6="Brax Retail",'Job Sheet'!$A$6="Brax Wholesale",'Job Sheet'!$A$6="Brax Wholesale B2B"),'Job Sheet'!G16,""))</f>
        <v/>
      </c>
      <c r="J14" s="96" t="str">
        <f>IF(Data!AV16="","",IF(OR('Job Sheet'!BC16="CW Products",'Job Sheet'!$A$6="Brax Retail",'Job Sheet'!$A$6="Brax Wholesale",'Job Sheet'!$A$6="Brax Wholesale B2B"),'Job Sheet'!K16,""))</f>
        <v/>
      </c>
      <c r="K14" s="96" t="str">
        <f>IF(Data!AV16="","",IF(OR('Job Sheet'!$A$6="Brax Retail",'Job Sheet'!$A$6="Brax Wholesale",'Job Sheet'!$A$6="Brax Wholesale B2B"),_xlfn.SINGLE(bpLOOKUP(Data!$AV16,"FIXING",CustOrdOpt,6,FALSE)),""))</f>
        <v/>
      </c>
      <c r="L14" s="96" t="str">
        <f>IF(Data!AV16="","",IF(OR('Job Sheet'!BC16="CW Products",'Job Sheet'!$A$6="Brax Retail",'Job Sheet'!$A$6="Brax Wholesale",'Job Sheet'!$A$6="Brax Wholesale B2B"),'Job Sheet'!O16,""))</f>
        <v/>
      </c>
      <c r="M14" s="96" t="str">
        <f>IF(Data!AV16="","",IF(OR('Job Sheet'!BC16="CW Products",'Job Sheet'!$A$6="Brax Retail",'Job Sheet'!$A$6="Brax Wholesale",'Job Sheet'!$A$6="Brax Wholesale B2B"),'Job Sheet'!N16,""))</f>
        <v/>
      </c>
      <c r="N14" s="96" t="str">
        <f>IF(Data!AV16="","",IF(OR('Job Sheet'!BC16="CW Products",'Job Sheet'!$A$6="Brax Retail",'Job Sheet'!$A$6="Brax Wholesale",'Job Sheet'!$A$6="Brax Wholesale B2B"),'Job Sheet'!P16,""))</f>
        <v/>
      </c>
      <c r="O14" s="96" t="str">
        <f>IF(Data!AV16="","",IF(OR('Job Sheet'!BC16="CW Products",'Job Sheet'!$A$6="Brax Retail",'Job Sheet'!$A$6="Brax Wholesale",'Job Sheet'!$A$6="Brax Wholesale B2B"),'Job Sheet'!R16,""))</f>
        <v/>
      </c>
      <c r="P14" s="96" t="str">
        <f>IF(Data!AV16="","",IF(OR('Job Sheet'!BC16="CW Products",'Job Sheet'!$A$6="Brax Retail",'Job Sheet'!$A$6="Brax Wholesale",'Job Sheet'!$A$6="Brax Wholesale B2B"),'Job Sheet'!Q16,""))</f>
        <v/>
      </c>
      <c r="Q14" s="96" t="str">
        <f>IF(Data!AV16="","",IF(OR('Job Sheet'!BC16="CW Products",'Job Sheet'!$A$6="Brax Retail",'Job Sheet'!$A$6="Brax Wholesale",'Job Sheet'!$A$6="Brax Wholesale B2B"),'Job Sheet'!S16,""))</f>
        <v/>
      </c>
      <c r="R14" s="96" t="str">
        <f>IF(Data!AV16="","",IF(OR('Job Sheet'!$A$6="Brax Retail",'Job Sheet'!$A$6="Brax Wholesale",'Job Sheet'!$A$6="Brax Wholesale B2B"),'Job Sheet'!T16,IF(AND('Job Sheet'!BC16="CW Products",(OR('Job Sheet'!T16="Acmeda External Motor",'Job Sheet'!T16="12v ODS System",'Job Sheet'!T16="Firesafe 12v ODS System"))),"Supplied by Davidson's",IF('Job Sheet'!BC16="Davidson's","",IF(OR('Job Sheet'!T16="Spring",'Job Sheet'!T16="Strap Winch"),'Job Sheet'!T16,'Job Sheet'!U16)))))</f>
        <v/>
      </c>
      <c r="S14" s="96" t="str">
        <f>IF(A14="","",'Job Sheet'!V16)</f>
        <v/>
      </c>
      <c r="T14" s="96" t="str">
        <f>IF(OR(Data!AV16="",R14="Supplied by Davidson's"),"",IF(OR('Job Sheet'!BC16="CW Products",'Job Sheet'!$A$6="Brax Retail",'Job Sheet'!$A$6="Brax Wholesale",'Job Sheet'!$A$6="Brax Wholesale B2B"),'Job Sheet'!W16,IF(AND('Job Sheet'!BC16="CW Products",(OR('Job Sheet'!T16="Acmeda External Motor",'Job Sheet'!T16="12v ODS System",'Job Sheet'!T16="Firesafe 12v ODS System"))),"",IF('Job Sheet'!BC16="Davidson's","",IF(OR('Job Sheet'!T16="Spring",'Job Sheet'!T16="Strap Winch"),"")))))</f>
        <v/>
      </c>
      <c r="U14" s="96" t="str">
        <f>IF(Data!AV16="","",IF(OR('Job Sheet'!BC16="CW Products",'Job Sheet'!$A$6="Brax Retail",'Job Sheet'!$A$6="Brax Wholesale",'Job Sheet'!$A$6="Brax Wholesale B2B"),'Job Sheet'!AC16,""))</f>
        <v/>
      </c>
      <c r="V14" s="96" t="str">
        <f>IF(OR(Data!AV16="",'Job Sheet'!AD16=""),"",IF(OR('Job Sheet'!BC16="CW Products",'Job Sheet'!$A$6="Brax Retail",'Job Sheet'!$A$6="Brax Wholesale",'Job Sheet'!$A$6="Brax Wholesale B2B"),CONCATENATE('Job Sheet'!AD16,"mm"),""))</f>
        <v/>
      </c>
      <c r="W14" s="97" t="str">
        <f>IF(Data!AV16="","",IF(OR('Job Sheet'!BC16="CW Products",'Job Sheet'!$A$6="Brax Retail",'Job Sheet'!$A$6="Brax Wholesale",'Job Sheet'!$A$6="Brax Wholesale B2B"),'Job Sheet'!AE16,""))</f>
        <v/>
      </c>
      <c r="X14" s="96" t="str">
        <f>IF(OR(Data!AU16="",'Job Sheet'!AG16=""),"",IF(OR('Job Sheet'!BB16="CW Products",'Job Sheet'!$A$6="Brax Retail",'Job Sheet'!$A$6="Brax Wholesale",'Job Sheet'!$A$6="Brax Wholesale B2B"),Packing!O16))</f>
        <v/>
      </c>
      <c r="Y14" s="96" t="str">
        <f>IF(OR(Data!AV16="",'Job Sheet'!AH16=""),"",IF(OR('Job Sheet'!BC16="CW Products",'Job Sheet'!$A$6="Brax Retail",'Job Sheet'!$A$6="Brax Wholesale",'Job Sheet'!$A$6="Brax Wholesale B2B"),CONCATENATE('Job Sheet'!AH16," x ",'Job Sheet'!I16,"mm"),""))</f>
        <v/>
      </c>
      <c r="Z14" s="96" t="str">
        <f>IF(OR(Data!AV16="",'Job Sheet'!AI16=""),"",IF(OR('Job Sheet'!BC16="CW Products",'Job Sheet'!$A$6="Brax Retail",'Job Sheet'!$A$6="Brax Wholesale",'Job Sheet'!$A$6="Brax Wholesale B2B"),CONCATENATE('Job Sheet'!AI16," x ",'Job Sheet'!I16,"mm"),""))</f>
        <v/>
      </c>
      <c r="AA14" s="96" t="str">
        <f>IF(OR(Data!AV16="",'Job Sheet'!AJ16=""),"",IF(AND(OR('Job Sheet'!BC16="CW Products",'Job Sheet'!$A$6="Brax Retail",'Job Sheet'!$A$6="Brax Wholesale",'Job Sheet'!$A$6="Brax Wholesale B2B"),OR('Job Sheet'!AJ16="25 x 25 Sill Angle for Headbox Only",'Job Sheet'!AJ16="25 x 50 Sill Angle for Headbox Only",'Job Sheet'!AJ16="25 x 75 Sill Angle for Headbox Only",'Job Sheet'!AJ16="8mm Slat for Headbox Only",'Job Sheet'!AJ16="22mm Side Guide for Headbox Only")),CONCATENATE('Job Sheet'!AJ16," x ",'Job Sheet'!AB16),IF(OR('Job Sheet'!BC16="CW Products",'Job Sheet'!$A$6="Brax Retail",'Job Sheet'!$A$6="Brax Wholesale",'Job Sheet'!$A$6="Brax Wholesale B2B"),CONCATENATE('Job Sheet'!AJ16," x ",'Job Sheet'!J16,"mm"),"")))</f>
        <v/>
      </c>
      <c r="AB14" s="96" t="str">
        <f>IF(OR(Data!AV16="",'Job Sheet'!AK16=""),"",IF(AND(OR('Job Sheet'!BC16="CW Products",'Job Sheet'!$A$6="Brax Retail",'Job Sheet'!$A$6="Brax Wholesale",'Job Sheet'!$A$6="Brax Wholesale B2B"),OR('Job Sheet'!AJ16="25 x 25 Sill Angle for Headbox Only",'Job Sheet'!AJ16="25 x 50 Sill Angle for Headbox Only",'Job Sheet'!AJ16="25 x 75 Sill Angle for Headbox Only",'Job Sheet'!AJ16="8mm Slat for Headbox Only",'Job Sheet'!AJ16="22mm Side Guide for Headbox Only")),CONCATENATE('Job Sheet'!AK16," x ",'Job Sheet'!AB16),IF(OR('Job Sheet'!BC16="CW Products",'Job Sheet'!$A$6="Brax Retail",'Job Sheet'!$A$6="Brax Wholesale",'Job Sheet'!$A$6="Brax Wholesale B2B"),CONCATENATE('Job Sheet'!AK16," x ",'Job Sheet'!J16,"mm"),"")))</f>
        <v/>
      </c>
      <c r="AC14" s="96" t="str">
        <f>IF(Data!AV16="","",IF(OR('Job Sheet'!$A$6="Brax Retail",'Job Sheet'!$A$6="Brax Wholesale",'Job Sheet'!$A$6="Brax Wholesale B2B"),"",IF(AND('Job Sheet'!BC16="CW Products",(OR('Job Sheet'!T16="Acmeda External Motor",'Job Sheet'!T16="12v ODS System",'Job Sheet'!T16="Firesafe 12v ODS System"))),"",'Job Sheet'!Z16)))</f>
        <v/>
      </c>
      <c r="AD14" s="96" t="str">
        <f>IF(Data!AV16="","",IF(OR('Job Sheet'!$A$6="Brax Retail",'Job Sheet'!$A$6="Brax Wholesale",'Job Sheet'!$A$6="Brax Wholesale B2B"),"",IF(AND('Job Sheet'!BC16="CW Products",(OR('Job Sheet'!T16="Acmeda External Motor",'Job Sheet'!T16="12v ODS System",'Job Sheet'!T16="Firesafe 12v ODS System"))),"",'Job Sheet'!AA17)))</f>
        <v/>
      </c>
      <c r="AE14" s="96" t="str">
        <f>IF(Data!AV16="","",IF(OR('Job Sheet'!BC16="CW Products",'Job Sheet'!$A$6="Brax Retail",'Job Sheet'!$A$6="Brax Wholesale",'Job Sheet'!$A$6="Brax Wholesale B2B"),'Job Sheet'!AL16,""))</f>
        <v/>
      </c>
      <c r="AF14" s="96" t="str">
        <f>IF(Data!AV16="","",IF(OR('Job Sheet'!BC16="CW Products",'Job Sheet'!$A$6="Brax Retail",'Job Sheet'!$A$6="Brax Wholesale",'Job Sheet'!$A$6="Brax Wholesale B2B"),'Job Sheet'!X16,""))</f>
        <v/>
      </c>
      <c r="AG14" s="96" t="str">
        <f>IF(Data!AV16="","",IF(OR('Job Sheet'!BC16="CW Products",'Job Sheet'!$A$6="Brax Retail",'Job Sheet'!$A$6="Brax Wholesale",'Job Sheet'!$A$6="Brax Wholesale B2B"),'Job Sheet'!Y16,""))</f>
        <v/>
      </c>
      <c r="AH14" s="96" t="str">
        <f>IF(Data!AV16="","",IF(OR('Job Sheet'!BC16="CW Products",'Job Sheet'!$A$6="Brax Retail",'Job Sheet'!$A$6="Brax Wholesale",'Job Sheet'!$A$6="Brax Wholesale B2B"),'Job Sheet'!AR16,""))</f>
        <v/>
      </c>
    </row>
    <row r="15" spans="1:34" s="36" customFormat="1" ht="60" customHeight="1">
      <c r="A15" s="100" t="str">
        <f>IF(Data!AV17="","",IF(OR('Job Sheet'!BC17="CW Products",'Job Sheet'!$A$6="Brax Retail",'Job Sheet'!$A$6="Brax Wholesale",'Job Sheet'!$A$6="Brax Wholesale B2B"),'Job Sheet'!A17,""))</f>
        <v/>
      </c>
      <c r="B15" s="96" t="str">
        <f>IF(Data!AV17="","",IF(OR('Job Sheet'!BC17="CW Products",'Job Sheet'!$A$6="Brax Retail",'Job Sheet'!$A$6="Brax Wholesale",'Job Sheet'!$A$6="Brax Wholesale B2B"),Data!BN17,""))</f>
        <v/>
      </c>
      <c r="C15" s="96" t="str">
        <f t="array" ref="C15">IF(OR(Data!AV17="",A15=""),"",IF(AND('Job Sheet'!BC17="CW Products",Data!BO17="Custom Powdercoat"),CONCATENATE(bpLOOKUP(Data!$AV17,"PCOAT",CustOrdOpt,6,FALSE)," ",Data!BO17),Data!BO17))</f>
        <v/>
      </c>
      <c r="D15" s="95" t="str">
        <f>IF(Data!AV17="","",IF(OR('Job Sheet'!BC17="CW Products",'Job Sheet'!$A$6="Brax Retail",'Job Sheet'!$A$6="Brax Wholesale",'Job Sheet'!$A$6="Brax Wholesale B2B"),'Job Sheet'!B17,""))</f>
        <v/>
      </c>
      <c r="E15" s="91" t="str">
        <f>IF(Data!AV17="","",IF(AND('Job Sheet'!G17="Opening",(OR('Job Sheet'!$A$6="Brax Retail",'Job Sheet'!$A$6="Brax Wholesale",'Job Sheet'!$A$6="Brax Wholesale B2B"))),Data!BA17-VLOOKUP('Job Sheet'!K17,FitDeduct,2,FALSE)-VLOOKUP('Job Sheet'!H17,SideDeduct,2,FALSE),IF(AND('Job Sheet'!G17="Making",(OR('Job Sheet'!BC17="CW Products",'Job Sheet'!$A$6="Brax Retail",'Job Sheet'!$A$6="Brax Wholesale",'Job Sheet'!$A$6="Brax Wholesale B2B"))),Data!BA17,IF(AND('Job Sheet'!G17="Opening",'Job Sheet'!BC17="CW Products"),'Job Sheet'!I17,""))))</f>
        <v/>
      </c>
      <c r="F15" s="91" t="str">
        <f>IF(OR(Data!AV17="",A15=""),"",IF(OR('Job Sheet'!G17="Making",'Job Sheet'!$A$6="Brax Retail",'Job Sheet'!$A$6="Brax Wholesale",'Job Sheet'!$A$6="Brax Wholesale B2B"),'Job Sheet'!D17,IF(AND('Job Sheet'!G17="Opening",(OR('Job Sheet'!BC17="CW Products",'Job Sheet'!$A$6="Brax Retail",'Job Sheet'!$A$6="Brax Wholesale",'Job Sheet'!$A$6="Brax Wholesale B2B"))),"(--)","")))</f>
        <v/>
      </c>
      <c r="G15" s="91" t="str">
        <f>IF(Data!AV17="","",IF(AND('Job Sheet'!G17="Opening",(OR('Job Sheet'!$A$6="Brax Retail",'Job Sheet'!$A$6="Brax Wholesale",'Job Sheet'!$A$6="Brax Wholesale B2B"))),'Job Sheet'!E17,IF(AND('Job Sheet'!G17="Making",(OR('Job Sheet'!BC17="CW Products",'Job Sheet'!$A$6="Brax Retail",'Job Sheet'!$A$6="Brax Wholesale",'Job Sheet'!$A$6="Brax Wholesale B2B"))),'Job Sheet'!J17,IF(AND('Job Sheet'!G17="Opening",'Job Sheet'!BC17="CW Products"),'Job Sheet'!J17,""))))</f>
        <v/>
      </c>
      <c r="H15" s="91" t="str">
        <f>IF(OR(Data!AV17="",A15=""),"",IF(OR('Job Sheet'!G17="Making",'Job Sheet'!$A$6="Brax Retail",'Job Sheet'!$A$6="Brax Wholesale",'Job Sheet'!$A$6="Brax Wholesale B2B"),'Job Sheet'!F17,IF(AND('Job Sheet'!G17="Opening",(OR('Job Sheet'!BC17="CW Products",'Job Sheet'!$A$6="Brax Retail",'Job Sheet'!$A$6="Brax Wholesale",'Job Sheet'!$A$6="Brax Wholesale B2B"))),"(-Box)","")))</f>
        <v/>
      </c>
      <c r="I15" s="96" t="str">
        <f>IF(Data!AV17="","",IF(OR(,'Job Sheet'!$A$6="Brax Retail",'Job Sheet'!$A$6="Brax Wholesale",'Job Sheet'!$A$6="Brax Wholesale B2B"),'Job Sheet'!G17,""))</f>
        <v/>
      </c>
      <c r="J15" s="96" t="str">
        <f>IF(Data!AV17="","",IF(OR('Job Sheet'!BC17="CW Products",'Job Sheet'!$A$6="Brax Retail",'Job Sheet'!$A$6="Brax Wholesale",'Job Sheet'!$A$6="Brax Wholesale B2B"),'Job Sheet'!K17,""))</f>
        <v/>
      </c>
      <c r="K15" s="96" t="str">
        <f>IF(Data!AV17="","",IF(OR('Job Sheet'!$A$6="Brax Retail",'Job Sheet'!$A$6="Brax Wholesale",'Job Sheet'!$A$6="Brax Wholesale B2B"),_xlfn.SINGLE(bpLOOKUP(Data!$AV17,"FIXING",CustOrdOpt,6,FALSE)),""))</f>
        <v/>
      </c>
      <c r="L15" s="96" t="str">
        <f>IF(Data!AV17="","",IF(OR('Job Sheet'!BC17="CW Products",'Job Sheet'!$A$6="Brax Retail",'Job Sheet'!$A$6="Brax Wholesale",'Job Sheet'!$A$6="Brax Wholesale B2B"),'Job Sheet'!O17,""))</f>
        <v/>
      </c>
      <c r="M15" s="96" t="str">
        <f>IF(Data!AV17="","",IF(OR('Job Sheet'!BC17="CW Products",'Job Sheet'!$A$6="Brax Retail",'Job Sheet'!$A$6="Brax Wholesale",'Job Sheet'!$A$6="Brax Wholesale B2B"),'Job Sheet'!N17,""))</f>
        <v/>
      </c>
      <c r="N15" s="96" t="str">
        <f>IF(Data!AV17="","",IF(OR('Job Sheet'!BC17="CW Products",'Job Sheet'!$A$6="Brax Retail",'Job Sheet'!$A$6="Brax Wholesale",'Job Sheet'!$A$6="Brax Wholesale B2B"),'Job Sheet'!P17,""))</f>
        <v/>
      </c>
      <c r="O15" s="96" t="str">
        <f>IF(Data!AV17="","",IF(OR('Job Sheet'!BC17="CW Products",'Job Sheet'!$A$6="Brax Retail",'Job Sheet'!$A$6="Brax Wholesale",'Job Sheet'!$A$6="Brax Wholesale B2B"),'Job Sheet'!R17,""))</f>
        <v/>
      </c>
      <c r="P15" s="96" t="str">
        <f>IF(Data!AV17="","",IF(OR('Job Sheet'!BC17="CW Products",'Job Sheet'!$A$6="Brax Retail",'Job Sheet'!$A$6="Brax Wholesale",'Job Sheet'!$A$6="Brax Wholesale B2B"),'Job Sheet'!Q17,""))</f>
        <v/>
      </c>
      <c r="Q15" s="96" t="str">
        <f>IF(Data!AV17="","",IF(OR('Job Sheet'!BC17="CW Products",'Job Sheet'!$A$6="Brax Retail",'Job Sheet'!$A$6="Brax Wholesale",'Job Sheet'!$A$6="Brax Wholesale B2B"),'Job Sheet'!S17,""))</f>
        <v/>
      </c>
      <c r="R15" s="96" t="str">
        <f>IF(Data!AV17="","",IF(OR('Job Sheet'!$A$6="Brax Retail",'Job Sheet'!$A$6="Brax Wholesale",'Job Sheet'!$A$6="Brax Wholesale B2B"),'Job Sheet'!T17,IF(AND('Job Sheet'!BC17="CW Products",(OR('Job Sheet'!T17="Acmeda External Motor",'Job Sheet'!T17="12v ODS System",'Job Sheet'!T17="Firesafe 12v ODS System"))),"Supplied by Davidson's",IF('Job Sheet'!BC17="Davidson's","",IF(OR('Job Sheet'!T17="Spring",'Job Sheet'!T17="Strap Winch"),'Job Sheet'!T17,'Job Sheet'!U17)))))</f>
        <v/>
      </c>
      <c r="S15" s="96" t="str">
        <f>IF(A15="","",'Job Sheet'!V17)</f>
        <v/>
      </c>
      <c r="T15" s="96" t="str">
        <f>IF(OR(Data!AV17="",R15="Supplied by Davidson's"),"",IF(OR('Job Sheet'!BC17="CW Products",'Job Sheet'!$A$6="Brax Retail",'Job Sheet'!$A$6="Brax Wholesale",'Job Sheet'!$A$6="Brax Wholesale B2B"),'Job Sheet'!W17,IF(AND('Job Sheet'!BC17="CW Products",(OR('Job Sheet'!T17="Acmeda External Motor",'Job Sheet'!T17="12v ODS System",'Job Sheet'!T17="Firesafe 12v ODS System"))),"",IF('Job Sheet'!BC17="Davidson's","",IF(OR('Job Sheet'!T17="Spring",'Job Sheet'!T17="Strap Winch"),"")))))</f>
        <v/>
      </c>
      <c r="U15" s="96" t="str">
        <f>IF(Data!AV17="","",IF(OR('Job Sheet'!BC17="CW Products",'Job Sheet'!$A$6="Brax Retail",'Job Sheet'!$A$6="Brax Wholesale",'Job Sheet'!$A$6="Brax Wholesale B2B"),'Job Sheet'!AC17,""))</f>
        <v/>
      </c>
      <c r="V15" s="96" t="str">
        <f>IF(OR(Data!AV17="",'Job Sheet'!AD17=""),"",IF(OR('Job Sheet'!BC17="CW Products",'Job Sheet'!$A$6="Brax Retail",'Job Sheet'!$A$6="Brax Wholesale",'Job Sheet'!$A$6="Brax Wholesale B2B"),CONCATENATE('Job Sheet'!AD17,"mm"),""))</f>
        <v/>
      </c>
      <c r="W15" s="97" t="str">
        <f>IF(Data!AV17="","",IF(OR('Job Sheet'!BC17="CW Products",'Job Sheet'!$A$6="Brax Retail",'Job Sheet'!$A$6="Brax Wholesale",'Job Sheet'!$A$6="Brax Wholesale B2B"),'Job Sheet'!AE17,""))</f>
        <v/>
      </c>
      <c r="X15" s="96" t="str">
        <f>IF(OR(Data!AU17="",'Job Sheet'!AG17=""),"",IF(OR('Job Sheet'!BB17="CW Products",'Job Sheet'!$A$6="Brax Retail",'Job Sheet'!$A$6="Brax Wholesale",'Job Sheet'!$A$6="Brax Wholesale B2B"),Packing!O17))</f>
        <v/>
      </c>
      <c r="Y15" s="96" t="str">
        <f>IF(OR(Data!AV17="",'Job Sheet'!AH17=""),"",IF(OR('Job Sheet'!BC17="CW Products",'Job Sheet'!$A$6="Brax Retail",'Job Sheet'!$A$6="Brax Wholesale",'Job Sheet'!$A$6="Brax Wholesale B2B"),CONCATENATE('Job Sheet'!AH17," x ",'Job Sheet'!I17,"mm"),""))</f>
        <v/>
      </c>
      <c r="Z15" s="96" t="str">
        <f>IF(OR(Data!AV17="",'Job Sheet'!AI17=""),"",IF(OR('Job Sheet'!BC17="CW Products",'Job Sheet'!$A$6="Brax Retail",'Job Sheet'!$A$6="Brax Wholesale",'Job Sheet'!$A$6="Brax Wholesale B2B"),CONCATENATE('Job Sheet'!AI17," x ",'Job Sheet'!I17,"mm"),""))</f>
        <v/>
      </c>
      <c r="AA15" s="96" t="str">
        <f>IF(OR(Data!AV17="",'Job Sheet'!AJ17=""),"",IF(AND(OR('Job Sheet'!BC17="CW Products",'Job Sheet'!$A$6="Brax Retail",'Job Sheet'!$A$6="Brax Wholesale",'Job Sheet'!$A$6="Brax Wholesale B2B"),OR('Job Sheet'!AJ17="25 x 25 Sill Angle for Headbox Only",'Job Sheet'!AJ17="25 x 50 Sill Angle for Headbox Only",'Job Sheet'!AJ17="25 x 75 Sill Angle for Headbox Only",'Job Sheet'!AJ17="8mm Slat for Headbox Only",'Job Sheet'!AJ17="22mm Side Guide for Headbox Only")),CONCATENATE('Job Sheet'!AJ17," x ",'Job Sheet'!AB17),IF(OR('Job Sheet'!BC17="CW Products",'Job Sheet'!$A$6="Brax Retail",'Job Sheet'!$A$6="Brax Wholesale",'Job Sheet'!$A$6="Brax Wholesale B2B"),CONCATENATE('Job Sheet'!AJ17," x ",'Job Sheet'!J17,"mm"),"")))</f>
        <v/>
      </c>
      <c r="AB15" s="96" t="str">
        <f>IF(OR(Data!AV17="",'Job Sheet'!AK17=""),"",IF(AND(OR('Job Sheet'!BC17="CW Products",'Job Sheet'!$A$6="Brax Retail",'Job Sheet'!$A$6="Brax Wholesale",'Job Sheet'!$A$6="Brax Wholesale B2B"),OR('Job Sheet'!AJ17="25 x 25 Sill Angle for Headbox Only",'Job Sheet'!AJ17="25 x 50 Sill Angle for Headbox Only",'Job Sheet'!AJ17="25 x 75 Sill Angle for Headbox Only",'Job Sheet'!AJ17="8mm Slat for Headbox Only",'Job Sheet'!AJ17="22mm Side Guide for Headbox Only")),CONCATENATE('Job Sheet'!AK17," x ",'Job Sheet'!AB17),IF(OR('Job Sheet'!BC17="CW Products",'Job Sheet'!$A$6="Brax Retail",'Job Sheet'!$A$6="Brax Wholesale",'Job Sheet'!$A$6="Brax Wholesale B2B"),CONCATENATE('Job Sheet'!AK17," x ",'Job Sheet'!J17,"mm"),"")))</f>
        <v/>
      </c>
      <c r="AC15" s="96" t="str">
        <f>IF(Data!AV17="","",IF(OR('Job Sheet'!$A$6="Brax Retail",'Job Sheet'!$A$6="Brax Wholesale",'Job Sheet'!$A$6="Brax Wholesale B2B"),"",IF(AND('Job Sheet'!BC17="CW Products",(OR('Job Sheet'!T17="Acmeda External Motor",'Job Sheet'!T17="12v ODS System",'Job Sheet'!T17="Firesafe 12v ODS System"))),"",'Job Sheet'!Z17)))</f>
        <v/>
      </c>
      <c r="AD15" s="96" t="str">
        <f>IF(Data!AV17="","",IF(OR('Job Sheet'!$A$6="Brax Retail",'Job Sheet'!$A$6="Brax Wholesale",'Job Sheet'!$A$6="Brax Wholesale B2B"),"",IF(AND('Job Sheet'!BC17="CW Products",(OR('Job Sheet'!T17="Acmeda External Motor",'Job Sheet'!T17="12v ODS System",'Job Sheet'!T17="Firesafe 12v ODS System"))),"",'Job Sheet'!AA18)))</f>
        <v/>
      </c>
      <c r="AE15" s="96" t="str">
        <f>IF(Data!AV17="","",IF(OR('Job Sheet'!BC17="CW Products",'Job Sheet'!$A$6="Brax Retail",'Job Sheet'!$A$6="Brax Wholesale",'Job Sheet'!$A$6="Brax Wholesale B2B"),'Job Sheet'!AL17,""))</f>
        <v/>
      </c>
      <c r="AF15" s="96" t="str">
        <f>IF(Data!AV17="","",IF(OR('Job Sheet'!BC17="CW Products",'Job Sheet'!$A$6="Brax Retail",'Job Sheet'!$A$6="Brax Wholesale",'Job Sheet'!$A$6="Brax Wholesale B2B"),'Job Sheet'!X17,""))</f>
        <v/>
      </c>
      <c r="AG15" s="96" t="str">
        <f>IF(Data!AV17="","",IF(OR('Job Sheet'!BC17="CW Products",'Job Sheet'!$A$6="Brax Retail",'Job Sheet'!$A$6="Brax Wholesale",'Job Sheet'!$A$6="Brax Wholesale B2B"),'Job Sheet'!Y17,""))</f>
        <v/>
      </c>
      <c r="AH15" s="96" t="str">
        <f>IF(Data!AV17="","",IF(OR('Job Sheet'!BC17="CW Products",'Job Sheet'!$A$6="Brax Retail",'Job Sheet'!$A$6="Brax Wholesale",'Job Sheet'!$A$6="Brax Wholesale B2B"),'Job Sheet'!AR17,""))</f>
        <v/>
      </c>
    </row>
    <row r="16" spans="1:34" s="36" customFormat="1" ht="60" customHeight="1">
      <c r="A16" s="100" t="str">
        <f>IF(Data!AV18="","",IF(OR('Job Sheet'!BC18="CW Products",'Job Sheet'!$A$6="Brax Retail",'Job Sheet'!$A$6="Brax Wholesale",'Job Sheet'!$A$6="Brax Wholesale B2B"),'Job Sheet'!A18,""))</f>
        <v/>
      </c>
      <c r="B16" s="96" t="str">
        <f>IF(Data!AV18="","",IF(OR('Job Sheet'!BC18="CW Products",'Job Sheet'!$A$6="Brax Retail",'Job Sheet'!$A$6="Brax Wholesale",'Job Sheet'!$A$6="Brax Wholesale B2B"),Data!BN18,""))</f>
        <v/>
      </c>
      <c r="C16" s="96" t="str">
        <f t="array" ref="C16">IF(OR(Data!AV18="",A16=""),"",IF(AND('Job Sheet'!BC18="CW Products",Data!BO18="Custom Powdercoat"),CONCATENATE(bpLOOKUP(Data!$AV18,"PCOAT",CustOrdOpt,6,FALSE)," ",Data!BO18),Data!BO18))</f>
        <v/>
      </c>
      <c r="D16" s="95" t="str">
        <f>IF(Data!AV18="","",IF(OR('Job Sheet'!BC18="CW Products",'Job Sheet'!$A$6="Brax Retail",'Job Sheet'!$A$6="Brax Wholesale",'Job Sheet'!$A$6="Brax Wholesale B2B"),'Job Sheet'!B18,""))</f>
        <v/>
      </c>
      <c r="E16" s="91" t="str">
        <f>IF(Data!AV18="","",IF(AND('Job Sheet'!G18="Opening",(OR('Job Sheet'!$A$6="Brax Retail",'Job Sheet'!$A$6="Brax Wholesale",'Job Sheet'!$A$6="Brax Wholesale B2B"))),Data!BA18-VLOOKUP('Job Sheet'!K18,FitDeduct,2,FALSE)-VLOOKUP('Job Sheet'!H18,SideDeduct,2,FALSE),IF(AND('Job Sheet'!G18="Making",(OR('Job Sheet'!BC18="CW Products",'Job Sheet'!$A$6="Brax Retail",'Job Sheet'!$A$6="Brax Wholesale",'Job Sheet'!$A$6="Brax Wholesale B2B"))),Data!BA18,IF(AND('Job Sheet'!G18="Opening",'Job Sheet'!BC18="CW Products"),'Job Sheet'!I18,""))))</f>
        <v/>
      </c>
      <c r="F16" s="91" t="str">
        <f>IF(OR(Data!AV18="",A16=""),"",IF(OR('Job Sheet'!G18="Making",'Job Sheet'!$A$6="Brax Retail",'Job Sheet'!$A$6="Brax Wholesale",'Job Sheet'!$A$6="Brax Wholesale B2B"),'Job Sheet'!D18,IF(AND('Job Sheet'!G18="Opening",(OR('Job Sheet'!BC18="CW Products",'Job Sheet'!$A$6="Brax Retail",'Job Sheet'!$A$6="Brax Wholesale",'Job Sheet'!$A$6="Brax Wholesale B2B"))),"(--)","")))</f>
        <v/>
      </c>
      <c r="G16" s="91" t="str">
        <f>IF(Data!AV18="","",IF(AND('Job Sheet'!G18="Opening",(OR('Job Sheet'!$A$6="Brax Retail",'Job Sheet'!$A$6="Brax Wholesale",'Job Sheet'!$A$6="Brax Wholesale B2B"))),'Job Sheet'!E18,IF(AND('Job Sheet'!G18="Making",(OR('Job Sheet'!BC18="CW Products",'Job Sheet'!$A$6="Brax Retail",'Job Sheet'!$A$6="Brax Wholesale",'Job Sheet'!$A$6="Brax Wholesale B2B"))),'Job Sheet'!J18,IF(AND('Job Sheet'!G18="Opening",'Job Sheet'!BC18="CW Products"),'Job Sheet'!J18,""))))</f>
        <v/>
      </c>
      <c r="H16" s="91" t="str">
        <f>IF(OR(Data!AV18="",A16=""),"",IF(OR('Job Sheet'!G18="Making",'Job Sheet'!$A$6="Brax Retail",'Job Sheet'!$A$6="Brax Wholesale",'Job Sheet'!$A$6="Brax Wholesale B2B"),'Job Sheet'!F18,IF(AND('Job Sheet'!G18="Opening",(OR('Job Sheet'!BC18="CW Products",'Job Sheet'!$A$6="Brax Retail",'Job Sheet'!$A$6="Brax Wholesale",'Job Sheet'!$A$6="Brax Wholesale B2B"))),"(-Box)","")))</f>
        <v/>
      </c>
      <c r="I16" s="96" t="str">
        <f>IF(Data!AV18="","",IF(OR(,'Job Sheet'!$A$6="Brax Retail",'Job Sheet'!$A$6="Brax Wholesale",'Job Sheet'!$A$6="Brax Wholesale B2B"),'Job Sheet'!G18,""))</f>
        <v/>
      </c>
      <c r="J16" s="96" t="str">
        <f>IF(Data!AV18="","",IF(OR('Job Sheet'!BC18="CW Products",'Job Sheet'!$A$6="Brax Retail",'Job Sheet'!$A$6="Brax Wholesale",'Job Sheet'!$A$6="Brax Wholesale B2B"),'Job Sheet'!K18,""))</f>
        <v/>
      </c>
      <c r="K16" s="96" t="str">
        <f>IF(Data!AV18="","",IF(OR('Job Sheet'!$A$6="Brax Retail",'Job Sheet'!$A$6="Brax Wholesale",'Job Sheet'!$A$6="Brax Wholesale B2B"),_xlfn.SINGLE(bpLOOKUP(Data!$AV18,"FIXING",CustOrdOpt,6,FALSE)),""))</f>
        <v/>
      </c>
      <c r="L16" s="96" t="str">
        <f>IF(Data!AV18="","",IF(OR('Job Sheet'!BC18="CW Products",'Job Sheet'!$A$6="Brax Retail",'Job Sheet'!$A$6="Brax Wholesale",'Job Sheet'!$A$6="Brax Wholesale B2B"),'Job Sheet'!O18,""))</f>
        <v/>
      </c>
      <c r="M16" s="96" t="str">
        <f>IF(Data!AV18="","",IF(OR('Job Sheet'!BC18="CW Products",'Job Sheet'!$A$6="Brax Retail",'Job Sheet'!$A$6="Brax Wholesale",'Job Sheet'!$A$6="Brax Wholesale B2B"),'Job Sheet'!N18,""))</f>
        <v/>
      </c>
      <c r="N16" s="96" t="str">
        <f>IF(Data!AV18="","",IF(OR('Job Sheet'!BC18="CW Products",'Job Sheet'!$A$6="Brax Retail",'Job Sheet'!$A$6="Brax Wholesale",'Job Sheet'!$A$6="Brax Wholesale B2B"),'Job Sheet'!P18,""))</f>
        <v/>
      </c>
      <c r="O16" s="96" t="str">
        <f>IF(Data!AV18="","",IF(OR('Job Sheet'!BC18="CW Products",'Job Sheet'!$A$6="Brax Retail",'Job Sheet'!$A$6="Brax Wholesale",'Job Sheet'!$A$6="Brax Wholesale B2B"),'Job Sheet'!R18,""))</f>
        <v/>
      </c>
      <c r="P16" s="96" t="str">
        <f>IF(Data!AV18="","",IF(OR('Job Sheet'!BC18="CW Products",'Job Sheet'!$A$6="Brax Retail",'Job Sheet'!$A$6="Brax Wholesale",'Job Sheet'!$A$6="Brax Wholesale B2B"),'Job Sheet'!Q18,""))</f>
        <v/>
      </c>
      <c r="Q16" s="96" t="str">
        <f>IF(Data!AV18="","",IF(OR('Job Sheet'!BC18="CW Products",'Job Sheet'!$A$6="Brax Retail",'Job Sheet'!$A$6="Brax Wholesale",'Job Sheet'!$A$6="Brax Wholesale B2B"),'Job Sheet'!S18,""))</f>
        <v/>
      </c>
      <c r="R16" s="96" t="str">
        <f>IF(Data!AV18="","",IF(OR('Job Sheet'!$A$6="Brax Retail",'Job Sheet'!$A$6="Brax Wholesale",'Job Sheet'!$A$6="Brax Wholesale B2B"),'Job Sheet'!T18,IF(AND('Job Sheet'!BC18="CW Products",(OR('Job Sheet'!T18="Acmeda External Motor",'Job Sheet'!T18="12v ODS System",'Job Sheet'!T18="Firesafe 12v ODS System"))),"Supplied by Davidson's",IF('Job Sheet'!BC18="Davidson's","",IF(OR('Job Sheet'!T18="Spring",'Job Sheet'!T18="Strap Winch"),'Job Sheet'!T18,'Job Sheet'!U18)))))</f>
        <v/>
      </c>
      <c r="S16" s="96" t="str">
        <f>IF(A16="","",'Job Sheet'!V18)</f>
        <v/>
      </c>
      <c r="T16" s="96" t="str">
        <f>IF(OR(Data!AV18="",R16="Supplied by Davidson's"),"",IF(OR('Job Sheet'!BC18="CW Products",'Job Sheet'!$A$6="Brax Retail",'Job Sheet'!$A$6="Brax Wholesale",'Job Sheet'!$A$6="Brax Wholesale B2B"),'Job Sheet'!W18,IF(AND('Job Sheet'!BC18="CW Products",(OR('Job Sheet'!T18="Acmeda External Motor",'Job Sheet'!T18="12v ODS System",'Job Sheet'!T18="Firesafe 12v ODS System"))),"",IF('Job Sheet'!BC18="Davidson's","",IF(OR('Job Sheet'!T18="Spring",'Job Sheet'!T18="Strap Winch"),"")))))</f>
        <v/>
      </c>
      <c r="U16" s="96" t="str">
        <f>IF(Data!AV18="","",IF(OR('Job Sheet'!BC18="CW Products",'Job Sheet'!$A$6="Brax Retail",'Job Sheet'!$A$6="Brax Wholesale",'Job Sheet'!$A$6="Brax Wholesale B2B"),'Job Sheet'!AC18,""))</f>
        <v/>
      </c>
      <c r="V16" s="96" t="str">
        <f>IF(OR(Data!AV18="",'Job Sheet'!AD18=""),"",IF(OR('Job Sheet'!BC18="CW Products",'Job Sheet'!$A$6="Brax Retail",'Job Sheet'!$A$6="Brax Wholesale",'Job Sheet'!$A$6="Brax Wholesale B2B"),CONCATENATE('Job Sheet'!AD18,"mm"),""))</f>
        <v/>
      </c>
      <c r="W16" s="97" t="str">
        <f>IF(Data!AV18="","",IF(OR('Job Sheet'!BC18="CW Products",'Job Sheet'!$A$6="Brax Retail",'Job Sheet'!$A$6="Brax Wholesale",'Job Sheet'!$A$6="Brax Wholesale B2B"),'Job Sheet'!AE18,""))</f>
        <v/>
      </c>
      <c r="X16" s="96" t="str">
        <f>IF(OR(Data!AU18="",'Job Sheet'!AG18=""),"",IF(OR('Job Sheet'!BB18="CW Products",'Job Sheet'!$A$6="Brax Retail",'Job Sheet'!$A$6="Brax Wholesale",'Job Sheet'!$A$6="Brax Wholesale B2B"),Packing!O18))</f>
        <v/>
      </c>
      <c r="Y16" s="96" t="str">
        <f>IF(OR(Data!AV18="",'Job Sheet'!AH18=""),"",IF(OR('Job Sheet'!BC18="CW Products",'Job Sheet'!$A$6="Brax Retail",'Job Sheet'!$A$6="Brax Wholesale",'Job Sheet'!$A$6="Brax Wholesale B2B"),CONCATENATE('Job Sheet'!AH18," x ",'Job Sheet'!I18,"mm"),""))</f>
        <v/>
      </c>
      <c r="Z16" s="96" t="str">
        <f>IF(OR(Data!AV18="",'Job Sheet'!AI18=""),"",IF(OR('Job Sheet'!BC18="CW Products",'Job Sheet'!$A$6="Brax Retail",'Job Sheet'!$A$6="Brax Wholesale",'Job Sheet'!$A$6="Brax Wholesale B2B"),CONCATENATE('Job Sheet'!AI18," x ",'Job Sheet'!I18,"mm"),""))</f>
        <v/>
      </c>
      <c r="AA16" s="96" t="str">
        <f>IF(OR(Data!AV18="",'Job Sheet'!AJ18=""),"",IF(AND(OR('Job Sheet'!BC18="CW Products",'Job Sheet'!$A$6="Brax Retail",'Job Sheet'!$A$6="Brax Wholesale",'Job Sheet'!$A$6="Brax Wholesale B2B"),OR('Job Sheet'!AJ18="25 x 25 Sill Angle for Headbox Only",'Job Sheet'!AJ18="25 x 50 Sill Angle for Headbox Only",'Job Sheet'!AJ18="25 x 75 Sill Angle for Headbox Only",'Job Sheet'!AJ18="8mm Slat for Headbox Only",'Job Sheet'!AJ18="22mm Side Guide for Headbox Only")),CONCATENATE('Job Sheet'!AJ18," x ",'Job Sheet'!AB18),IF(OR('Job Sheet'!BC18="CW Products",'Job Sheet'!$A$6="Brax Retail",'Job Sheet'!$A$6="Brax Wholesale",'Job Sheet'!$A$6="Brax Wholesale B2B"),CONCATENATE('Job Sheet'!AJ18," x ",'Job Sheet'!J18,"mm"),"")))</f>
        <v/>
      </c>
      <c r="AB16" s="96" t="str">
        <f>IF(OR(Data!AV18="",'Job Sheet'!AK18=""),"",IF(AND(OR('Job Sheet'!BC18="CW Products",'Job Sheet'!$A$6="Brax Retail",'Job Sheet'!$A$6="Brax Wholesale",'Job Sheet'!$A$6="Brax Wholesale B2B"),OR('Job Sheet'!AJ18="25 x 25 Sill Angle for Headbox Only",'Job Sheet'!AJ18="25 x 50 Sill Angle for Headbox Only",'Job Sheet'!AJ18="25 x 75 Sill Angle for Headbox Only",'Job Sheet'!AJ18="8mm Slat for Headbox Only",'Job Sheet'!AJ18="22mm Side Guide for Headbox Only")),CONCATENATE('Job Sheet'!AK18," x ",'Job Sheet'!AB18),IF(OR('Job Sheet'!BC18="CW Products",'Job Sheet'!$A$6="Brax Retail",'Job Sheet'!$A$6="Brax Wholesale",'Job Sheet'!$A$6="Brax Wholesale B2B"),CONCATENATE('Job Sheet'!AK18," x ",'Job Sheet'!J18,"mm"),"")))</f>
        <v/>
      </c>
      <c r="AC16" s="96" t="str">
        <f>IF(Data!AV18="","",IF(OR('Job Sheet'!$A$6="Brax Retail",'Job Sheet'!$A$6="Brax Wholesale",'Job Sheet'!$A$6="Brax Wholesale B2B"),"",IF(AND('Job Sheet'!BC18="CW Products",(OR('Job Sheet'!T18="Acmeda External Motor",'Job Sheet'!T18="12v ODS System",'Job Sheet'!T18="Firesafe 12v ODS System"))),"",'Job Sheet'!Z18)))</f>
        <v/>
      </c>
      <c r="AD16" s="96" t="str">
        <f>IF(Data!AV18="","",IF(OR('Job Sheet'!$A$6="Brax Retail",'Job Sheet'!$A$6="Brax Wholesale",'Job Sheet'!$A$6="Brax Wholesale B2B"),"",IF(AND('Job Sheet'!BC18="CW Products",(OR('Job Sheet'!T18="Acmeda External Motor",'Job Sheet'!T18="12v ODS System",'Job Sheet'!T18="Firesafe 12v ODS System"))),"",'Job Sheet'!AA19)))</f>
        <v/>
      </c>
      <c r="AE16" s="96" t="str">
        <f>IF(Data!AV18="","",IF(OR('Job Sheet'!BC18="CW Products",'Job Sheet'!$A$6="Brax Retail",'Job Sheet'!$A$6="Brax Wholesale",'Job Sheet'!$A$6="Brax Wholesale B2B"),'Job Sheet'!AL18,""))</f>
        <v/>
      </c>
      <c r="AF16" s="96" t="str">
        <f>IF(Data!AV18="","",IF(OR('Job Sheet'!BC18="CW Products",'Job Sheet'!$A$6="Brax Retail",'Job Sheet'!$A$6="Brax Wholesale",'Job Sheet'!$A$6="Brax Wholesale B2B"),'Job Sheet'!X18,""))</f>
        <v/>
      </c>
      <c r="AG16" s="96" t="str">
        <f>IF(Data!AV18="","",IF(OR('Job Sheet'!BC18="CW Products",'Job Sheet'!$A$6="Brax Retail",'Job Sheet'!$A$6="Brax Wholesale",'Job Sheet'!$A$6="Brax Wholesale B2B"),'Job Sheet'!Y18,""))</f>
        <v/>
      </c>
      <c r="AH16" s="96" t="str">
        <f>IF(Data!AV18="","",IF(OR('Job Sheet'!BC18="CW Products",'Job Sheet'!$A$6="Brax Retail",'Job Sheet'!$A$6="Brax Wholesale",'Job Sheet'!$A$6="Brax Wholesale B2B"),'Job Sheet'!AR18,""))</f>
        <v/>
      </c>
    </row>
    <row r="17" spans="1:34" s="36" customFormat="1" ht="60" customHeight="1">
      <c r="A17" s="100" t="str">
        <f>IF(Data!AV19="","",IF(OR('Job Sheet'!BC19="CW Products",'Job Sheet'!$A$6="Brax Retail",'Job Sheet'!$A$6="Brax Wholesale",'Job Sheet'!$A$6="Brax Wholesale B2B"),'Job Sheet'!A19,""))</f>
        <v/>
      </c>
      <c r="B17" s="96" t="str">
        <f>IF(Data!AV19="","",IF(OR('Job Sheet'!BC19="CW Products",'Job Sheet'!$A$6="Brax Retail",'Job Sheet'!$A$6="Brax Wholesale",'Job Sheet'!$A$6="Brax Wholesale B2B"),Data!BN19,""))</f>
        <v/>
      </c>
      <c r="C17" s="96" t="str">
        <f t="array" ref="C17">IF(OR(Data!AV19="",A17=""),"",IF(AND('Job Sheet'!BC19="CW Products",Data!BO19="Custom Powdercoat"),CONCATENATE(bpLOOKUP(Data!$AV19,"PCOAT",CustOrdOpt,6,FALSE)," ",Data!BO19),Data!BO19))</f>
        <v/>
      </c>
      <c r="D17" s="95" t="str">
        <f>IF(Data!AV19="","",IF(OR('Job Sheet'!BC19="CW Products",'Job Sheet'!$A$6="Brax Retail",'Job Sheet'!$A$6="Brax Wholesale",'Job Sheet'!$A$6="Brax Wholesale B2B"),'Job Sheet'!B19,""))</f>
        <v/>
      </c>
      <c r="E17" s="91" t="str">
        <f>IF(Data!AV19="","",IF(AND('Job Sheet'!G19="Opening",(OR('Job Sheet'!$A$6="Brax Retail",'Job Sheet'!$A$6="Brax Wholesale",'Job Sheet'!$A$6="Brax Wholesale B2B"))),Data!BA19-VLOOKUP('Job Sheet'!K19,FitDeduct,2,FALSE)-VLOOKUP('Job Sheet'!H19,SideDeduct,2,FALSE),IF(AND('Job Sheet'!G19="Making",(OR('Job Sheet'!BC19="CW Products",'Job Sheet'!$A$6="Brax Retail",'Job Sheet'!$A$6="Brax Wholesale",'Job Sheet'!$A$6="Brax Wholesale B2B"))),Data!BA19,IF(AND('Job Sheet'!G19="Opening",'Job Sheet'!BC19="CW Products"),'Job Sheet'!I19,""))))</f>
        <v/>
      </c>
      <c r="F17" s="91" t="str">
        <f>IF(OR(Data!AV19="",A17=""),"",IF(OR('Job Sheet'!G19="Making",'Job Sheet'!$A$6="Brax Retail",'Job Sheet'!$A$6="Brax Wholesale",'Job Sheet'!$A$6="Brax Wholesale B2B"),'Job Sheet'!D19,IF(AND('Job Sheet'!G19="Opening",(OR('Job Sheet'!BC19="CW Products",'Job Sheet'!$A$6="Brax Retail",'Job Sheet'!$A$6="Brax Wholesale",'Job Sheet'!$A$6="Brax Wholesale B2B"))),"(--)","")))</f>
        <v/>
      </c>
      <c r="G17" s="91" t="str">
        <f>IF(Data!AV19="","",IF(AND('Job Sheet'!G19="Opening",(OR('Job Sheet'!$A$6="Brax Retail",'Job Sheet'!$A$6="Brax Wholesale",'Job Sheet'!$A$6="Brax Wholesale B2B"))),'Job Sheet'!E19,IF(AND('Job Sheet'!G19="Making",(OR('Job Sheet'!BC19="CW Products",'Job Sheet'!$A$6="Brax Retail",'Job Sheet'!$A$6="Brax Wholesale",'Job Sheet'!$A$6="Brax Wholesale B2B"))),'Job Sheet'!J19,IF(AND('Job Sheet'!G19="Opening",'Job Sheet'!BC19="CW Products"),'Job Sheet'!J19,""))))</f>
        <v/>
      </c>
      <c r="H17" s="91" t="str">
        <f>IF(OR(Data!AV19="",A17=""),"",IF(OR('Job Sheet'!G19="Making",'Job Sheet'!$A$6="Brax Retail",'Job Sheet'!$A$6="Brax Wholesale",'Job Sheet'!$A$6="Brax Wholesale B2B"),'Job Sheet'!F19,IF(AND('Job Sheet'!G19="Opening",(OR('Job Sheet'!BC19="CW Products",'Job Sheet'!$A$6="Brax Retail",'Job Sheet'!$A$6="Brax Wholesale",'Job Sheet'!$A$6="Brax Wholesale B2B"))),"(-Box)","")))</f>
        <v/>
      </c>
      <c r="I17" s="96" t="str">
        <f>IF(Data!AV19="","",IF(OR(,'Job Sheet'!$A$6="Brax Retail",'Job Sheet'!$A$6="Brax Wholesale",'Job Sheet'!$A$6="Brax Wholesale B2B"),'Job Sheet'!G19,""))</f>
        <v/>
      </c>
      <c r="J17" s="96" t="str">
        <f>IF(Data!AV19="","",IF(OR('Job Sheet'!BC19="CW Products",'Job Sheet'!$A$6="Brax Retail",'Job Sheet'!$A$6="Brax Wholesale",'Job Sheet'!$A$6="Brax Wholesale B2B"),'Job Sheet'!K19,""))</f>
        <v/>
      </c>
      <c r="K17" s="96" t="str">
        <f>IF(Data!AV19="","",IF(OR('Job Sheet'!$A$6="Brax Retail",'Job Sheet'!$A$6="Brax Wholesale",'Job Sheet'!$A$6="Brax Wholesale B2B"),_xlfn.SINGLE(bpLOOKUP(Data!$AV19,"FIXING",CustOrdOpt,6,FALSE)),""))</f>
        <v/>
      </c>
      <c r="L17" s="96" t="str">
        <f>IF(Data!AV19="","",IF(OR('Job Sheet'!BC19="CW Products",'Job Sheet'!$A$6="Brax Retail",'Job Sheet'!$A$6="Brax Wholesale",'Job Sheet'!$A$6="Brax Wholesale B2B"),'Job Sheet'!O19,""))</f>
        <v/>
      </c>
      <c r="M17" s="96" t="str">
        <f>IF(Data!AV19="","",IF(OR('Job Sheet'!BC19="CW Products",'Job Sheet'!$A$6="Brax Retail",'Job Sheet'!$A$6="Brax Wholesale",'Job Sheet'!$A$6="Brax Wholesale B2B"),'Job Sheet'!N19,""))</f>
        <v/>
      </c>
      <c r="N17" s="96" t="str">
        <f>IF(Data!AV19="","",IF(OR('Job Sheet'!BC19="CW Products",'Job Sheet'!$A$6="Brax Retail",'Job Sheet'!$A$6="Brax Wholesale",'Job Sheet'!$A$6="Brax Wholesale B2B"),'Job Sheet'!P19,""))</f>
        <v/>
      </c>
      <c r="O17" s="96" t="str">
        <f>IF(Data!AV19="","",IF(OR('Job Sheet'!BC19="CW Products",'Job Sheet'!$A$6="Brax Retail",'Job Sheet'!$A$6="Brax Wholesale",'Job Sheet'!$A$6="Brax Wholesale B2B"),'Job Sheet'!R19,""))</f>
        <v/>
      </c>
      <c r="P17" s="96" t="str">
        <f>IF(Data!AV19="","",IF(OR('Job Sheet'!BC19="CW Products",'Job Sheet'!$A$6="Brax Retail",'Job Sheet'!$A$6="Brax Wholesale",'Job Sheet'!$A$6="Brax Wholesale B2B"),'Job Sheet'!Q19,""))</f>
        <v/>
      </c>
      <c r="Q17" s="96" t="str">
        <f>IF(Data!AV19="","",IF(OR('Job Sheet'!BC19="CW Products",'Job Sheet'!$A$6="Brax Retail",'Job Sheet'!$A$6="Brax Wholesale",'Job Sheet'!$A$6="Brax Wholesale B2B"),'Job Sheet'!S19,""))</f>
        <v/>
      </c>
      <c r="R17" s="96" t="str">
        <f>IF(Data!AV19="","",IF(OR('Job Sheet'!$A$6="Brax Retail",'Job Sheet'!$A$6="Brax Wholesale",'Job Sheet'!$A$6="Brax Wholesale B2B"),'Job Sheet'!T19,IF(AND('Job Sheet'!BC19="CW Products",(OR('Job Sheet'!T19="Acmeda External Motor",'Job Sheet'!T19="12v ODS System",'Job Sheet'!T19="Firesafe 12v ODS System"))),"Supplied by Davidson's",IF('Job Sheet'!BC19="Davidson's","",IF(OR('Job Sheet'!T19="Spring",'Job Sheet'!T19="Strap Winch"),'Job Sheet'!T19,'Job Sheet'!U19)))))</f>
        <v/>
      </c>
      <c r="S17" s="96" t="str">
        <f>IF(A17="","",'Job Sheet'!V19)</f>
        <v/>
      </c>
      <c r="T17" s="96" t="str">
        <f>IF(OR(Data!AV19="",R17="Supplied by Davidson's"),"",IF(OR('Job Sheet'!BC19="CW Products",'Job Sheet'!$A$6="Brax Retail",'Job Sheet'!$A$6="Brax Wholesale",'Job Sheet'!$A$6="Brax Wholesale B2B"),'Job Sheet'!W19,IF(AND('Job Sheet'!BC19="CW Products",(OR('Job Sheet'!T19="Acmeda External Motor",'Job Sheet'!T19="12v ODS System",'Job Sheet'!T19="Firesafe 12v ODS System"))),"",IF('Job Sheet'!BC19="Davidson's","",IF(OR('Job Sheet'!T19="Spring",'Job Sheet'!T19="Strap Winch"),"")))))</f>
        <v/>
      </c>
      <c r="U17" s="96" t="str">
        <f>IF(Data!AV19="","",IF(OR('Job Sheet'!BC19="CW Products",'Job Sheet'!$A$6="Brax Retail",'Job Sheet'!$A$6="Brax Wholesale",'Job Sheet'!$A$6="Brax Wholesale B2B"),'Job Sheet'!AC19,""))</f>
        <v/>
      </c>
      <c r="V17" s="96" t="str">
        <f>IF(OR(Data!AV19="",'Job Sheet'!AD19=""),"",IF(OR('Job Sheet'!BC19="CW Products",'Job Sheet'!$A$6="Brax Retail",'Job Sheet'!$A$6="Brax Wholesale",'Job Sheet'!$A$6="Brax Wholesale B2B"),CONCATENATE('Job Sheet'!AD19,"mm"),""))</f>
        <v/>
      </c>
      <c r="W17" s="97" t="str">
        <f>IF(Data!AV19="","",IF(OR('Job Sheet'!BC19="CW Products",'Job Sheet'!$A$6="Brax Retail",'Job Sheet'!$A$6="Brax Wholesale",'Job Sheet'!$A$6="Brax Wholesale B2B"),'Job Sheet'!AE19,""))</f>
        <v/>
      </c>
      <c r="X17" s="96" t="str">
        <f>IF(OR(Data!AU19="",'Job Sheet'!AG19=""),"",IF(OR('Job Sheet'!BB19="CW Products",'Job Sheet'!$A$6="Brax Retail",'Job Sheet'!$A$6="Brax Wholesale",'Job Sheet'!$A$6="Brax Wholesale B2B"),Packing!O19))</f>
        <v/>
      </c>
      <c r="Y17" s="96" t="str">
        <f>IF(OR(Data!AV19="",'Job Sheet'!AH19=""),"",IF(OR('Job Sheet'!BC19="CW Products",'Job Sheet'!$A$6="Brax Retail",'Job Sheet'!$A$6="Brax Wholesale",'Job Sheet'!$A$6="Brax Wholesale B2B"),CONCATENATE('Job Sheet'!AH19," x ",'Job Sheet'!I19,"mm"),""))</f>
        <v/>
      </c>
      <c r="Z17" s="96" t="str">
        <f>IF(OR(Data!AV19="",'Job Sheet'!AI19=""),"",IF(OR('Job Sheet'!BC19="CW Products",'Job Sheet'!$A$6="Brax Retail",'Job Sheet'!$A$6="Brax Wholesale",'Job Sheet'!$A$6="Brax Wholesale B2B"),CONCATENATE('Job Sheet'!AI19," x ",'Job Sheet'!I19,"mm"),""))</f>
        <v/>
      </c>
      <c r="AA17" s="96" t="str">
        <f>IF(OR(Data!AV19="",'Job Sheet'!AJ19=""),"",IF(AND(OR('Job Sheet'!BC19="CW Products",'Job Sheet'!$A$6="Brax Retail",'Job Sheet'!$A$6="Brax Wholesale",'Job Sheet'!$A$6="Brax Wholesale B2B"),OR('Job Sheet'!AJ19="25 x 25 Sill Angle for Headbox Only",'Job Sheet'!AJ19="25 x 50 Sill Angle for Headbox Only",'Job Sheet'!AJ19="25 x 75 Sill Angle for Headbox Only",'Job Sheet'!AJ19="8mm Slat for Headbox Only",'Job Sheet'!AJ19="22mm Side Guide for Headbox Only")),CONCATENATE('Job Sheet'!AJ19," x ",'Job Sheet'!AB19),IF(OR('Job Sheet'!BC19="CW Products",'Job Sheet'!$A$6="Brax Retail",'Job Sheet'!$A$6="Brax Wholesale",'Job Sheet'!$A$6="Brax Wholesale B2B"),CONCATENATE('Job Sheet'!AJ19," x ",'Job Sheet'!J19,"mm"),"")))</f>
        <v/>
      </c>
      <c r="AB17" s="96" t="str">
        <f>IF(OR(Data!AV19="",'Job Sheet'!AK19=""),"",IF(AND(OR('Job Sheet'!BC19="CW Products",'Job Sheet'!$A$6="Brax Retail",'Job Sheet'!$A$6="Brax Wholesale",'Job Sheet'!$A$6="Brax Wholesale B2B"),OR('Job Sheet'!AJ19="25 x 25 Sill Angle for Headbox Only",'Job Sheet'!AJ19="25 x 50 Sill Angle for Headbox Only",'Job Sheet'!AJ19="25 x 75 Sill Angle for Headbox Only",'Job Sheet'!AJ19="8mm Slat for Headbox Only",'Job Sheet'!AJ19="22mm Side Guide for Headbox Only")),CONCATENATE('Job Sheet'!AK19," x ",'Job Sheet'!AB19),IF(OR('Job Sheet'!BC19="CW Products",'Job Sheet'!$A$6="Brax Retail",'Job Sheet'!$A$6="Brax Wholesale",'Job Sheet'!$A$6="Brax Wholesale B2B"),CONCATENATE('Job Sheet'!AK19," x ",'Job Sheet'!J19,"mm"),"")))</f>
        <v/>
      </c>
      <c r="AC17" s="96" t="str">
        <f>IF(Data!AV19="","",IF(OR('Job Sheet'!$A$6="Brax Retail",'Job Sheet'!$A$6="Brax Wholesale",'Job Sheet'!$A$6="Brax Wholesale B2B"),"",IF(AND('Job Sheet'!BC19="CW Products",(OR('Job Sheet'!T19="Acmeda External Motor",'Job Sheet'!T19="12v ODS System",'Job Sheet'!T19="Firesafe 12v ODS System"))),"",'Job Sheet'!Z19)))</f>
        <v/>
      </c>
      <c r="AD17" s="96" t="str">
        <f>IF(Data!AV19="","",IF(OR('Job Sheet'!$A$6="Brax Retail",'Job Sheet'!$A$6="Brax Wholesale",'Job Sheet'!$A$6="Brax Wholesale B2B"),"",IF(AND('Job Sheet'!BC19="CW Products",(OR('Job Sheet'!T19="Acmeda External Motor",'Job Sheet'!T19="12v ODS System",'Job Sheet'!T19="Firesafe 12v ODS System"))),"",'Job Sheet'!AA20)))</f>
        <v/>
      </c>
      <c r="AE17" s="96" t="str">
        <f>IF(Data!AV19="","",IF(OR('Job Sheet'!BC19="CW Products",'Job Sheet'!$A$6="Brax Retail",'Job Sheet'!$A$6="Brax Wholesale",'Job Sheet'!$A$6="Brax Wholesale B2B"),'Job Sheet'!AL19,""))</f>
        <v/>
      </c>
      <c r="AF17" s="96" t="str">
        <f>IF(Data!AV19="","",IF(OR('Job Sheet'!BC19="CW Products",'Job Sheet'!$A$6="Brax Retail",'Job Sheet'!$A$6="Brax Wholesale",'Job Sheet'!$A$6="Brax Wholesale B2B"),'Job Sheet'!X19,""))</f>
        <v/>
      </c>
      <c r="AG17" s="96" t="str">
        <f>IF(Data!AV19="","",IF(OR('Job Sheet'!BC19="CW Products",'Job Sheet'!$A$6="Brax Retail",'Job Sheet'!$A$6="Brax Wholesale",'Job Sheet'!$A$6="Brax Wholesale B2B"),'Job Sheet'!Y19,""))</f>
        <v/>
      </c>
      <c r="AH17" s="96" t="str">
        <f>IF(Data!AV19="","",IF(OR('Job Sheet'!BC19="CW Products",'Job Sheet'!$A$6="Brax Retail",'Job Sheet'!$A$6="Brax Wholesale",'Job Sheet'!$A$6="Brax Wholesale B2B"),'Job Sheet'!AR19,""))</f>
        <v/>
      </c>
    </row>
    <row r="18" spans="1:34" s="36" customFormat="1" ht="60" customHeight="1">
      <c r="A18" s="100" t="str">
        <f>IF(Data!AV20="","",IF(OR('Job Sheet'!BC20="CW Products",'Job Sheet'!$A$6="Brax Retail",'Job Sheet'!$A$6="Brax Wholesale",'Job Sheet'!$A$6="Brax Wholesale B2B"),'Job Sheet'!A20,""))</f>
        <v/>
      </c>
      <c r="B18" s="96" t="str">
        <f>IF(Data!AV20="","",IF(OR('Job Sheet'!BC20="CW Products",'Job Sheet'!$A$6="Brax Retail",'Job Sheet'!$A$6="Brax Wholesale",'Job Sheet'!$A$6="Brax Wholesale B2B"),Data!BN20,""))</f>
        <v/>
      </c>
      <c r="C18" s="96" t="str">
        <f t="array" ref="C18">IF(OR(Data!AV20="",A18=""),"",IF(AND('Job Sheet'!BC20="CW Products",Data!BO20="Custom Powdercoat"),CONCATENATE(bpLOOKUP(Data!$AV20,"PCOAT",CustOrdOpt,6,FALSE)," ",Data!BO20),Data!BO20))</f>
        <v/>
      </c>
      <c r="D18" s="95" t="str">
        <f>IF(Data!AV20="","",IF(OR('Job Sheet'!BC20="CW Products",'Job Sheet'!$A$6="Brax Retail",'Job Sheet'!$A$6="Brax Wholesale",'Job Sheet'!$A$6="Brax Wholesale B2B"),'Job Sheet'!B20,""))</f>
        <v/>
      </c>
      <c r="E18" s="91" t="str">
        <f>IF(Data!AV20="","",IF(AND('Job Sheet'!G20="Opening",(OR('Job Sheet'!$A$6="Brax Retail",'Job Sheet'!$A$6="Brax Wholesale",'Job Sheet'!$A$6="Brax Wholesale B2B"))),Data!BA20-VLOOKUP('Job Sheet'!K20,FitDeduct,2,FALSE)-VLOOKUP('Job Sheet'!H20,SideDeduct,2,FALSE),IF(AND('Job Sheet'!G20="Making",(OR('Job Sheet'!BC20="CW Products",'Job Sheet'!$A$6="Brax Retail",'Job Sheet'!$A$6="Brax Wholesale",'Job Sheet'!$A$6="Brax Wholesale B2B"))),Data!BA20,IF(AND('Job Sheet'!G20="Opening",'Job Sheet'!BC20="CW Products"),'Job Sheet'!I20,""))))</f>
        <v/>
      </c>
      <c r="F18" s="91" t="str">
        <f>IF(OR(Data!AV20="",A18=""),"",IF(OR('Job Sheet'!G20="Making",'Job Sheet'!$A$6="Brax Retail",'Job Sheet'!$A$6="Brax Wholesale",'Job Sheet'!$A$6="Brax Wholesale B2B"),'Job Sheet'!D20,IF(AND('Job Sheet'!G20="Opening",(OR('Job Sheet'!BC20="CW Products",'Job Sheet'!$A$6="Brax Retail",'Job Sheet'!$A$6="Brax Wholesale",'Job Sheet'!$A$6="Brax Wholesale B2B"))),"(--)","")))</f>
        <v/>
      </c>
      <c r="G18" s="91" t="str">
        <f>IF(Data!AV20="","",IF(AND('Job Sheet'!G20="Opening",(OR('Job Sheet'!$A$6="Brax Retail",'Job Sheet'!$A$6="Brax Wholesale",'Job Sheet'!$A$6="Brax Wholesale B2B"))),'Job Sheet'!E20,IF(AND('Job Sheet'!G20="Making",(OR('Job Sheet'!BC20="CW Products",'Job Sheet'!$A$6="Brax Retail",'Job Sheet'!$A$6="Brax Wholesale",'Job Sheet'!$A$6="Brax Wholesale B2B"))),'Job Sheet'!J20,IF(AND('Job Sheet'!G20="Opening",'Job Sheet'!BC20="CW Products"),'Job Sheet'!J20,""))))</f>
        <v/>
      </c>
      <c r="H18" s="91" t="str">
        <f>IF(OR(Data!AV20="",A18=""),"",IF(OR('Job Sheet'!G20="Making",'Job Sheet'!$A$6="Brax Retail",'Job Sheet'!$A$6="Brax Wholesale",'Job Sheet'!$A$6="Brax Wholesale B2B"),'Job Sheet'!F20,IF(AND('Job Sheet'!G20="Opening",(OR('Job Sheet'!BC20="CW Products",'Job Sheet'!$A$6="Brax Retail",'Job Sheet'!$A$6="Brax Wholesale",'Job Sheet'!$A$6="Brax Wholesale B2B"))),"(-Box)","")))</f>
        <v/>
      </c>
      <c r="I18" s="96" t="str">
        <f>IF(Data!AV20="","",IF(OR(,'Job Sheet'!$A$6="Brax Retail",'Job Sheet'!$A$6="Brax Wholesale",'Job Sheet'!$A$6="Brax Wholesale B2B"),'Job Sheet'!G20,""))</f>
        <v/>
      </c>
      <c r="J18" s="96" t="str">
        <f>IF(Data!AV20="","",IF(OR('Job Sheet'!BC20="CW Products",'Job Sheet'!$A$6="Brax Retail",'Job Sheet'!$A$6="Brax Wholesale",'Job Sheet'!$A$6="Brax Wholesale B2B"),'Job Sheet'!K20,""))</f>
        <v/>
      </c>
      <c r="K18" s="96" t="str">
        <f>IF(Data!AV20="","",IF(OR('Job Sheet'!$A$6="Brax Retail",'Job Sheet'!$A$6="Brax Wholesale",'Job Sheet'!$A$6="Brax Wholesale B2B"),_xlfn.SINGLE(bpLOOKUP(Data!$AV20,"FIXING",CustOrdOpt,6,FALSE)),""))</f>
        <v/>
      </c>
      <c r="L18" s="96" t="str">
        <f>IF(Data!AV20="","",IF(OR('Job Sheet'!BC20="CW Products",'Job Sheet'!$A$6="Brax Retail",'Job Sheet'!$A$6="Brax Wholesale",'Job Sheet'!$A$6="Brax Wholesale B2B"),'Job Sheet'!O20,""))</f>
        <v/>
      </c>
      <c r="M18" s="96" t="str">
        <f>IF(Data!AV20="","",IF(OR('Job Sheet'!BC20="CW Products",'Job Sheet'!$A$6="Brax Retail",'Job Sheet'!$A$6="Brax Wholesale",'Job Sheet'!$A$6="Brax Wholesale B2B"),'Job Sheet'!N20,""))</f>
        <v/>
      </c>
      <c r="N18" s="96" t="str">
        <f>IF(Data!AV20="","",IF(OR('Job Sheet'!BC20="CW Products",'Job Sheet'!$A$6="Brax Retail",'Job Sheet'!$A$6="Brax Wholesale",'Job Sheet'!$A$6="Brax Wholesale B2B"),'Job Sheet'!P20,""))</f>
        <v/>
      </c>
      <c r="O18" s="96" t="str">
        <f>IF(Data!AV20="","",IF(OR('Job Sheet'!BC20="CW Products",'Job Sheet'!$A$6="Brax Retail",'Job Sheet'!$A$6="Brax Wholesale",'Job Sheet'!$A$6="Brax Wholesale B2B"),'Job Sheet'!R20,""))</f>
        <v/>
      </c>
      <c r="P18" s="96" t="str">
        <f>IF(Data!AV20="","",IF(OR('Job Sheet'!BC20="CW Products",'Job Sheet'!$A$6="Brax Retail",'Job Sheet'!$A$6="Brax Wholesale",'Job Sheet'!$A$6="Brax Wholesale B2B"),'Job Sheet'!Q20,""))</f>
        <v/>
      </c>
      <c r="Q18" s="96" t="str">
        <f>IF(Data!AV20="","",IF(OR('Job Sheet'!BC20="CW Products",'Job Sheet'!$A$6="Brax Retail",'Job Sheet'!$A$6="Brax Wholesale",'Job Sheet'!$A$6="Brax Wholesale B2B"),'Job Sheet'!S20,""))</f>
        <v/>
      </c>
      <c r="R18" s="96" t="str">
        <f>IF(Data!AV20="","",IF(OR('Job Sheet'!$A$6="Brax Retail",'Job Sheet'!$A$6="Brax Wholesale",'Job Sheet'!$A$6="Brax Wholesale B2B"),'Job Sheet'!T20,IF(AND('Job Sheet'!BC20="CW Products",(OR('Job Sheet'!T20="Acmeda External Motor",'Job Sheet'!T20="12v ODS System",'Job Sheet'!T20="Firesafe 12v ODS System"))),"Supplied by Davidson's",IF('Job Sheet'!BC20="Davidson's","",IF(OR('Job Sheet'!T20="Spring",'Job Sheet'!T20="Strap Winch"),'Job Sheet'!T20,'Job Sheet'!U20)))))</f>
        <v/>
      </c>
      <c r="S18" s="96" t="str">
        <f>IF(A18="","",'Job Sheet'!V20)</f>
        <v/>
      </c>
      <c r="T18" s="96" t="str">
        <f>IF(OR(Data!AV20="",R18="Supplied by Davidson's"),"",IF(OR('Job Sheet'!BC20="CW Products",'Job Sheet'!$A$6="Brax Retail",'Job Sheet'!$A$6="Brax Wholesale",'Job Sheet'!$A$6="Brax Wholesale B2B"),'Job Sheet'!W20,IF(AND('Job Sheet'!BC20="CW Products",(OR('Job Sheet'!T20="Acmeda External Motor",'Job Sheet'!T20="12v ODS System",'Job Sheet'!T20="Firesafe 12v ODS System"))),"",IF('Job Sheet'!BC20="Davidson's","",IF(OR('Job Sheet'!T20="Spring",'Job Sheet'!T20="Strap Winch"),"")))))</f>
        <v/>
      </c>
      <c r="U18" s="96" t="str">
        <f>IF(Data!AV20="","",IF(OR('Job Sheet'!BC20="CW Products",'Job Sheet'!$A$6="Brax Retail",'Job Sheet'!$A$6="Brax Wholesale",'Job Sheet'!$A$6="Brax Wholesale B2B"),'Job Sheet'!AC20,""))</f>
        <v/>
      </c>
      <c r="V18" s="96" t="str">
        <f>IF(OR(Data!AV20="",'Job Sheet'!AD20=""),"",IF(OR('Job Sheet'!BC20="CW Products",'Job Sheet'!$A$6="Brax Retail",'Job Sheet'!$A$6="Brax Wholesale",'Job Sheet'!$A$6="Brax Wholesale B2B"),CONCATENATE('Job Sheet'!AD20,"mm"),""))</f>
        <v/>
      </c>
      <c r="W18" s="97" t="str">
        <f>IF(Data!AV20="","",IF(OR('Job Sheet'!BC20="CW Products",'Job Sheet'!$A$6="Brax Retail",'Job Sheet'!$A$6="Brax Wholesale",'Job Sheet'!$A$6="Brax Wholesale B2B"),'Job Sheet'!AE20,""))</f>
        <v/>
      </c>
      <c r="X18" s="96" t="str">
        <f>IF(OR(Data!AU20="",'Job Sheet'!AG20=""),"",IF(OR('Job Sheet'!BB20="CW Products",'Job Sheet'!$A$6="Brax Retail",'Job Sheet'!$A$6="Brax Wholesale",'Job Sheet'!$A$6="Brax Wholesale B2B"),Packing!O20))</f>
        <v/>
      </c>
      <c r="Y18" s="96" t="str">
        <f>IF(OR(Data!AV20="",'Job Sheet'!AH20=""),"",IF(OR('Job Sheet'!BC20="CW Products",'Job Sheet'!$A$6="Brax Retail",'Job Sheet'!$A$6="Brax Wholesale",'Job Sheet'!$A$6="Brax Wholesale B2B"),CONCATENATE('Job Sheet'!AH20," x ",'Job Sheet'!I20,"mm"),""))</f>
        <v/>
      </c>
      <c r="Z18" s="96" t="str">
        <f>IF(OR(Data!AV20="",'Job Sheet'!AI20=""),"",IF(OR('Job Sheet'!BC20="CW Products",'Job Sheet'!$A$6="Brax Retail",'Job Sheet'!$A$6="Brax Wholesale",'Job Sheet'!$A$6="Brax Wholesale B2B"),CONCATENATE('Job Sheet'!AI20," x ",'Job Sheet'!I20,"mm"),""))</f>
        <v/>
      </c>
      <c r="AA18" s="96" t="str">
        <f>IF(OR(Data!AV20="",'Job Sheet'!AJ20=""),"",IF(AND(OR('Job Sheet'!BC20="CW Products",'Job Sheet'!$A$6="Brax Retail",'Job Sheet'!$A$6="Brax Wholesale",'Job Sheet'!$A$6="Brax Wholesale B2B"),OR('Job Sheet'!AJ20="25 x 25 Sill Angle for Headbox Only",'Job Sheet'!AJ20="25 x 50 Sill Angle for Headbox Only",'Job Sheet'!AJ20="25 x 75 Sill Angle for Headbox Only",'Job Sheet'!AJ20="8mm Slat for Headbox Only",'Job Sheet'!AJ20="22mm Side Guide for Headbox Only")),CONCATENATE('Job Sheet'!AJ20," x ",'Job Sheet'!AB20),IF(OR('Job Sheet'!BC20="CW Products",'Job Sheet'!$A$6="Brax Retail",'Job Sheet'!$A$6="Brax Wholesale",'Job Sheet'!$A$6="Brax Wholesale B2B"),CONCATENATE('Job Sheet'!AJ20," x ",'Job Sheet'!J20,"mm"),"")))</f>
        <v/>
      </c>
      <c r="AB18" s="96" t="str">
        <f>IF(OR(Data!AV20="",'Job Sheet'!AK20=""),"",IF(AND(OR('Job Sheet'!BC20="CW Products",'Job Sheet'!$A$6="Brax Retail",'Job Sheet'!$A$6="Brax Wholesale",'Job Sheet'!$A$6="Brax Wholesale B2B"),OR('Job Sheet'!AJ20="25 x 25 Sill Angle for Headbox Only",'Job Sheet'!AJ20="25 x 50 Sill Angle for Headbox Only",'Job Sheet'!AJ20="25 x 75 Sill Angle for Headbox Only",'Job Sheet'!AJ20="8mm Slat for Headbox Only",'Job Sheet'!AJ20="22mm Side Guide for Headbox Only")),CONCATENATE('Job Sheet'!AK20," x ",'Job Sheet'!AB20),IF(OR('Job Sheet'!BC20="CW Products",'Job Sheet'!$A$6="Brax Retail",'Job Sheet'!$A$6="Brax Wholesale",'Job Sheet'!$A$6="Brax Wholesale B2B"),CONCATENATE('Job Sheet'!AK20," x ",'Job Sheet'!J20,"mm"),"")))</f>
        <v/>
      </c>
      <c r="AC18" s="96" t="str">
        <f>IF(Data!AV20="","",IF(OR('Job Sheet'!$A$6="Brax Retail",'Job Sheet'!$A$6="Brax Wholesale",'Job Sheet'!$A$6="Brax Wholesale B2B"),"",IF(AND('Job Sheet'!BC20="CW Products",(OR('Job Sheet'!T20="Acmeda External Motor",'Job Sheet'!T20="12v ODS System",'Job Sheet'!T20="Firesafe 12v ODS System"))),"",'Job Sheet'!Z20)))</f>
        <v/>
      </c>
      <c r="AD18" s="96">
        <f>IF(Data!AV20="","",IF(OR('Job Sheet'!$A$6="Brax Retail",'Job Sheet'!$A$6="Brax Wholesale",'Job Sheet'!$A$6="Brax Wholesale B2B"),"",IF(AND('Job Sheet'!BC20="CW Products",(OR('Job Sheet'!T20="Acmeda External Motor",'Job Sheet'!T20="12v ODS System",'Job Sheet'!T20="Firesafe 12v ODS System"))),"",'Job Sheet'!AA21)))</f>
        <v>0</v>
      </c>
      <c r="AE18" s="96" t="str">
        <f>IF(Data!AV20="","",IF(OR('Job Sheet'!BC20="CW Products",'Job Sheet'!$A$6="Brax Retail",'Job Sheet'!$A$6="Brax Wholesale",'Job Sheet'!$A$6="Brax Wholesale B2B"),'Job Sheet'!AL20,""))</f>
        <v/>
      </c>
      <c r="AF18" s="96" t="str">
        <f>IF(Data!AV20="","",IF(OR('Job Sheet'!BC20="CW Products",'Job Sheet'!$A$6="Brax Retail",'Job Sheet'!$A$6="Brax Wholesale",'Job Sheet'!$A$6="Brax Wholesale B2B"),'Job Sheet'!X20,""))</f>
        <v/>
      </c>
      <c r="AG18" s="96" t="str">
        <f>IF(Data!AV20="","",IF(OR('Job Sheet'!BC20="CW Products",'Job Sheet'!$A$6="Brax Retail",'Job Sheet'!$A$6="Brax Wholesale",'Job Sheet'!$A$6="Brax Wholesale B2B"),'Job Sheet'!Y20,""))</f>
        <v/>
      </c>
      <c r="AH18" s="96" t="str">
        <f>IF(Data!AV20="","",IF(OR('Job Sheet'!BC20="CW Products",'Job Sheet'!$A$6="Brax Retail",'Job Sheet'!$A$6="Brax Wholesale",'Job Sheet'!$A$6="Brax Wholesale B2B"),'Job Sheet'!AR20,""))</f>
        <v/>
      </c>
    </row>
    <row r="19" ht="60" customHeight="1"/>
    <row r="20" ht="60" customHeight="1"/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spans="1:38" s="60" customFormat="1" ht="60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s="60" customFormat="1" ht="60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0:38" s="60" customFormat="1" ht="60" customHeight="1">
      <c r="J30" s="61"/>
      <c r="K30" s="61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0:38" s="60" customFormat="1" ht="60" customHeight="1">
      <c r="J31" s="61"/>
      <c r="K31" s="6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0:38" s="60" customFormat="1" ht="60" customHeight="1">
      <c r="J32" s="61"/>
      <c r="K32" s="61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0:38" s="60" customFormat="1" ht="60" customHeight="1">
      <c r="J33" s="61"/>
      <c r="K33" s="61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0:38" s="60" customFormat="1" ht="60" customHeight="1">
      <c r="J34" s="61"/>
      <c r="K34" s="61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0:38" s="60" customFormat="1" ht="60" customHeight="1">
      <c r="J35" s="61"/>
      <c r="K35" s="61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0:38" s="60" customFormat="1" ht="60" customHeight="1">
      <c r="J36" s="61"/>
      <c r="K36" s="61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0:38" s="60" customFormat="1" ht="60" customHeight="1">
      <c r="J37" s="61"/>
      <c r="K37" s="61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0:38" s="60" customFormat="1" ht="60" customHeight="1">
      <c r="J38" s="61"/>
      <c r="K38" s="61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0:38" s="60" customFormat="1" ht="60" customHeight="1">
      <c r="J39" s="61"/>
      <c r="K39" s="61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0:38" s="60" customFormat="1" ht="60" customHeight="1">
      <c r="J40" s="61"/>
      <c r="K40" s="61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0:38" s="60" customFormat="1" ht="60" customHeight="1">
      <c r="J41" s="61"/>
      <c r="K41" s="6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0:38" s="60" customFormat="1" ht="60" customHeight="1">
      <c r="J42" s="61"/>
      <c r="K42" s="61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0:38" s="60" customFormat="1" ht="60" customHeight="1">
      <c r="J43" s="61"/>
      <c r="K43" s="61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0:38" s="60" customFormat="1" ht="60" customHeight="1">
      <c r="J44" s="61"/>
      <c r="K44" s="61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0:38" s="60" customFormat="1" ht="60" customHeight="1">
      <c r="J45" s="61"/>
      <c r="K45" s="61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0:38" s="60" customFormat="1" ht="60" customHeight="1">
      <c r="J46" s="61"/>
      <c r="K46" s="61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0:38" s="60" customFormat="1" ht="60" customHeight="1">
      <c r="J47" s="61"/>
      <c r="K47" s="61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0:38" s="60" customFormat="1" ht="60" customHeight="1">
      <c r="J48" s="61"/>
      <c r="K48" s="61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0:38" s="60" customFormat="1" ht="60" customHeight="1">
      <c r="J49" s="61"/>
      <c r="K49" s="61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0:38" s="60" customFormat="1" ht="60" customHeight="1">
      <c r="J50" s="61"/>
      <c r="K50" s="61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0:38" s="60" customFormat="1" ht="60" customHeight="1">
      <c r="J51" s="61"/>
      <c r="K51" s="6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0:38" s="60" customFormat="1" ht="60" customHeight="1">
      <c r="J52" s="61"/>
      <c r="K52" s="61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0:38" s="60" customFormat="1" ht="60" customHeight="1">
      <c r="J53" s="61"/>
      <c r="K53" s="61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0:38" s="60" customFormat="1" ht="60" customHeight="1">
      <c r="J54" s="61"/>
      <c r="K54" s="61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0:38" s="60" customFormat="1" ht="60" customHeight="1">
      <c r="J55" s="61"/>
      <c r="K55" s="61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0:38" s="60" customFormat="1" ht="60" customHeight="1">
      <c r="J56" s="61"/>
      <c r="K56" s="61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0:38" s="60" customFormat="1" ht="60" customHeight="1">
      <c r="J57" s="61"/>
      <c r="K57" s="61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0:38" s="60" customFormat="1" ht="60" customHeight="1">
      <c r="J58" s="61"/>
      <c r="K58" s="61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0:38" s="60" customFormat="1" ht="60" customHeight="1">
      <c r="J59" s="61"/>
      <c r="K59" s="61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0:38" s="60" customFormat="1" ht="60" customHeight="1">
      <c r="J60" s="61"/>
      <c r="K60" s="61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0:38" s="60" customFormat="1" ht="105" customHeight="1">
      <c r="J61" s="61"/>
      <c r="K61" s="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0:38" s="60" customFormat="1" ht="105" customHeight="1">
      <c r="J62" s="61"/>
      <c r="K62" s="61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</sheetData>
  <sheetProtection formatCells="0" formatRows="0" insertColumns="0" insertRows="0"/>
  <mergeCells count="50">
    <mergeCell ref="A6:A8"/>
    <mergeCell ref="D6:D8"/>
    <mergeCell ref="E6:E8"/>
    <mergeCell ref="O6:O8"/>
    <mergeCell ref="J6:J8"/>
    <mergeCell ref="C6:C8"/>
    <mergeCell ref="M6:M8"/>
    <mergeCell ref="L6:L8"/>
    <mergeCell ref="N6:N8"/>
    <mergeCell ref="F6:F8"/>
    <mergeCell ref="H6:H8"/>
    <mergeCell ref="G6:G8"/>
    <mergeCell ref="B6:B8"/>
    <mergeCell ref="K6:K8"/>
    <mergeCell ref="I6:I8"/>
    <mergeCell ref="Q6:Q8"/>
    <mergeCell ref="P6:P8"/>
    <mergeCell ref="AA6:AA8"/>
    <mergeCell ref="AB6:AB8"/>
    <mergeCell ref="W6:W8"/>
    <mergeCell ref="X6:X8"/>
    <mergeCell ref="V6:V8"/>
    <mergeCell ref="AH6:AH8"/>
    <mergeCell ref="AC6:AC8"/>
    <mergeCell ref="R6:R8"/>
    <mergeCell ref="T6:T8"/>
    <mergeCell ref="U6:U8"/>
    <mergeCell ref="Y6:Y8"/>
    <mergeCell ref="Z6:Z8"/>
    <mergeCell ref="AD6:AD8"/>
    <mergeCell ref="AE6:AE8"/>
    <mergeCell ref="AG6:AG8"/>
    <mergeCell ref="AF6:AF8"/>
    <mergeCell ref="S6:S8"/>
    <mergeCell ref="Q3:AH3"/>
    <mergeCell ref="A2:AH2"/>
    <mergeCell ref="A1:AH1"/>
    <mergeCell ref="G3:J3"/>
    <mergeCell ref="A4:C4"/>
    <mergeCell ref="D4:F4"/>
    <mergeCell ref="K4:P4"/>
    <mergeCell ref="G4:J4"/>
    <mergeCell ref="Q4:AH5"/>
    <mergeCell ref="A5:C5"/>
    <mergeCell ref="D5:F5"/>
    <mergeCell ref="A3:C3"/>
    <mergeCell ref="D3:F3"/>
    <mergeCell ref="K3:P3"/>
    <mergeCell ref="K5:P5"/>
    <mergeCell ref="G5:J5"/>
  </mergeCells>
  <printOptions horizontalCentered="1"/>
  <pageMargins left="0.760629921259872" right="0.760629921259872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7366-C1D8-4F21-92AD-CFFD02F12B20}">
  <sheetPr codeName="Sheet6"/>
  <dimension ref="A1:OE51"/>
  <sheetViews>
    <sheetView workbookViewId="0" topLeftCell="A1">
      <selection pane="topLeft" activeCell="T6" sqref="T6"/>
    </sheetView>
  </sheetViews>
  <sheetFormatPr defaultColWidth="5.44140625" defaultRowHeight="13.5"/>
  <cols>
    <col min="4" max="6" width="8.85714285714286" customWidth="1"/>
    <col min="7" max="7" width="13.4285714285714" bestFit="1" customWidth="1"/>
    <col min="8" max="8" width="17.2857142857143" customWidth="1"/>
    <col min="9" max="9" width="30.8571428571429" bestFit="1" customWidth="1"/>
    <col min="10" max="11" width="5.57142857142857" bestFit="1" customWidth="1"/>
    <col min="12" max="13" width="4.71428571428571" customWidth="1"/>
    <col min="14" max="14" width="5.42857142857143" bestFit="1" customWidth="1"/>
    <col min="15" max="15" width="5.57142857142857" bestFit="1" customWidth="1"/>
    <col min="16" max="23" width="4.71428571428571" customWidth="1"/>
    <col min="24" max="24" width="5.28571428571429" customWidth="1"/>
    <col min="25" max="117" width="4.71428571428571" customWidth="1"/>
    <col min="118" max="118" width="4.71428571428571" style="113" customWidth="1"/>
    <col min="119" max="191" width="4.71428571428571" customWidth="1"/>
    <col min="192" max="192" width="4.85714285714286" customWidth="1"/>
    <col min="193" max="255" width="4.71428571428571" customWidth="1"/>
    <col min="256" max="256" width="5.71428571428571" customWidth="1"/>
    <col min="257" max="379" width="4.71428571428571" customWidth="1"/>
  </cols>
  <sheetData>
    <row r="1" spans="10:395" s="110" customFormat="1" ht="36" customHeight="1">
      <c r="J1" s="142" t="s">
        <v>437</v>
      </c>
      <c r="K1" s="142" t="s">
        <v>429</v>
      </c>
      <c r="L1" s="142" t="s">
        <v>444</v>
      </c>
      <c r="M1" s="142" t="s">
        <v>428</v>
      </c>
      <c r="N1" s="142" t="s">
        <v>438</v>
      </c>
      <c r="O1" s="142" t="s">
        <v>431</v>
      </c>
      <c r="P1" s="142" t="s">
        <v>430</v>
      </c>
      <c r="Q1" s="142" t="s">
        <v>441</v>
      </c>
      <c r="R1" s="142" t="s">
        <v>427</v>
      </c>
      <c r="S1" s="142" t="s">
        <v>432</v>
      </c>
      <c r="T1" s="142" t="s">
        <v>433</v>
      </c>
      <c r="U1" s="142" t="s">
        <v>434</v>
      </c>
      <c r="V1" s="142" t="s">
        <v>435</v>
      </c>
      <c r="W1" s="142" t="s">
        <v>436</v>
      </c>
      <c r="X1" s="142" t="s">
        <v>439</v>
      </c>
      <c r="Y1" s="142" t="s">
        <v>440</v>
      </c>
      <c r="Z1" s="142" t="s">
        <v>442</v>
      </c>
      <c r="AA1" s="142" t="s">
        <v>443</v>
      </c>
      <c r="AB1" s="143" t="s">
        <v>455</v>
      </c>
      <c r="AC1" s="143" t="s">
        <v>447</v>
      </c>
      <c r="AD1" s="143" t="s">
        <v>462</v>
      </c>
      <c r="AE1" s="143" t="s">
        <v>446</v>
      </c>
      <c r="AF1" s="143" t="s">
        <v>456</v>
      </c>
      <c r="AG1" s="143" t="s">
        <v>449</v>
      </c>
      <c r="AH1" s="143" t="s">
        <v>448</v>
      </c>
      <c r="AI1" s="143" t="s">
        <v>459</v>
      </c>
      <c r="AJ1" s="143" t="s">
        <v>445</v>
      </c>
      <c r="AK1" s="143" t="s">
        <v>450</v>
      </c>
      <c r="AL1" s="143" t="s">
        <v>451</v>
      </c>
      <c r="AM1" s="143" t="s">
        <v>452</v>
      </c>
      <c r="AN1" s="143" t="s">
        <v>453</v>
      </c>
      <c r="AO1" s="143" t="s">
        <v>454</v>
      </c>
      <c r="AP1" s="143" t="s">
        <v>457</v>
      </c>
      <c r="AQ1" s="143" t="s">
        <v>458</v>
      </c>
      <c r="AR1" s="143" t="s">
        <v>460</v>
      </c>
      <c r="AS1" s="143" t="s">
        <v>461</v>
      </c>
      <c r="AT1" s="142" t="s">
        <v>495</v>
      </c>
      <c r="AU1" s="142" t="s">
        <v>485</v>
      </c>
      <c r="AV1" s="142" t="s">
        <v>491</v>
      </c>
      <c r="AW1" s="142" t="s">
        <v>481</v>
      </c>
      <c r="AX1" s="142" t="s">
        <v>841</v>
      </c>
      <c r="AY1" s="142" t="s">
        <v>842</v>
      </c>
      <c r="AZ1" s="142" t="s">
        <v>490</v>
      </c>
      <c r="BA1" s="142" t="s">
        <v>480</v>
      </c>
      <c r="BB1" s="142" t="s">
        <v>496</v>
      </c>
      <c r="BC1" s="142" t="s">
        <v>486</v>
      </c>
      <c r="BD1" s="142" t="s">
        <v>493</v>
      </c>
      <c r="BE1" s="142" t="s">
        <v>483</v>
      </c>
      <c r="BF1" s="142" t="s">
        <v>492</v>
      </c>
      <c r="BG1" s="142" t="s">
        <v>482</v>
      </c>
      <c r="BH1" s="142" t="s">
        <v>497</v>
      </c>
      <c r="BI1" s="142" t="s">
        <v>487</v>
      </c>
      <c r="BJ1" s="142" t="s">
        <v>489</v>
      </c>
      <c r="BK1" s="142" t="s">
        <v>479</v>
      </c>
      <c r="BL1" s="142" t="s">
        <v>494</v>
      </c>
      <c r="BM1" s="142" t="s">
        <v>484</v>
      </c>
      <c r="BN1" s="142" t="s">
        <v>498</v>
      </c>
      <c r="BO1" s="142" t="s">
        <v>488</v>
      </c>
      <c r="BP1" s="142"/>
      <c r="BQ1" s="142"/>
      <c r="BR1" s="142"/>
      <c r="BS1" s="142"/>
      <c r="BT1" s="143" t="s">
        <v>505</v>
      </c>
      <c r="BU1" s="143" t="s">
        <v>515</v>
      </c>
      <c r="BV1" s="143" t="s">
        <v>501</v>
      </c>
      <c r="BW1" s="143" t="s">
        <v>511</v>
      </c>
      <c r="BX1" s="144" t="s">
        <v>843</v>
      </c>
      <c r="BY1" s="144" t="s">
        <v>844</v>
      </c>
      <c r="BZ1" s="143" t="s">
        <v>500</v>
      </c>
      <c r="CA1" s="143" t="s">
        <v>510</v>
      </c>
      <c r="CB1" s="143" t="s">
        <v>506</v>
      </c>
      <c r="CC1" s="143" t="s">
        <v>516</v>
      </c>
      <c r="CD1" s="143" t="s">
        <v>503</v>
      </c>
      <c r="CE1" s="143" t="s">
        <v>513</v>
      </c>
      <c r="CF1" s="143" t="s">
        <v>502</v>
      </c>
      <c r="CG1" s="143" t="s">
        <v>512</v>
      </c>
      <c r="CH1" s="143" t="s">
        <v>507</v>
      </c>
      <c r="CI1" s="143" t="s">
        <v>517</v>
      </c>
      <c r="CJ1" s="143" t="s">
        <v>499</v>
      </c>
      <c r="CK1" s="143" t="s">
        <v>509</v>
      </c>
      <c r="CL1" s="143" t="s">
        <v>504</v>
      </c>
      <c r="CM1" s="143" t="s">
        <v>514</v>
      </c>
      <c r="CN1" s="143" t="s">
        <v>508</v>
      </c>
      <c r="CO1" s="143" t="s">
        <v>518</v>
      </c>
      <c r="CP1" s="144"/>
      <c r="CQ1" s="144"/>
      <c r="CR1" s="142" t="s">
        <v>519</v>
      </c>
      <c r="CS1" s="142" t="s">
        <v>527</v>
      </c>
      <c r="CT1" s="142" t="s">
        <v>520</v>
      </c>
      <c r="CU1" s="142" t="s">
        <v>528</v>
      </c>
      <c r="CV1" s="145" t="s">
        <v>521</v>
      </c>
      <c r="CW1" s="142" t="s">
        <v>529</v>
      </c>
      <c r="CX1" s="145" t="s">
        <v>522</v>
      </c>
      <c r="CY1" s="142" t="s">
        <v>530</v>
      </c>
      <c r="CZ1" s="145" t="s">
        <v>523</v>
      </c>
      <c r="DA1" s="142" t="s">
        <v>531</v>
      </c>
      <c r="DB1" s="145" t="s">
        <v>524</v>
      </c>
      <c r="DC1" s="142" t="s">
        <v>532</v>
      </c>
      <c r="DD1" s="145" t="s">
        <v>525</v>
      </c>
      <c r="DE1" s="142" t="s">
        <v>533</v>
      </c>
      <c r="DF1" s="142" t="s">
        <v>526</v>
      </c>
      <c r="DG1" s="142" t="s">
        <v>534</v>
      </c>
      <c r="DH1" s="146"/>
      <c r="DI1" s="146"/>
      <c r="DJ1" s="146"/>
      <c r="DK1" s="146"/>
      <c r="DL1" s="146"/>
      <c r="DM1" s="146"/>
      <c r="DN1" s="147" t="s">
        <v>591</v>
      </c>
      <c r="DO1" s="147" t="s">
        <v>592</v>
      </c>
      <c r="DP1" s="147" t="s">
        <v>593</v>
      </c>
      <c r="DQ1" s="147" t="s">
        <v>594</v>
      </c>
      <c r="DR1" s="147" t="s">
        <v>595</v>
      </c>
      <c r="DS1" s="147" t="s">
        <v>596</v>
      </c>
      <c r="DT1" s="147" t="s">
        <v>597</v>
      </c>
      <c r="DU1" s="147" t="s">
        <v>598</v>
      </c>
      <c r="DV1" s="147" t="s">
        <v>599</v>
      </c>
      <c r="DW1" s="147" t="s">
        <v>600</v>
      </c>
      <c r="DX1" s="147"/>
      <c r="DY1" s="147" t="s">
        <v>601</v>
      </c>
      <c r="DZ1" s="148" t="s">
        <v>602</v>
      </c>
      <c r="EA1" s="148" t="s">
        <v>603</v>
      </c>
      <c r="EB1" s="148" t="s">
        <v>604</v>
      </c>
      <c r="EC1" s="148" t="s">
        <v>605</v>
      </c>
      <c r="ED1" s="148" t="s">
        <v>606</v>
      </c>
      <c r="EE1" s="148" t="s">
        <v>607</v>
      </c>
      <c r="EF1" s="148" t="s">
        <v>608</v>
      </c>
      <c r="EG1" s="148" t="s">
        <v>609</v>
      </c>
      <c r="EH1" s="148" t="s">
        <v>610</v>
      </c>
      <c r="EI1" s="148" t="s">
        <v>611</v>
      </c>
      <c r="EJ1" s="148"/>
      <c r="EK1" s="148" t="s">
        <v>612</v>
      </c>
      <c r="EL1" s="147" t="s">
        <v>628</v>
      </c>
      <c r="EM1" s="147" t="s">
        <v>629</v>
      </c>
      <c r="EN1" s="147" t="s">
        <v>630</v>
      </c>
      <c r="EO1" s="147" t="s">
        <v>631</v>
      </c>
      <c r="EP1" s="147" t="s">
        <v>632</v>
      </c>
      <c r="EQ1" s="147" t="s">
        <v>633</v>
      </c>
      <c r="ER1" s="147" t="s">
        <v>634</v>
      </c>
      <c r="ES1" s="147" t="s">
        <v>635</v>
      </c>
      <c r="ET1" s="147" t="s">
        <v>636</v>
      </c>
      <c r="EU1" s="147" t="s">
        <v>637</v>
      </c>
      <c r="EV1" s="147"/>
      <c r="EW1" s="147" t="s">
        <v>638</v>
      </c>
      <c r="EX1" s="148" t="s">
        <v>639</v>
      </c>
      <c r="EY1" s="148" t="s">
        <v>640</v>
      </c>
      <c r="EZ1" s="148" t="s">
        <v>641</v>
      </c>
      <c r="FA1" s="148" t="s">
        <v>642</v>
      </c>
      <c r="FB1" s="148" t="s">
        <v>643</v>
      </c>
      <c r="FC1" s="148" t="s">
        <v>644</v>
      </c>
      <c r="FD1" s="148" t="s">
        <v>645</v>
      </c>
      <c r="FE1" s="148" t="s">
        <v>646</v>
      </c>
      <c r="FF1" s="148" t="s">
        <v>647</v>
      </c>
      <c r="FG1" s="148" t="s">
        <v>648</v>
      </c>
      <c r="FH1" s="148"/>
      <c r="FI1" s="148" t="s">
        <v>649</v>
      </c>
      <c r="FJ1" s="147" t="s">
        <v>613</v>
      </c>
      <c r="FK1" s="147" t="s">
        <v>614</v>
      </c>
      <c r="FL1" s="147" t="s">
        <v>615</v>
      </c>
      <c r="FM1" s="147" t="s">
        <v>616</v>
      </c>
      <c r="FN1" s="147" t="s">
        <v>617</v>
      </c>
      <c r="FO1" s="147" t="s">
        <v>618</v>
      </c>
      <c r="FP1" s="147" t="s">
        <v>619</v>
      </c>
      <c r="FQ1" s="147" t="s">
        <v>620</v>
      </c>
      <c r="FR1" s="147" t="s">
        <v>621</v>
      </c>
      <c r="FS1" s="147" t="s">
        <v>622</v>
      </c>
      <c r="FT1" s="147" t="s">
        <v>623</v>
      </c>
      <c r="FU1" s="147" t="s">
        <v>624</v>
      </c>
      <c r="FV1" s="147" t="s">
        <v>625</v>
      </c>
      <c r="FW1" s="147" t="s">
        <v>626</v>
      </c>
      <c r="FX1" s="149" t="s">
        <v>627</v>
      </c>
      <c r="FY1" s="150" t="s">
        <v>651</v>
      </c>
      <c r="FZ1" s="143" t="s">
        <v>470</v>
      </c>
      <c r="GA1" s="143" t="s">
        <v>466</v>
      </c>
      <c r="GB1" s="143" t="s">
        <v>475</v>
      </c>
      <c r="GC1" s="143" t="s">
        <v>465</v>
      </c>
      <c r="GD1" s="143" t="s">
        <v>471</v>
      </c>
      <c r="GE1" s="143" t="s">
        <v>468</v>
      </c>
      <c r="GF1" s="143" t="s">
        <v>467</v>
      </c>
      <c r="GG1" s="143" t="s">
        <v>473</v>
      </c>
      <c r="GH1" s="143" t="s">
        <v>464</v>
      </c>
      <c r="GI1" s="143" t="s">
        <v>469</v>
      </c>
      <c r="GJ1" s="143" t="s">
        <v>472</v>
      </c>
      <c r="GK1" s="143" t="s">
        <v>474</v>
      </c>
      <c r="GL1" s="143"/>
      <c r="GM1" s="142" t="s">
        <v>572</v>
      </c>
      <c r="GN1" s="142" t="s">
        <v>568</v>
      </c>
      <c r="GO1" s="146"/>
      <c r="GP1" s="142" t="s">
        <v>567</v>
      </c>
      <c r="GQ1" s="142" t="s">
        <v>573</v>
      </c>
      <c r="GR1" s="142" t="s">
        <v>570</v>
      </c>
      <c r="GS1" s="142" t="s">
        <v>569</v>
      </c>
      <c r="GT1" s="142" t="s">
        <v>575</v>
      </c>
      <c r="GU1" s="142" t="s">
        <v>566</v>
      </c>
      <c r="GV1" s="142" t="s">
        <v>571</v>
      </c>
      <c r="GW1" s="142" t="s">
        <v>574</v>
      </c>
      <c r="GX1" s="142" t="s">
        <v>576</v>
      </c>
      <c r="GY1" s="146" t="s">
        <v>845</v>
      </c>
      <c r="GZ1" s="146"/>
      <c r="HA1" s="146"/>
      <c r="HB1" s="146"/>
      <c r="HC1" s="146"/>
      <c r="HD1" s="146"/>
      <c r="HE1" s="146"/>
      <c r="HF1" s="146"/>
      <c r="HG1" s="146"/>
      <c r="HH1" s="146"/>
      <c r="HI1" s="146"/>
      <c r="HJ1" s="146"/>
      <c r="HK1" s="146"/>
      <c r="HL1" s="146"/>
      <c r="HM1" s="147" t="s">
        <v>541</v>
      </c>
      <c r="HN1" s="147" t="s">
        <v>537</v>
      </c>
      <c r="HO1" s="147" t="s">
        <v>545</v>
      </c>
      <c r="HP1" s="147" t="s">
        <v>536</v>
      </c>
      <c r="HQ1" s="147" t="s">
        <v>542</v>
      </c>
      <c r="HR1" s="147" t="s">
        <v>539</v>
      </c>
      <c r="HS1" s="147" t="s">
        <v>538</v>
      </c>
      <c r="HT1" s="147" t="s">
        <v>543</v>
      </c>
      <c r="HU1" s="147" t="s">
        <v>535</v>
      </c>
      <c r="HV1" s="147" t="s">
        <v>540</v>
      </c>
      <c r="HW1" s="147" t="s">
        <v>544</v>
      </c>
      <c r="HX1" s="147"/>
      <c r="HY1" s="147"/>
      <c r="HZ1" s="148" t="s">
        <v>552</v>
      </c>
      <c r="IA1" s="148" t="s">
        <v>548</v>
      </c>
      <c r="IB1" s="148" t="s">
        <v>556</v>
      </c>
      <c r="IC1" s="148" t="s">
        <v>547</v>
      </c>
      <c r="ID1" s="148" t="s">
        <v>553</v>
      </c>
      <c r="IE1" s="148" t="s">
        <v>550</v>
      </c>
      <c r="IF1" s="148" t="s">
        <v>549</v>
      </c>
      <c r="IG1" s="148" t="s">
        <v>554</v>
      </c>
      <c r="IH1" s="148" t="s">
        <v>546</v>
      </c>
      <c r="II1" s="148" t="s">
        <v>551</v>
      </c>
      <c r="IJ1" s="148" t="s">
        <v>555</v>
      </c>
      <c r="IK1" s="148"/>
      <c r="IL1" s="147" t="s">
        <v>557</v>
      </c>
      <c r="IM1" s="147" t="s">
        <v>558</v>
      </c>
      <c r="IN1" s="147" t="s">
        <v>559</v>
      </c>
      <c r="IO1" s="147" t="s">
        <v>560</v>
      </c>
      <c r="IP1" s="147" t="s">
        <v>561</v>
      </c>
      <c r="IQ1" s="147" t="s">
        <v>562</v>
      </c>
      <c r="IR1" s="147" t="s">
        <v>563</v>
      </c>
      <c r="IS1" s="147" t="s">
        <v>564</v>
      </c>
      <c r="IT1" s="147" t="s">
        <v>565</v>
      </c>
      <c r="IU1" s="149"/>
      <c r="IV1" s="149"/>
      <c r="IW1" s="151"/>
      <c r="IX1" s="148"/>
      <c r="IY1" s="148" t="s">
        <v>577</v>
      </c>
      <c r="IZ1" s="148" t="s">
        <v>578</v>
      </c>
      <c r="JA1" s="148" t="s">
        <v>579</v>
      </c>
      <c r="JB1" s="148" t="s">
        <v>580</v>
      </c>
      <c r="JC1" s="148" t="s">
        <v>581</v>
      </c>
      <c r="JD1" s="148" t="s">
        <v>582</v>
      </c>
      <c r="JE1" s="148" t="s">
        <v>583</v>
      </c>
      <c r="JF1" s="148"/>
      <c r="JG1" s="148" t="s">
        <v>584</v>
      </c>
      <c r="JH1" s="148" t="s">
        <v>585</v>
      </c>
      <c r="JI1" s="148" t="s">
        <v>586</v>
      </c>
      <c r="JJ1" s="148" t="s">
        <v>587</v>
      </c>
      <c r="JK1" s="148" t="s">
        <v>588</v>
      </c>
      <c r="JL1" s="148" t="s">
        <v>589</v>
      </c>
      <c r="JM1" s="142" t="s">
        <v>590</v>
      </c>
      <c r="JN1" s="148"/>
      <c r="JO1" s="147" t="s">
        <v>658</v>
      </c>
      <c r="JP1" s="147" t="s">
        <v>710</v>
      </c>
      <c r="JQ1" s="147" t="s">
        <v>659</v>
      </c>
      <c r="JR1" s="147" t="s">
        <v>660</v>
      </c>
      <c r="JS1" s="147" t="s">
        <v>661</v>
      </c>
      <c r="JT1" s="147" t="s">
        <v>662</v>
      </c>
      <c r="JU1" s="149" t="s">
        <v>663</v>
      </c>
      <c r="JV1" s="149" t="s">
        <v>704</v>
      </c>
      <c r="JW1" s="149" t="s">
        <v>706</v>
      </c>
      <c r="JX1" s="149" t="s">
        <v>708</v>
      </c>
      <c r="JY1" s="152"/>
      <c r="JZ1" s="152"/>
      <c r="KA1" s="152" t="s">
        <v>476</v>
      </c>
      <c r="KB1" s="152" t="s">
        <v>478</v>
      </c>
      <c r="KC1" s="152"/>
      <c r="KD1" s="152"/>
      <c r="KE1" s="151"/>
      <c r="KF1" s="151" t="s">
        <v>665</v>
      </c>
      <c r="KG1" s="149"/>
      <c r="KH1" s="151" t="s">
        <v>846</v>
      </c>
      <c r="KI1" s="151"/>
      <c r="KJ1" s="151"/>
      <c r="KK1" s="151" t="s">
        <v>847</v>
      </c>
      <c r="KL1" s="151" t="s">
        <v>848</v>
      </c>
      <c r="KM1" s="151" t="s">
        <v>849</v>
      </c>
      <c r="KN1" s="151"/>
      <c r="KO1" s="151" t="s">
        <v>850</v>
      </c>
      <c r="KP1" s="151" t="s">
        <v>851</v>
      </c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51"/>
      <c r="LE1" s="151"/>
      <c r="LF1" s="151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51" t="s">
        <v>852</v>
      </c>
      <c r="LV1" s="151"/>
      <c r="LW1" s="151"/>
      <c r="LX1" s="151" t="s">
        <v>853</v>
      </c>
      <c r="LY1" s="151" t="s">
        <v>854</v>
      </c>
      <c r="LZ1" s="151"/>
      <c r="MA1" s="151"/>
      <c r="MB1" s="151"/>
      <c r="MC1" s="151" t="s">
        <v>855</v>
      </c>
      <c r="MD1" s="151"/>
      <c r="ME1" s="151"/>
      <c r="MF1" s="151" t="s">
        <v>856</v>
      </c>
      <c r="MG1" s="151" t="s">
        <v>857</v>
      </c>
      <c r="MH1" s="151" t="s">
        <v>858</v>
      </c>
      <c r="MI1" s="151" t="s">
        <v>859</v>
      </c>
      <c r="MJ1" s="151" t="s">
        <v>860</v>
      </c>
      <c r="MK1" s="151" t="s">
        <v>861</v>
      </c>
      <c r="ML1" s="151"/>
      <c r="MM1" s="151"/>
      <c r="MN1" s="151"/>
      <c r="MO1" s="151" t="s">
        <v>862</v>
      </c>
      <c r="MP1" s="151" t="s">
        <v>863</v>
      </c>
      <c r="MQ1" s="151" t="s">
        <v>864</v>
      </c>
      <c r="MR1" s="151"/>
      <c r="MS1" s="149"/>
      <c r="MT1" s="149"/>
      <c r="MU1" s="149"/>
      <c r="MV1" s="149"/>
      <c r="MW1" s="149"/>
      <c r="MX1" s="149"/>
      <c r="MY1" s="149"/>
      <c r="MZ1" s="149"/>
      <c r="NA1" s="149"/>
      <c r="NB1" s="149"/>
      <c r="NC1" s="149"/>
      <c r="ND1" s="149"/>
      <c r="NE1" s="149">
        <v>1032448</v>
      </c>
      <c r="NF1" s="151">
        <v>1037432</v>
      </c>
      <c r="NG1" s="153">
        <v>1039378</v>
      </c>
      <c r="NH1" s="153">
        <v>1043171</v>
      </c>
      <c r="NI1" s="151">
        <v>1117161</v>
      </c>
      <c r="NJ1" s="151"/>
      <c r="NK1" s="151">
        <v>9707025</v>
      </c>
      <c r="NL1" s="151">
        <v>9751001</v>
      </c>
      <c r="NM1" s="151"/>
      <c r="NN1" s="151"/>
      <c r="NO1" s="151"/>
      <c r="NP1" s="151">
        <v>1871413</v>
      </c>
      <c r="NQ1" s="151"/>
      <c r="NR1" s="151">
        <v>1871417</v>
      </c>
      <c r="NS1" s="151"/>
      <c r="NT1" s="151">
        <v>1871415</v>
      </c>
      <c r="NU1" s="151"/>
      <c r="NV1" s="151"/>
      <c r="NW1" s="151"/>
      <c r="NX1" s="151"/>
      <c r="NY1" s="151"/>
      <c r="NZ1" s="151"/>
      <c r="OA1" s="151"/>
      <c r="OB1" s="151"/>
      <c r="OC1" s="151"/>
      <c r="OD1" s="151"/>
      <c r="OE1" s="153"/>
    </row>
    <row r="2" spans="10:395" s="154" customFormat="1" ht="13.5" customHeight="1">
      <c r="J2" s="291" t="s">
        <v>865</v>
      </c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293"/>
      <c r="AB2" s="294" t="s">
        <v>866</v>
      </c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6"/>
      <c r="AT2" s="291" t="s">
        <v>867</v>
      </c>
      <c r="AU2" s="292"/>
      <c r="AV2" s="292"/>
      <c r="AW2" s="292"/>
      <c r="AX2" s="292"/>
      <c r="AY2" s="292"/>
      <c r="AZ2" s="292"/>
      <c r="BA2" s="292"/>
      <c r="BB2" s="292"/>
      <c r="BC2" s="292"/>
      <c r="BD2" s="292"/>
      <c r="BE2" s="292"/>
      <c r="BF2" s="292"/>
      <c r="BG2" s="292"/>
      <c r="BH2" s="292"/>
      <c r="BI2" s="292"/>
      <c r="BJ2" s="292"/>
      <c r="BK2" s="292"/>
      <c r="BL2" s="292"/>
      <c r="BM2" s="292"/>
      <c r="BN2" s="292"/>
      <c r="BO2" s="292"/>
      <c r="BP2" s="292"/>
      <c r="BQ2" s="292"/>
      <c r="BR2" s="292"/>
      <c r="BS2" s="293"/>
      <c r="BT2" s="294" t="s">
        <v>868</v>
      </c>
      <c r="BU2" s="295"/>
      <c r="BV2" s="295"/>
      <c r="BW2" s="295"/>
      <c r="BX2" s="295"/>
      <c r="BY2" s="295"/>
      <c r="BZ2" s="295"/>
      <c r="CA2" s="295"/>
      <c r="CB2" s="295"/>
      <c r="CC2" s="295"/>
      <c r="CD2" s="295"/>
      <c r="CE2" s="295"/>
      <c r="CF2" s="295"/>
      <c r="CG2" s="295"/>
      <c r="CH2" s="295"/>
      <c r="CI2" s="295"/>
      <c r="CJ2" s="295"/>
      <c r="CK2" s="295"/>
      <c r="CL2" s="295"/>
      <c r="CM2" s="295"/>
      <c r="CN2" s="295"/>
      <c r="CO2" s="295"/>
      <c r="CP2" s="295"/>
      <c r="CQ2" s="296"/>
      <c r="CR2" s="291" t="s">
        <v>869</v>
      </c>
      <c r="CS2" s="292"/>
      <c r="CT2" s="292"/>
      <c r="CU2" s="292"/>
      <c r="CV2" s="292"/>
      <c r="CW2" s="292"/>
      <c r="CX2" s="292"/>
      <c r="CY2" s="292"/>
      <c r="CZ2" s="292"/>
      <c r="DA2" s="292"/>
      <c r="DB2" s="292"/>
      <c r="DC2" s="292"/>
      <c r="DD2" s="292"/>
      <c r="DE2" s="292"/>
      <c r="DF2" s="292"/>
      <c r="DG2" s="292"/>
      <c r="DH2" s="292"/>
      <c r="DI2" s="292"/>
      <c r="DJ2" s="292"/>
      <c r="DK2" s="292"/>
      <c r="DL2" s="292"/>
      <c r="DM2" s="293"/>
      <c r="DN2" s="279" t="s">
        <v>686</v>
      </c>
      <c r="DO2" s="280"/>
      <c r="DP2" s="280"/>
      <c r="DQ2" s="280"/>
      <c r="DR2" s="280"/>
      <c r="DS2" s="280"/>
      <c r="DT2" s="280"/>
      <c r="DU2" s="280"/>
      <c r="DV2" s="280"/>
      <c r="DW2" s="280"/>
      <c r="DX2" s="280"/>
      <c r="DY2" s="281"/>
      <c r="DZ2" s="284" t="s">
        <v>870</v>
      </c>
      <c r="EA2" s="285"/>
      <c r="EB2" s="285"/>
      <c r="EC2" s="285"/>
      <c r="ED2" s="285"/>
      <c r="EE2" s="285"/>
      <c r="EF2" s="285"/>
      <c r="EG2" s="285"/>
      <c r="EH2" s="285"/>
      <c r="EI2" s="285"/>
      <c r="EJ2" s="285"/>
      <c r="EK2" s="286"/>
      <c r="EL2" s="279" t="s">
        <v>871</v>
      </c>
      <c r="EM2" s="280"/>
      <c r="EN2" s="280"/>
      <c r="EO2" s="280"/>
      <c r="EP2" s="280"/>
      <c r="EQ2" s="280"/>
      <c r="ER2" s="280"/>
      <c r="ES2" s="280"/>
      <c r="ET2" s="280"/>
      <c r="EU2" s="280"/>
      <c r="EV2" s="280"/>
      <c r="EW2" s="281"/>
      <c r="EX2" s="284" t="s">
        <v>872</v>
      </c>
      <c r="EY2" s="285"/>
      <c r="EZ2" s="285"/>
      <c r="FA2" s="285"/>
      <c r="FB2" s="285"/>
      <c r="FC2" s="285"/>
      <c r="FD2" s="285"/>
      <c r="FE2" s="285"/>
      <c r="FF2" s="285"/>
      <c r="FG2" s="285"/>
      <c r="FH2" s="285"/>
      <c r="FI2" s="286"/>
      <c r="FJ2" s="279" t="s">
        <v>873</v>
      </c>
      <c r="FK2" s="280"/>
      <c r="FL2" s="280"/>
      <c r="FM2" s="280"/>
      <c r="FN2" s="280"/>
      <c r="FO2" s="280"/>
      <c r="FP2" s="280"/>
      <c r="FQ2" s="280"/>
      <c r="FR2" s="280"/>
      <c r="FS2" s="280"/>
      <c r="FT2" s="280"/>
      <c r="FU2" s="280"/>
      <c r="FV2" s="280"/>
      <c r="FW2" s="280"/>
      <c r="FX2" s="281"/>
      <c r="FY2" s="155" t="s">
        <v>874</v>
      </c>
      <c r="FZ2" s="294" t="s">
        <v>875</v>
      </c>
      <c r="GA2" s="295"/>
      <c r="GB2" s="295"/>
      <c r="GC2" s="295"/>
      <c r="GD2" s="295"/>
      <c r="GE2" s="295"/>
      <c r="GF2" s="295"/>
      <c r="GG2" s="295"/>
      <c r="GH2" s="295"/>
      <c r="GI2" s="295"/>
      <c r="GJ2" s="295"/>
      <c r="GK2" s="295"/>
      <c r="GL2" s="296"/>
      <c r="GM2" s="291" t="s">
        <v>876</v>
      </c>
      <c r="GN2" s="292"/>
      <c r="GO2" s="292"/>
      <c r="GP2" s="292"/>
      <c r="GQ2" s="292"/>
      <c r="GR2" s="292"/>
      <c r="GS2" s="292"/>
      <c r="GT2" s="292"/>
      <c r="GU2" s="292"/>
      <c r="GV2" s="292"/>
      <c r="GW2" s="292"/>
      <c r="GX2" s="292"/>
      <c r="GY2" s="293"/>
      <c r="GZ2" s="297" t="s">
        <v>877</v>
      </c>
      <c r="HA2" s="298"/>
      <c r="HB2" s="298"/>
      <c r="HC2" s="298"/>
      <c r="HD2" s="298"/>
      <c r="HE2" s="298"/>
      <c r="HF2" s="298"/>
      <c r="HG2" s="298"/>
      <c r="HH2" s="298"/>
      <c r="HI2" s="298"/>
      <c r="HJ2" s="298"/>
      <c r="HK2" s="298"/>
      <c r="HL2" s="299"/>
      <c r="HM2" s="279" t="s">
        <v>878</v>
      </c>
      <c r="HN2" s="280"/>
      <c r="HO2" s="280"/>
      <c r="HP2" s="280"/>
      <c r="HQ2" s="280"/>
      <c r="HR2" s="280"/>
      <c r="HS2" s="280"/>
      <c r="HT2" s="280"/>
      <c r="HU2" s="280"/>
      <c r="HV2" s="280"/>
      <c r="HW2" s="280"/>
      <c r="HX2" s="280"/>
      <c r="HY2" s="281"/>
      <c r="HZ2" s="284" t="s">
        <v>879</v>
      </c>
      <c r="IA2" s="285"/>
      <c r="IB2" s="285"/>
      <c r="IC2" s="285"/>
      <c r="ID2" s="285"/>
      <c r="IE2" s="285"/>
      <c r="IF2" s="285"/>
      <c r="IG2" s="285"/>
      <c r="IH2" s="285"/>
      <c r="II2" s="285"/>
      <c r="IJ2" s="285"/>
      <c r="IK2" s="286"/>
      <c r="IL2" s="279" t="s">
        <v>880</v>
      </c>
      <c r="IM2" s="280"/>
      <c r="IN2" s="280"/>
      <c r="IO2" s="280"/>
      <c r="IP2" s="280"/>
      <c r="IQ2" s="280"/>
      <c r="IR2" s="280"/>
      <c r="IS2" s="280"/>
      <c r="IT2" s="280"/>
      <c r="IU2" s="280"/>
      <c r="IV2" s="281"/>
      <c r="IW2" s="282" t="s">
        <v>881</v>
      </c>
      <c r="IX2" s="283"/>
      <c r="IY2" s="284" t="s">
        <v>882</v>
      </c>
      <c r="IZ2" s="285"/>
      <c r="JA2" s="285"/>
      <c r="JB2" s="285"/>
      <c r="JC2" s="285"/>
      <c r="JD2" s="285"/>
      <c r="JE2" s="285"/>
      <c r="JF2" s="285"/>
      <c r="JG2" s="285"/>
      <c r="JH2" s="285"/>
      <c r="JI2" s="285"/>
      <c r="JJ2" s="285"/>
      <c r="JK2" s="285"/>
      <c r="JL2" s="285"/>
      <c r="JM2" s="286"/>
      <c r="JN2" s="156" t="s">
        <v>881</v>
      </c>
      <c r="JO2" s="279" t="s">
        <v>806</v>
      </c>
      <c r="JP2" s="280"/>
      <c r="JQ2" s="280"/>
      <c r="JR2" s="280"/>
      <c r="JS2" s="280"/>
      <c r="JT2" s="280"/>
      <c r="JU2" s="280"/>
      <c r="JV2" s="280"/>
      <c r="JW2" s="280"/>
      <c r="JX2" s="281"/>
      <c r="JY2" s="287" t="s">
        <v>881</v>
      </c>
      <c r="JZ2" s="288"/>
      <c r="KA2" s="288"/>
      <c r="KB2" s="288"/>
      <c r="KC2" s="288"/>
      <c r="KD2" s="288"/>
      <c r="KE2" s="288"/>
      <c r="KF2" s="289"/>
      <c r="KG2" s="170"/>
      <c r="KH2" s="282" t="s">
        <v>883</v>
      </c>
      <c r="KI2" s="290"/>
      <c r="KJ2" s="290"/>
      <c r="KK2" s="290"/>
      <c r="KL2" s="290"/>
      <c r="KM2" s="290"/>
      <c r="KN2" s="290"/>
      <c r="KO2" s="290"/>
      <c r="KP2" s="290"/>
      <c r="KQ2" s="290"/>
      <c r="KR2" s="290"/>
      <c r="KS2" s="290"/>
      <c r="KT2" s="290"/>
      <c r="KU2" s="283"/>
      <c r="KV2" s="282" t="s">
        <v>884</v>
      </c>
      <c r="KW2" s="290"/>
      <c r="KX2" s="290"/>
      <c r="KY2" s="290"/>
      <c r="KZ2" s="290"/>
      <c r="LA2" s="290"/>
      <c r="LB2" s="290"/>
      <c r="LC2" s="290"/>
      <c r="LD2" s="290"/>
      <c r="LE2" s="290"/>
      <c r="LF2" s="283"/>
      <c r="LG2" s="276" t="s">
        <v>885</v>
      </c>
      <c r="LH2" s="277"/>
      <c r="LI2" s="277"/>
      <c r="LJ2" s="277"/>
      <c r="LK2" s="277"/>
      <c r="LL2" s="277"/>
      <c r="LM2" s="277"/>
      <c r="LN2" s="277"/>
      <c r="LO2" s="277"/>
      <c r="LP2" s="277"/>
      <c r="LQ2" s="277"/>
      <c r="LR2" s="277"/>
      <c r="LS2" s="277"/>
      <c r="LT2" s="278"/>
      <c r="LU2" s="282" t="s">
        <v>886</v>
      </c>
      <c r="LV2" s="290"/>
      <c r="LW2" s="290"/>
      <c r="LX2" s="290"/>
      <c r="LY2" s="290"/>
      <c r="LZ2" s="290"/>
      <c r="MA2" s="290"/>
      <c r="MB2" s="290"/>
      <c r="MC2" s="290"/>
      <c r="MD2" s="290"/>
      <c r="ME2" s="290"/>
      <c r="MF2" s="290"/>
      <c r="MG2" s="290"/>
      <c r="MH2" s="290"/>
      <c r="MI2" s="290"/>
      <c r="MJ2" s="290"/>
      <c r="MK2" s="290"/>
      <c r="ML2" s="290"/>
      <c r="MM2" s="290"/>
      <c r="MN2" s="290"/>
      <c r="MO2" s="290"/>
      <c r="MP2" s="290"/>
      <c r="MQ2" s="290"/>
      <c r="MR2" s="283"/>
      <c r="MS2" s="276" t="s">
        <v>887</v>
      </c>
      <c r="MT2" s="277"/>
      <c r="MU2" s="277"/>
      <c r="MV2" s="277"/>
      <c r="MW2" s="277"/>
      <c r="MX2" s="277"/>
      <c r="MY2" s="277"/>
      <c r="MZ2" s="277"/>
      <c r="NA2" s="277"/>
      <c r="NB2" s="277"/>
      <c r="NC2" s="277"/>
      <c r="ND2" s="278"/>
      <c r="NE2" s="276" t="s">
        <v>888</v>
      </c>
      <c r="NF2" s="277"/>
      <c r="NG2" s="277"/>
      <c r="NH2" s="277"/>
      <c r="NI2" s="277"/>
      <c r="NJ2" s="277"/>
      <c r="NK2" s="277"/>
      <c r="NL2" s="277"/>
      <c r="NM2" s="277"/>
      <c r="NN2" s="277"/>
      <c r="NO2" s="277"/>
      <c r="NP2" s="277"/>
      <c r="NQ2" s="277"/>
      <c r="NR2" s="277"/>
      <c r="NS2" s="277"/>
      <c r="NT2" s="277"/>
      <c r="NU2" s="277"/>
      <c r="NV2" s="277"/>
      <c r="NW2" s="277"/>
      <c r="NX2" s="277"/>
      <c r="NY2" s="277"/>
      <c r="NZ2" s="277"/>
      <c r="OA2" s="277"/>
      <c r="OB2" s="277"/>
      <c r="OC2" s="277"/>
      <c r="OD2" s="277"/>
      <c r="OE2" s="278"/>
    </row>
    <row r="3" spans="1:395" ht="106.95" customHeight="1">
      <c r="A3" s="167" t="s">
        <v>988</v>
      </c>
      <c r="B3" s="167" t="s">
        <v>989</v>
      </c>
      <c r="C3" s="167" t="s">
        <v>990</v>
      </c>
      <c r="D3" s="108" t="s">
        <v>408</v>
      </c>
      <c r="E3" s="108" t="s">
        <v>409</v>
      </c>
      <c r="F3" s="108" t="s">
        <v>410</v>
      </c>
      <c r="G3" s="109" t="s">
        <v>119</v>
      </c>
      <c r="H3" s="109" t="s">
        <v>411</v>
      </c>
      <c r="I3" s="109" t="s">
        <v>412</v>
      </c>
      <c r="J3" s="157" t="s">
        <v>349</v>
      </c>
      <c r="K3" s="157" t="s">
        <v>346</v>
      </c>
      <c r="L3" s="157" t="s">
        <v>340</v>
      </c>
      <c r="M3" s="157" t="s">
        <v>889</v>
      </c>
      <c r="N3" s="157" t="s">
        <v>890</v>
      </c>
      <c r="O3" s="157" t="s">
        <v>353</v>
      </c>
      <c r="P3" s="157" t="s">
        <v>347</v>
      </c>
      <c r="Q3" s="157" t="s">
        <v>355</v>
      </c>
      <c r="R3" s="157" t="s">
        <v>343</v>
      </c>
      <c r="S3" s="157" t="s">
        <v>350</v>
      </c>
      <c r="T3" s="157" t="s">
        <v>348</v>
      </c>
      <c r="U3" s="157" t="s">
        <v>891</v>
      </c>
      <c r="V3" s="157" t="s">
        <v>892</v>
      </c>
      <c r="W3" s="157" t="s">
        <v>359</v>
      </c>
      <c r="X3" s="157" t="s">
        <v>361</v>
      </c>
      <c r="Y3" s="157" t="s">
        <v>893</v>
      </c>
      <c r="Z3" s="157" t="s">
        <v>358</v>
      </c>
      <c r="AA3" s="157" t="s">
        <v>362</v>
      </c>
      <c r="AB3" s="158" t="s">
        <v>349</v>
      </c>
      <c r="AC3" s="158" t="s">
        <v>346</v>
      </c>
      <c r="AD3" s="158" t="s">
        <v>340</v>
      </c>
      <c r="AE3" s="158" t="s">
        <v>889</v>
      </c>
      <c r="AF3" s="158" t="s">
        <v>890</v>
      </c>
      <c r="AG3" s="158" t="s">
        <v>353</v>
      </c>
      <c r="AH3" s="158" t="s">
        <v>347</v>
      </c>
      <c r="AI3" s="158" t="s">
        <v>355</v>
      </c>
      <c r="AJ3" s="158" t="s">
        <v>343</v>
      </c>
      <c r="AK3" s="158" t="s">
        <v>350</v>
      </c>
      <c r="AL3" s="158" t="s">
        <v>348</v>
      </c>
      <c r="AM3" s="158" t="s">
        <v>891</v>
      </c>
      <c r="AN3" s="158" t="s">
        <v>892</v>
      </c>
      <c r="AO3" s="158" t="s">
        <v>359</v>
      </c>
      <c r="AP3" s="158" t="s">
        <v>361</v>
      </c>
      <c r="AQ3" s="158" t="s">
        <v>893</v>
      </c>
      <c r="AR3" s="158" t="s">
        <v>358</v>
      </c>
      <c r="AS3" s="158" t="s">
        <v>362</v>
      </c>
      <c r="AT3" s="157" t="s">
        <v>894</v>
      </c>
      <c r="AU3" s="157" t="s">
        <v>895</v>
      </c>
      <c r="AV3" s="157" t="s">
        <v>896</v>
      </c>
      <c r="AW3" s="157" t="s">
        <v>897</v>
      </c>
      <c r="AX3" s="157" t="s">
        <v>898</v>
      </c>
      <c r="AY3" s="157" t="s">
        <v>899</v>
      </c>
      <c r="AZ3" s="157" t="s">
        <v>900</v>
      </c>
      <c r="BA3" s="157" t="s">
        <v>901</v>
      </c>
      <c r="BB3" s="157" t="s">
        <v>902</v>
      </c>
      <c r="BC3" s="157" t="s">
        <v>903</v>
      </c>
      <c r="BD3" s="157" t="s">
        <v>904</v>
      </c>
      <c r="BE3" s="157" t="s">
        <v>905</v>
      </c>
      <c r="BF3" s="157" t="s">
        <v>906</v>
      </c>
      <c r="BG3" s="157" t="s">
        <v>907</v>
      </c>
      <c r="BH3" s="157" t="s">
        <v>908</v>
      </c>
      <c r="BI3" s="157" t="s">
        <v>909</v>
      </c>
      <c r="BJ3" s="157" t="s">
        <v>910</v>
      </c>
      <c r="BK3" s="157" t="s">
        <v>911</v>
      </c>
      <c r="BL3" s="157" t="s">
        <v>912</v>
      </c>
      <c r="BM3" s="157" t="s">
        <v>913</v>
      </c>
      <c r="BN3" s="157" t="s">
        <v>914</v>
      </c>
      <c r="BO3" s="157" t="s">
        <v>915</v>
      </c>
      <c r="BP3" s="157" t="s">
        <v>916</v>
      </c>
      <c r="BQ3" s="157" t="s">
        <v>917</v>
      </c>
      <c r="BR3" s="157" t="s">
        <v>918</v>
      </c>
      <c r="BS3" s="157" t="s">
        <v>919</v>
      </c>
      <c r="BT3" s="158" t="s">
        <v>894</v>
      </c>
      <c r="BU3" s="158" t="s">
        <v>895</v>
      </c>
      <c r="BV3" s="158" t="s">
        <v>896</v>
      </c>
      <c r="BW3" s="158" t="s">
        <v>897</v>
      </c>
      <c r="BX3" s="158" t="s">
        <v>898</v>
      </c>
      <c r="BY3" s="158" t="s">
        <v>899</v>
      </c>
      <c r="BZ3" s="158" t="s">
        <v>900</v>
      </c>
      <c r="CA3" s="158" t="s">
        <v>901</v>
      </c>
      <c r="CB3" s="158" t="s">
        <v>902</v>
      </c>
      <c r="CC3" s="158" t="s">
        <v>903</v>
      </c>
      <c r="CD3" s="158" t="s">
        <v>904</v>
      </c>
      <c r="CE3" s="158" t="s">
        <v>905</v>
      </c>
      <c r="CF3" s="158" t="s">
        <v>906</v>
      </c>
      <c r="CG3" s="158" t="s">
        <v>907</v>
      </c>
      <c r="CH3" s="158" t="s">
        <v>908</v>
      </c>
      <c r="CI3" s="158" t="s">
        <v>909</v>
      </c>
      <c r="CJ3" s="158" t="s">
        <v>910</v>
      </c>
      <c r="CK3" s="158" t="s">
        <v>911</v>
      </c>
      <c r="CL3" s="158" t="s">
        <v>912</v>
      </c>
      <c r="CM3" s="158" t="s">
        <v>913</v>
      </c>
      <c r="CN3" s="158" t="s">
        <v>914</v>
      </c>
      <c r="CO3" s="158" t="s">
        <v>915</v>
      </c>
      <c r="CP3" s="158" t="s">
        <v>916</v>
      </c>
      <c r="CQ3" s="158" t="s">
        <v>917</v>
      </c>
      <c r="CR3" s="157" t="s">
        <v>910</v>
      </c>
      <c r="CS3" s="157" t="s">
        <v>911</v>
      </c>
      <c r="CT3" s="157" t="s">
        <v>900</v>
      </c>
      <c r="CU3" s="157" t="s">
        <v>901</v>
      </c>
      <c r="CV3" s="157" t="s">
        <v>896</v>
      </c>
      <c r="CW3" s="157" t="s">
        <v>897</v>
      </c>
      <c r="CX3" s="157" t="s">
        <v>906</v>
      </c>
      <c r="CY3" s="157" t="s">
        <v>907</v>
      </c>
      <c r="CZ3" s="157" t="s">
        <v>904</v>
      </c>
      <c r="DA3" s="157" t="s">
        <v>905</v>
      </c>
      <c r="DB3" s="157" t="s">
        <v>894</v>
      </c>
      <c r="DC3" s="157" t="s">
        <v>895</v>
      </c>
      <c r="DD3" s="157" t="s">
        <v>902</v>
      </c>
      <c r="DE3" s="157" t="s">
        <v>903</v>
      </c>
      <c r="DF3" s="157" t="s">
        <v>908</v>
      </c>
      <c r="DG3" s="157" t="s">
        <v>909</v>
      </c>
      <c r="DH3" s="157" t="s">
        <v>914</v>
      </c>
      <c r="DI3" s="157" t="s">
        <v>915</v>
      </c>
      <c r="DJ3" s="157" t="s">
        <v>916</v>
      </c>
      <c r="DK3" s="157" t="s">
        <v>917</v>
      </c>
      <c r="DL3" s="157" t="s">
        <v>898</v>
      </c>
      <c r="DM3" s="157" t="s">
        <v>899</v>
      </c>
      <c r="DN3" s="159" t="s">
        <v>343</v>
      </c>
      <c r="DO3" s="159" t="s">
        <v>889</v>
      </c>
      <c r="DP3" s="159" t="s">
        <v>346</v>
      </c>
      <c r="DQ3" s="159" t="s">
        <v>347</v>
      </c>
      <c r="DR3" s="159" t="s">
        <v>353</v>
      </c>
      <c r="DS3" s="159" t="s">
        <v>350</v>
      </c>
      <c r="DT3" s="159" t="s">
        <v>349</v>
      </c>
      <c r="DU3" s="159" t="s">
        <v>357</v>
      </c>
      <c r="DV3" s="159" t="s">
        <v>355</v>
      </c>
      <c r="DW3" s="159" t="s">
        <v>362</v>
      </c>
      <c r="DX3" s="159" t="s">
        <v>358</v>
      </c>
      <c r="DY3" s="159" t="s">
        <v>340</v>
      </c>
      <c r="DZ3" s="160" t="s">
        <v>343</v>
      </c>
      <c r="EA3" s="160" t="s">
        <v>889</v>
      </c>
      <c r="EB3" s="160" t="s">
        <v>346</v>
      </c>
      <c r="EC3" s="160" t="s">
        <v>347</v>
      </c>
      <c r="ED3" s="160" t="s">
        <v>353</v>
      </c>
      <c r="EE3" s="160" t="s">
        <v>350</v>
      </c>
      <c r="EF3" s="160" t="s">
        <v>349</v>
      </c>
      <c r="EG3" s="160" t="s">
        <v>357</v>
      </c>
      <c r="EH3" s="160" t="s">
        <v>355</v>
      </c>
      <c r="EI3" s="160" t="s">
        <v>362</v>
      </c>
      <c r="EJ3" s="160" t="s">
        <v>358</v>
      </c>
      <c r="EK3" s="160" t="s">
        <v>340</v>
      </c>
      <c r="EL3" s="159" t="s">
        <v>343</v>
      </c>
      <c r="EM3" s="159" t="s">
        <v>889</v>
      </c>
      <c r="EN3" s="159" t="s">
        <v>346</v>
      </c>
      <c r="EO3" s="159" t="s">
        <v>347</v>
      </c>
      <c r="EP3" s="159" t="s">
        <v>353</v>
      </c>
      <c r="EQ3" s="159" t="s">
        <v>350</v>
      </c>
      <c r="ER3" s="159" t="s">
        <v>349</v>
      </c>
      <c r="ES3" s="159" t="s">
        <v>357</v>
      </c>
      <c r="ET3" s="159" t="s">
        <v>355</v>
      </c>
      <c r="EU3" s="159" t="s">
        <v>362</v>
      </c>
      <c r="EV3" s="159" t="s">
        <v>358</v>
      </c>
      <c r="EW3" s="159" t="s">
        <v>340</v>
      </c>
      <c r="EX3" s="160" t="s">
        <v>343</v>
      </c>
      <c r="EY3" s="160" t="s">
        <v>889</v>
      </c>
      <c r="EZ3" s="160" t="s">
        <v>346</v>
      </c>
      <c r="FA3" s="160" t="s">
        <v>347</v>
      </c>
      <c r="FB3" s="160" t="s">
        <v>353</v>
      </c>
      <c r="FC3" s="160" t="s">
        <v>350</v>
      </c>
      <c r="FD3" s="160" t="s">
        <v>349</v>
      </c>
      <c r="FE3" s="160" t="s">
        <v>357</v>
      </c>
      <c r="FF3" s="160" t="s">
        <v>355</v>
      </c>
      <c r="FG3" s="160" t="s">
        <v>362</v>
      </c>
      <c r="FH3" s="160" t="s">
        <v>358</v>
      </c>
      <c r="FI3" s="160" t="s">
        <v>340</v>
      </c>
      <c r="FJ3" s="159" t="s">
        <v>343</v>
      </c>
      <c r="FK3" s="159" t="s">
        <v>889</v>
      </c>
      <c r="FL3" s="159" t="s">
        <v>346</v>
      </c>
      <c r="FM3" s="159" t="s">
        <v>347</v>
      </c>
      <c r="FN3" s="159" t="s">
        <v>353</v>
      </c>
      <c r="FO3" s="159" t="s">
        <v>920</v>
      </c>
      <c r="FP3" s="159" t="s">
        <v>891</v>
      </c>
      <c r="FQ3" s="159" t="s">
        <v>892</v>
      </c>
      <c r="FR3" s="159" t="s">
        <v>921</v>
      </c>
      <c r="FS3" s="159" t="s">
        <v>357</v>
      </c>
      <c r="FT3" s="159" t="s">
        <v>922</v>
      </c>
      <c r="FU3" s="159" t="s">
        <v>355</v>
      </c>
      <c r="FV3" s="159" t="s">
        <v>358</v>
      </c>
      <c r="FW3" s="159" t="s">
        <v>362</v>
      </c>
      <c r="FX3" s="159" t="s">
        <v>340</v>
      </c>
      <c r="FY3" s="161" t="s">
        <v>650</v>
      </c>
      <c r="FZ3" s="158" t="s">
        <v>349</v>
      </c>
      <c r="GA3" s="158" t="s">
        <v>346</v>
      </c>
      <c r="GB3" s="158" t="s">
        <v>340</v>
      </c>
      <c r="GC3" s="158" t="s">
        <v>889</v>
      </c>
      <c r="GD3" s="158" t="s">
        <v>357</v>
      </c>
      <c r="GE3" s="158" t="s">
        <v>353</v>
      </c>
      <c r="GF3" s="158" t="s">
        <v>347</v>
      </c>
      <c r="GG3" s="158" t="s">
        <v>355</v>
      </c>
      <c r="GH3" s="158" t="s">
        <v>343</v>
      </c>
      <c r="GI3" s="158" t="s">
        <v>350</v>
      </c>
      <c r="GJ3" s="158" t="s">
        <v>922</v>
      </c>
      <c r="GK3" s="158" t="s">
        <v>362</v>
      </c>
      <c r="GL3" s="158" t="s">
        <v>358</v>
      </c>
      <c r="GM3" s="162" t="s">
        <v>349</v>
      </c>
      <c r="GN3" s="157" t="s">
        <v>346</v>
      </c>
      <c r="GO3" s="162" t="s">
        <v>340</v>
      </c>
      <c r="GP3" s="157" t="s">
        <v>889</v>
      </c>
      <c r="GQ3" s="162" t="s">
        <v>890</v>
      </c>
      <c r="GR3" s="162" t="s">
        <v>353</v>
      </c>
      <c r="GS3" s="157" t="s">
        <v>347</v>
      </c>
      <c r="GT3" s="162" t="s">
        <v>355</v>
      </c>
      <c r="GU3" s="157" t="s">
        <v>343</v>
      </c>
      <c r="GV3" s="162" t="s">
        <v>350</v>
      </c>
      <c r="GW3" s="162" t="s">
        <v>922</v>
      </c>
      <c r="GX3" s="162" t="s">
        <v>923</v>
      </c>
      <c r="GY3" s="162" t="s">
        <v>358</v>
      </c>
      <c r="GZ3" s="162" t="s">
        <v>343</v>
      </c>
      <c r="HA3" s="162" t="s">
        <v>889</v>
      </c>
      <c r="HB3" s="162" t="s">
        <v>346</v>
      </c>
      <c r="HC3" s="162" t="s">
        <v>347</v>
      </c>
      <c r="HD3" s="162" t="s">
        <v>353</v>
      </c>
      <c r="HE3" s="162" t="s">
        <v>350</v>
      </c>
      <c r="HF3" s="162" t="s">
        <v>349</v>
      </c>
      <c r="HG3" s="162" t="s">
        <v>890</v>
      </c>
      <c r="HH3" s="162" t="s">
        <v>922</v>
      </c>
      <c r="HI3" s="162" t="s">
        <v>355</v>
      </c>
      <c r="HJ3" s="162" t="s">
        <v>923</v>
      </c>
      <c r="HK3" s="162" t="s">
        <v>358</v>
      </c>
      <c r="HL3" s="162" t="s">
        <v>340</v>
      </c>
      <c r="HM3" s="163" t="s">
        <v>349</v>
      </c>
      <c r="HN3" s="163" t="s">
        <v>346</v>
      </c>
      <c r="HO3" s="163" t="s">
        <v>340</v>
      </c>
      <c r="HP3" s="163" t="s">
        <v>889</v>
      </c>
      <c r="HQ3" s="163" t="s">
        <v>357</v>
      </c>
      <c r="HR3" s="163" t="s">
        <v>353</v>
      </c>
      <c r="HS3" s="163" t="s">
        <v>347</v>
      </c>
      <c r="HT3" s="163" t="s">
        <v>355</v>
      </c>
      <c r="HU3" s="163" t="s">
        <v>343</v>
      </c>
      <c r="HV3" s="163" t="s">
        <v>350</v>
      </c>
      <c r="HW3" s="163" t="s">
        <v>923</v>
      </c>
      <c r="HX3" s="163" t="s">
        <v>924</v>
      </c>
      <c r="HY3" s="163" t="s">
        <v>892</v>
      </c>
      <c r="HZ3" s="164" t="s">
        <v>349</v>
      </c>
      <c r="IA3" s="164" t="s">
        <v>346</v>
      </c>
      <c r="IB3" s="164" t="s">
        <v>340</v>
      </c>
      <c r="IC3" s="164" t="s">
        <v>889</v>
      </c>
      <c r="ID3" s="164" t="s">
        <v>357</v>
      </c>
      <c r="IE3" s="164" t="s">
        <v>353</v>
      </c>
      <c r="IF3" s="164" t="s">
        <v>347</v>
      </c>
      <c r="IG3" s="164" t="s">
        <v>355</v>
      </c>
      <c r="IH3" s="164" t="s">
        <v>343</v>
      </c>
      <c r="II3" s="164" t="s">
        <v>350</v>
      </c>
      <c r="IJ3" s="164" t="s">
        <v>923</v>
      </c>
      <c r="IK3" s="164" t="s">
        <v>924</v>
      </c>
      <c r="IL3" s="163" t="s">
        <v>343</v>
      </c>
      <c r="IM3" s="163" t="s">
        <v>889</v>
      </c>
      <c r="IN3" s="163" t="s">
        <v>346</v>
      </c>
      <c r="IO3" s="163" t="s">
        <v>347</v>
      </c>
      <c r="IP3" s="163" t="s">
        <v>353</v>
      </c>
      <c r="IQ3" s="163" t="s">
        <v>349</v>
      </c>
      <c r="IR3" s="163" t="s">
        <v>357</v>
      </c>
      <c r="IS3" s="163" t="s">
        <v>355</v>
      </c>
      <c r="IT3" s="163" t="s">
        <v>923</v>
      </c>
      <c r="IU3" s="163" t="s">
        <v>358</v>
      </c>
      <c r="IV3" s="163" t="s">
        <v>340</v>
      </c>
      <c r="IW3" s="160" t="s">
        <v>206</v>
      </c>
      <c r="IX3" s="160" t="s">
        <v>925</v>
      </c>
      <c r="IY3" s="160" t="s">
        <v>343</v>
      </c>
      <c r="IZ3" s="160" t="s">
        <v>346</v>
      </c>
      <c r="JA3" s="160" t="s">
        <v>347</v>
      </c>
      <c r="JB3" s="160" t="s">
        <v>353</v>
      </c>
      <c r="JC3" s="160" t="s">
        <v>350</v>
      </c>
      <c r="JD3" s="160" t="s">
        <v>891</v>
      </c>
      <c r="JE3" s="160" t="s">
        <v>892</v>
      </c>
      <c r="JF3" s="160" t="s">
        <v>889</v>
      </c>
      <c r="JG3" s="160" t="s">
        <v>349</v>
      </c>
      <c r="JH3" s="160" t="s">
        <v>890</v>
      </c>
      <c r="JI3" s="160" t="s">
        <v>893</v>
      </c>
      <c r="JJ3" s="160" t="s">
        <v>355</v>
      </c>
      <c r="JK3" s="160" t="s">
        <v>358</v>
      </c>
      <c r="JL3" s="160" t="s">
        <v>362</v>
      </c>
      <c r="JM3" s="162" t="s">
        <v>340</v>
      </c>
      <c r="JN3" s="160" t="s">
        <v>205</v>
      </c>
      <c r="JO3" s="159" t="s">
        <v>652</v>
      </c>
      <c r="JP3" s="159" t="s">
        <v>709</v>
      </c>
      <c r="JQ3" s="159" t="s">
        <v>653</v>
      </c>
      <c r="JR3" s="159" t="s">
        <v>654</v>
      </c>
      <c r="JS3" s="159" t="s">
        <v>655</v>
      </c>
      <c r="JT3" s="159" t="s">
        <v>656</v>
      </c>
      <c r="JU3" s="159" t="s">
        <v>657</v>
      </c>
      <c r="JV3" s="159" t="s">
        <v>703</v>
      </c>
      <c r="JW3" s="159" t="s">
        <v>705</v>
      </c>
      <c r="JX3" s="159" t="s">
        <v>707</v>
      </c>
      <c r="JY3" s="165" t="s">
        <v>926</v>
      </c>
      <c r="JZ3" s="165" t="s">
        <v>463</v>
      </c>
      <c r="KA3" s="165" t="s">
        <v>927</v>
      </c>
      <c r="KB3" s="165" t="s">
        <v>477</v>
      </c>
      <c r="KC3" s="163" t="s">
        <v>992</v>
      </c>
      <c r="KD3" s="163" t="s">
        <v>993</v>
      </c>
      <c r="KE3" s="160" t="s">
        <v>275</v>
      </c>
      <c r="KF3" s="160" t="s">
        <v>664</v>
      </c>
      <c r="KG3" s="159" t="s">
        <v>995</v>
      </c>
      <c r="KH3" s="160" t="s">
        <v>928</v>
      </c>
      <c r="KI3" s="160" t="s">
        <v>929</v>
      </c>
      <c r="KJ3" s="160" t="s">
        <v>930</v>
      </c>
      <c r="KK3" s="160" t="s">
        <v>931</v>
      </c>
      <c r="KL3" s="160" t="s">
        <v>932</v>
      </c>
      <c r="KM3" s="160" t="s">
        <v>933</v>
      </c>
      <c r="KN3" s="160" t="s">
        <v>934</v>
      </c>
      <c r="KO3" s="160" t="s">
        <v>935</v>
      </c>
      <c r="KP3" s="160" t="s">
        <v>936</v>
      </c>
      <c r="KQ3" s="160" t="s">
        <v>937</v>
      </c>
      <c r="KR3" s="160" t="s">
        <v>938</v>
      </c>
      <c r="KS3" s="160" t="s">
        <v>693</v>
      </c>
      <c r="KT3" s="160" t="s">
        <v>694</v>
      </c>
      <c r="KU3" s="160" t="s">
        <v>939</v>
      </c>
      <c r="KV3" s="160" t="s">
        <v>928</v>
      </c>
      <c r="KW3" s="160" t="s">
        <v>929</v>
      </c>
      <c r="KX3" s="160" t="s">
        <v>940</v>
      </c>
      <c r="KY3" s="160" t="s">
        <v>941</v>
      </c>
      <c r="KZ3" s="160" t="s">
        <v>930</v>
      </c>
      <c r="LA3" s="160" t="s">
        <v>931</v>
      </c>
      <c r="LB3" s="160" t="s">
        <v>942</v>
      </c>
      <c r="LC3" s="160" t="s">
        <v>943</v>
      </c>
      <c r="LD3" s="160" t="s">
        <v>932</v>
      </c>
      <c r="LE3" s="160" t="s">
        <v>944</v>
      </c>
      <c r="LF3" s="160" t="s">
        <v>945</v>
      </c>
      <c r="LG3" s="159" t="s">
        <v>666</v>
      </c>
      <c r="LH3" s="159" t="s">
        <v>668</v>
      </c>
      <c r="LI3" s="159" t="s">
        <v>667</v>
      </c>
      <c r="LJ3" s="159" t="s">
        <v>669</v>
      </c>
      <c r="LK3" s="159" t="s">
        <v>670</v>
      </c>
      <c r="LL3" s="159" t="s">
        <v>679</v>
      </c>
      <c r="LM3" s="159" t="s">
        <v>671</v>
      </c>
      <c r="LN3" s="159" t="s">
        <v>674</v>
      </c>
      <c r="LO3" s="159" t="s">
        <v>677</v>
      </c>
      <c r="LP3" s="159" t="s">
        <v>672</v>
      </c>
      <c r="LQ3" s="159" t="s">
        <v>673</v>
      </c>
      <c r="LR3" s="159" t="s">
        <v>675</v>
      </c>
      <c r="LS3" s="159" t="s">
        <v>676</v>
      </c>
      <c r="LT3" s="159" t="s">
        <v>678</v>
      </c>
      <c r="LU3" s="160" t="s">
        <v>946</v>
      </c>
      <c r="LV3" s="160" t="s">
        <v>947</v>
      </c>
      <c r="LW3" s="160" t="s">
        <v>948</v>
      </c>
      <c r="LX3" s="160" t="s">
        <v>949</v>
      </c>
      <c r="LY3" s="160" t="s">
        <v>950</v>
      </c>
      <c r="LZ3" s="160" t="s">
        <v>951</v>
      </c>
      <c r="MA3" s="160" t="s">
        <v>952</v>
      </c>
      <c r="MB3" s="160" t="s">
        <v>953</v>
      </c>
      <c r="MC3" s="160" t="s">
        <v>794</v>
      </c>
      <c r="MD3" s="160" t="s">
        <v>795</v>
      </c>
      <c r="ME3" s="160" t="s">
        <v>796</v>
      </c>
      <c r="MF3" s="160" t="s">
        <v>954</v>
      </c>
      <c r="MG3" s="160" t="s">
        <v>955</v>
      </c>
      <c r="MH3" s="160" t="s">
        <v>956</v>
      </c>
      <c r="MI3" s="160" t="s">
        <v>957</v>
      </c>
      <c r="MJ3" s="160" t="s">
        <v>958</v>
      </c>
      <c r="MK3" s="160" t="s">
        <v>959</v>
      </c>
      <c r="ML3" s="160" t="s">
        <v>960</v>
      </c>
      <c r="MM3" s="160" t="s">
        <v>961</v>
      </c>
      <c r="MN3" s="160" t="s">
        <v>962</v>
      </c>
      <c r="MO3" s="160" t="s">
        <v>963</v>
      </c>
      <c r="MP3" s="160" t="s">
        <v>964</v>
      </c>
      <c r="MQ3" s="160" t="s">
        <v>965</v>
      </c>
      <c r="MR3" s="160" t="s">
        <v>966</v>
      </c>
      <c r="MS3" s="159" t="s">
        <v>967</v>
      </c>
      <c r="MT3" s="159" t="s">
        <v>968</v>
      </c>
      <c r="MU3" s="159" t="s">
        <v>691</v>
      </c>
      <c r="MV3" s="159" t="s">
        <v>692</v>
      </c>
      <c r="MW3" s="159" t="s">
        <v>413</v>
      </c>
      <c r="MX3" s="159" t="s">
        <v>414</v>
      </c>
      <c r="MY3" s="159" t="s">
        <v>415</v>
      </c>
      <c r="MZ3" s="159" t="s">
        <v>416</v>
      </c>
      <c r="NA3" s="159" t="s">
        <v>417</v>
      </c>
      <c r="NB3" s="159" t="s">
        <v>418</v>
      </c>
      <c r="NC3" s="159" t="s">
        <v>419</v>
      </c>
      <c r="ND3" s="159" t="s">
        <v>420</v>
      </c>
      <c r="NE3" s="160" t="s">
        <v>808</v>
      </c>
      <c r="NF3" s="160" t="s">
        <v>421</v>
      </c>
      <c r="NG3" s="166" t="s">
        <v>422</v>
      </c>
      <c r="NH3" s="166" t="s">
        <v>809</v>
      </c>
      <c r="NI3" s="160" t="s">
        <v>695</v>
      </c>
      <c r="NJ3" s="160" t="s">
        <v>423</v>
      </c>
      <c r="NK3" s="160" t="s">
        <v>691</v>
      </c>
      <c r="NL3" s="160" t="s">
        <v>692</v>
      </c>
      <c r="NM3" s="160" t="s">
        <v>424</v>
      </c>
      <c r="NN3" s="160" t="s">
        <v>425</v>
      </c>
      <c r="NO3" s="160" t="s">
        <v>969</v>
      </c>
      <c r="NP3" s="160" t="s">
        <v>970</v>
      </c>
      <c r="NQ3" s="160" t="s">
        <v>971</v>
      </c>
      <c r="NR3" s="160" t="s">
        <v>972</v>
      </c>
      <c r="NS3" s="160" t="s">
        <v>973</v>
      </c>
      <c r="NT3" s="160" t="s">
        <v>974</v>
      </c>
      <c r="NU3" s="160" t="s">
        <v>975</v>
      </c>
      <c r="NV3" s="160" t="s">
        <v>976</v>
      </c>
      <c r="NW3" s="160" t="s">
        <v>977</v>
      </c>
      <c r="NX3" s="160" t="s">
        <v>978</v>
      </c>
      <c r="NY3" s="160" t="s">
        <v>979</v>
      </c>
      <c r="NZ3" s="160" t="s">
        <v>980</v>
      </c>
      <c r="OA3" s="160" t="s">
        <v>981</v>
      </c>
      <c r="OB3" s="160" t="s">
        <v>982</v>
      </c>
      <c r="OC3" s="160" t="s">
        <v>983</v>
      </c>
      <c r="OD3" s="160" t="s">
        <v>984</v>
      </c>
      <c r="OE3" s="160" t="s">
        <v>985</v>
      </c>
    </row>
    <row r="4" spans="7:395" s="108" customFormat="1" ht="43.5" customHeight="1">
      <c r="G4" s="109"/>
      <c r="H4" s="109"/>
      <c r="I4" s="109"/>
      <c r="J4" s="166" t="s">
        <v>396</v>
      </c>
      <c r="K4" s="162" t="s">
        <v>396</v>
      </c>
      <c r="L4" s="166" t="s">
        <v>396</v>
      </c>
      <c r="M4" s="162" t="s">
        <v>396</v>
      </c>
      <c r="N4" s="166" t="s">
        <v>396</v>
      </c>
      <c r="O4" s="166" t="s">
        <v>396</v>
      </c>
      <c r="P4" s="162" t="s">
        <v>396</v>
      </c>
      <c r="Q4" s="166" t="s">
        <v>396</v>
      </c>
      <c r="R4" s="162" t="s">
        <v>396</v>
      </c>
      <c r="S4" s="166" t="s">
        <v>396</v>
      </c>
      <c r="T4" s="166" t="s">
        <v>396</v>
      </c>
      <c r="U4" s="166" t="s">
        <v>396</v>
      </c>
      <c r="V4" s="166" t="s">
        <v>396</v>
      </c>
      <c r="W4" s="166" t="s">
        <v>396</v>
      </c>
      <c r="X4" s="166" t="s">
        <v>396</v>
      </c>
      <c r="Y4" s="166" t="s">
        <v>396</v>
      </c>
      <c r="Z4" s="166" t="s">
        <v>396</v>
      </c>
      <c r="AA4" s="166" t="s">
        <v>396</v>
      </c>
      <c r="AB4" s="167" t="s">
        <v>396</v>
      </c>
      <c r="AC4" s="167" t="s">
        <v>396</v>
      </c>
      <c r="AD4" s="167" t="s">
        <v>396</v>
      </c>
      <c r="AE4" s="167" t="s">
        <v>396</v>
      </c>
      <c r="AF4" s="167" t="s">
        <v>396</v>
      </c>
      <c r="AG4" s="167" t="s">
        <v>396</v>
      </c>
      <c r="AH4" s="167" t="s">
        <v>396</v>
      </c>
      <c r="AI4" s="167" t="s">
        <v>396</v>
      </c>
      <c r="AJ4" s="167" t="s">
        <v>396</v>
      </c>
      <c r="AK4" s="167" t="s">
        <v>396</v>
      </c>
      <c r="AL4" s="167" t="s">
        <v>396</v>
      </c>
      <c r="AM4" s="167" t="s">
        <v>396</v>
      </c>
      <c r="AN4" s="167" t="s">
        <v>396</v>
      </c>
      <c r="AO4" s="167" t="s">
        <v>396</v>
      </c>
      <c r="AP4" s="167" t="s">
        <v>396</v>
      </c>
      <c r="AQ4" s="167" t="s">
        <v>396</v>
      </c>
      <c r="AR4" s="167" t="s">
        <v>396</v>
      </c>
      <c r="AS4" s="167" t="s">
        <v>396</v>
      </c>
      <c r="AT4" s="166" t="s">
        <v>396</v>
      </c>
      <c r="AU4" s="166" t="s">
        <v>396</v>
      </c>
      <c r="AV4" s="166" t="s">
        <v>396</v>
      </c>
      <c r="AW4" s="166" t="s">
        <v>396</v>
      </c>
      <c r="AX4" s="166" t="s">
        <v>396</v>
      </c>
      <c r="AY4" s="166" t="s">
        <v>396</v>
      </c>
      <c r="AZ4" s="166" t="s">
        <v>396</v>
      </c>
      <c r="BA4" s="166" t="s">
        <v>396</v>
      </c>
      <c r="BB4" s="166" t="s">
        <v>396</v>
      </c>
      <c r="BC4" s="166" t="s">
        <v>396</v>
      </c>
      <c r="BD4" s="166" t="s">
        <v>396</v>
      </c>
      <c r="BE4" s="166" t="s">
        <v>396</v>
      </c>
      <c r="BF4" s="166" t="s">
        <v>396</v>
      </c>
      <c r="BG4" s="166" t="s">
        <v>396</v>
      </c>
      <c r="BH4" s="166" t="s">
        <v>396</v>
      </c>
      <c r="BI4" s="166" t="s">
        <v>396</v>
      </c>
      <c r="BJ4" s="166" t="s">
        <v>396</v>
      </c>
      <c r="BK4" s="166" t="s">
        <v>396</v>
      </c>
      <c r="BL4" s="166" t="s">
        <v>396</v>
      </c>
      <c r="BM4" s="166" t="s">
        <v>396</v>
      </c>
      <c r="BN4" s="166" t="s">
        <v>396</v>
      </c>
      <c r="BO4" s="166" t="s">
        <v>396</v>
      </c>
      <c r="BP4" s="166" t="s">
        <v>396</v>
      </c>
      <c r="BQ4" s="166" t="s">
        <v>396</v>
      </c>
      <c r="BR4" s="166" t="s">
        <v>396</v>
      </c>
      <c r="BS4" s="166" t="s">
        <v>396</v>
      </c>
      <c r="BT4" s="167" t="s">
        <v>396</v>
      </c>
      <c r="BU4" s="167" t="s">
        <v>396</v>
      </c>
      <c r="BV4" s="167" t="s">
        <v>396</v>
      </c>
      <c r="BW4" s="167" t="s">
        <v>396</v>
      </c>
      <c r="BX4" s="167" t="s">
        <v>396</v>
      </c>
      <c r="BY4" s="167" t="s">
        <v>396</v>
      </c>
      <c r="BZ4" s="167" t="s">
        <v>396</v>
      </c>
      <c r="CA4" s="167" t="s">
        <v>396</v>
      </c>
      <c r="CB4" s="167" t="s">
        <v>396</v>
      </c>
      <c r="CC4" s="167" t="s">
        <v>396</v>
      </c>
      <c r="CD4" s="167" t="s">
        <v>396</v>
      </c>
      <c r="CE4" s="167" t="s">
        <v>396</v>
      </c>
      <c r="CF4" s="167" t="s">
        <v>396</v>
      </c>
      <c r="CG4" s="167" t="s">
        <v>396</v>
      </c>
      <c r="CH4" s="167" t="s">
        <v>396</v>
      </c>
      <c r="CI4" s="167" t="s">
        <v>396</v>
      </c>
      <c r="CJ4" s="167" t="s">
        <v>396</v>
      </c>
      <c r="CK4" s="167" t="s">
        <v>396</v>
      </c>
      <c r="CL4" s="167" t="s">
        <v>396</v>
      </c>
      <c r="CM4" s="167" t="s">
        <v>396</v>
      </c>
      <c r="CN4" s="167" t="s">
        <v>396</v>
      </c>
      <c r="CO4" s="167" t="s">
        <v>396</v>
      </c>
      <c r="CP4" s="167" t="s">
        <v>396</v>
      </c>
      <c r="CQ4" s="167" t="s">
        <v>396</v>
      </c>
      <c r="CR4" s="166" t="s">
        <v>396</v>
      </c>
      <c r="CS4" s="166" t="s">
        <v>396</v>
      </c>
      <c r="CT4" s="166" t="s">
        <v>396</v>
      </c>
      <c r="CU4" s="166" t="s">
        <v>396</v>
      </c>
      <c r="CV4" s="166" t="s">
        <v>396</v>
      </c>
      <c r="CW4" s="166" t="s">
        <v>396</v>
      </c>
      <c r="CX4" s="166" t="s">
        <v>396</v>
      </c>
      <c r="CY4" s="166" t="s">
        <v>396</v>
      </c>
      <c r="CZ4" s="166" t="s">
        <v>396</v>
      </c>
      <c r="DA4" s="166" t="s">
        <v>396</v>
      </c>
      <c r="DB4" s="166" t="s">
        <v>396</v>
      </c>
      <c r="DC4" s="166" t="s">
        <v>396</v>
      </c>
      <c r="DD4" s="166" t="s">
        <v>396</v>
      </c>
      <c r="DE4" s="166" t="s">
        <v>396</v>
      </c>
      <c r="DF4" s="166" t="s">
        <v>396</v>
      </c>
      <c r="DG4" s="166" t="s">
        <v>396</v>
      </c>
      <c r="DH4" s="166" t="s">
        <v>396</v>
      </c>
      <c r="DI4" s="166" t="s">
        <v>396</v>
      </c>
      <c r="DJ4" s="166" t="s">
        <v>396</v>
      </c>
      <c r="DK4" s="166" t="s">
        <v>396</v>
      </c>
      <c r="DL4" s="166" t="s">
        <v>396</v>
      </c>
      <c r="DM4" s="166" t="s">
        <v>396</v>
      </c>
      <c r="DN4" s="159" t="s">
        <v>396</v>
      </c>
      <c r="DO4" s="159" t="s">
        <v>396</v>
      </c>
      <c r="DP4" s="159" t="s">
        <v>396</v>
      </c>
      <c r="DQ4" s="159" t="s">
        <v>396</v>
      </c>
      <c r="DR4" s="159" t="s">
        <v>396</v>
      </c>
      <c r="DS4" s="159" t="s">
        <v>396</v>
      </c>
      <c r="DT4" s="159" t="s">
        <v>396</v>
      </c>
      <c r="DU4" s="159" t="s">
        <v>396</v>
      </c>
      <c r="DV4" s="159" t="s">
        <v>396</v>
      </c>
      <c r="DW4" s="159" t="s">
        <v>396</v>
      </c>
      <c r="DX4" s="159" t="s">
        <v>396</v>
      </c>
      <c r="DY4" s="159" t="s">
        <v>396</v>
      </c>
      <c r="DZ4" s="160" t="s">
        <v>396</v>
      </c>
      <c r="EA4" s="160" t="s">
        <v>396</v>
      </c>
      <c r="EB4" s="160" t="s">
        <v>396</v>
      </c>
      <c r="EC4" s="160" t="s">
        <v>396</v>
      </c>
      <c r="ED4" s="160" t="s">
        <v>396</v>
      </c>
      <c r="EE4" s="160" t="s">
        <v>396</v>
      </c>
      <c r="EF4" s="160" t="s">
        <v>396</v>
      </c>
      <c r="EG4" s="160" t="s">
        <v>396</v>
      </c>
      <c r="EH4" s="160" t="s">
        <v>396</v>
      </c>
      <c r="EI4" s="160" t="s">
        <v>396</v>
      </c>
      <c r="EJ4" s="160" t="s">
        <v>396</v>
      </c>
      <c r="EK4" s="160" t="s">
        <v>396</v>
      </c>
      <c r="EL4" s="159" t="s">
        <v>396</v>
      </c>
      <c r="EM4" s="159" t="s">
        <v>396</v>
      </c>
      <c r="EN4" s="159" t="s">
        <v>396</v>
      </c>
      <c r="EO4" s="159" t="s">
        <v>396</v>
      </c>
      <c r="EP4" s="159" t="s">
        <v>396</v>
      </c>
      <c r="EQ4" s="159" t="s">
        <v>396</v>
      </c>
      <c r="ER4" s="159" t="s">
        <v>396</v>
      </c>
      <c r="ES4" s="159" t="s">
        <v>396</v>
      </c>
      <c r="ET4" s="159" t="s">
        <v>396</v>
      </c>
      <c r="EU4" s="159" t="s">
        <v>396</v>
      </c>
      <c r="EV4" s="159" t="s">
        <v>396</v>
      </c>
      <c r="EW4" s="159" t="s">
        <v>396</v>
      </c>
      <c r="EX4" s="160" t="s">
        <v>396</v>
      </c>
      <c r="EY4" s="160" t="s">
        <v>396</v>
      </c>
      <c r="EZ4" s="160" t="s">
        <v>396</v>
      </c>
      <c r="FA4" s="160" t="s">
        <v>396</v>
      </c>
      <c r="FB4" s="160" t="s">
        <v>396</v>
      </c>
      <c r="FC4" s="160" t="s">
        <v>396</v>
      </c>
      <c r="FD4" s="160" t="s">
        <v>396</v>
      </c>
      <c r="FE4" s="160" t="s">
        <v>396</v>
      </c>
      <c r="FF4" s="160" t="s">
        <v>396</v>
      </c>
      <c r="FG4" s="160" t="s">
        <v>396</v>
      </c>
      <c r="FH4" s="160" t="s">
        <v>396</v>
      </c>
      <c r="FI4" s="160" t="s">
        <v>396</v>
      </c>
      <c r="FJ4" s="159" t="s">
        <v>396</v>
      </c>
      <c r="FK4" s="159" t="s">
        <v>396</v>
      </c>
      <c r="FL4" s="159" t="s">
        <v>396</v>
      </c>
      <c r="FM4" s="159" t="s">
        <v>396</v>
      </c>
      <c r="FN4" s="159" t="s">
        <v>396</v>
      </c>
      <c r="FO4" s="159" t="s">
        <v>396</v>
      </c>
      <c r="FP4" s="159" t="s">
        <v>396</v>
      </c>
      <c r="FQ4" s="159" t="s">
        <v>396</v>
      </c>
      <c r="FR4" s="159" t="s">
        <v>396</v>
      </c>
      <c r="FS4" s="159" t="s">
        <v>396</v>
      </c>
      <c r="FT4" s="159" t="s">
        <v>396</v>
      </c>
      <c r="FU4" s="159" t="s">
        <v>396</v>
      </c>
      <c r="FV4" s="159" t="s">
        <v>396</v>
      </c>
      <c r="FW4" s="159" t="s">
        <v>396</v>
      </c>
      <c r="FX4" s="159" t="s">
        <v>396</v>
      </c>
      <c r="FY4" s="161" t="s">
        <v>396</v>
      </c>
      <c r="FZ4" s="167" t="s">
        <v>396</v>
      </c>
      <c r="GA4" s="167" t="s">
        <v>396</v>
      </c>
      <c r="GB4" s="167" t="s">
        <v>396</v>
      </c>
      <c r="GC4" s="167" t="s">
        <v>396</v>
      </c>
      <c r="GD4" s="167" t="s">
        <v>396</v>
      </c>
      <c r="GE4" s="167" t="s">
        <v>396</v>
      </c>
      <c r="GF4" s="167" t="s">
        <v>396</v>
      </c>
      <c r="GG4" s="167" t="s">
        <v>396</v>
      </c>
      <c r="GH4" s="167" t="s">
        <v>396</v>
      </c>
      <c r="GI4" s="167" t="s">
        <v>396</v>
      </c>
      <c r="GJ4" s="167" t="s">
        <v>396</v>
      </c>
      <c r="GK4" s="167" t="s">
        <v>396</v>
      </c>
      <c r="GL4" s="167" t="s">
        <v>396</v>
      </c>
      <c r="GM4" s="166" t="s">
        <v>396</v>
      </c>
      <c r="GN4" s="166" t="s">
        <v>396</v>
      </c>
      <c r="GO4" s="166" t="s">
        <v>396</v>
      </c>
      <c r="GP4" s="166" t="s">
        <v>396</v>
      </c>
      <c r="GQ4" s="166" t="s">
        <v>396</v>
      </c>
      <c r="GR4" s="166" t="s">
        <v>396</v>
      </c>
      <c r="GS4" s="166" t="s">
        <v>396</v>
      </c>
      <c r="GT4" s="166" t="s">
        <v>396</v>
      </c>
      <c r="GU4" s="166" t="s">
        <v>396</v>
      </c>
      <c r="GV4" s="166" t="s">
        <v>396</v>
      </c>
      <c r="GW4" s="166" t="s">
        <v>396</v>
      </c>
      <c r="GX4" s="166" t="s">
        <v>396</v>
      </c>
      <c r="GY4" s="166" t="s">
        <v>396</v>
      </c>
      <c r="GZ4" s="166" t="s">
        <v>396</v>
      </c>
      <c r="HA4" s="166" t="s">
        <v>396</v>
      </c>
      <c r="HB4" s="166" t="s">
        <v>396</v>
      </c>
      <c r="HC4" s="166" t="s">
        <v>396</v>
      </c>
      <c r="HD4" s="166" t="s">
        <v>396</v>
      </c>
      <c r="HE4" s="166" t="s">
        <v>396</v>
      </c>
      <c r="HF4" s="166" t="s">
        <v>396</v>
      </c>
      <c r="HG4" s="166" t="s">
        <v>396</v>
      </c>
      <c r="HH4" s="166" t="s">
        <v>396</v>
      </c>
      <c r="HI4" s="166" t="s">
        <v>396</v>
      </c>
      <c r="HJ4" s="166" t="s">
        <v>396</v>
      </c>
      <c r="HK4" s="166" t="s">
        <v>396</v>
      </c>
      <c r="HL4" s="166" t="s">
        <v>396</v>
      </c>
      <c r="HM4" s="167" t="s">
        <v>396</v>
      </c>
      <c r="HN4" s="167" t="s">
        <v>396</v>
      </c>
      <c r="HO4" s="167" t="s">
        <v>396</v>
      </c>
      <c r="HP4" s="167" t="s">
        <v>396</v>
      </c>
      <c r="HQ4" s="167" t="s">
        <v>396</v>
      </c>
      <c r="HR4" s="167" t="s">
        <v>396</v>
      </c>
      <c r="HS4" s="167" t="s">
        <v>396</v>
      </c>
      <c r="HT4" s="167" t="s">
        <v>396</v>
      </c>
      <c r="HU4" s="167" t="s">
        <v>396</v>
      </c>
      <c r="HV4" s="167" t="s">
        <v>396</v>
      </c>
      <c r="HW4" s="167" t="s">
        <v>396</v>
      </c>
      <c r="HX4" s="167" t="s">
        <v>396</v>
      </c>
      <c r="HY4" s="167" t="s">
        <v>396</v>
      </c>
      <c r="HZ4" s="166" t="s">
        <v>396</v>
      </c>
      <c r="IA4" s="166" t="s">
        <v>396</v>
      </c>
      <c r="IB4" s="166" t="s">
        <v>396</v>
      </c>
      <c r="IC4" s="166" t="s">
        <v>396</v>
      </c>
      <c r="ID4" s="166" t="s">
        <v>396</v>
      </c>
      <c r="IE4" s="166" t="s">
        <v>396</v>
      </c>
      <c r="IF4" s="166" t="s">
        <v>396</v>
      </c>
      <c r="IG4" s="166" t="s">
        <v>396</v>
      </c>
      <c r="IH4" s="166" t="s">
        <v>396</v>
      </c>
      <c r="II4" s="166" t="s">
        <v>396</v>
      </c>
      <c r="IJ4" s="166" t="s">
        <v>396</v>
      </c>
      <c r="IK4" s="166" t="s">
        <v>396</v>
      </c>
      <c r="IL4" s="167" t="s">
        <v>396</v>
      </c>
      <c r="IM4" s="167" t="s">
        <v>396</v>
      </c>
      <c r="IN4" s="167" t="s">
        <v>396</v>
      </c>
      <c r="IO4" s="167" t="s">
        <v>396</v>
      </c>
      <c r="IP4" s="167" t="s">
        <v>396</v>
      </c>
      <c r="IQ4" s="167" t="s">
        <v>396</v>
      </c>
      <c r="IR4" s="167" t="s">
        <v>396</v>
      </c>
      <c r="IS4" s="167" t="s">
        <v>396</v>
      </c>
      <c r="IT4" s="167" t="s">
        <v>396</v>
      </c>
      <c r="IU4" s="167" t="s">
        <v>396</v>
      </c>
      <c r="IV4" s="167" t="s">
        <v>396</v>
      </c>
      <c r="IW4" s="166" t="s">
        <v>986</v>
      </c>
      <c r="IX4" s="166" t="s">
        <v>396</v>
      </c>
      <c r="IY4" s="166" t="s">
        <v>396</v>
      </c>
      <c r="IZ4" s="166" t="s">
        <v>396</v>
      </c>
      <c r="JA4" s="166" t="s">
        <v>396</v>
      </c>
      <c r="JB4" s="166" t="s">
        <v>396</v>
      </c>
      <c r="JC4" s="166" t="s">
        <v>396</v>
      </c>
      <c r="JD4" s="166" t="s">
        <v>396</v>
      </c>
      <c r="JE4" s="166" t="s">
        <v>396</v>
      </c>
      <c r="JF4" s="166" t="s">
        <v>396</v>
      </c>
      <c r="JG4" s="166" t="s">
        <v>396</v>
      </c>
      <c r="JH4" s="166" t="s">
        <v>396</v>
      </c>
      <c r="JI4" s="166" t="s">
        <v>396</v>
      </c>
      <c r="JJ4" s="166" t="s">
        <v>396</v>
      </c>
      <c r="JK4" s="166" t="s">
        <v>396</v>
      </c>
      <c r="JL4" s="166" t="s">
        <v>396</v>
      </c>
      <c r="JM4" s="166" t="s">
        <v>396</v>
      </c>
      <c r="JN4" s="160" t="s">
        <v>396</v>
      </c>
      <c r="JO4" s="167" t="s">
        <v>396</v>
      </c>
      <c r="JP4" s="167" t="s">
        <v>396</v>
      </c>
      <c r="JQ4" s="167" t="s">
        <v>396</v>
      </c>
      <c r="JR4" s="167" t="s">
        <v>396</v>
      </c>
      <c r="JS4" s="167" t="s">
        <v>396</v>
      </c>
      <c r="JT4" s="167" t="s">
        <v>396</v>
      </c>
      <c r="JU4" s="167" t="s">
        <v>396</v>
      </c>
      <c r="JV4" s="167" t="s">
        <v>396</v>
      </c>
      <c r="JW4" s="167" t="s">
        <v>396</v>
      </c>
      <c r="JX4" s="167" t="s">
        <v>396</v>
      </c>
      <c r="JY4" s="168" t="s">
        <v>396</v>
      </c>
      <c r="JZ4" s="168" t="s">
        <v>396</v>
      </c>
      <c r="KA4" s="169" t="s">
        <v>396</v>
      </c>
      <c r="KB4" s="169" t="s">
        <v>396</v>
      </c>
      <c r="KC4" s="159" t="s">
        <v>994</v>
      </c>
      <c r="KD4" s="159" t="s">
        <v>994</v>
      </c>
      <c r="KE4" s="166" t="s">
        <v>396</v>
      </c>
      <c r="KF4" s="166" t="s">
        <v>396</v>
      </c>
      <c r="KG4" s="167"/>
      <c r="KH4" s="166" t="s">
        <v>396</v>
      </c>
      <c r="KI4" s="166" t="s">
        <v>396</v>
      </c>
      <c r="KJ4" s="166" t="s">
        <v>396</v>
      </c>
      <c r="KK4" s="166" t="s">
        <v>396</v>
      </c>
      <c r="KL4" s="166" t="s">
        <v>396</v>
      </c>
      <c r="KM4" s="166" t="s">
        <v>396</v>
      </c>
      <c r="KN4" s="166" t="s">
        <v>396</v>
      </c>
      <c r="KO4" s="166" t="s">
        <v>396</v>
      </c>
      <c r="KP4" s="166" t="s">
        <v>396</v>
      </c>
      <c r="KQ4" s="166" t="s">
        <v>396</v>
      </c>
      <c r="KR4" s="166" t="s">
        <v>396</v>
      </c>
      <c r="KS4" s="166" t="s">
        <v>396</v>
      </c>
      <c r="KT4" s="166" t="s">
        <v>396</v>
      </c>
      <c r="KU4" s="166" t="s">
        <v>396</v>
      </c>
      <c r="KV4" s="166" t="s">
        <v>396</v>
      </c>
      <c r="KW4" s="166" t="s">
        <v>396</v>
      </c>
      <c r="KX4" s="166" t="s">
        <v>396</v>
      </c>
      <c r="KY4" s="166" t="s">
        <v>396</v>
      </c>
      <c r="KZ4" s="166" t="s">
        <v>396</v>
      </c>
      <c r="LA4" s="166" t="s">
        <v>396</v>
      </c>
      <c r="LB4" s="166" t="s">
        <v>396</v>
      </c>
      <c r="LC4" s="166" t="s">
        <v>396</v>
      </c>
      <c r="LD4" s="166" t="s">
        <v>396</v>
      </c>
      <c r="LE4" s="166" t="s">
        <v>396</v>
      </c>
      <c r="LF4" s="166" t="s">
        <v>396</v>
      </c>
      <c r="LG4" s="159" t="s">
        <v>986</v>
      </c>
      <c r="LH4" s="159" t="s">
        <v>986</v>
      </c>
      <c r="LI4" s="159" t="s">
        <v>986</v>
      </c>
      <c r="LJ4" s="159" t="s">
        <v>986</v>
      </c>
      <c r="LK4" s="159" t="s">
        <v>986</v>
      </c>
      <c r="LL4" s="159" t="s">
        <v>986</v>
      </c>
      <c r="LM4" s="159" t="s">
        <v>986</v>
      </c>
      <c r="LN4" s="159" t="s">
        <v>986</v>
      </c>
      <c r="LO4" s="159" t="s">
        <v>986</v>
      </c>
      <c r="LP4" s="159" t="s">
        <v>986</v>
      </c>
      <c r="LQ4" s="159" t="s">
        <v>986</v>
      </c>
      <c r="LR4" s="159" t="s">
        <v>986</v>
      </c>
      <c r="LS4" s="159" t="s">
        <v>986</v>
      </c>
      <c r="LT4" s="159" t="s">
        <v>986</v>
      </c>
      <c r="LU4" s="160" t="s">
        <v>987</v>
      </c>
      <c r="LV4" s="160" t="s">
        <v>987</v>
      </c>
      <c r="LW4" s="160" t="s">
        <v>987</v>
      </c>
      <c r="LX4" s="160" t="s">
        <v>987</v>
      </c>
      <c r="LY4" s="160" t="s">
        <v>987</v>
      </c>
      <c r="LZ4" s="160" t="s">
        <v>987</v>
      </c>
      <c r="MA4" s="160" t="s">
        <v>987</v>
      </c>
      <c r="MB4" s="160" t="s">
        <v>987</v>
      </c>
      <c r="MC4" s="160" t="s">
        <v>987</v>
      </c>
      <c r="MD4" s="160" t="s">
        <v>987</v>
      </c>
      <c r="ME4" s="160" t="s">
        <v>987</v>
      </c>
      <c r="MF4" s="160" t="s">
        <v>987</v>
      </c>
      <c r="MG4" s="160" t="s">
        <v>987</v>
      </c>
      <c r="MH4" s="160" t="s">
        <v>987</v>
      </c>
      <c r="MI4" s="160" t="s">
        <v>987</v>
      </c>
      <c r="MJ4" s="160" t="s">
        <v>987</v>
      </c>
      <c r="MK4" s="160" t="s">
        <v>987</v>
      </c>
      <c r="ML4" s="160" t="s">
        <v>987</v>
      </c>
      <c r="MM4" s="160" t="s">
        <v>987</v>
      </c>
      <c r="MN4" s="160" t="s">
        <v>987</v>
      </c>
      <c r="MO4" s="160" t="s">
        <v>987</v>
      </c>
      <c r="MP4" s="160" t="s">
        <v>987</v>
      </c>
      <c r="MQ4" s="160" t="s">
        <v>987</v>
      </c>
      <c r="MR4" s="160" t="s">
        <v>987</v>
      </c>
      <c r="MS4" s="159" t="s">
        <v>887</v>
      </c>
      <c r="MT4" s="159" t="s">
        <v>887</v>
      </c>
      <c r="MU4" s="159" t="s">
        <v>887</v>
      </c>
      <c r="MV4" s="159" t="s">
        <v>887</v>
      </c>
      <c r="MW4" s="159" t="s">
        <v>887</v>
      </c>
      <c r="MX4" s="159" t="s">
        <v>887</v>
      </c>
      <c r="MY4" s="159" t="s">
        <v>887</v>
      </c>
      <c r="MZ4" s="159" t="s">
        <v>887</v>
      </c>
      <c r="NA4" s="159" t="s">
        <v>887</v>
      </c>
      <c r="NB4" s="159" t="s">
        <v>887</v>
      </c>
      <c r="NC4" s="159" t="s">
        <v>887</v>
      </c>
      <c r="ND4" s="159" t="s">
        <v>887</v>
      </c>
      <c r="NE4" s="160" t="s">
        <v>888</v>
      </c>
      <c r="NF4" s="160" t="s">
        <v>888</v>
      </c>
      <c r="NG4" s="160" t="s">
        <v>888</v>
      </c>
      <c r="NH4" s="160" t="s">
        <v>888</v>
      </c>
      <c r="NI4" s="160" t="s">
        <v>888</v>
      </c>
      <c r="NJ4" s="160" t="s">
        <v>888</v>
      </c>
      <c r="NK4" s="160" t="s">
        <v>888</v>
      </c>
      <c r="NL4" s="160" t="s">
        <v>888</v>
      </c>
      <c r="NM4" s="160" t="s">
        <v>888</v>
      </c>
      <c r="NN4" s="160" t="s">
        <v>888</v>
      </c>
      <c r="NO4" s="160" t="s">
        <v>888</v>
      </c>
      <c r="NP4" s="160" t="s">
        <v>888</v>
      </c>
      <c r="NQ4" s="160" t="s">
        <v>888</v>
      </c>
      <c r="NR4" s="160" t="s">
        <v>888</v>
      </c>
      <c r="NS4" s="160" t="s">
        <v>888</v>
      </c>
      <c r="NT4" s="160" t="s">
        <v>888</v>
      </c>
      <c r="NU4" s="160" t="s">
        <v>888</v>
      </c>
      <c r="NV4" s="160" t="s">
        <v>888</v>
      </c>
      <c r="NW4" s="160" t="s">
        <v>888</v>
      </c>
      <c r="NX4" s="160" t="s">
        <v>888</v>
      </c>
      <c r="NY4" s="160" t="s">
        <v>888</v>
      </c>
      <c r="NZ4" s="160" t="s">
        <v>888</v>
      </c>
      <c r="OA4" s="160" t="s">
        <v>888</v>
      </c>
      <c r="OB4" s="160" t="s">
        <v>888</v>
      </c>
      <c r="OC4" s="160" t="s">
        <v>888</v>
      </c>
      <c r="OD4" s="160" t="s">
        <v>888</v>
      </c>
      <c r="OE4" s="160" t="s">
        <v>888</v>
      </c>
    </row>
    <row r="5" spans="4:395" ht="13.2" customHeight="1">
      <c r="D5" t="str">
        <f>IF(Data!AV11="","",IF(OR('Order Form'!R9="Supplied by Davidson's",SUM(NE5:NI5)&lt;&gt;0),CONCATENATE(Data!BC$5,".",Data!BD$5),IF(AND('Order Form'!R9&lt;&gt;"Supplied by Davidson's",'Tube Cutting'!C11=""),"",CONCATENATE(Data!BC$5,".",Data!BD$5))))</f>
        <v>11804.C</v>
      </c>
      <c r="E5">
        <f>IF(D5="","",Data!AW11)</f>
        <v>1</v>
      </c>
      <c r="F5" t="str">
        <f>IF(D5="","",Data!AV11)</f>
        <v>a4bfec27-2e8e-4da8-9fb5-45becd0320d7</v>
      </c>
      <c r="G5" t="str">
        <f>IF(D5="","","Roller Shutters")</f>
        <v>Roller Shutters</v>
      </c>
      <c r="H5" t="str">
        <f>IF(D5="","",Data!BF$5)</f>
        <v>Crow, Tahlia</v>
      </c>
      <c r="I5" t="str">
        <f>IF(D5="","",Data!AX$5)</f>
        <v>Roller Shutters</v>
      </c>
      <c r="J5" s="116" t="str">
        <f>IF(OR(D5="",'Tube Cutting'!C11=""),"",IF(AND(Data!BN11="42mm Standard Slat",Data!BO11="Black"),(SUM('Job Sheet'!BF11:BI11)+('Tube Cutting'!C11*'Tube Cutting'!D11))/5800,IF(AND(Data!BN11="42mm Standard Slat",'Tube Cutting'!H11="Black"),'Tube Cutting'!C11*'Tube Cutting'!G11/5800,"")))</f>
        <v/>
      </c>
      <c r="K5" s="116" t="str">
        <f>IF(OR(D5="",'Tube Cutting'!C11=""),"",IF(AND(Data!BN11="42mm Standard Slat",Data!BO11="Clear Beige"),(SUM('Job Sheet'!BF11:BI11)+('Tube Cutting'!C11*'Tube Cutting'!D11))/5800,IF(AND(Data!BN11="42mm Standard Slat",'Tube Cutting'!H11="Clear Beige"),'Tube Cutting'!C11*'Tube Cutting'!G11/5800,"")))</f>
        <v/>
      </c>
      <c r="L5" s="116" t="str">
        <f>IF(OR(D5="",'Tube Cutting'!C11=""),"",IF(AND(Data!BN11="42mm Standard Slat",Data!BO11="Dune"),(SUM('Job Sheet'!BF11:BI11)+('Tube Cutting'!C11*'Tube Cutting'!D11))/5800,IF(AND(Data!BN11="42mm Standard Slat",'Tube Cutting'!H11="Dune"),'Tube Cutting'!C11*'Tube Cutting'!G11/5800,"")))</f>
        <v/>
      </c>
      <c r="M5" s="116" t="str">
        <f>IF(OR(D5="",'Tube Cutting'!C11=""),"",IF(AND(Data!BN11="42mm Standard Slat",Data!BO11="Mag Cream"),(SUM('Job Sheet'!BF11:BI11)+('Tube Cutting'!C11*'Tube Cutting'!D11))/5800,IF(AND(Data!BN11="42mm Standard Slat",'Tube Cutting'!H11="Mag Cream"),'Tube Cutting'!C11*'Tube Cutting'!G11/5800,"")))</f>
        <v/>
      </c>
      <c r="N5" s="116">
        <f>IF(OR(D5="",'Tube Cutting'!C11=""),"",IF(AND(Data!BN11="42mm Standard Slat",Data!BO11="Monument"),(SUM('Job Sheet'!BF11:BI11)+('Tube Cutting'!C11*'Tube Cutting'!D11))/5800,IF(AND(Data!BN11="42mm Standard Slat",'Tube Cutting'!H11="Monument"),'Tube Cutting'!C11*'Tube Cutting'!G11/5800,"")))</f>
        <v>17.6208620689655</v>
      </c>
      <c r="O5" s="116" t="str">
        <f>IF(OR(D5="",'Tube Cutting'!C11=""),"",IF(AND(Data!BN11="42mm Standard Slat",Data!BO11="Shale Grey"),(SUM('Job Sheet'!BF11:BI11)+('Tube Cutting'!C11*'Tube Cutting'!D11))/5800,IF(AND(Data!BN11="42mm Standard Slat",'Tube Cutting'!H11="Shale Grey"),'Tube Cutting'!C11*'Tube Cutting'!G11/5800,"")))</f>
        <v/>
      </c>
      <c r="P5" s="116" t="str">
        <f>IF(OR(D5="",'Tube Cutting'!C11=""),"",IF(AND(Data!BN11="42mm Standard Slat",Data!BO11="White"),(SUM('Job Sheet'!BF11:BI11)+('Tube Cutting'!C11*'Tube Cutting'!D11))/5800,IF(AND(Data!BN11="42mm Standard Slat",'Tube Cutting'!H11="White"),'Tube Cutting'!C11*'Tube Cutting'!G11/5800,"")))</f>
        <v/>
      </c>
      <c r="Q5" s="116" t="str">
        <f>IF(OR(D5="",'Tube Cutting'!C11=""),"",IF(AND(Data!BN11="42mm Standard Slat",Data!BO11="Woodland Grey"),(SUM('Job Sheet'!BF11:BI11)+('Tube Cutting'!C11*'Tube Cutting'!D11))/5800,IF(AND(Data!BN11="42mm Standard Slat",'Tube Cutting'!H11="Woodland Grey"),'Tube Cutting'!C11*'Tube Cutting'!G11/5800,"")))</f>
        <v/>
      </c>
      <c r="R5" s="116" t="str">
        <f>IF(OR(D5="",'Tube Cutting'!C11=""),"",IF(AND(Data!BN11="42mm Standard Slat",Data!BO11="Cream"),(SUM('Job Sheet'!BF11:BI11)+('Tube Cutting'!C11*'Tube Cutting'!D11))/5800,IF(AND(Data!BN11="42mm Standard Slat",'Tube Cutting'!H11="Cream"),'Tube Cutting'!C11*'Tube Cutting'!G11/5800,"")))</f>
        <v/>
      </c>
      <c r="S5" s="116" t="str">
        <f>IF(OR(D5="",'Tube Cutting'!C11=""),"",IF(AND(Data!BN11="42mm Standard Slat",Data!BO11="Brown"),(SUM('Job Sheet'!BF11:BI11)+('Tube Cutting'!C11*'Tube Cutting'!D11))/5800,IF(AND(Data!BN11="42mm Standard Slat",'Tube Cutting'!H11="Brown"),'Tube Cutting'!C11*'Tube Cutting'!G11/5800,"")))</f>
        <v/>
      </c>
      <c r="T5" s="116" t="str">
        <f>IF(OR(D5="",'Tube Cutting'!C11=""),"",IF(AND(Data!BN11="42mm Standard Slat",Data!BO11="Beige"),(SUM('Job Sheet'!BF11:BI11)+('Tube Cutting'!C11*'Tube Cutting'!D11))/5800,IF(AND(Data!BN11="42mm Standard Slat",'Tube Cutting'!H11="Beige"),'Tube Cutting'!C11*'Tube Cutting'!G11/5800,"")))</f>
        <v/>
      </c>
      <c r="U5" s="116" t="str">
        <f>IF(OR(D5="",'Tube Cutting'!C11=""),"",IF(AND(Data!BN11="42mm Standard Slat",Data!BO11="Green"),(SUM('Job Sheet'!BF11:BI11)+('Tube Cutting'!C11*'Tube Cutting'!D11))/5800,IF(AND(Data!BN11="42mm Standard Slat",'Tube Cutting'!H11="Green"),'Tube Cutting'!C11*'Tube Cutting'!G11/5800,"")))</f>
        <v/>
      </c>
      <c r="V5" s="116" t="str">
        <f>IF(OR(D5="",'Tube Cutting'!C11=""),"",IF(AND(Data!BN11="42mm Standard Slat",Data!BO11="Red"),(SUM('Job Sheet'!BF11:BI11)+('Tube Cutting'!C11*'Tube Cutting'!D11))/5800,IF(AND(Data!BN11="42mm Standard Slat",'Tube Cutting'!H11="Red"),'Tube Cutting'!C11*'Tube Cutting'!G11/5800,"")))</f>
        <v/>
      </c>
      <c r="W5" s="116" t="str">
        <f>IF(OR(D5="",'Tube Cutting'!C11=""),"",IF(AND(Data!BN11="42mm Standard Slat",Data!BO11="Bronze"),(SUM('Job Sheet'!BF11:BI11)+('Tube Cutting'!C11*'Tube Cutting'!D11))/5800,IF(AND(Data!BN11="42mm Standard Slat",'Tube Cutting'!H11="Bronze"),'Tube Cutting'!C11*'Tube Cutting'!G11/5800,"")))</f>
        <v/>
      </c>
      <c r="X5" s="116" t="str">
        <f>IF(OR(D5="",'Tube Cutting'!C11=""),"",IF(AND(Data!BN11="42mm Standard Slat",Data!BO11="Silver"),(SUM('Job Sheet'!BF11:BI11)+('Tube Cutting'!C11*'Tube Cutting'!D11))/5800,IF(AND(Data!BN11="42mm Standard Slat",'Tube Cutting'!H11="Silver"),'Tube Cutting'!C11*'Tube Cutting'!G11/5800,"")))</f>
        <v/>
      </c>
      <c r="Y5" s="116" t="str">
        <f>IF(OR(D5="",'Tube Cutting'!C11=""),"",IF(AND(Data!BN11="42mm Standard Slat",Data!BO11="Deep Ocean Blue"),(SUM('Job Sheet'!BF11:BI11)+('Tube Cutting'!C11*'Tube Cutting'!D11))/5800,IF(AND(Data!BN11="42mm Standard Slat",'Tube Cutting'!H11="Deep Ocean Blue"),'Tube Cutting'!C11*'Tube Cutting'!G11/5800,"")))</f>
        <v/>
      </c>
      <c r="Z5" s="116" t="str">
        <f>IF(OR(D5="",'Tube Cutting'!C11=""),"",IF(AND(Data!BN11="42mm Standard Slat",Data!BO11="Jasper"),(SUM('Job Sheet'!BF11:BI11)+('Tube Cutting'!C11*'Tube Cutting'!D11))/5800,IF(AND(Data!BN11="42mm Standard Slat",'Tube Cutting'!H11="Jasper"),'Tube Cutting'!C11*'Tube Cutting'!G11/5800,"")))</f>
        <v/>
      </c>
      <c r="AA5" s="116" t="str">
        <f>IF(OR(D5="",'Tube Cutting'!C11=""),"",IF(AND(Data!BN11="42mm Standard Slat",Data!BO11="Surfmist"),(SUM('Job Sheet'!BF11:BI11)+('Tube Cutting'!C11*'Tube Cutting'!D11))/5800,IF(AND(Data!BN11="42mm Standard Slat",'Tube Cutting'!H11="Surfmist"),'Tube Cutting'!C11*'Tube Cutting'!G11/5800,"")))</f>
        <v/>
      </c>
      <c r="AB5" s="116" t="str">
        <f>IF(OR(D5="",'Tube Cutting'!C11=""),"",IF('Tube Cutting'!H11="Black Unperforated",'Tube Cutting'!G11*'Tube Cutting'!C11/5800,IF(AND(OR(Data!BN11="42mm Standard Slat",Data!BN11="42mm Unperforated Slat"),Data!BO11="Black"),('Tube Cutting'!C11*'Tube Cutting'!E11/1000)/5.8,"")))</f>
        <v/>
      </c>
      <c r="AC5" s="116" t="str">
        <f>IF(OR(D5="",'Tube Cutting'!C11=""),"",IF('Tube Cutting'!H11="Clear Beige Unperforated",'Tube Cutting'!G11*'Tube Cutting'!C11/5800,IF(AND(OR(Data!BN11="42mm Standard Slat",Data!BN11="42mm Unperforated Slat"),Data!BO11="Clear Beige"),('Tube Cutting'!C11*'Tube Cutting'!E11/1000)/5.8,"")))</f>
        <v/>
      </c>
      <c r="AD5" s="116" t="str">
        <f>IF(OR(D5="",'Tube Cutting'!C11=""),"",IF('Tube Cutting'!H11="Dune Unperforated",'Tube Cutting'!G11*'Tube Cutting'!C11/5800,IF(AND(OR(Data!BN11="42mm Standard Slat",Data!BN11="42mm Unperforated Slat"),Data!BO11="Dune"),('Tube Cutting'!C11*'Tube Cutting'!E11/1000)/5.8,"")))</f>
        <v/>
      </c>
      <c r="AE5" s="116" t="str">
        <f>IF(OR(D5="",'Tube Cutting'!C11=""),"",IF('Tube Cutting'!H11="Mag Cream Unperforated",'Tube Cutting'!G11*'Tube Cutting'!C11/5800,IF(AND(OR(Data!BN11="42mm Standard Slat",Data!BN11="42mm Unperforated Slat"),Data!BO11="Mag Cream"),('Tube Cutting'!C11*'Tube Cutting'!E11/1000)/5.8,"")))</f>
        <v/>
      </c>
      <c r="AF5" s="116">
        <f>IF(OR(D5="",'Tube Cutting'!C11=""),"",IF('Tube Cutting'!H11="Monument Unperforated",'Tube Cutting'!G11*'Tube Cutting'!C11/5800,IF(AND(OR(Data!BN11="42mm Standard Slat",Data!BN11="42mm Unperforated Slat"),Data!BO11="Monument"),('Tube Cutting'!C11*'Tube Cutting'!E11/1000)/5.8,"")))</f>
        <v>2.10775862068966</v>
      </c>
      <c r="AG5" s="116" t="str">
        <f>IF(OR(D5="",'Tube Cutting'!C11=""),"",IF('Tube Cutting'!H11="Shale Grey Unperforated",'Tube Cutting'!G11*'Tube Cutting'!C11/5800,IF(AND(OR(Data!BN11="42mm Standard Slat",Data!BN11="42mm Unperforated Slat"),Data!BO11="Shale Grey"),('Tube Cutting'!C11*'Tube Cutting'!E11/1000)/5.8,"")))</f>
        <v/>
      </c>
      <c r="AH5" s="116" t="str">
        <f>IF(OR(D5="",'Tube Cutting'!C11=""),"",IF('Tube Cutting'!H11="White Unperforated",'Tube Cutting'!G11*'Tube Cutting'!C11/5800,IF(AND(OR(Data!BN11="42mm Standard Slat",Data!BN11="42mm Unperforated Slat"),Data!BO11="White"),('Tube Cutting'!C11*'Tube Cutting'!E11/1000)/5.8,"")))</f>
        <v/>
      </c>
      <c r="AI5" s="116" t="str">
        <f>IF(OR(D5="",'Tube Cutting'!C11=""),"",IF('Tube Cutting'!H11="Woodland Grey Unperforated",'Tube Cutting'!G11*'Tube Cutting'!C11/5800,IF(AND(OR(Data!BN11="42mm Standard Slat",Data!BN11="42mm Unperforated Slat"),Data!BO11="Woodland Grey"),('Tube Cutting'!C11*'Tube Cutting'!E11/1000)/5.8,"")))</f>
        <v/>
      </c>
      <c r="AJ5" s="116" t="str">
        <f>IF(OR(D5="",'Tube Cutting'!C11=""),"",IF('Tube Cutting'!H11="Cream Unperforated",'Tube Cutting'!G11*'Tube Cutting'!C11/5800,IF(AND(OR(Data!BN11="42mm Standard Slat",Data!BN11="42mm Unperforated Slat"),Data!BO11="Cream"),('Tube Cutting'!C11*'Tube Cutting'!E11/1000)/5.8,"")))</f>
        <v/>
      </c>
      <c r="AK5" s="116" t="str">
        <f>IF(OR(D5="",'Tube Cutting'!C11=""),"",IF('Tube Cutting'!H11="Brown Unperforated",'Tube Cutting'!G11*'Tube Cutting'!C11/5800,IF(AND(OR(Data!BN11="42mm Standard Slat",Data!BN11="42mm Unperforated Slat"),Data!BO11="Brown"),('Tube Cutting'!C11*'Tube Cutting'!E11/1000)/5.8,"")))</f>
        <v/>
      </c>
      <c r="AL5" s="116" t="str">
        <f>IF(OR(D5="",'Tube Cutting'!C11=""),"",IF('Tube Cutting'!H11="Beige Unperforated",'Tube Cutting'!G11*'Tube Cutting'!C11/5800,IF(AND(OR(Data!BN11="42mm Standard Slat",Data!BN11="42mm Unperforated Slat"),Data!BO11="Beige"),('Tube Cutting'!C11*'Tube Cutting'!E11/1000)/5.8,"")))</f>
        <v/>
      </c>
      <c r="AM5" s="116" t="str">
        <f>IF(OR(D5="",'Tube Cutting'!C11=""),"",IF('Tube Cutting'!H11="Green Unperforated",'Tube Cutting'!G11*'Tube Cutting'!C11/5800,IF(AND(OR(Data!BN11="42mm Standard Slat",Data!BN11="42mm Unperforated Slat"),Data!BO11="Green"),('Tube Cutting'!C11*'Tube Cutting'!E11/1000)/5.8,"")))</f>
        <v/>
      </c>
      <c r="AN5" s="116" t="str">
        <f>IF(OR(D5="",'Tube Cutting'!C11=""),"",IF('Tube Cutting'!H11="Red Unperforated",'Tube Cutting'!G11*'Tube Cutting'!C11/5800,IF(AND(OR(Data!BN11="42mm Standard Slat",Data!BN11="42mm Unperforated Slat"),Data!BO11="Red"),('Tube Cutting'!C11*'Tube Cutting'!E11/1000)/5.8,"")))</f>
        <v/>
      </c>
      <c r="AO5" s="116" t="str">
        <f>IF(OR(D5="",'Tube Cutting'!C11=""),"",IF('Tube Cutting'!H11="Bronze Unperforated",'Tube Cutting'!G11*'Tube Cutting'!C11/5800,IF(AND(OR(Data!BN11="42mm Standard Slat",Data!BN11="42mm Unperforated Slat"),Data!BO11="Bronze"),('Tube Cutting'!C11*'Tube Cutting'!E11/1000)/5.8,"")))</f>
        <v/>
      </c>
      <c r="AP5" s="116" t="str">
        <f>IF(OR(D5="",'Tube Cutting'!C11=""),"",IF('Tube Cutting'!H11="Silver Unperforated",'Tube Cutting'!G11*'Tube Cutting'!C11/5800,IF(AND(OR(Data!BN11="42mm Standard Slat",Data!BN11="42mm Unperforated Slat"),Data!BO11="Silver"),('Tube Cutting'!C11*'Tube Cutting'!E11/1000)/5.8,"")))</f>
        <v/>
      </c>
      <c r="AQ5" s="116" t="str">
        <f>IF(OR(D5="",'Tube Cutting'!C11=""),"",IF('Tube Cutting'!H11="Deep Ocean Unperforated",'Tube Cutting'!G11*'Tube Cutting'!C11/5800,IF(AND(OR(Data!BN11="42mm Standard Slat",Data!BN11="42mm Unperforated Slat"),Data!BO11="Deep Ocean"),('Tube Cutting'!C11*'Tube Cutting'!E11/1000)/5.8,"")))</f>
        <v/>
      </c>
      <c r="AR5" s="116" t="str">
        <f>IF(OR(D5="",'Tube Cutting'!C11=""),"",IF('Tube Cutting'!H11="Jasper Unperforated",'Tube Cutting'!G11*'Tube Cutting'!C11/5800,IF(AND(OR(Data!BN11="42mm Standard Slat",Data!BN11="42mm Unperforated Slat"),Data!BO11="Jasper"),('Tube Cutting'!C11*'Tube Cutting'!E11/1000)/5.8,"")))</f>
        <v/>
      </c>
      <c r="AS5" s="116" t="str">
        <f>IF(OR(D5="",'Tube Cutting'!C11=""),"",IF('Tube Cutting'!H11="Surfmist Unperforated",'Tube Cutting'!G11*'Tube Cutting'!C11/5800,IF(AND(OR(Data!BN11="42mm Standard Slat",Data!BN11="42mm Unperforated Slat"),Data!BO11="Surfmist"),('Tube Cutting'!C11*'Tube Cutting'!E11/1000)/5.8,"")))</f>
        <v/>
      </c>
      <c r="AT5" t="str">
        <f>IF(OR(D5="",'Tube Cutting'!C11=""),"",IF(AND('Tube Cutting'!O11="Black",'Tube Cutting'!N11="180mm"),'Tube Cutting'!L11,""))</f>
        <v/>
      </c>
      <c r="AU5" t="str">
        <f>IF(OR(D5="",'Tube Cutting'!C11=""),"",IF(AND('Tube Cutting'!O11="Black",'Tube Cutting'!N11="180mm"),'Tube Cutting'!M11,""))</f>
        <v/>
      </c>
      <c r="AV5" t="str">
        <f>IF(OR(D5="",'Tube Cutting'!C11=""),"",IF(AND('Tube Cutting'!O11="Clear Beige",'Tube Cutting'!N11="180mm"),'Tube Cutting'!L11,""))</f>
        <v/>
      </c>
      <c r="AW5" t="str">
        <f>IF(OR(D5="",'Tube Cutting'!C11=""),"",IF(AND('Tube Cutting'!O11="Clear Beige",'Tube Cutting'!N11="180mm"),'Tube Cutting'!M11,""))</f>
        <v/>
      </c>
      <c r="AX5" t="str">
        <f>IF(OR(D5="",'Tube Cutting'!C11=""),"",IF(AND('Tube Cutting'!O11="Dune",'Tube Cutting'!N11="180mm"),'Tube Cutting'!L11,""))</f>
        <v/>
      </c>
      <c r="AY5" t="str">
        <f>IF(OR(D5="",'Tube Cutting'!C11=""),"",IF(AND('Tube Cutting'!O11="Dune",'Tube Cutting'!N11="180mm"),'Tube Cutting'!M11,""))</f>
        <v/>
      </c>
      <c r="AZ5" t="str">
        <f>IF(OR(D5="",'Tube Cutting'!C11=""),"",IF(AND('Tube Cutting'!O11="Mag Cream",'Tube Cutting'!N11="180mm"),'Tube Cutting'!L11,""))</f>
        <v/>
      </c>
      <c r="BA5" t="str">
        <f>IF(OR(D5="",'Tube Cutting'!C11=""),"",IF(AND('Tube Cutting'!O11="Mag Cream",'Tube Cutting'!N11="180mm"),'Tube Cutting'!M11,""))</f>
        <v/>
      </c>
      <c r="BB5">
        <f>IF(OR(D5="",'Tube Cutting'!C11=""),"",IF(AND('Tube Cutting'!O11="Monument",'Tube Cutting'!N11="180mm"),'Tube Cutting'!L11,""))</f>
        <v>2507</v>
      </c>
      <c r="BC5">
        <f>IF(OR(D5="",'Tube Cutting'!C11=""),"",IF(AND('Tube Cutting'!O11="Monument",'Tube Cutting'!N11="180mm"),'Tube Cutting'!M11,""))</f>
        <v>2507</v>
      </c>
      <c r="BD5" t="str">
        <f>IF(OR(D5="",'Tube Cutting'!C11=""),"",IF(AND('Tube Cutting'!O11="Shale Grey",'Tube Cutting'!N11="180mm"),'Tube Cutting'!L11,""))</f>
        <v/>
      </c>
      <c r="BE5" t="str">
        <f>IF(OR(D5="",'Tube Cutting'!C11=""),"",IF(AND('Tube Cutting'!O11="Shale Grey",'Tube Cutting'!N11="180mm"),'Tube Cutting'!M11,""))</f>
        <v/>
      </c>
      <c r="BF5" t="str">
        <f>IF(OR(D5="",'Tube Cutting'!C11=""),"",IF(AND('Tube Cutting'!O11="White",'Tube Cutting'!N11="180mm"),'Tube Cutting'!L11,""))</f>
        <v/>
      </c>
      <c r="BG5" t="str">
        <f>IF(OR(D5="",'Tube Cutting'!C11=""),"",IF(AND('Tube Cutting'!O11="White",'Tube Cutting'!N11="180mm"),'Tube Cutting'!M11,""))</f>
        <v/>
      </c>
      <c r="BH5" t="str">
        <f>IF(OR(D5="",'Tube Cutting'!C11=""),"",IF(AND('Tube Cutting'!O11="Woodland Grey",'Tube Cutting'!N11="180mm"),'Tube Cutting'!L11,""))</f>
        <v/>
      </c>
      <c r="BI5" t="str">
        <f>IF(OR(D5="",'Tube Cutting'!C11=""),"",IF(AND('Tube Cutting'!O11="Woodland Grey",'Tube Cutting'!N11="180mm"),'Tube Cutting'!M11,""))</f>
        <v/>
      </c>
      <c r="BJ5" t="str">
        <f>IF(OR(D5="",'Tube Cutting'!C11=""),"",IF(AND('Tube Cutting'!O11="Cream",'Tube Cutting'!N11="180mm"),'Tube Cutting'!L11,""))</f>
        <v/>
      </c>
      <c r="BK5" t="str">
        <f>IF(OR(D5="",'Tube Cutting'!C11=""),"",IF(AND('Tube Cutting'!O11="Cream",'Tube Cutting'!N11="180mm"),'Tube Cutting'!M11,""))</f>
        <v/>
      </c>
      <c r="BL5" t="str">
        <f>IF(OR(D5="",'Tube Cutting'!C11=""),"",IF(AND('Tube Cutting'!O11="Brown",'Tube Cutting'!N11="180mm"),'Tube Cutting'!L11,""))</f>
        <v/>
      </c>
      <c r="BM5" t="str">
        <f>IF(OR(D5="",'Tube Cutting'!C11=""),"",IF(AND('Tube Cutting'!O11="Brown",'Tube Cutting'!N11="180mm"),'Tube Cutting'!M11,""))</f>
        <v/>
      </c>
      <c r="BN5" t="str">
        <f>IF(OR(D5="",'Tube Cutting'!C11=""),"",IF(AND('Tube Cutting'!O11="Surfmist",'Tube Cutting'!N11="180mm"),'Tube Cutting'!L11,""))</f>
        <v/>
      </c>
      <c r="BO5" t="str">
        <f>IF(OR(D5="",'Tube Cutting'!C11=""),"",IF(AND('Tube Cutting'!O11="Surfmist",'Tube Cutting'!N11="180mm"),'Tube Cutting'!M11,""))</f>
        <v/>
      </c>
      <c r="BP5" t="str">
        <f>IF(OR(D5="",'Tube Cutting'!C11=""),"",IF(AND('Tube Cutting'!O11="Jasper",'Tube Cutting'!N11="180mm"),'Tube Cutting'!L11,""))</f>
        <v/>
      </c>
      <c r="BQ5" t="str">
        <f>IF(OR(D5="",'Tube Cutting'!C11=""),"",IF(AND('Tube Cutting'!O11="Jasper",'Tube Cutting'!N11="180mm"),'Tube Cutting'!M11,""))</f>
        <v/>
      </c>
      <c r="BR5" t="str">
        <f>IF(OR(E5="",'Tube Cutting'!D11=""),"",IF(AND('Tube Cutting'!O11="Red",'Tube Cutting'!N11="180mm"),'Tube Cutting'!L11,""))</f>
        <v/>
      </c>
      <c r="BS5" t="str">
        <f>IF(OR(E5="",'Tube Cutting'!D11=""),"",IF(AND('Tube Cutting'!O11="Red",'Tube Cutting'!N11="180mm"),'Tube Cutting'!M11,""))</f>
        <v/>
      </c>
      <c r="BT5" t="str">
        <f>IF(OR(D5="",'Tube Cutting'!C11=""),"",IF(AND('Tube Cutting'!O11="Black",'Tube Cutting'!N11="205mm"),'Tube Cutting'!L11,""))</f>
        <v/>
      </c>
      <c r="BU5" t="str">
        <f>IF(OR(D5="",'Tube Cutting'!C11=""),"",IF(AND('Tube Cutting'!O11="Black",'Tube Cutting'!N11="205mm"),'Tube Cutting'!M11,""))</f>
        <v/>
      </c>
      <c r="BV5" t="str">
        <f>IF(OR(D5="",'Tube Cutting'!C11=""),"",IF(AND('Tube Cutting'!O11="Clear Beige",'Tube Cutting'!N11="205mm"),'Tube Cutting'!L11,""))</f>
        <v/>
      </c>
      <c r="BW5" t="str">
        <f>IF(OR(D5="",'Tube Cutting'!C11=""),"",IF(AND('Tube Cutting'!O11="Clear Beige",'Tube Cutting'!N11="205mm"),'Tube Cutting'!M11,""))</f>
        <v/>
      </c>
      <c r="BX5" t="str">
        <f>IF(OR(D5="",'Tube Cutting'!C11=""),"",IF(AND('Tube Cutting'!O11="Dune",'Tube Cutting'!N11="205mm"),'Tube Cutting'!L11,""))</f>
        <v/>
      </c>
      <c r="BY5" t="str">
        <f>IF(OR(D5="",'Tube Cutting'!C11=""),"",IF(AND('Tube Cutting'!O11="Dune",'Tube Cutting'!N11="205mm"),'Tube Cutting'!M11,""))</f>
        <v/>
      </c>
      <c r="BZ5" t="str">
        <f>IF(OR(D5="",'Tube Cutting'!C11=""),"",IF(AND('Tube Cutting'!O11="Mag Cream",'Tube Cutting'!N11="205mm"),'Tube Cutting'!L11,""))</f>
        <v/>
      </c>
      <c r="CA5" t="str">
        <f>IF(OR(D5="",'Tube Cutting'!C11=""),"",IF(AND('Tube Cutting'!O11="Mag Cream",'Tube Cutting'!N11="205mm"),'Tube Cutting'!M11,""))</f>
        <v/>
      </c>
      <c r="CB5" t="str">
        <f>IF(OR(D5="",'Tube Cutting'!C11=""),"",IF(AND('Tube Cutting'!O11="Monument",'Tube Cutting'!N11="205mm"),'Tube Cutting'!L11,""))</f>
        <v/>
      </c>
      <c r="CC5" t="str">
        <f>IF(OR(D5="",'Tube Cutting'!C11=""),"",IF(AND('Tube Cutting'!O11="Monument",'Tube Cutting'!N11="205mm"),'Tube Cutting'!M11,""))</f>
        <v/>
      </c>
      <c r="CD5" t="str">
        <f>IF(OR(D5="",'Tube Cutting'!C11=""),"",IF(AND('Tube Cutting'!O11="Shale Grey",'Tube Cutting'!N11="205mm"),'Tube Cutting'!L11,""))</f>
        <v/>
      </c>
      <c r="CE5" t="str">
        <f>IF(OR(D5="",'Tube Cutting'!C11=""),"",IF(AND('Tube Cutting'!O11="Shale Grey",'Tube Cutting'!N11="205mm"),'Tube Cutting'!M11,""))</f>
        <v/>
      </c>
      <c r="CF5" t="str">
        <f>IF(OR(D5="",'Tube Cutting'!C11=""),"",IF(AND('Tube Cutting'!O11="White",'Tube Cutting'!N11="205mm"),'Tube Cutting'!L11,""))</f>
        <v/>
      </c>
      <c r="CG5" t="str">
        <f>IF(OR(D5="",'Tube Cutting'!C11=""),"",IF(AND('Tube Cutting'!O11="White",'Tube Cutting'!N11="205mm"),'Tube Cutting'!M11,""))</f>
        <v/>
      </c>
      <c r="CH5" t="str">
        <f>IF(OR(D5="",'Tube Cutting'!C11=""),"",IF(AND('Tube Cutting'!O11="Woodland Grey",'Tube Cutting'!N11="205mm"),'Tube Cutting'!L11,""))</f>
        <v/>
      </c>
      <c r="CI5" t="str">
        <f>IF(OR(D5="",'Tube Cutting'!C11=""),"",IF(AND('Tube Cutting'!O11="Woodland Grey",'Tube Cutting'!N11="205mm"),'Tube Cutting'!M11,""))</f>
        <v/>
      </c>
      <c r="CJ5" t="str">
        <f>IF(OR(D5="",'Tube Cutting'!C11=""),"",IF(AND('Tube Cutting'!O11="Cream",'Tube Cutting'!N11="205mm"),'Tube Cutting'!L11,""))</f>
        <v/>
      </c>
      <c r="CK5" t="str">
        <f>IF(OR(D5="",'Tube Cutting'!C11=""),"",IF(AND('Tube Cutting'!O11="Cream",'Tube Cutting'!N11="205mm"),'Tube Cutting'!M11,""))</f>
        <v/>
      </c>
      <c r="CL5" t="str">
        <f>IF(OR(D5="",'Tube Cutting'!C11=""),"",IF(AND('Tube Cutting'!O11="Brown",'Tube Cutting'!N11="205mm"),'Tube Cutting'!L11,""))</f>
        <v/>
      </c>
      <c r="CM5" t="str">
        <f>IF(OR(D5="",'Tube Cutting'!C11=""),"",IF(AND('Tube Cutting'!O11="Brown",'Tube Cutting'!N11="205mm"),'Tube Cutting'!M11,""))</f>
        <v/>
      </c>
      <c r="CN5" t="str">
        <f>IF(OR(D5="",'Tube Cutting'!C11=""),"",IF(AND('Tube Cutting'!O11="Surfmist",'Tube Cutting'!N11="205mm"),'Tube Cutting'!L11,""))</f>
        <v/>
      </c>
      <c r="CO5" t="str">
        <f>IF(OR(D5="",'Tube Cutting'!C11=""),"",IF(AND('Tube Cutting'!O11="Surfmist",'Tube Cutting'!N11="205mm"),'Tube Cutting'!M11,""))</f>
        <v/>
      </c>
      <c r="CP5" t="str">
        <f>IF(OR(D5="",'Tube Cutting'!C11=""),"",IF(AND('Tube Cutting'!O11="Jasper",'Tube Cutting'!N11="205mm"),'Tube Cutting'!L11,""))</f>
        <v/>
      </c>
      <c r="CQ5" t="str">
        <f>IF(OR(D5="",'Tube Cutting'!C11=""),"",IF(AND('Tube Cutting'!O11="Jasper",'Tube Cutting'!N11="205mm"),'Tube Cutting'!M11,""))</f>
        <v/>
      </c>
      <c r="CR5" t="str">
        <f>IF(OR(D5="",'Tube Cutting'!C11=""),"",IF(AND('Tube Cutting'!O11="Cream",'Tube Cutting'!N11="230mm"),'Tube Cutting'!L11,""))</f>
        <v/>
      </c>
      <c r="CS5" t="str">
        <f>IF(OR(D5="",'Tube Cutting'!C11=""),"",IF(AND('Tube Cutting'!O11="Cream",'Tube Cutting'!N11="230mm"),'Tube Cutting'!M11,""))</f>
        <v/>
      </c>
      <c r="CT5" t="str">
        <f>IF(OR(D5="",'Tube Cutting'!C11=""),"",IF(AND('Tube Cutting'!O11="Mag Cream",'Tube Cutting'!N11="230mm"),'Tube Cutting'!L11,""))</f>
        <v/>
      </c>
      <c r="CU5" t="str">
        <f>IF(OR(D5="",'Tube Cutting'!C11=""),"",IF(AND('Tube Cutting'!O11="Mag Cream",'Tube Cutting'!N11="230mm"),'Tube Cutting'!M11,""))</f>
        <v/>
      </c>
      <c r="CV5" t="str">
        <f>IF(OR(D5="",'Tube Cutting'!C11=""),"",IF(AND('Tube Cutting'!O11="Clear Beige",'Tube Cutting'!N11="230mm"),'Tube Cutting'!L11,""))</f>
        <v/>
      </c>
      <c r="CW5" t="str">
        <f>IF(OR(D5="",'Tube Cutting'!C11=""),"",IF(AND('Tube Cutting'!O11="Clear Beige",'Tube Cutting'!N11="230mm"),'Tube Cutting'!M11,""))</f>
        <v/>
      </c>
      <c r="CX5" t="str">
        <f>IF(OR(D5="",'Tube Cutting'!C11=""),"",IF(AND('Tube Cutting'!O11="White",'Tube Cutting'!N11="230mm"),'Tube Cutting'!L11,""))</f>
        <v/>
      </c>
      <c r="CY5" t="str">
        <f>IF(OR(D5="",'Tube Cutting'!C11=""),"",IF(AND('Tube Cutting'!O11="White",'Tube Cutting'!N11="230mm"),'Tube Cutting'!M11,""))</f>
        <v/>
      </c>
      <c r="CZ5" t="str">
        <f>IF(OR(D5="",'Tube Cutting'!C11=""),"",IF(AND('Tube Cutting'!O11="Shale Grey",'Tube Cutting'!N11="230mm"),'Tube Cutting'!L11,""))</f>
        <v/>
      </c>
      <c r="DA5" t="str">
        <f>IF(OR(D5="",'Tube Cutting'!C11=""),"",IF(AND('Tube Cutting'!O11="Shale Grey",'Tube Cutting'!N11="230mm"),'Tube Cutting'!M11,""))</f>
        <v/>
      </c>
      <c r="DB5" t="str">
        <f>IF(OR(D5="",'Tube Cutting'!C11=""),"",IF(AND('Tube Cutting'!O11="Black",'Tube Cutting'!N11="230mm"),'Tube Cutting'!L11,""))</f>
        <v/>
      </c>
      <c r="DC5" t="str">
        <f>IF(OR(D5="",'Tube Cutting'!C11=""),"",IF(AND('Tube Cutting'!O11="Black",'Tube Cutting'!N11="230mm"),'Tube Cutting'!M11,""))</f>
        <v/>
      </c>
      <c r="DD5" t="str">
        <f>IF(OR(D5="",'Tube Cutting'!C11=""),"",IF(AND('Tube Cutting'!O11="Monument",'Tube Cutting'!N11="230mm"),'Tube Cutting'!L11,""))</f>
        <v/>
      </c>
      <c r="DE5" t="str">
        <f>IF(OR(D5="",'Tube Cutting'!C11=""),"",IF(AND('Tube Cutting'!O11="Monument",'Tube Cutting'!N11="230mm"),'Tube Cutting'!M11,""))</f>
        <v/>
      </c>
      <c r="DF5" t="str">
        <f>IF(OR(D5="",'Tube Cutting'!C11=""),"",IF(AND('Tube Cutting'!O11="Woodland Grey",'Tube Cutting'!N11="230mm"),'Tube Cutting'!L11,""))</f>
        <v/>
      </c>
      <c r="DG5" t="str">
        <f>IF(OR(D5="",'Tube Cutting'!C11=""),"",IF(AND('Tube Cutting'!O11="Woodland Grey",'Tube Cutting'!N11="230mm"),'Tube Cutting'!M11,""))</f>
        <v/>
      </c>
      <c r="DH5" t="str">
        <f>IF(OR(D5="",'Tube Cutting'!C11=""),"",IF(AND('Tube Cutting'!O11="Surfmist",'Tube Cutting'!N11="230mm"),'Tube Cutting'!L11,""))</f>
        <v/>
      </c>
      <c r="DI5" t="str">
        <f>IF(OR(D5="",'Tube Cutting'!C11=""),"",IF(AND('Tube Cutting'!O11="Surfmist",'Tube Cutting'!N11="230mm"),'Tube Cutting'!M11,""))</f>
        <v/>
      </c>
      <c r="DJ5" t="str">
        <f>IF(OR(D5="",'Tube Cutting'!C11=""),"",IF(AND('Tube Cutting'!O11="Jasper",'Tube Cutting'!N11="230mm"),'Tube Cutting'!L11,""))</f>
        <v/>
      </c>
      <c r="DK5" t="str">
        <f>IF(OR(D5="",'Tube Cutting'!C11=""),"",IF(AND('Tube Cutting'!O11="Jasper",'Tube Cutting'!N11="230mm"),'Tube Cutting'!M11,""))</f>
        <v/>
      </c>
      <c r="DL5" t="str">
        <f>IF(OR(D5="",'Tube Cutting'!C11=""),"",IF(AND('Tube Cutting'!O11="Dune",'Tube Cutting'!N11="230mm"),'Tube Cutting'!L11,""))</f>
        <v/>
      </c>
      <c r="DM5" t="str">
        <f>IF(OR(D5="",'Tube Cutting'!C11=""),"",IF(AND('Tube Cutting'!O11="Dune",'Tube Cutting'!N11="230mm"),'Tube Cutting'!M11,""))</f>
        <v/>
      </c>
      <c r="DN5" t="str">
        <f>IF(OR(D5="",'Tube Cutting'!C11=""),"",IF(AND('Tube Cutting'!R11="Cream",'Job Sheet'!AG11="Bay Window Flashing x 1"),'Job Sheet'!BB11,IF(AND('Tube Cutting'!R11="Cream",'Job Sheet'!AG11="Bay Window Flashing x 2"),'Job Sheet'!BB11*2,"")))</f>
        <v/>
      </c>
      <c r="DO5" t="str">
        <f>IF(OR(D5="",'Tube Cutting'!C11=""),"",IF(AND('Tube Cutting'!R11="Mag",'Job Sheet'!AG11="Bay Window Flashing x 1"),'Job Sheet'!BB11,IF(AND('Tube Cutting'!R11="Mag Cream",'Job Sheet'!AG11="Bay Window Flashing x 2"),'Job Sheet'!BB11*2,"")))</f>
        <v/>
      </c>
      <c r="DP5" t="str">
        <f>IF(OR(D5="",'Tube Cutting'!C11=""),"",IF(AND('Tube Cutting'!R11="Clear Beige",'Job Sheet'!AG11="Bay Window Flashing x 1"),'Job Sheet'!BB11,IF(AND('Tube Cutting'!R11="Clear Beige",'Job Sheet'!AG11="Bay Window Flashing x 2"),'Job Sheet'!BB11*2,"")))</f>
        <v/>
      </c>
      <c r="DQ5" t="str">
        <f>IF(OR(D5="",'Tube Cutting'!C11=""),"",IF(AND('Tube Cutting'!R11="White",'Job Sheet'!AG11="Bay Window Flashing x 1"),'Job Sheet'!BB11,IF(AND('Tube Cutting'!R11="White",'Job Sheet'!AG11="Bay Window Flashing x 2"),'Job Sheet'!BB11*2,"")))</f>
        <v/>
      </c>
      <c r="DR5" t="str">
        <f>IF(OR(D5="",'Tube Cutting'!C11=""),"",IF(AND('Tube Cutting'!R11="Shale Grey",'Job Sheet'!AG11="Bay Window Flashing x 1"),'Job Sheet'!BB11,IF(AND('Tube Cutting'!R11="Shale Grey",'Job Sheet'!AG11="Bay Window Flashing x 2"),'Job Sheet'!BB11*2,"")))</f>
        <v/>
      </c>
      <c r="DS5" t="str">
        <f>IF(OR(D5="",'Tube Cutting'!C11=""),"",IF(AND('Tube Cutting'!R11="Brown",'Job Sheet'!AG11="Bay Window Flashing x 1"),'Job Sheet'!BB11,IF(AND('Tube Cutting'!R11="Brown",'Job Sheet'!AG11="Bay Window Flashing x 2"),'Job Sheet'!BB11*2,"")))</f>
        <v/>
      </c>
      <c r="DT5" t="str">
        <f>IF(OR(D5="",'Tube Cutting'!C11=""),"",IF(AND('Tube Cutting'!R11="Black",'Job Sheet'!AG11="Bay Window Flashing x 1"),'Job Sheet'!BB11,IF(AND('Tube Cutting'!R11="Black",'Job Sheet'!AG11="Bay Window Flashing x 2"),'Job Sheet'!BB11*2,"")))</f>
        <v/>
      </c>
      <c r="DU5" t="str">
        <f>IF(OR(D5="",'Tube Cutting'!C11=""),"",IF(AND('Tube Cutting'!R11="Monument",'Job Sheet'!AG11="Bay Window Flashing x 1"),'Job Sheet'!BB11,IF(AND('Tube Cutting'!R11="Monument",'Job Sheet'!AG11="Bay Window Flashing x 2"),'Job Sheet'!BB11*2,"")))</f>
        <v/>
      </c>
      <c r="DV5" t="str">
        <f>IF(OR(D5="",'Tube Cutting'!C11=""),"",IF(AND('Tube Cutting'!R11="Woodland Grey",'Job Sheet'!AG11="Bay Window Flashing x 1"),'Job Sheet'!BB11,IF(AND('Tube Cutting'!R11="Woodland Grey",'Job Sheet'!AG11="Bay Window Flashing x 2"),'Job Sheet'!BB11*2,"")))</f>
        <v/>
      </c>
      <c r="DW5" t="str">
        <f>IF(OR(D5="",'Tube Cutting'!C11=""),"",IF(AND('Tube Cutting'!R11="Surfmist",'Job Sheet'!AG11="Bay Window Flashing x 1"),'Job Sheet'!BB11,IF(AND('Tube Cutting'!R11="Surfmist",'Job Sheet'!AG11="Bay Window Flashing x 2"),'Job Sheet'!BB11*2,"")))</f>
        <v/>
      </c>
      <c r="DX5" t="str">
        <f>IF(OR(D5="",'Tube Cutting'!C11=""),"",IF(AND('Tube Cutting'!R11="Jasper",'Job Sheet'!AG11="Bay Window Flashing x 1"),'Job Sheet'!BB11,IF(AND('Tube Cutting'!R11="Jasper",'Job Sheet'!AG11="Bay Window Flashing x 2"),'Job Sheet'!BB11*2,"")))</f>
        <v/>
      </c>
      <c r="DY5" t="str">
        <f>IF(OR(D5="",'Tube Cutting'!C11=""),"",IF(AND('Tube Cutting'!R11="Dune",'Job Sheet'!AG11="Bay Window Flashing x 1"),'Job Sheet'!BB11,IF(AND('Tube Cutting'!R11="Dune",'Job Sheet'!AG11="Bay Window Flashing x 2"),'Job Sheet'!BB11*2,"")))</f>
        <v/>
      </c>
      <c r="DZ5" t="str">
        <f>IF(OR(D5="",'Tube Cutting'!C11=""),"",IF('Tube Cutting'!R11="Cream",IF(SUM('Job Sheet'!BR11:BU11)=0,"",SUM('Job Sheet'!BR11:BU11)),""))</f>
        <v/>
      </c>
      <c r="EA5" t="str">
        <f>IF(OR(D5="",'Tube Cutting'!C11=""),"",IF('Tube Cutting'!R11="Mag Cream",IF(SUM('Job Sheet'!BR11:BU11)=0,"",SUM('Job Sheet'!BR11:BU11)),""))</f>
        <v/>
      </c>
      <c r="EB5" t="str">
        <f>IF(OR(D5="",'Tube Cutting'!C11=""),"",IF('Tube Cutting'!R11="Clear Beige",IF(SUM('Job Sheet'!BR11:BU11)=0,"",SUM('Job Sheet'!BR11:BU11)),""))</f>
        <v/>
      </c>
      <c r="EC5" t="str">
        <f>IF(OR(D5="",'Tube Cutting'!C11=""),"",IF('Tube Cutting'!R11="White",IF(SUM('Job Sheet'!BR11:BU11)=0,"",SUM('Job Sheet'!BR11:BU11)),""))</f>
        <v/>
      </c>
      <c r="ED5" t="str">
        <f>IF(OR(D5="",'Tube Cutting'!C11=""),"",IF('Tube Cutting'!R11="Shale Grey",IF(SUM('Job Sheet'!BR11:BU11)=0,"",SUM('Job Sheet'!BR11:BU11)),""))</f>
        <v/>
      </c>
      <c r="EE5" t="str">
        <f>IF(OR(D5="",'Tube Cutting'!C11=""),"",IF('Tube Cutting'!R11="Brown",IF(SUM('Job Sheet'!BR11:BU11)=0,"",SUM('Job Sheet'!BR11:BU11)),""))</f>
        <v/>
      </c>
      <c r="EF5" t="str">
        <f>IF(OR(D5="",'Tube Cutting'!C11=""),"",IF('Tube Cutting'!R11="Black",IF(SUM('Job Sheet'!BR11:BU11)=0,"",SUM('Job Sheet'!BR11:BU11)),""))</f>
        <v/>
      </c>
      <c r="EG5" t="str">
        <f>IF(OR(D5="",'Tube Cutting'!C11=""),"",IF('Tube Cutting'!R11="Monument",IF(SUM('Job Sheet'!BR11:BU11)=0,"",SUM('Job Sheet'!BR11:BU11)),""))</f>
        <v/>
      </c>
      <c r="EH5" t="str">
        <f>IF(OR(D5="",'Tube Cutting'!C11=""),"",IF('Tube Cutting'!R11="Woodland Grey",IF(SUM('Job Sheet'!BR11:BU11)=0,"",SUM('Job Sheet'!BR11:BU11)),""))</f>
        <v/>
      </c>
      <c r="EI5" t="str">
        <f>IF(OR(D5="",'Tube Cutting'!C11=""),"",IF('Tube Cutting'!R11="Surfmist",IF(SUM('Job Sheet'!BR11:BU11)=0,"",SUM('Job Sheet'!BR11:BU11)),""))</f>
        <v/>
      </c>
      <c r="EJ5" t="str">
        <f>IF(OR(D5="",'Tube Cutting'!C11=""),"",IF('Tube Cutting'!R11="Jasper",IF(SUM('Job Sheet'!BR11:BU11)=0,"",SUM('Job Sheet'!BR11:BU11)),""))</f>
        <v/>
      </c>
      <c r="EK5" t="str">
        <f>IF(OR(D5="",'Tube Cutting'!C11=""),"",IF('Tube Cutting'!R11="Dune",IF(SUM('Job Sheet'!BR11:BU11)=0,"",SUM('Job Sheet'!BR11:BU11)),""))</f>
        <v/>
      </c>
      <c r="EL5" t="str">
        <f>IF(OR(D5="",'Tube Cutting'!C11=""),"",IF('Tube Cutting'!R11="Cream",IF(SUM('Job Sheet'!BV11:BY11)=0,"",SUM('Job Sheet'!BV11:BY11)),""))</f>
        <v/>
      </c>
      <c r="EM5" t="str">
        <f>IF(OR(D5="",'Tube Cutting'!C11=""),"",IF('Tube Cutting'!R11="Mag Cream",IF(SUM('Job Sheet'!BV11:BY11)=0,"",SUM('Job Sheet'!BV11:BY11)),""))</f>
        <v/>
      </c>
      <c r="EN5" t="str">
        <f>IF(OR(D5="",'Tube Cutting'!C11=""),"",IF('Tube Cutting'!R11="Clear Beige",IF(SUM('Job Sheet'!BV11:BY11)=0,"",SUM('Job Sheet'!BV11:BY11)),""))</f>
        <v/>
      </c>
      <c r="EO5" t="str">
        <f>IF(OR(D5="",'Tube Cutting'!C11=""),"",IF('Tube Cutting'!R11="White",IF(SUM('Job Sheet'!BV11:BY11)=0,"",SUM('Job Sheet'!BV11:BY11)),""))</f>
        <v/>
      </c>
      <c r="EP5" t="str">
        <f>IF(OR(D5="",'Tube Cutting'!C11=""),"",IF('Tube Cutting'!R11="Shale Grey",IF(SUM('Job Sheet'!BV11:BY11)=0,"",SUM('Job Sheet'!BV11:BY11)),""))</f>
        <v/>
      </c>
      <c r="EQ5" t="str">
        <f>IF(OR(D5="",'Tube Cutting'!C11=""),"",IF('Tube Cutting'!R11="Brown",IF(SUM('Job Sheet'!BV11:BY11)=0,"",SUM('Job Sheet'!BV11:BY11)),""))</f>
        <v/>
      </c>
      <c r="ER5" t="str">
        <f>IF(OR(D5="",'Tube Cutting'!C11=""),"",IF('Tube Cutting'!R11="Black",IF(SUM('Job Sheet'!BV11:BY11)=0,"",SUM('Job Sheet'!BV11:BY11)),""))</f>
        <v/>
      </c>
      <c r="ES5" t="str">
        <f>IF(OR(D5="",'Tube Cutting'!C11=""),"",IF('Tube Cutting'!R11="Monument",IF(SUM('Job Sheet'!BV11:BY11)=0,"",SUM('Job Sheet'!BV11:BY11)),""))</f>
        <v/>
      </c>
      <c r="ET5" t="str">
        <f>IF(OR(D5="",'Tube Cutting'!C11=""),"",IF('Tube Cutting'!R11="Woodland Grey",IF(SUM('Job Sheet'!BV11:BY11)=0,"",SUM('Job Sheet'!BV11:BY11)),""))</f>
        <v/>
      </c>
      <c r="EU5" t="str">
        <f>IF(OR(D5="",'Tube Cutting'!C11=""),"",IF('Tube Cutting'!R11="Surfmist",IF(SUM('Job Sheet'!BV11:BY11)=0,"",SUM('Job Sheet'!BV11:BY11)),""))</f>
        <v/>
      </c>
      <c r="EV5" t="str">
        <f>IF(OR(D5="",'Tube Cutting'!C11=""),"",IF('Tube Cutting'!R11="Jasper",IF(SUM('Job Sheet'!BV11:BY11)=0,"",SUM('Job Sheet'!BV11:BY11)),""))</f>
        <v/>
      </c>
      <c r="EW5" t="str">
        <f>IF(OR(D5="",'Tube Cutting'!C11=""),"",IF('Tube Cutting'!R11="Dune",IF(SUM('Job Sheet'!BV11:BY11)=0,"",SUM('Job Sheet'!BV11:BY11)),""))</f>
        <v/>
      </c>
      <c r="EX5" t="str">
        <f>IF(OR(D5="",'Tube Cutting'!C11=""),"",IF('Tube Cutting'!R11="Cream",IF(SUM('Job Sheet'!BZ11:CC11)=0,"",SUM('Job Sheet'!BZ11:CC11)),""))</f>
        <v/>
      </c>
      <c r="EY5" t="str">
        <f>IF(OR(D5="",'Tube Cutting'!C11=""),"",IF('Tube Cutting'!R11="Mag Cream",IF(SUM('Job Sheet'!BZ11:CC11)=0,"",SUM('Job Sheet'!BZ11:CC11)),""))</f>
        <v/>
      </c>
      <c r="EZ5" t="str">
        <f>IF(OR(D5="",'Tube Cutting'!C11=""),"",IF('Tube Cutting'!R11="Clear Beige",IF(SUM('Job Sheet'!BZ11:CC11)=0,"",SUM('Job Sheet'!BZ11:CC11)),""))</f>
        <v/>
      </c>
      <c r="FA5" t="str">
        <f>IF(OR(D5="",'Tube Cutting'!C11=""),"",IF('Tube Cutting'!R11="White",IF(SUM('Job Sheet'!BZ11:CC11)=0,"",SUM('Job Sheet'!BZ11:CC11)),""))</f>
        <v/>
      </c>
      <c r="FB5" t="str">
        <f>IF(OR(D5="",'Tube Cutting'!C11=""),"",IF('Tube Cutting'!R11="Shale Grey",IF(SUM('Job Sheet'!BZ11:CC11)=0,"",SUM('Job Sheet'!BZ11:CC11)),""))</f>
        <v/>
      </c>
      <c r="FC5" t="str">
        <f>IF(OR(D5="",'Tube Cutting'!C11=""),"",IF('Tube Cutting'!R11="Brown",IF(SUM('Job Sheet'!BZ11:CC11)=0,"",SUM('Job Sheet'!BZ11:CC11)),""))</f>
        <v/>
      </c>
      <c r="FD5" t="str">
        <f>IF(OR(D5="",'Tube Cutting'!C11=""),"",IF('Tube Cutting'!R11="Black",IF(SUM('Job Sheet'!BZ11:CC11)=0,"",SUM('Job Sheet'!BZ11:CC11)),""))</f>
        <v/>
      </c>
      <c r="FE5" t="str">
        <f>IF(OR(D5="",'Tube Cutting'!C11=""),"",IF('Tube Cutting'!R11="Monument",IF(SUM('Job Sheet'!BZ11:CC11)=0,"",SUM('Job Sheet'!BZ11:CC11)),""))</f>
        <v/>
      </c>
      <c r="FF5" t="str">
        <f>IF(OR(D5="",'Tube Cutting'!C11=""),"",IF('Tube Cutting'!R11="Woodland Grey",IF(SUM('Job Sheet'!BZ11:CC11)=0,"",SUM('Job Sheet'!BZ11:CC11)),""))</f>
        <v/>
      </c>
      <c r="FG5" t="str">
        <f>IF(OR(D5="",'Tube Cutting'!C11=""),"",IF('Tube Cutting'!R11="Surfmist",IF(SUM('Job Sheet'!BZ11:CC11)=0,"",SUM('Job Sheet'!BZ11:CC11)),""))</f>
        <v/>
      </c>
      <c r="FH5" t="str">
        <f>IF(OR(D5="",'Tube Cutting'!C11=""),"",IF('Tube Cutting'!R11="Jasper",IF(SUM('Job Sheet'!BZ11:CC11)=0,"",SUM('Job Sheet'!BZ11:CC11)),""))</f>
        <v/>
      </c>
      <c r="FI5" t="str">
        <f>IF(OR(D5="",'Tube Cutting'!C11=""),"",IF('Tube Cutting'!R11="Dune",IF(SUM('Job Sheet'!BZ11:CC11)=0,"",SUM('Job Sheet'!BZ11:CC11)),""))</f>
        <v/>
      </c>
      <c r="FJ5" t="str">
        <f>IF(OR(D5="",'Tube Cutting'!C11=""),"",IF('Tube Cutting'!R11="Cream",IF(SUM('Job Sheet'!BN11:BQ11)=0,"",SUM('Job Sheet'!BN11:BQ11)),""))</f>
        <v/>
      </c>
      <c r="FK5" t="str">
        <f>IF(OR(D5="",'Tube Cutting'!C11=""),"",IF('Tube Cutting'!R11="Mag Cream",IF(SUM('Job Sheet'!BN11:BQ11)=0,"",SUM('Job Sheet'!BN11:BQ11)),""))</f>
        <v/>
      </c>
      <c r="FL5" t="str">
        <f>IF(OR(D5="",'Tube Cutting'!C11=""),"",IF('Tube Cutting'!R11="Clear Beige",IF(SUM('Job Sheet'!BN11:BQ11)=0,"",SUM('Job Sheet'!BN11:BQ11)),""))</f>
        <v/>
      </c>
      <c r="FM5" t="str">
        <f>IF(OR(D5="",'Tube Cutting'!C11=""),"",IF('Tube Cutting'!R11="White",IF(SUM('Job Sheet'!BN11:BQ11)=0,"",SUM('Job Sheet'!BN11:BQ11)),""))</f>
        <v/>
      </c>
      <c r="FN5" t="str">
        <f>IF(OR(D5="",'Tube Cutting'!C11=""),"",IF('Tube Cutting'!R11="Shale Grey",IF(SUM('Job Sheet'!BN11:BQ11)=0,"",SUM('Job Sheet'!BN11:BQ11)),""))</f>
        <v/>
      </c>
      <c r="FO5" t="str">
        <f>IF(OR(D5="",'Tube Cutting'!C11=""),"",IF('Tube Cutting'!R11="Brown",IF(SUM('Job Sheet'!BN11:BQ11)=0,"",SUM('Job Sheet'!BN11:BQ11)),""))</f>
        <v/>
      </c>
      <c r="FP5" t="str">
        <f>IF(OR(D5="",'Tube Cutting'!C11=""),"",IF('Tube Cutting'!R11="Dune",IF(SUM('Job Sheet'!BN11:BQ11)=0,"",SUM('Job Sheet'!BN11:BQ11)),""))</f>
        <v/>
      </c>
      <c r="FQ5" t="str">
        <f>IF(OR(D5="",'Tube Cutting'!C11=""),"",IF('Tube Cutting'!R11="Dune",IF(SUM('Job Sheet'!BN11:BQ11)=0,"",SUM('Job Sheet'!BN11:BQ11)),""))</f>
        <v/>
      </c>
      <c r="FR5" t="str">
        <f>IF(OR(D5="",'Tube Cutting'!C11=""),"",IF('Tube Cutting'!R11="Black",IF(SUM('Job Sheet'!BN11:BQ11)=0,"",SUM('Job Sheet'!BN11:BQ11)),""))</f>
        <v/>
      </c>
      <c r="FS5" t="str">
        <f>IF(OR(D5="",'Tube Cutting'!C11=""),"",IF('Tube Cutting'!R11="Monument",IF(SUM('Job Sheet'!BN11:BQ11)=0,"",SUM('Job Sheet'!BN11:BQ11)),""))</f>
        <v/>
      </c>
      <c r="FT5" t="str">
        <f>IF(OR(D5="",'Tube Cutting'!C11=""),"",IF('Tube Cutting'!R11="Custom Powdercoat",IF(SUM('Job Sheet'!BN11:BQ11)=0,"",SUM('Job Sheet'!BN11:BQ11)),""))</f>
        <v/>
      </c>
      <c r="FU5" t="str">
        <f>IF(OR(D5="",'Tube Cutting'!C11=""),"",IF('Tube Cutting'!R11="Woodland Grey",IF(SUM('Job Sheet'!BN11:BQ11)=0,"",SUM('Job Sheet'!BN11:BQ11)),""))</f>
        <v/>
      </c>
      <c r="FV5" t="str">
        <f>IF(OR(D5="",'Tube Cutting'!C11=""),"",IF('Tube Cutting'!R11="Jasper",IF(SUM('Job Sheet'!BN11:BQ11)=0,"",SUM('Job Sheet'!BN11:BQ11)),""))</f>
        <v/>
      </c>
      <c r="FW5" t="str">
        <f>IF(OR(D5="",'Tube Cutting'!C11=""),"",IF('Tube Cutting'!R11="Surfmist",IF(SUM('Job Sheet'!BN11:BQ11)=0,"",SUM('Job Sheet'!BN11:BQ11)),""))</f>
        <v/>
      </c>
      <c r="FX5" t="str">
        <f>IF(OR(D5="",'Tube Cutting'!C11=""),"",IF('Tube Cutting'!R11="Dune",IF(SUM('Job Sheet'!BN11:BQ11)=0,"",SUM('Job Sheet'!BN11:BQ11)),""))</f>
        <v/>
      </c>
      <c r="FY5">
        <f>IF(OR(D5="",'Tube Cutting'!C11=""),"",IF(AND('Order Form'!R9="Supplied by Davidson's",'Tube Cutting'!C11&lt;&gt;""),"",'Tube Cutting'!S11))</f>
        <v>2437</v>
      </c>
      <c r="FZ5" t="str">
        <f>IF(OR(D5="",'Tube Cutting'!C11=""),"",IF(AND(Data!BN11="42mm Standard Slat",'Tube Cutting'!J11="Black"),'Tube Cutting'!I11,""))</f>
        <v/>
      </c>
      <c r="GA5" t="str">
        <f>IF(OR(D5="",'Tube Cutting'!C11=""),"",IF(AND(Data!BN11="42mm Standard Slat",'Tube Cutting'!J11="Clear Beige"),'Tube Cutting'!I11,""))</f>
        <v/>
      </c>
      <c r="GB5" t="str">
        <f>IF(OR(D5="",'Tube Cutting'!C11=""),"",IF(AND(Data!BN11="42mm Standard Slat",'Tube Cutting'!J11="Dune"),'Tube Cutting'!I11,""))</f>
        <v/>
      </c>
      <c r="GC5" t="str">
        <f>IF(OR(D5="",'Tube Cutting'!C11=""),"",IF(AND(Data!BN11="42mm Standard Slat",'Tube Cutting'!J11="Mag Cream"),'Tube Cutting'!I11,""))</f>
        <v/>
      </c>
      <c r="GD5">
        <f>IF(OR(D5="",'Tube Cutting'!C11=""),"",IF(AND(Data!BN11="42mm Standard Slat",'Tube Cutting'!J11="Monument"),'Tube Cutting'!I11,""))</f>
        <v>2445</v>
      </c>
      <c r="GE5" t="str">
        <f>IF(OR(D5="",'Tube Cutting'!C11=""),"",IF(AND(Data!BN11="42mm Standard Slat",'Tube Cutting'!J11="Shale Grey"),'Tube Cutting'!I11,""))</f>
        <v/>
      </c>
      <c r="GF5" t="str">
        <f>IF(OR(D5="",'Tube Cutting'!C11=""),"",IF(AND(Data!BN11="42mm Standard Slat",'Tube Cutting'!J11="White"),'Tube Cutting'!I11,""))</f>
        <v/>
      </c>
      <c r="GG5" t="str">
        <f>IF(OR(D5="",'Tube Cutting'!C11=""),"",IF(AND(Data!BN11="42mm Standard Slat",'Tube Cutting'!J11="Woodland Grey"),'Tube Cutting'!I11,""))</f>
        <v/>
      </c>
      <c r="GH5" t="str">
        <f>IF(OR(D5="",'Tube Cutting'!C11=""),"",IF(AND(Data!BN11="42mm Standard Slat",'Tube Cutting'!J11="Cream"),'Tube Cutting'!I11,""))</f>
        <v/>
      </c>
      <c r="GI5" t="str">
        <f>IF(OR(D5="",'Tube Cutting'!C11=""),"",IF(AND(Data!BN11="42mm Standard Slat",'Tube Cutting'!J11="Brown"),'Tube Cutting'!I11,""))</f>
        <v/>
      </c>
      <c r="GJ5" t="str">
        <f>IF(OR(D5="",'Tube Cutting'!C11=""),"",IF(AND(Data!BN11="42mm Standard Slat",'Tube Cutting'!J11="Custom Powdercoat"),'Tube Cutting'!I11,""))</f>
        <v/>
      </c>
      <c r="GK5" t="str">
        <f>IF(OR(D5="",'Tube Cutting'!C11=""),"",IF(AND(Data!BN11="42mm Standard Slat",'Tube Cutting'!J11="Surfmist"),'Tube Cutting'!I11,""))</f>
        <v/>
      </c>
      <c r="GL5" t="str">
        <f>IF(OR(D5="",'Tube Cutting'!C11=""),"",IF(AND(Data!BN11="42mm Standard Slat",'Tube Cutting'!J11="Jasper"),'Tube Cutting'!I11,""))</f>
        <v/>
      </c>
      <c r="GM5" t="str">
        <f>IF(OR(D5="",'Tube Cutting'!C11=""),"",IF('Tube Cutting'!R11="Black",('Job Sheet'!BB11*2+IF('Job Sheet'!Q11="Black",SUM('Job Sheet'!BJ11:BM11))),""))</f>
        <v/>
      </c>
      <c r="GN5" t="str">
        <f>IF(OR(D5="",'Tube Cutting'!C11=""),"",IF('Tube Cutting'!R11="Clear Beige",('Job Sheet'!BB11*2+IF('Job Sheet'!Q11="Clear Beige",SUM('Job Sheet'!BJ11:BM11))),""))</f>
        <v/>
      </c>
      <c r="GO5" t="str">
        <f>IF(OR(D5="",'Tube Cutting'!C11=""),"",IF('Tube Cutting'!R11="Dune",('Job Sheet'!BB11*2+IF('Job Sheet'!Q11="Dune",SUM('Job Sheet'!BJ11:BM11))),""))</f>
        <v/>
      </c>
      <c r="GP5" t="str">
        <f>IF(OR(D5="",'Tube Cutting'!C11=""),"",IF('Tube Cutting'!R11="Mag Cream",('Job Sheet'!BB11*2+IF('Job Sheet'!Q11="Mag Cream",SUM('Job Sheet'!BJ11:BM11))),""))</f>
        <v/>
      </c>
      <c r="GQ5">
        <f>IF(OR(D5="",'Tube Cutting'!C11=""),"",IF('Tube Cutting'!R11="Monument",('Job Sheet'!BB11*2+IF('Job Sheet'!Q11="Monument",SUM('Job Sheet'!BJ11:BM11))),""))</f>
        <v>3790</v>
      </c>
      <c r="GR5" t="str">
        <f>IF(OR(D5="",'Tube Cutting'!C11=""),"",IF('Tube Cutting'!R11="Shale Grey",('Job Sheet'!BB11*2+IF('Job Sheet'!Q11="Shale Grey",SUM('Job Sheet'!BJ11:BM11))),""))</f>
        <v/>
      </c>
      <c r="GS5" t="str">
        <f>IF(OR(D5="",'Tube Cutting'!C11=""),"",IF('Tube Cutting'!R11="White",('Job Sheet'!BB11*2+IF('Job Sheet'!Q11="White",SUM('Job Sheet'!BJ11:BM11))),""))</f>
        <v/>
      </c>
      <c r="GT5" t="str">
        <f>IF(OR(D5="",'Tube Cutting'!C11=""),"",IF('Tube Cutting'!R11="Woodland Grey",('Job Sheet'!BB11*2+IF('Job Sheet'!Q11="Woodland Grey",SUM('Job Sheet'!BJ11:BM11))),""))</f>
        <v/>
      </c>
      <c r="GU5" t="str">
        <f>IF(OR(D5="",'Tube Cutting'!C11=""),"",IF('Tube Cutting'!R11="Cream",('Job Sheet'!BB11*2+IF('Job Sheet'!Q11="Cream",SUM('Job Sheet'!BJ11:BM11))),""))</f>
        <v/>
      </c>
      <c r="GV5" t="str">
        <f>IF(OR(D5="",'Tube Cutting'!C11=""),"",IF('Tube Cutting'!R11="Brown",('Job Sheet'!BB11*2+IF('Job Sheet'!Q11="Brown",SUM('Job Sheet'!BJ11:BM11))),""))</f>
        <v/>
      </c>
      <c r="GW5" t="str">
        <f>IF(OR(D5="",'Tube Cutting'!C11=""),"",IF('Tube Cutting'!R11="Custom Powdercoat",('Job Sheet'!BB11*2+IF('Job Sheet'!Q11="Custom Powdercoat",SUM('Job Sheet'!BJ11:BM11))),""))</f>
        <v/>
      </c>
      <c r="GX5" t="str">
        <f>IF(OR(D5="",'Tube Cutting'!C11=""),"",IF('Tube Cutting'!R11="Surfmist",('Job Sheet'!BB11*2+IF('Job Sheet'!Q11="Surfmist",SUM('Job Sheet'!BJ11:BM11))),""))</f>
        <v/>
      </c>
      <c r="GY5" t="str">
        <f>IF(OR(D5="",'Tube Cutting'!C11=""),"",IF('Tube Cutting'!R11="Jasper",('Job Sheet'!BB11*2+IF('Job Sheet'!Q11="Jasper",SUM('Job Sheet'!BJ11:BM11))),""))</f>
        <v/>
      </c>
      <c r="GZ5" t="str">
        <f>IF(OR(D5="",'Tube Cutting'!C11=""),"",IF(AND('Tube Cutting'!R11="Cream",'Tube Cutting'!P11="68mm"),'Job Sheet'!BB11*2,""))</f>
        <v/>
      </c>
      <c r="HA5" t="str">
        <f>IF(OR(D5="",'Tube Cutting'!C11=""),"",IF(AND('Tube Cutting'!R11="Mag Cream",'Tube Cutting'!P11="68mm"),'Job Sheet'!BB11*2,""))</f>
        <v/>
      </c>
      <c r="HB5" t="str">
        <f>IF(OR(D5="",'Tube Cutting'!C11=""),"",IF(AND('Tube Cutting'!R11="Clear Beige",'Tube Cutting'!P11="68mm"),'Job Sheet'!BB11*2,""))</f>
        <v/>
      </c>
      <c r="HC5" t="str">
        <f>IF(OR(D5="",'Tube Cutting'!C11=""),"",IF(AND('Tube Cutting'!R11="White",'Tube Cutting'!P11="68mm"),'Job Sheet'!BB11*2,""))</f>
        <v/>
      </c>
      <c r="HD5" t="str">
        <f>IF(OR(D5="",'Tube Cutting'!C11=""),"",IF(AND('Tube Cutting'!R11="Shale Grey",'Tube Cutting'!P11="68mm"),'Job Sheet'!BB11*2,""))</f>
        <v/>
      </c>
      <c r="HE5" t="str">
        <f>IF(OR(D5="",'Tube Cutting'!C11=""),"",IF(AND('Tube Cutting'!R11="Brown",'Tube Cutting'!P11="68mm"),'Job Sheet'!BB11*2,""))</f>
        <v/>
      </c>
      <c r="HF5" t="str">
        <f>IF(OR(D5="",'Tube Cutting'!C11=""),"",IF(AND('Tube Cutting'!R11="Black",'Tube Cutting'!P11="68mm"),'Job Sheet'!BB11*2,""))</f>
        <v/>
      </c>
      <c r="HG5" t="str">
        <f>IF(OR(D5="",'Tube Cutting'!C11=""),"",IF(AND('Tube Cutting'!R11="Monument",'Tube Cutting'!P11="68mm"),'Job Sheet'!BB11*2,""))</f>
        <v/>
      </c>
      <c r="HH5" t="str">
        <f>IF(OR(D5="",'Tube Cutting'!C11=""),"",IF(AND('Tube Cutting'!R11="Custom Powdercoat",'Tube Cutting'!P11="68mm"),'Job Sheet'!BB11*2,""))</f>
        <v/>
      </c>
      <c r="HI5" t="str">
        <f>IF(OR(D5="",'Tube Cutting'!C11=""),"",IF(AND('Tube Cutting'!R11="Woodland Grey",'Tube Cutting'!P11="68mm"),'Job Sheet'!BB11*2,""))</f>
        <v/>
      </c>
      <c r="HJ5" t="str">
        <f>IF(OR(D5="",'Tube Cutting'!C11=""),"",IF(AND('Tube Cutting'!R11="Surfmist",'Tube Cutting'!P11="68mm"),'Job Sheet'!BB11*2,""))</f>
        <v/>
      </c>
      <c r="HK5" t="str">
        <f>IF(OR(D5="",'Tube Cutting'!C11=""),"",IF(AND('Tube Cutting'!R11="Jasper",'Tube Cutting'!P11="68mm"),'Job Sheet'!BB11*2,""))</f>
        <v/>
      </c>
      <c r="HL5" t="str">
        <f>IF(OR(D5="",'Tube Cutting'!C11=""),"",IF(AND('Tube Cutting'!R11="Dune",'Tube Cutting'!P11="68mm"),'Job Sheet'!BB11*2,""))</f>
        <v/>
      </c>
      <c r="HM5" t="str">
        <f>IF(OR(D5="",'Tube Cutting'!C11=""),"",IF(AND('Tube Cutting'!O11="Black",'Tube Cutting'!N11="180mm"),1,""))</f>
        <v/>
      </c>
      <c r="HN5" t="str">
        <f>IF(OR(D5="",'Tube Cutting'!C11=""),"",IF(AND('Tube Cutting'!O11="Clear Beige",'Tube Cutting'!N11="180mm"),1,""))</f>
        <v/>
      </c>
      <c r="HO5" t="str">
        <f>IF(OR(D5="",'Tube Cutting'!C11=""),"",IF(AND('Tube Cutting'!O11="Dune",'Tube Cutting'!N11="180mm"),1,""))</f>
        <v/>
      </c>
      <c r="HP5" t="str">
        <f>IF(OR(D5="",'Tube Cutting'!C11=""),"",IF(AND('Tube Cutting'!O11="Mag Cream",'Tube Cutting'!N11="180mm"),1,""))</f>
        <v/>
      </c>
      <c r="HQ5">
        <f>IF(OR(D5="",'Tube Cutting'!C11=""),"",IF(AND('Tube Cutting'!O11="Monument",'Tube Cutting'!N11="180mm"),1,""))</f>
        <v>1</v>
      </c>
      <c r="HR5" t="str">
        <f>IF(OR(D5="",'Tube Cutting'!C11=""),"",IF(AND('Tube Cutting'!O11="Shale Grey",'Tube Cutting'!N11="180mm"),1,""))</f>
        <v/>
      </c>
      <c r="HS5" t="str">
        <f>IF(OR(D5="",'Tube Cutting'!C11=""),"",IF(AND('Tube Cutting'!O11="White",'Tube Cutting'!N11="180mm"),1,""))</f>
        <v/>
      </c>
      <c r="HT5" t="str">
        <f>IF(OR(D5="",'Tube Cutting'!C11=""),"",IF(AND('Tube Cutting'!O11="Woodland Grey",'Tube Cutting'!N11="180mm"),1,""))</f>
        <v/>
      </c>
      <c r="HU5" t="str">
        <f>IF(OR(D5="",'Tube Cutting'!C11=""),"",IF(AND('Tube Cutting'!O11="Cream",'Tube Cutting'!N11="180mm"),1,""))</f>
        <v/>
      </c>
      <c r="HV5" t="str">
        <f>IF(OR(D5="",'Tube Cutting'!C11=""),"",IF(AND('Tube Cutting'!O11="Brown",'Tube Cutting'!N11="180mm"),1,""))</f>
        <v/>
      </c>
      <c r="HW5" t="str">
        <f>IF(OR(D5="",'Tube Cutting'!C11=""),"",IF(AND('Tube Cutting'!O11="Surfmist",'Tube Cutting'!N11="180mm"),1,""))</f>
        <v/>
      </c>
      <c r="HX5" t="str">
        <f>IF(OR(D5="",'Tube Cutting'!C11=""),"",IF(AND('Tube Cutting'!O11="Jasper",'Tube Cutting'!N11="180mm"),1,""))</f>
        <v/>
      </c>
      <c r="HY5" t="str">
        <f>IF(OR(E5="",'Tube Cutting'!C11=""),"",IF(AND('Tube Cutting'!O11="Red",'Tube Cutting'!N11="180mm"),1,""))</f>
        <v/>
      </c>
      <c r="HZ5" t="str">
        <f>IF(OR(D5="",'Tube Cutting'!C11=""),"",IF(AND('Tube Cutting'!O11="Black",'Tube Cutting'!N11="205mm"),1,""))</f>
        <v/>
      </c>
      <c r="IA5" t="str">
        <f>IF(OR(D5="",'Tube Cutting'!C11=""),"",IF(AND('Tube Cutting'!O11="Clear Beige",'Tube Cutting'!N11="205mm"),1,""))</f>
        <v/>
      </c>
      <c r="IB5" t="str">
        <f>IF(OR(D5="",'Tube Cutting'!C11=""),"",IF(AND('Tube Cutting'!O11="Dune",'Tube Cutting'!N11="205mm"),1,""))</f>
        <v/>
      </c>
      <c r="IC5" t="str">
        <f>IF(OR(D5="",'Tube Cutting'!C11=""),"",IF(AND('Tube Cutting'!O11="Mag Cream",'Tube Cutting'!N11="205mm"),1,""))</f>
        <v/>
      </c>
      <c r="ID5" t="str">
        <f>IF(OR(D5="",'Tube Cutting'!C11=""),"",IF(AND('Tube Cutting'!O11="Monument",'Tube Cutting'!N11="205mm"),1,""))</f>
        <v/>
      </c>
      <c r="IE5" t="str">
        <f>IF(OR(D5="",'Tube Cutting'!C11=""),"",IF(AND('Tube Cutting'!O11="Shale Grey",'Tube Cutting'!N11="205mm"),1,""))</f>
        <v/>
      </c>
      <c r="IF5" t="str">
        <f>IF(OR(D5="",'Tube Cutting'!C11=""),"",IF(AND('Tube Cutting'!O11="White",'Tube Cutting'!N11="205mm"),1,""))</f>
        <v/>
      </c>
      <c r="IG5" t="str">
        <f>IF(OR(D5="",'Tube Cutting'!C11=""),"",IF(AND('Tube Cutting'!O11="Woodland Grey",'Tube Cutting'!N11="205mm"),1,""))</f>
        <v/>
      </c>
      <c r="IH5" t="str">
        <f>IF(OR(D5="",'Tube Cutting'!C11=""),"",IF(AND('Tube Cutting'!O11="Cream",'Tube Cutting'!N11="205mm"),1,""))</f>
        <v/>
      </c>
      <c r="II5" t="str">
        <f>IF(OR(D5="",'Tube Cutting'!C11=""),"",IF(AND('Tube Cutting'!O11="Brown",'Tube Cutting'!N11="205mm"),1,""))</f>
        <v/>
      </c>
      <c r="IJ5" t="str">
        <f>IF(OR(D5="",'Tube Cutting'!C11=""),"",IF(AND('Tube Cutting'!O11="Surfmist",'Tube Cutting'!N11="205mm"),1,""))</f>
        <v/>
      </c>
      <c r="IK5" t="str">
        <f>IF(OR(D5="",'Tube Cutting'!C11=""),"",IF(AND('Tube Cutting'!O11="Jasper",'Tube Cutting'!N11="205mm"),1,""))</f>
        <v/>
      </c>
      <c r="IL5" t="str">
        <f>IF(OR(D5="",'Tube Cutting'!C11=""),"",IF(AND('Tube Cutting'!O11="Cream",'Tube Cutting'!N11="230mm"),1,""))</f>
        <v/>
      </c>
      <c r="IM5" t="str">
        <f>IF(OR(D5="",'Tube Cutting'!C11=""),"",IF(AND('Tube Cutting'!O11="Mag Cream",'Tube Cutting'!N11="230mm"),1,""))</f>
        <v/>
      </c>
      <c r="IN5" t="str">
        <f>IF(OR(D5="",'Tube Cutting'!C11=""),"",IF(AND('Tube Cutting'!O11="Clear Beige",'Tube Cutting'!N11="230mm"),1,""))</f>
        <v/>
      </c>
      <c r="IO5" t="str">
        <f>IF(OR(D5="",'Tube Cutting'!C11=""),"",IF(AND('Tube Cutting'!O11="White",'Tube Cutting'!N11="230mm"),1,""))</f>
        <v/>
      </c>
      <c r="IP5" t="str">
        <f>IF(OR(D5="",'Tube Cutting'!C11=""),"",IF(AND('Tube Cutting'!O11="Shale Grey",'Tube Cutting'!N11="230mm"),1,""))</f>
        <v/>
      </c>
      <c r="IQ5" t="str">
        <f>IF(OR(D5="",'Tube Cutting'!C11=""),"",IF(AND('Tube Cutting'!O11="Black",'Tube Cutting'!N11="230mm"),1,""))</f>
        <v/>
      </c>
      <c r="IR5" t="str">
        <f>IF(OR(D5="",'Tube Cutting'!C11=""),"",IF(AND('Tube Cutting'!O11="Monument",'Tube Cutting'!N11="230mm"),1,""))</f>
        <v/>
      </c>
      <c r="IS5" t="str">
        <f>IF(OR(D5="",'Tube Cutting'!C11=""),"",IF(AND('Tube Cutting'!O11="Woodland Grey",'Tube Cutting'!N11="230mm"),1,""))</f>
        <v/>
      </c>
      <c r="IT5" t="str">
        <f>IF(OR(D5="",'Tube Cutting'!C11=""),"",IF(AND('Tube Cutting'!O11="Surfmist",'Tube Cutting'!N11="230mm"),1,""))</f>
        <v/>
      </c>
      <c r="IU5" t="str">
        <f>IF(OR(D5="",'Tube Cutting'!C11=""),"",IF(AND('Tube Cutting'!O11="Jasper",'Tube Cutting'!N11="230mm"),1,""))</f>
        <v/>
      </c>
      <c r="IV5" t="str">
        <f>IF(OR(D5="",'Tube Cutting'!C11=""),"",IF(AND('Tube Cutting'!O11="Dune",'Tube Cutting'!N11="230mm"),1,""))</f>
        <v/>
      </c>
      <c r="IW5">
        <f>IF(OR(D5="",'Tube Cutting'!C11=""),"",IF(AND('Order Form'!R9="Supplied by Davidson's",'Tube Cutting'!C11&lt;&gt;""),"",1))</f>
        <v>1</v>
      </c>
      <c r="IX5">
        <f>IF(OR(D5="",'Tube Cutting'!C11=""),"",IF('Job Sheet'!AE11="Yes",2,""))</f>
        <v>2</v>
      </c>
      <c r="IY5" t="str">
        <f t="array" ref="IY5">IF(OR('Tube Cutting'!R11&lt;&gt;"Cream",D5=""),"",IF('Job Sheet'!J11&gt;2100,10,IF(OR(bpLOOKUP(Data!$AV11,"FIXING",CustOrdOpt,6,FALSE)="Hebel",'Job Sheet'!J11&gt;1800),8,6)))</f>
        <v/>
      </c>
      <c r="IZ5" t="str">
        <f t="array" ref="IZ5">IF(OR('Tube Cutting'!R11&lt;&gt;"Clear Beige",D5=""),"",IF('Job Sheet'!J11&gt;2100,10,IF(OR(bpLOOKUP(Data!$AV11,"FIXING",CustOrdOpt,6,FALSE)="Hebel",'Job Sheet'!J11&gt;1800),8,6)))</f>
        <v/>
      </c>
      <c r="JA5" t="str">
        <f t="array" ref="JA5">IF(OR('Tube Cutting'!R11&lt;&gt;"White",D5=""),"",IF('Job Sheet'!J11&gt;2100,10,IF(OR(bpLOOKUP(Data!$AV11,"FIXING",CustOrdOpt,6,FALSE)="Hebel",'Job Sheet'!J11&gt;1800),8,6)))</f>
        <v/>
      </c>
      <c r="JB5" t="str">
        <f t="array" ref="JB5">IF(OR('Tube Cutting'!R11&lt;&gt;"Shale Grey",D5=""),"",IF('Job Sheet'!J11&gt;2100,10,IF(OR(bpLOOKUP(Data!$AV11,"FIXING",CustOrdOpt,6,FALSE)="Hebel",'Job Sheet'!J11&gt;1800),8,6)))</f>
        <v/>
      </c>
      <c r="JC5" t="str">
        <f t="array" ref="JC5">IF(OR('Tube Cutting'!R11&lt;&gt;"Brown",D5=""),"",IF('Job Sheet'!J11&gt;2100,10,IF(OR(bpLOOKUP(Data!$AV11,"FIXING",CustOrdOpt,6,FALSE)="Hebel",'Job Sheet'!J11&gt;1800),8,6)))</f>
        <v/>
      </c>
      <c r="JD5" t="str">
        <f t="array" ref="JD5">IF(OR('Tube Cutting'!R11&lt;&gt;"Green",D5=""),"",IF('Job Sheet'!J11&gt;2100,10,IF(OR(bpLOOKUP(Data!$AV11,"FIXING",CustOrdOpt,6,FALSE)="Hebel",'Job Sheet'!J11&gt;1800),8,6)))</f>
        <v/>
      </c>
      <c r="JE5" t="str">
        <f t="array" ref="JE5">IF(OR('Tube Cutting'!R11&lt;&gt;"Red",D5=""),"",IF('Job Sheet'!J11&gt;2100,10,IF(OR(bpLOOKUP(Data!$AV11,"FIXING",CustOrdOpt,6,FALSE)="Hebel",'Job Sheet'!J11&gt;1800),8,6)))</f>
        <v/>
      </c>
      <c r="JF5" t="str">
        <f t="array" ref="JF5">IF(OR('Tube Cutting'!R11&lt;&gt;"Mag Cream",D5=""),"",IF('Job Sheet'!J11&gt;2100,10,IF(OR(bpLOOKUP(Data!$AV11,"FIXING",CustOrdOpt,6,FALSE)="Hebel",'Job Sheet'!J11&gt;1800),8,6)))</f>
        <v/>
      </c>
      <c r="JG5" t="str">
        <f t="array" ref="JG5">IF(OR('Tube Cutting'!R11&lt;&gt;"Black",D5=""),"",IF('Job Sheet'!J11&gt;2100,10,IF(OR(bpLOOKUP(Data!$AV11,"FIXING",CustOrdOpt,6,FALSE)="Hebel",'Job Sheet'!J11&gt;1800),8,6)))</f>
        <v/>
      </c>
      <c r="JH5">
        <f t="array" ref="JH5">IF(OR('Tube Cutting'!R11&lt;&gt;"Monument",D5=""),"",IF('Job Sheet'!J11&gt;2100,10,IF(OR(bpLOOKUP(Data!$AV11,"FIXING",CustOrdOpt,6,FALSE)="Hebel",'Job Sheet'!J11&gt;1800),8,6)))</f>
        <v>8</v>
      </c>
      <c r="JI5" t="str">
        <f t="array" ref="JI5">IF(OR('Tube Cutting'!R11&lt;&gt;"Deep Ocean",D5=""),"",IF('Job Sheet'!J11&gt;2100,10,IF(OR(bpLOOKUP(Data!$AV11,"FIXING",CustOrdOpt,6,FALSE)="Hebel",'Job Sheet'!J11&gt;1800),8,6)))</f>
        <v/>
      </c>
      <c r="JJ5" t="str">
        <f t="array" ref="JJ5">IF(OR('Tube Cutting'!R11&lt;&gt;"Woodland Grey",D5=""),"",IF('Job Sheet'!J11&gt;2100,10,IF(OR(bpLOOKUP(Data!$AV11,"FIXING",CustOrdOpt,6,FALSE)="Hebel",'Job Sheet'!J11&gt;1800),8,6)))</f>
        <v/>
      </c>
      <c r="JK5" t="str">
        <f t="array" ref="JK5">IF(OR('Tube Cutting'!R11&lt;&gt;"Jasper",D5=""),"",IF('Job Sheet'!J11&gt;2100,10,IF(OR(bpLOOKUP(Data!$AV11,"FIXING",CustOrdOpt,6,FALSE)="Hebel",'Job Sheet'!J11&gt;1800),8,6)))</f>
        <v/>
      </c>
      <c r="JL5" t="str">
        <f t="array" ref="JL5">IF(OR('Tube Cutting'!R11&lt;&gt;"Surfmist",D5=""),"",IF('Job Sheet'!J11&gt;2100,10,IF(OR(bpLOOKUP(Data!$AV11,"FIXING",CustOrdOpt,6,FALSE)="Hebel",'Job Sheet'!J11&gt;1800),8,6)))</f>
        <v/>
      </c>
      <c r="JM5" t="str">
        <f t="array" ref="JM5">IF(OR('Tube Cutting'!R11&lt;&gt;"Dune",D5=""),"",IF('Job Sheet'!J11&gt;2100,10,IF(OR(bpLOOKUP(Data!$AV11,"FIXING",CustOrdOpt,6,FALSE)="Hebel",'Job Sheet'!J11&gt;1800),8,6)))</f>
        <v/>
      </c>
      <c r="JN5">
        <f>IF(OR(D5="",'Tube Cutting'!C11=""),"",IF(AND('Order Form'!R9="Supplied by Davidson's",'Tube Cutting'!C11&lt;&gt;""),"",1))</f>
        <v>1</v>
      </c>
      <c r="JO5" t="str">
        <f>IF(D5="","",IF(AND('Job Sheet'!X11="Operated Outside",'Job Sheet'!Y11="Eyelot Crank Handle"),1,""))</f>
        <v/>
      </c>
      <c r="JP5" t="str">
        <f>JO5</f>
        <v/>
      </c>
      <c r="JQ5" t="str">
        <f>IF('Job Sheet'!X11="Operated Inside",1,"")</f>
        <v/>
      </c>
      <c r="JS5" t="str">
        <f>IF('Job Sheet'!X11="Operated Inside",1,"")</f>
        <v/>
      </c>
      <c r="JT5" t="str">
        <f>IF('Job Sheet'!X11="Operated Inside",1,"")</f>
        <v/>
      </c>
      <c r="JU5" t="str">
        <f>IF('Job Sheet'!X11="Operated Inside",1,"")</f>
        <v/>
      </c>
      <c r="JV5" t="str">
        <f>IF(AND('Job Sheet'!X11="Operated Outside",'Job Sheet'!Y11="Concealed Operation Crank Handle"),1,"")</f>
        <v/>
      </c>
      <c r="JW5" t="str">
        <f>IF(AND('Job Sheet'!X11="Operated Outside",'Job Sheet'!Y11="Concealed Operation Crank Handle"),1,"")</f>
        <v/>
      </c>
      <c r="JX5" t="str">
        <f>IF(AND('Job Sheet'!X11="Operated Outside",'Job Sheet'!Y11="Concealed Operation Crank Handle"),1,"")</f>
        <v/>
      </c>
      <c r="JY5" s="113">
        <f>IF(OR(D5="",'Tube Cutting'!C11=""),"",IF(AND('Order Form'!R9="Supplied by Davidson's",'Tube Cutting'!C11&lt;&gt;""),"",'Assembly(a)'!F11))</f>
        <v>46.8</v>
      </c>
      <c r="JZ5">
        <f>IF(OR(D5="",'Tube Cutting'!C11=""),"",Packing!K11)</f>
        <v>5</v>
      </c>
      <c r="KA5">
        <f>IF(OR(D5="",'Tube Cutting'!C11=""),"",IF(AND('Order Form'!R9="Supplied by Davidson's",'Tube Cutting'!C11&lt;&gt;""),"",2))</f>
        <v>2</v>
      </c>
      <c r="KB5" t="str">
        <f>IF(OR(D5="",'Tube Cutting'!C11=""),"",'Tube Cutting'!K11)</f>
        <v/>
      </c>
      <c r="KC5" t="str">
        <f>IF(Packing!T11="Corner Telescopic Bracket x 1",1,IF(Packing!T11="Corner Telescopic Bracket x 2",2,""))</f>
        <v/>
      </c>
      <c r="KD5" t="str">
        <f>IF(Packing!T11="Bay Telescopic Bracket x 1",1,IF(Packing!T11="Bay Telescopic Bracket x 2",2,""))</f>
        <v/>
      </c>
      <c r="KE5">
        <f>IF(OR(D5="",'Tube Cutting'!C11=""),"",IF('Job Sheet'!W11="Toggle Wall Switch",1,""))</f>
        <v>1</v>
      </c>
      <c r="KF5" t="str">
        <f>IF(OR(D5="",'Tube Cutting'!C11=""),"",IF(OR('Job Sheet'!Z11="UPS with No Electrician Required",'Job Sheet'!Z11="UPS with Electrician Required"),1,""))</f>
        <v/>
      </c>
      <c r="KG5" t="str">
        <f>IF(OR(Packing!C11="Too Small to be Motorised",Packing!C11="Check Motor Options"),1,"")</f>
        <v/>
      </c>
      <c r="KH5" t="str">
        <f>IF('Job Sheet'!U11="Maxim 10nm Remote Motor",1,"")</f>
        <v/>
      </c>
      <c r="KI5" t="str">
        <f>IF('Job Sheet'!U11="Maxim 20nm Remote Motor",1,"")</f>
        <v/>
      </c>
      <c r="KJ5" t="str">
        <f>IF(OR('Job Sheet'!U11="Maxim 10nm Switch Motor",'Job Sheet'!U11="Maxim 10nm Switch Motor with Inline Receiver"),1,"")</f>
        <v/>
      </c>
      <c r="KK5">
        <f>IF('Job Sheet'!U11="Maxim 20nm Switch Motor",1,"")</f>
        <v>1</v>
      </c>
      <c r="KL5" t="str">
        <f>IF(OR(D5="",'Tube Cutting'!C11=""),"",IF('Job Sheet'!W11="Maxim 1 Channel Remote",1,""))</f>
        <v/>
      </c>
      <c r="KM5" t="str">
        <f>IF(OR(D5="",'Tube Cutting'!C11=""),"",IF('Job Sheet'!W11="Maxim 6 Channel Remote",1,""))</f>
        <v/>
      </c>
      <c r="KN5" t="str">
        <f>IF(OR(D5="",'Tube Cutting'!C11=""),"",IF('Job Sheet'!W11="Maxim 16 Channel Remote",1,""))</f>
        <v/>
      </c>
      <c r="KO5" t="str">
        <f>IF(OR(D5="",'Tube Cutting'!C11=""),"",IF('Job Sheet'!W11="Maxim 1 Channel Wall Mounted Remote",1,""))</f>
        <v/>
      </c>
      <c r="KP5" t="str">
        <f>IF(OR(D5="",'Tube Cutting'!C11=""),"",IF('Job Sheet'!W11="CWP 5 Channel Wall Mounted Remote",1,""))</f>
        <v/>
      </c>
      <c r="KQ5" t="str">
        <f>IF(OR(D5="",'Tube Cutting'!C11=""),"",IF('Job Sheet'!W11="CWP 8 Channel Remote with Timer",1,""))</f>
        <v/>
      </c>
      <c r="KR5" t="str">
        <f>IF(OR(D5="",'Tube Cutting'!C11=""),"",IF('Job Sheet'!W11="CWP Key Ring Remote",1,""))</f>
        <v/>
      </c>
      <c r="KS5" t="str">
        <f>IF(OR(D5="",'Tube Cutting'!C11=""),"",IF(OR('Job Sheet'!W11="Key Switch",'Job Sheet'!W11="Key Switch &amp; Key Switch Relay"),1,""))</f>
        <v/>
      </c>
      <c r="KT5" t="str">
        <f>IF(OR(D5="",'Tube Cutting'!C11=""),"",IF(OR('Job Sheet'!W11="Key Switch Relay",'Job Sheet'!W11="Key Switch &amp; Key Switch Relay"),1,""))</f>
        <v/>
      </c>
      <c r="KU5" t="str">
        <f>IF(OR(D5="",'Tube Cutting'!C11=""),"",IF(OR('Job Sheet'!U11="CW5 10nm Short Switch Motor with Inline Receiver",'Job Sheet'!U11="Maxim 10nm Switch Motor with Inline Receiver",'Job Sheet'!U11="CWP Manual Override 30Nm Motor with Inline Receiver",'Job Sheet'!U11="CWP Manual Override 50Nm Motor with Inline Receiver"),1,""))</f>
        <v/>
      </c>
      <c r="KY5" t="str">
        <f>IF(OR('Job Sheet'!U11="CW5 10nm Short Switch Motor",'Job Sheet'!U11="CW5 10nm Short Switch Motor with Inline Receiver"),1,"")</f>
        <v/>
      </c>
      <c r="LB5" t="str">
        <f>IF(OR(D5="",'Tube Cutting'!C11=""),"",IF(OR('Job Sheet'!U11="CWP Manual Override 30Nm Motor with Inline Receiver",'Job Sheet'!U11="CWP Manual Override 30Nm Motor"),1,""))</f>
        <v/>
      </c>
      <c r="LC5" t="str">
        <f>IF(OR(D5="",'Tube Cutting'!C11=""),"",IF(OR('Job Sheet'!U11="CWP Manual Override 50Nm Motor with Inline Receiver",'Job Sheet'!U11="CWP Manual Override 50Nm Motor"),1,""))</f>
        <v/>
      </c>
      <c r="LG5" t="str">
        <f>IF('Job Sheet'!U11="L10 ODS Motor",1,"")</f>
        <v/>
      </c>
      <c r="LH5" t="str">
        <f>IF('Job Sheet'!U11="L10 ODS Motor",1,"")</f>
        <v/>
      </c>
      <c r="LI5" t="str">
        <f>IF('Job Sheet'!U11="T20 ODS Motor",1,"")</f>
        <v/>
      </c>
      <c r="LJ5" t="str">
        <f>IF(OR('Job Sheet'!U11="T20 ODS Motor",'Job Sheet'!U11="T35 ODS Motor"),1,"")</f>
        <v/>
      </c>
      <c r="LK5" t="str">
        <f>IF(OR('Job Sheet'!U11="T20 ODS Motor",'Job Sheet'!U11="T35 ODS Motor"),2,"")</f>
        <v/>
      </c>
      <c r="LL5" t="str">
        <f>IF('Job Sheet'!U11="T35 ODS Motor",1,"")</f>
        <v/>
      </c>
      <c r="LM5" t="str">
        <f>IF('Job Sheet'!W11="Controller &amp; Charger",1,"")</f>
        <v/>
      </c>
      <c r="LN5" t="str">
        <f>IF(OR('Job Sheet'!T11="12v ODS System",'Job Sheet'!T11="Firesafe 12v ODS System"),1,"")</f>
        <v/>
      </c>
      <c r="LO5" t="str">
        <f>IF(OR('Job Sheet'!W11="RF Controller &amp; Charger",'Job Sheet'!W11="RF Controller, Charger &amp; 9 Channel Remote",'Job Sheet'!W11="RF Controller, Charger &amp; Single Channel Remote",'Job Sheet'!W11="Controller &amp; Charger"),1,"")</f>
        <v/>
      </c>
      <c r="LP5" t="str">
        <f>IF(OR('Job Sheet'!W11="RF Controller &amp; Charger",'Job Sheet'!W11="RF Controller, Charger &amp; Single Channel Remote",'Job Sheet'!W11="RF Controller, Charger &amp; 9 Channel Remote"),1,"")</f>
        <v/>
      </c>
      <c r="LQ5" t="str">
        <f>IF(OR('Job Sheet'!Z11="3 Way Switch for Bay Windows",'Job Sheet'!Z11="3 Way Switch for Bay Windows with Wiring Loom"),1,"")</f>
        <v/>
      </c>
      <c r="LR5" t="str">
        <f>IF('Job Sheet'!W11="RF Controller, Charger &amp; Single Channel Remote",1,"")</f>
        <v/>
      </c>
      <c r="LS5" t="str">
        <f>IF('Job Sheet'!W11="RF Controller, Charger &amp; 9 Channel Remote",1,"")</f>
        <v/>
      </c>
      <c r="LT5" t="str">
        <f>IF(OR('Job Sheet'!Z11="Wiring Loom Extension",'Job Sheet'!Z11="3 Way Switch for Bay Windows with Wiring Loom"),1,"")</f>
        <v/>
      </c>
      <c r="LU5" t="str">
        <f>IF('Job Sheet'!U11="Acmeda External 15nm Remote Motor",1,"")</f>
        <v/>
      </c>
      <c r="LV5" t="str">
        <f>IF('Job Sheet'!U11="Acmeda External 30nm Remote Motor",1,"")</f>
        <v/>
      </c>
      <c r="LW5" t="str">
        <f>IF('Job Sheet'!U11="Acmeda External 50nm Remote Motor",1,"")</f>
        <v/>
      </c>
      <c r="LX5" t="str">
        <f>IF(OR('Job Sheet'!U11="Acmeda External 15nm Remote Motor",'Job Sheet'!U11="Acmeda External 15nm Remote Motor"),1,"")</f>
        <v/>
      </c>
      <c r="LY5" t="str">
        <f>IF(OR('Job Sheet'!U11="Acmeda External 15nm Remote Motor",'Job Sheet'!U11="Acmeda External 15nm Remote Motor"),1,"")</f>
        <v/>
      </c>
      <c r="MC5" t="str">
        <f>IF(OR('Job Sheet'!Z11="Pulse 2.0 Automation Hub",'Job Sheet'!Z11="Pulse Pro Automation Hub"),1,"")</f>
        <v/>
      </c>
      <c r="MD5" t="str">
        <f>IF('Job Sheet'!Z11="1 Channel Dry Contact Relay Module",1,"")</f>
        <v/>
      </c>
      <c r="ME5" t="str">
        <f>IF('Job Sheet'!Z11="USB Repeater",1,"")</f>
        <v/>
      </c>
      <c r="MF5" t="str">
        <f>IF('Job Sheet'!W11="Acmeda 1 Channel White Remote",1,"")</f>
        <v/>
      </c>
      <c r="MG5" t="str">
        <f>IF('Job Sheet'!W11="Acmeda 1 Channel Black Remote",1,"")</f>
        <v/>
      </c>
      <c r="MH5" t="str">
        <f>IF('Job Sheet'!W11="Acmeda 5 Channel White Remote",1,"")</f>
        <v/>
      </c>
      <c r="MI5" t="str">
        <f>IF('Job Sheet'!W11="Acmeda 5 Channel Black Remote",1,"")</f>
        <v/>
      </c>
      <c r="MJ5" t="str">
        <f>IF('Job Sheet'!W11="Acmeda 15 Channel White Remote",1,"")</f>
        <v/>
      </c>
      <c r="MK5" t="str">
        <f>IF('Job Sheet'!W11="Acmeda 15 Channel Black Remote",1,"")</f>
        <v/>
      </c>
      <c r="ML5" t="str">
        <f>IF('Job Sheet'!W11="Acmeda Wall Mounted Single Channel White Remote",1,"")</f>
        <v/>
      </c>
      <c r="MM5" t="str">
        <f>IF('Job Sheet'!W11="Acmeda Wall Mounted 5 Channel White Remote",1,"")</f>
        <v/>
      </c>
      <c r="MN5" t="str">
        <f>IF('Job Sheet'!W11="Acmeda Wall Mounted 15 Channel White Remote",1,"")</f>
        <v/>
      </c>
      <c r="MO5" t="str">
        <f>IF('Job Sheet'!W11="Acmeda Push Pro White Remote with Charger",1,"")</f>
        <v/>
      </c>
      <c r="MP5" t="str">
        <f>IF('Job Sheet'!X11="Acmeda Push Pro Black Remote with Charger",1,"")</f>
        <v/>
      </c>
      <c r="MQ5" t="str">
        <f>IF(OR('Job Sheet'!X11="Acmeda Push Pro White Remote with Charger",'Job Sheet'!X11="Acmeda Push Pro Black Remote with Charger"),"1","")</f>
        <v/>
      </c>
      <c r="MR5" t="str">
        <f>MQ5</f>
        <v/>
      </c>
      <c r="NE5" t="str">
        <f>IF('Job Sheet'!U11="Somfy Altus 50 RTS 6/17",1,"")</f>
        <v/>
      </c>
      <c r="NF5" t="str">
        <f>IF('Job Sheet'!U11="Somfy Altus 50 RTS 10/17",1,"")</f>
        <v/>
      </c>
      <c r="NG5" t="str">
        <f>IF('Job Sheet'!U11="Somfy Altus 50 RTS 15/17",1,"")</f>
        <v/>
      </c>
      <c r="NH5" t="str">
        <f>IF('Job Sheet'!U11="Somfy Altus 50 RTS 25/17",1,"")</f>
        <v/>
      </c>
      <c r="NI5" t="str">
        <f>IF('Job Sheet'!U11="Somfy Orea 50 WT 40/17",1,"")</f>
        <v/>
      </c>
      <c r="NJ5" t="str">
        <f>IF(SUM(NE5:NI5)=1,1,"")</f>
        <v/>
      </c>
      <c r="NK5" t="str">
        <f>IF(SUM(NE5:NI5)=1,1,"")</f>
        <v/>
      </c>
      <c r="NL5" t="str">
        <f>IF(SUM(NE5:NI5)=1,1,"")</f>
        <v/>
      </c>
      <c r="NM5" t="str">
        <f>IF('Job Sheet'!Z11="Connexoon App Connector",1,"")</f>
        <v/>
      </c>
      <c r="NN5" t="str">
        <f>IF('Job Sheet'!Z11="Tahoma Switch",1,"")</f>
        <v/>
      </c>
      <c r="NO5" t="str">
        <f>IF('Job Sheet'!W11="Somfy Single Channel Silver Remote",1,"")</f>
        <v/>
      </c>
      <c r="NP5" t="str">
        <f>IF('Job Sheet'!W11="Somfy Single Channel White Remote",1,"")</f>
        <v/>
      </c>
      <c r="NQ5" t="str">
        <f>IF('Job Sheet'!W11="Somfy 2 Channel Silver Remote",1,"")</f>
        <v/>
      </c>
      <c r="NR5" t="str">
        <f>IF('Job Sheet'!W11="Somfy 2 Channel White Remote",1,"")</f>
        <v/>
      </c>
      <c r="NS5" t="str">
        <f>IF('Job Sheet'!W11="Somfy 5 Channel Silver Remote",1,"")</f>
        <v/>
      </c>
      <c r="NT5" t="str">
        <f>IF('Job Sheet'!W11="Somfy 5 Channel White Remote",1,"")</f>
        <v/>
      </c>
      <c r="NU5" t="str">
        <f>IF('Job Sheet'!W11="Somfy 15 Channel Silver Remote",1,"")</f>
        <v/>
      </c>
      <c r="NV5" t="str">
        <f>IF('Job Sheet'!W11="Somfy 15 Channel White Remote",1,"")</f>
        <v/>
      </c>
      <c r="NW5" t="str">
        <f>IF('Job Sheet'!W11="Somfy Single Channel Wall Mounted Smoove Remote White with Black Cover Plate",1,"")</f>
        <v/>
      </c>
      <c r="NX5" t="str">
        <f>IF('Job Sheet'!W11="Somfy Single Channel Wall Mounted Smoove Remote White with Silver Cover Plate",1,"")</f>
        <v/>
      </c>
      <c r="NY5" t="str">
        <f>IF('Job Sheet'!W11="Somfy Single Channel Wall Mounted Smoove Remote White",1,"")</f>
        <v/>
      </c>
      <c r="NZ5" t="str">
        <f>IF('Job Sheet'!W11="Somfy 2 Channel Wall Mounted Smoove Remote White with Black Cover Plate",1,"")</f>
        <v/>
      </c>
      <c r="OA5" t="str">
        <f>IF('Job Sheet'!W11="Somfy 2 Channel Wall Mounted Smoove Remote White with Silver Cover Plate",1,"")</f>
        <v/>
      </c>
      <c r="OB5" t="str">
        <f>IF('Job Sheet'!W11="Somfy 2 Channel Wall Mounted Smoove Remote White",1,"")</f>
        <v/>
      </c>
      <c r="OC5" t="str">
        <f>IF('Job Sheet'!W11="Somfy 5 Channel Wall Mounted Smoove Remote White with Black Cover Plate",1,"")</f>
        <v/>
      </c>
      <c r="OD5" t="str">
        <f>IF('Job Sheet'!W11="Somfy 5 Channel Wall Mounted Smoove Remote White with Silver Cover Plate",1,"")</f>
        <v/>
      </c>
      <c r="OE5" t="str">
        <f>IF('Job Sheet'!W11="Somfy 5 Channel Wall Mounted Smoove Remote White",1,"")</f>
        <v/>
      </c>
    </row>
    <row r="6" spans="4:395" ht="13.2" customHeight="1">
      <c r="D6" t="str">
        <f>IF(Data!AV12="","",IF(OR('Order Form'!R10="Supplied by Davidson's",SUM(NE6:NI6)&lt;&gt;0),CONCATENATE(Data!BC$5,".",Data!BD$5),IF(AND('Order Form'!R10&lt;&gt;"Supplied by Davidson's",'Tube Cutting'!C12=""),"",CONCATENATE(Data!BC$5,".",Data!BD$5))))</f>
        <v>11804.C</v>
      </c>
      <c r="E6">
        <f>IF(D6="","",Data!AW12)</f>
        <v>2</v>
      </c>
      <c r="F6" t="str">
        <f>IF(D6="","",Data!AV12)</f>
        <v>d91e2e08-46d1-4eb3-ad8f-997f01acb0f6</v>
      </c>
      <c r="G6" t="str">
        <f t="shared" si="0" ref="G6:G14">IF(D6="","","Roller Shutters")</f>
        <v>Roller Shutters</v>
      </c>
      <c r="H6" t="str">
        <f>IF(D6="","",Data!BF$5)</f>
        <v>Crow, Tahlia</v>
      </c>
      <c r="I6" t="str">
        <f>IF(D6="","",Data!AX$5)</f>
        <v>Roller Shutters</v>
      </c>
      <c r="J6" s="116" t="str">
        <f>IF(OR(D6="",'Tube Cutting'!C12=""),"",IF(AND(Data!BN12="42mm Standard Slat",Data!BO12="Black"),'Tube Cutting'!C12*'Tube Cutting'!D12/5800,IF(AND(Data!BN12="42mm Standard Slat",'Tube Cutting'!H12="Black"),'Tube Cutting'!C12*'Tube Cutting'!G12/5800,"")))</f>
        <v/>
      </c>
      <c r="K6" s="116" t="str">
        <f>IF(OR(D6="",'Tube Cutting'!C12=""),"",IF(AND(Data!BN12="42mm Standard Slat",Data!BO12="Clear Beige"),'Tube Cutting'!C12*'Tube Cutting'!D12/5800,IF(AND(Data!BN12="42mm Standard Slat",'Tube Cutting'!H12="Clear Beige"),'Tube Cutting'!C12*'Tube Cutting'!G12/5800,"")))</f>
        <v/>
      </c>
      <c r="L6" s="116" t="str">
        <f>IF(OR(D6="",'Tube Cutting'!C12=""),"",IF(AND(Data!BN12="42mm Standard Slat",Data!BO12="Dune"),'Tube Cutting'!C12*'Tube Cutting'!D12/5800,IF(AND(Data!BN12="42mm Standard Slat",'Tube Cutting'!H12="Dune"),'Tube Cutting'!C12*'Tube Cutting'!G12/5800,"")))</f>
        <v/>
      </c>
      <c r="M6" s="116" t="str">
        <f>IF(OR(D6="",'Tube Cutting'!C12=""),"",IF(AND(Data!BN12="42mm Standard Slat",Data!BO12="Mag Cream"),'Tube Cutting'!C12*'Tube Cutting'!D12/5800,IF(AND(Data!BN12="42mm Standard Slat",'Tube Cutting'!H12="Mag Cream"),'Tube Cutting'!C12*'Tube Cutting'!G12/5800,"")))</f>
        <v/>
      </c>
      <c r="N6" s="116">
        <f>IF(OR(D6="",'Tube Cutting'!C12=""),"",IF(AND(Data!BN12="42mm Standard Slat",Data!BO12="Monument"),'Tube Cutting'!C12*'Tube Cutting'!D12/5800,IF(AND(Data!BN12="42mm Standard Slat",'Tube Cutting'!H12="Monument"),'Tube Cutting'!C12*'Tube Cutting'!G12/5800,"")))</f>
        <v>8.68726896551724</v>
      </c>
      <c r="O6" s="116" t="str">
        <f>IF(OR(D6="",'Tube Cutting'!C12=""),"",IF(AND(Data!BN12="42mm Standard Slat",Data!BO12="Shale Grey"),'Tube Cutting'!C12*'Tube Cutting'!D12/5800,IF(AND(Data!BN12="42mm Standard Slat",'Tube Cutting'!H12="Shale Grey"),'Tube Cutting'!C12*'Tube Cutting'!G12/5800,"")))</f>
        <v/>
      </c>
      <c r="P6" s="116" t="str">
        <f>IF(OR(D6="",'Tube Cutting'!C12=""),"",IF(AND(Data!BN12="42mm Standard Slat",Data!BO12="White"),'Tube Cutting'!C12*'Tube Cutting'!D12/5800,IF(AND(Data!BN12="42mm Standard Slat",'Tube Cutting'!H12="White"),'Tube Cutting'!C12*'Tube Cutting'!G12/5800,"")))</f>
        <v/>
      </c>
      <c r="Q6" s="116" t="str">
        <f>IF(OR(D6="",'Tube Cutting'!C12=""),"",IF(AND(Data!BN12="42mm Standard Slat",Data!BO12="Woodland Grey"),'Tube Cutting'!C12*'Tube Cutting'!D12/5800,IF(AND(Data!BN12="42mm Standard Slat",'Tube Cutting'!H12="Woodland Grey"),'Tube Cutting'!C12*'Tube Cutting'!G12/5800,"")))</f>
        <v/>
      </c>
      <c r="R6" s="116" t="str">
        <f>IF(OR(D6="",'Tube Cutting'!C12=""),"",IF(AND(Data!BN12="42mm Standard Slat",Data!BO12="Cream"),'Tube Cutting'!C12*'Tube Cutting'!D12/5800,IF(AND(Data!BN12="42mm Standard Slat",'Tube Cutting'!H12="Cream"),'Tube Cutting'!C12*'Tube Cutting'!G12/5800,"")))</f>
        <v/>
      </c>
      <c r="S6" s="116" t="str">
        <f>IF(OR(D6="",'Tube Cutting'!C12=""),"",IF(AND(Data!BN12="42mm Standard Slat",Data!BO12="Brown"),'Tube Cutting'!C12*'Tube Cutting'!D12/5800,IF(AND(Data!BN12="42mm Standard Slat",'Tube Cutting'!H12="Brown"),'Tube Cutting'!C12*'Tube Cutting'!G12/5800,"")))</f>
        <v/>
      </c>
      <c r="T6" s="116" t="str">
        <f>IF(OR(D6="",'Tube Cutting'!C12=""),"",IF(AND(Data!BN12="42mm Standard Slat",Data!BO12="Beige"),'Tube Cutting'!C12*'Tube Cutting'!D12/5800,IF(AND(Data!BN12="42mm Standard Slat",'Tube Cutting'!H12="Beige"),'Tube Cutting'!C12*'Tube Cutting'!G12/5800,"")))</f>
        <v/>
      </c>
      <c r="U6" s="116" t="str">
        <f>IF(OR(D6="",'Tube Cutting'!C12=""),"",IF(AND(Data!BN12="42mm Standard Slat",Data!BO12="Green"),'Tube Cutting'!C12*'Tube Cutting'!D12/5800,IF(AND(Data!BN12="42mm Standard Slat",'Tube Cutting'!H12="Green"),'Tube Cutting'!C12*'Tube Cutting'!G12/5800,"")))</f>
        <v/>
      </c>
      <c r="V6" s="116" t="str">
        <f>IF(OR(D6="",'Tube Cutting'!C12=""),"",IF(AND(Data!BN12="42mm Standard Slat",Data!BO12="Red"),'Tube Cutting'!C12*'Tube Cutting'!D12/5800,IF(AND(Data!BN12="42mm Standard Slat",'Tube Cutting'!H12="Red"),'Tube Cutting'!C12*'Tube Cutting'!G12/5800,"")))</f>
        <v/>
      </c>
      <c r="W6" s="116" t="str">
        <f>IF(OR(D6="",'Tube Cutting'!C12=""),"",IF(AND(Data!BN12="42mm Standard Slat",Data!BO12="Bronze"),'Tube Cutting'!C12*'Tube Cutting'!D12/5800,IF(AND(Data!BN12="42mm Standard Slat",'Tube Cutting'!H12="Bronze"),'Tube Cutting'!C12*'Tube Cutting'!G12/5800,"")))</f>
        <v/>
      </c>
      <c r="X6" s="116" t="str">
        <f>IF(OR(D6="",'Tube Cutting'!C12=""),"",IF(AND(Data!BN12="42mm Standard Slat",Data!BO12="Silver"),'Tube Cutting'!C12*'Tube Cutting'!D12/5800,IF(AND(Data!BN12="42mm Standard Slat",'Tube Cutting'!H12="Silver"),'Tube Cutting'!C12*'Tube Cutting'!G12/5800,"")))</f>
        <v/>
      </c>
      <c r="Y6" s="116" t="str">
        <f>IF(OR(D6="",'Tube Cutting'!C12=""),"",IF(AND(Data!BN12="42mm Standard Slat",Data!BO12="Deep Ocean Blue"),'Tube Cutting'!C12*'Tube Cutting'!D12/5800,IF(AND(Data!BN12="42mm Standard Slat",'Tube Cutting'!H12="Deep Ocean Blue"),'Tube Cutting'!C12*'Tube Cutting'!G12/5800,"")))</f>
        <v/>
      </c>
      <c r="Z6" s="116" t="str">
        <f>IF(OR(D6="",'Tube Cutting'!C12=""),"",IF(AND(Data!BN12="42mm Standard Slat",Data!BO12="Jasper"),'Tube Cutting'!C12*'Tube Cutting'!D12/5800,IF(AND(Data!BN12="42mm Standard Slat",'Tube Cutting'!H12="Jasper"),'Tube Cutting'!C12*'Tube Cutting'!G12/5800,"")))</f>
        <v/>
      </c>
      <c r="AA6" s="116" t="str">
        <f>IF(OR(D6="",'Tube Cutting'!C12=""),"",IF(AND(Data!BN12="42mm Standard Slat",Data!BO12="Surfmist"),'Tube Cutting'!C12*'Tube Cutting'!D12/5800,IF(AND(Data!BN12="42mm Standard Slat",'Tube Cutting'!H12="Surfmist"),'Tube Cutting'!C12*'Tube Cutting'!G12/5800,"")))</f>
        <v/>
      </c>
      <c r="AB6" s="116" t="str">
        <f>IF(OR(D6="",'Tube Cutting'!C12=""),"",IF('Tube Cutting'!H12="Black Unperforated",'Tube Cutting'!G12*'Tube Cutting'!C12/5800,IF(AND(OR(Data!BN12="42mm Standard Slat",Data!BN12="42mm Unperforated Slat"),Data!BO12="Black"),('Tube Cutting'!C12*'Tube Cutting'!E12/1000)/5.8,"")))</f>
        <v/>
      </c>
      <c r="AC6" s="116" t="str">
        <f>IF(OR(D6="",'Tube Cutting'!C12=""),"",IF('Tube Cutting'!H12="Clear Beige Unperforated",'Tube Cutting'!G12*'Tube Cutting'!C12/5800,IF(AND(OR(Data!BN12="42mm Standard Slat",Data!BN12="42mm Unperforated Slat"),Data!BO12="Clear Beige"),('Tube Cutting'!C12*'Tube Cutting'!E12/1000)/5.8,"")))</f>
        <v/>
      </c>
      <c r="AD6" s="116" t="str">
        <f>IF(OR(D6="",'Tube Cutting'!C12=""),"",IF('Tube Cutting'!H12="Dune Unperforated",'Tube Cutting'!G12*'Tube Cutting'!C12/5800,IF(AND(OR(Data!BN12="42mm Standard Slat",Data!BN12="42mm Unperforated Slat"),Data!BO12="Dune"),('Tube Cutting'!C12*'Tube Cutting'!E12/1000)/5.8,"")))</f>
        <v/>
      </c>
      <c r="AE6" s="116" t="str">
        <f>IF(OR(D6="",'Tube Cutting'!C12=""),"",IF('Tube Cutting'!H12="Mag Cream Unperforated",'Tube Cutting'!G12*'Tube Cutting'!C12/5800,IF(AND(OR(Data!BN12="42mm Standard Slat",Data!BN12="42mm Unperforated Slat"),Data!BO12="Mag Cream"),('Tube Cutting'!C12*'Tube Cutting'!E12/1000)/5.8,"")))</f>
        <v/>
      </c>
      <c r="AF6" s="116">
        <f>IF(OR(D6="",'Tube Cutting'!C12=""),"",IF('Tube Cutting'!H12="Monument Unperforated",'Tube Cutting'!G12*'Tube Cutting'!C12/5800,IF(AND(OR(Data!BN12="42mm Standard Slat",Data!BN12="42mm Unperforated Slat"),Data!BO12="Monument"),('Tube Cutting'!C12*'Tube Cutting'!E12/1000)/5.8,"")))</f>
        <v>1.59224137931034</v>
      </c>
      <c r="AG6" s="116" t="str">
        <f>IF(OR(D6="",'Tube Cutting'!C12=""),"",IF('Tube Cutting'!H12="Shale Grey Unperforated",'Tube Cutting'!G12*'Tube Cutting'!C12/5800,IF(AND(OR(Data!BN12="42mm Standard Slat",Data!BN12="42mm Unperforated Slat"),Data!BO12="Shale Grey"),('Tube Cutting'!C12*'Tube Cutting'!E12/1000)/5.8,"")))</f>
        <v/>
      </c>
      <c r="AH6" s="116" t="str">
        <f>IF(OR(D6="",'Tube Cutting'!C12=""),"",IF('Tube Cutting'!H12="White Unperforated",'Tube Cutting'!G12*'Tube Cutting'!C12/5800,IF(AND(OR(Data!BN12="42mm Standard Slat",Data!BN12="42mm Unperforated Slat"),Data!BO12="White"),('Tube Cutting'!C12*'Tube Cutting'!E12/1000)/5.8,"")))</f>
        <v/>
      </c>
      <c r="AI6" s="116" t="str">
        <f>IF(OR(D6="",'Tube Cutting'!C12=""),"",IF('Tube Cutting'!H12="Woodland Grey Unperforated",'Tube Cutting'!G12*'Tube Cutting'!C12/5800,IF(AND(OR(Data!BN12="42mm Standard Slat",Data!BN12="42mm Unperforated Slat"),Data!BO12="Woodland Grey"),('Tube Cutting'!C12*'Tube Cutting'!E12/1000)/5.8,"")))</f>
        <v/>
      </c>
      <c r="AJ6" s="116" t="str">
        <f>IF(OR(D6="",'Tube Cutting'!C12=""),"",IF('Tube Cutting'!H12="Cream Unperforated",'Tube Cutting'!G12*'Tube Cutting'!C12/5800,IF(AND(OR(Data!BN12="42mm Standard Slat",Data!BN12="42mm Unperforated Slat"),Data!BO12="Cream"),('Tube Cutting'!C12*'Tube Cutting'!E12/1000)/5.8,"")))</f>
        <v/>
      </c>
      <c r="AK6" s="116" t="str">
        <f>IF(OR(D6="",'Tube Cutting'!C12=""),"",IF('Tube Cutting'!H12="Brown Unperforated",'Tube Cutting'!G12*'Tube Cutting'!C12/5800,IF(AND(OR(Data!BN12="42mm Standard Slat",Data!BN12="42mm Unperforated Slat"),Data!BO12="Brown"),('Tube Cutting'!C12*'Tube Cutting'!E12/1000)/5.8,"")))</f>
        <v/>
      </c>
      <c r="AL6" s="116" t="str">
        <f>IF(OR(D6="",'Tube Cutting'!C12=""),"",IF('Tube Cutting'!H12="Beige Unperforated",'Tube Cutting'!G12*'Tube Cutting'!C12/5800,IF(AND(OR(Data!BN12="42mm Standard Slat",Data!BN12="42mm Unperforated Slat"),Data!BO12="Beige"),('Tube Cutting'!C12*'Tube Cutting'!E12/1000)/5.8,"")))</f>
        <v/>
      </c>
      <c r="AM6" s="116" t="str">
        <f>IF(OR(D6="",'Tube Cutting'!C12=""),"",IF('Tube Cutting'!H12="Green Unperforated",'Tube Cutting'!G12*'Tube Cutting'!C12/5800,IF(AND(OR(Data!BN12="42mm Standard Slat",Data!BN12="42mm Unperforated Slat"),Data!BO12="Green"),('Tube Cutting'!C12*'Tube Cutting'!E12/1000)/5.8,"")))</f>
        <v/>
      </c>
      <c r="AN6" s="116" t="str">
        <f>IF(OR(D6="",'Tube Cutting'!C12=""),"",IF('Tube Cutting'!H12="Red Unperforated",'Tube Cutting'!G12*'Tube Cutting'!C12/5800,IF(AND(OR(Data!BN12="42mm Standard Slat",Data!BN12="42mm Unperforated Slat"),Data!BO12="Red"),('Tube Cutting'!C12*'Tube Cutting'!E12/1000)/5.8,"")))</f>
        <v/>
      </c>
      <c r="AO6" s="116" t="str">
        <f>IF(OR(D6="",'Tube Cutting'!C12=""),"",IF('Tube Cutting'!H12="Bronze Unperforated",'Tube Cutting'!G12*'Tube Cutting'!C12/5800,IF(AND(OR(Data!BN12="42mm Standard Slat",Data!BN12="42mm Unperforated Slat"),Data!BO12="Bronze"),('Tube Cutting'!C12*'Tube Cutting'!E12/1000)/5.8,"")))</f>
        <v/>
      </c>
      <c r="AP6" s="116" t="str">
        <f>IF(OR(D6="",'Tube Cutting'!C12=""),"",IF('Tube Cutting'!H12="Silver Unperforated",'Tube Cutting'!G12*'Tube Cutting'!C12/5800,IF(AND(OR(Data!BN12="42mm Standard Slat",Data!BN12="42mm Unperforated Slat"),Data!BO12="Silver"),('Tube Cutting'!C12*'Tube Cutting'!E12/1000)/5.8,"")))</f>
        <v/>
      </c>
      <c r="AQ6" s="116" t="str">
        <f>IF(OR(D6="",'Tube Cutting'!C12=""),"",IF('Tube Cutting'!H12="Deep Ocean Unperforated",'Tube Cutting'!G12*'Tube Cutting'!C12/5800,IF(AND(OR(Data!BN12="42mm Standard Slat",Data!BN12="42mm Unperforated Slat"),Data!BO12="Deep Ocean"),('Tube Cutting'!C12*'Tube Cutting'!E12/1000)/5.8,"")))</f>
        <v/>
      </c>
      <c r="AR6" s="116" t="str">
        <f>IF(OR(D6="",'Tube Cutting'!C12=""),"",IF('Tube Cutting'!H12="Jasper Unperforated",'Tube Cutting'!G12*'Tube Cutting'!C12/5800,IF(AND(OR(Data!BN12="42mm Standard Slat",Data!BN12="42mm Unperforated Slat"),Data!BO12="Jasper"),('Tube Cutting'!C12*'Tube Cutting'!E12/1000)/5.8,"")))</f>
        <v/>
      </c>
      <c r="AS6" s="116" t="str">
        <f>IF(OR(D6="",'Tube Cutting'!C12=""),"",IF('Tube Cutting'!H12="Surfmist Unperforated",'Tube Cutting'!G12*'Tube Cutting'!C12/5800,IF(AND(OR(Data!BN12="42mm Standard Slat",Data!BN12="42mm Unperforated Slat"),Data!BO12="Surfmist"),('Tube Cutting'!C12*'Tube Cutting'!E12/1000)/5.8,"")))</f>
        <v/>
      </c>
      <c r="AT6" t="str">
        <f>IF(OR(D6="",'Tube Cutting'!C12=""),"",IF(AND('Tube Cutting'!O12="Black",'Tube Cutting'!N12="180mm"),'Tube Cutting'!L12,""))</f>
        <v/>
      </c>
      <c r="AU6" t="str">
        <f>IF(OR(D6="",'Tube Cutting'!C12=""),"",IF(AND('Tube Cutting'!O12="Black",'Tube Cutting'!N12="180mm"),'Tube Cutting'!M12,""))</f>
        <v/>
      </c>
      <c r="AV6" t="str">
        <f>IF(OR(D6="",'Tube Cutting'!C12=""),"",IF(AND('Tube Cutting'!O12="Clear Beige",'Tube Cutting'!N12="180mm"),'Tube Cutting'!L12,""))</f>
        <v/>
      </c>
      <c r="AW6" t="str">
        <f>IF(OR(D6="",'Tube Cutting'!C12=""),"",IF(AND('Tube Cutting'!O12="Clear Beige",'Tube Cutting'!N12="180mm"),'Tube Cutting'!M12,""))</f>
        <v/>
      </c>
      <c r="AX6" t="str">
        <f>IF(OR(D6="",'Tube Cutting'!C12=""),"",IF(AND('Tube Cutting'!O12="Dune",'Tube Cutting'!N12="180mm"),'Tube Cutting'!L12,""))</f>
        <v/>
      </c>
      <c r="AY6" t="str">
        <f>IF(OR(D6="",'Tube Cutting'!C12=""),"",IF(AND('Tube Cutting'!O12="Dune",'Tube Cutting'!N12="180mm"),'Tube Cutting'!M12,""))</f>
        <v/>
      </c>
      <c r="AZ6" t="str">
        <f>IF(OR(D6="",'Tube Cutting'!C12=""),"",IF(AND('Tube Cutting'!O12="Mag Cream",'Tube Cutting'!N12="180mm"),'Tube Cutting'!L12,""))</f>
        <v/>
      </c>
      <c r="BA6" t="str">
        <f>IF(OR(D6="",'Tube Cutting'!C12=""),"",IF(AND('Tube Cutting'!O12="Mag Cream",'Tube Cutting'!N12="180mm"),'Tube Cutting'!M12,""))</f>
        <v/>
      </c>
      <c r="BB6">
        <f>IF(OR(D6="",'Tube Cutting'!C12=""),"",IF(AND('Tube Cutting'!O12="Monument",'Tube Cutting'!N12="180mm"),'Tube Cutting'!L12,""))</f>
        <v>1909</v>
      </c>
      <c r="BC6">
        <f>IF(OR(D6="",'Tube Cutting'!C12=""),"",IF(AND('Tube Cutting'!O12="Monument",'Tube Cutting'!N12="180mm"),'Tube Cutting'!M12,""))</f>
        <v>1909</v>
      </c>
      <c r="BD6" t="str">
        <f>IF(OR(D6="",'Tube Cutting'!C12=""),"",IF(AND('Tube Cutting'!O12="Shale Grey",'Tube Cutting'!N12="180mm"),'Tube Cutting'!L12,""))</f>
        <v/>
      </c>
      <c r="BE6" t="str">
        <f>IF(OR(D6="",'Tube Cutting'!C12=""),"",IF(AND('Tube Cutting'!O12="Shale Grey",'Tube Cutting'!N12="180mm"),'Tube Cutting'!M12,""))</f>
        <v/>
      </c>
      <c r="BF6" t="str">
        <f>IF(OR(D6="",'Tube Cutting'!C12=""),"",IF(AND('Tube Cutting'!O12="White",'Tube Cutting'!N12="180mm"),'Tube Cutting'!L12,""))</f>
        <v/>
      </c>
      <c r="BG6" t="str">
        <f>IF(OR(D6="",'Tube Cutting'!C12=""),"",IF(AND('Tube Cutting'!O12="White",'Tube Cutting'!N12="180mm"),'Tube Cutting'!M12,""))</f>
        <v/>
      </c>
      <c r="BH6" t="str">
        <f>IF(OR(D6="",'Tube Cutting'!C12=""),"",IF(AND('Tube Cutting'!O12="Woodland Grey",'Tube Cutting'!N12="180mm"),'Tube Cutting'!L12,""))</f>
        <v/>
      </c>
      <c r="BI6" t="str">
        <f>IF(OR(D6="",'Tube Cutting'!C12=""),"",IF(AND('Tube Cutting'!O12="Woodland Grey",'Tube Cutting'!N12="180mm"),'Tube Cutting'!M12,""))</f>
        <v/>
      </c>
      <c r="BJ6" t="str">
        <f>IF(OR(D6="",'Tube Cutting'!C12=""),"",IF(AND('Tube Cutting'!O12="Cream",'Tube Cutting'!N12="180mm"),'Tube Cutting'!L12,""))</f>
        <v/>
      </c>
      <c r="BK6" t="str">
        <f>IF(OR(D6="",'Tube Cutting'!C12=""),"",IF(AND('Tube Cutting'!O12="Cream",'Tube Cutting'!N12="180mm"),'Tube Cutting'!M12,""))</f>
        <v/>
      </c>
      <c r="BL6" t="str">
        <f>IF(OR(D6="",'Tube Cutting'!C12=""),"",IF(AND('Tube Cutting'!O12="Brown",'Tube Cutting'!N12="180mm"),'Tube Cutting'!L12,""))</f>
        <v/>
      </c>
      <c r="BM6" t="str">
        <f>IF(OR(D6="",'Tube Cutting'!C12=""),"",IF(AND('Tube Cutting'!O12="Brown",'Tube Cutting'!N12="180mm"),'Tube Cutting'!M12,""))</f>
        <v/>
      </c>
      <c r="BN6" t="str">
        <f>IF(OR(D6="",'Tube Cutting'!C12=""),"",IF(AND('Tube Cutting'!O12="Surfmist",'Tube Cutting'!N12="180mm"),'Tube Cutting'!L12,""))</f>
        <v/>
      </c>
      <c r="BO6" t="str">
        <f>IF(OR(D6="",'Tube Cutting'!C12=""),"",IF(AND('Tube Cutting'!O12="Surfmist",'Tube Cutting'!N12="180mm"),'Tube Cutting'!M12,""))</f>
        <v/>
      </c>
      <c r="BP6" t="str">
        <f>IF(OR(D6="",'Tube Cutting'!C12=""),"",IF(AND('Tube Cutting'!O12="Jasper",'Tube Cutting'!N12="180mm"),'Tube Cutting'!L12,""))</f>
        <v/>
      </c>
      <c r="BQ6" t="str">
        <f>IF(OR(D6="",'Tube Cutting'!C12=""),"",IF(AND('Tube Cutting'!O12="Jasper",'Tube Cutting'!N12="180mm"),'Tube Cutting'!M12,""))</f>
        <v/>
      </c>
      <c r="BR6" t="str">
        <f>IF(OR(E6="",'Tube Cutting'!D12=""),"",IF(AND('Tube Cutting'!O12="Red",'Tube Cutting'!N12="180mm"),'Tube Cutting'!L12,""))</f>
        <v/>
      </c>
      <c r="BS6" t="str">
        <f>IF(OR(E6="",'Tube Cutting'!D12=""),"",IF(AND('Tube Cutting'!O12="Red",'Tube Cutting'!N12="180mm"),'Tube Cutting'!M12,""))</f>
        <v/>
      </c>
      <c r="BT6" t="str">
        <f>IF(OR(D6="",'Tube Cutting'!C12=""),"",IF(AND('Tube Cutting'!O12="Black",'Tube Cutting'!N12="205mm"),'Tube Cutting'!L12,""))</f>
        <v/>
      </c>
      <c r="BU6" t="str">
        <f>IF(OR(D6="",'Tube Cutting'!C12=""),"",IF(AND('Tube Cutting'!O12="Black",'Tube Cutting'!N12="205mm"),'Tube Cutting'!M12,""))</f>
        <v/>
      </c>
      <c r="BV6" t="str">
        <f>IF(OR(D6="",'Tube Cutting'!C12=""),"",IF(AND('Tube Cutting'!O12="Clear Beige",'Tube Cutting'!N12="205mm"),'Tube Cutting'!L12,""))</f>
        <v/>
      </c>
      <c r="BW6" t="str">
        <f>IF(OR(D6="",'Tube Cutting'!C12=""),"",IF(AND('Tube Cutting'!O12="Clear Beige",'Tube Cutting'!N12="205mm"),'Tube Cutting'!M12,""))</f>
        <v/>
      </c>
      <c r="BX6" t="str">
        <f>IF(OR(D6="",'Tube Cutting'!C12=""),"",IF(AND('Tube Cutting'!O12="Dune",'Tube Cutting'!N12="205mm"),'Tube Cutting'!L12,""))</f>
        <v/>
      </c>
      <c r="BY6" t="str">
        <f>IF(OR(D6="",'Tube Cutting'!C12=""),"",IF(AND('Tube Cutting'!O12="Dune",'Tube Cutting'!N12="205mm"),'Tube Cutting'!M12,""))</f>
        <v/>
      </c>
      <c r="BZ6" t="str">
        <f>IF(OR(D6="",'Tube Cutting'!C12=""),"",IF(AND('Tube Cutting'!O12="Mag Cream",'Tube Cutting'!N12="205mm"),'Tube Cutting'!L12,""))</f>
        <v/>
      </c>
      <c r="CA6" t="str">
        <f>IF(OR(D6="",'Tube Cutting'!C12=""),"",IF(AND('Tube Cutting'!O12="Mag Cream",'Tube Cutting'!N12="205mm"),'Tube Cutting'!M12,""))</f>
        <v/>
      </c>
      <c r="CB6" t="str">
        <f>IF(OR(D6="",'Tube Cutting'!C12=""),"",IF(AND('Tube Cutting'!O12="Monument",'Tube Cutting'!N12="205mm"),'Tube Cutting'!L12,""))</f>
        <v/>
      </c>
      <c r="CC6" t="str">
        <f>IF(OR(D6="",'Tube Cutting'!C12=""),"",IF(AND('Tube Cutting'!O12="Monument",'Tube Cutting'!N12="205mm"),'Tube Cutting'!M12,""))</f>
        <v/>
      </c>
      <c r="CD6" t="str">
        <f>IF(OR(D6="",'Tube Cutting'!C12=""),"",IF(AND('Tube Cutting'!O12="Shale Grey",'Tube Cutting'!N12="205mm"),'Tube Cutting'!L12,""))</f>
        <v/>
      </c>
      <c r="CE6" t="str">
        <f>IF(OR(D6="",'Tube Cutting'!C12=""),"",IF(AND('Tube Cutting'!O12="Shale Grey",'Tube Cutting'!N12="205mm"),'Tube Cutting'!M12,""))</f>
        <v/>
      </c>
      <c r="CF6" t="str">
        <f>IF(OR(D6="",'Tube Cutting'!C12=""),"",IF(AND('Tube Cutting'!O12="White",'Tube Cutting'!N12="205mm"),'Tube Cutting'!L12,""))</f>
        <v/>
      </c>
      <c r="CG6" t="str">
        <f>IF(OR(D6="",'Tube Cutting'!C12=""),"",IF(AND('Tube Cutting'!O12="White",'Tube Cutting'!N12="205mm"),'Tube Cutting'!M12,""))</f>
        <v/>
      </c>
      <c r="CH6" t="str">
        <f>IF(OR(D6="",'Tube Cutting'!C12=""),"",IF(AND('Tube Cutting'!O12="Woodland Grey",'Tube Cutting'!N12="205mm"),'Tube Cutting'!L12,""))</f>
        <v/>
      </c>
      <c r="CI6" t="str">
        <f>IF(OR(D6="",'Tube Cutting'!C12=""),"",IF(AND('Tube Cutting'!O12="Woodland Grey",'Tube Cutting'!N12="205mm"),'Tube Cutting'!M12,""))</f>
        <v/>
      </c>
      <c r="CJ6" t="str">
        <f>IF(OR(D6="",'Tube Cutting'!C12=""),"",IF(AND('Tube Cutting'!O12="Cream",'Tube Cutting'!N12="205mm"),'Tube Cutting'!L12,""))</f>
        <v/>
      </c>
      <c r="CK6" t="str">
        <f>IF(OR(D6="",'Tube Cutting'!C12=""),"",IF(AND('Tube Cutting'!O12="Cream",'Tube Cutting'!N12="205mm"),'Tube Cutting'!M12,""))</f>
        <v/>
      </c>
      <c r="CL6" t="str">
        <f>IF(OR(D6="",'Tube Cutting'!C12=""),"",IF(AND('Tube Cutting'!O12="Brown",'Tube Cutting'!N12="205mm"),'Tube Cutting'!L12,""))</f>
        <v/>
      </c>
      <c r="CM6" t="str">
        <f>IF(OR(D6="",'Tube Cutting'!C12=""),"",IF(AND('Tube Cutting'!O12="Brown",'Tube Cutting'!N12="205mm"),'Tube Cutting'!M12,""))</f>
        <v/>
      </c>
      <c r="CN6" t="str">
        <f>IF(OR(D6="",'Tube Cutting'!C12=""),"",IF(AND('Tube Cutting'!O12="Surfmist",'Tube Cutting'!N12="205mm"),'Tube Cutting'!L12,""))</f>
        <v/>
      </c>
      <c r="CO6" t="str">
        <f>IF(OR(D6="",'Tube Cutting'!C12=""),"",IF(AND('Tube Cutting'!O12="Surfmist",'Tube Cutting'!N12="205mm"),'Tube Cutting'!M12,""))</f>
        <v/>
      </c>
      <c r="CP6" t="str">
        <f>IF(OR(D6="",'Tube Cutting'!C12=""),"",IF(AND('Tube Cutting'!O12="Jasper",'Tube Cutting'!N12="205mm"),'Tube Cutting'!L12,""))</f>
        <v/>
      </c>
      <c r="CQ6" t="str">
        <f>IF(OR(D6="",'Tube Cutting'!C12=""),"",IF(AND('Tube Cutting'!O12="Jasper",'Tube Cutting'!N12="205mm"),'Tube Cutting'!M12,""))</f>
        <v/>
      </c>
      <c r="CR6" t="str">
        <f>IF(OR(D6="",'Tube Cutting'!C12=""),"",IF(AND('Tube Cutting'!O12="Cream",'Tube Cutting'!N12="230mm"),'Tube Cutting'!L12,""))</f>
        <v/>
      </c>
      <c r="CS6" t="str">
        <f>IF(OR(D6="",'Tube Cutting'!C12=""),"",IF(AND('Tube Cutting'!O12="Cream",'Tube Cutting'!N12="230mm"),'Tube Cutting'!M12,""))</f>
        <v/>
      </c>
      <c r="CT6" t="str">
        <f>IF(OR(D6="",'Tube Cutting'!C12=""),"",IF(AND('Tube Cutting'!O12="Mag Cream",'Tube Cutting'!N12="230mm"),'Tube Cutting'!L12,""))</f>
        <v/>
      </c>
      <c r="CU6" t="str">
        <f>IF(OR(D6="",'Tube Cutting'!C12=""),"",IF(AND('Tube Cutting'!O12="Mag Cream",'Tube Cutting'!N12="230mm"),'Tube Cutting'!M12,""))</f>
        <v/>
      </c>
      <c r="CV6" t="str">
        <f>IF(OR(D6="",'Tube Cutting'!C12=""),"",IF(AND('Tube Cutting'!O12="Clear Beige",'Tube Cutting'!N12="230mm"),'Tube Cutting'!L12,""))</f>
        <v/>
      </c>
      <c r="CW6" t="str">
        <f>IF(OR(D6="",'Tube Cutting'!C12=""),"",IF(AND('Tube Cutting'!O12="Clear Beige",'Tube Cutting'!N12="230mm"),'Tube Cutting'!M12,""))</f>
        <v/>
      </c>
      <c r="CX6" t="str">
        <f>IF(OR(D6="",'Tube Cutting'!C12=""),"",IF(AND('Tube Cutting'!O12="White",'Tube Cutting'!N12="230mm"),'Tube Cutting'!L12,""))</f>
        <v/>
      </c>
      <c r="CY6" t="str">
        <f>IF(OR(D6="",'Tube Cutting'!C12=""),"",IF(AND('Tube Cutting'!O12="White",'Tube Cutting'!N12="230mm"),'Tube Cutting'!M12,""))</f>
        <v/>
      </c>
      <c r="CZ6" t="str">
        <f>IF(OR(D6="",'Tube Cutting'!C12=""),"",IF(AND('Tube Cutting'!O12="Shale Grey",'Tube Cutting'!N12="230mm"),'Tube Cutting'!L12,""))</f>
        <v/>
      </c>
      <c r="DA6" t="str">
        <f>IF(OR(D6="",'Tube Cutting'!C12=""),"",IF(AND('Tube Cutting'!O12="Shale Grey",'Tube Cutting'!N12="230mm"),'Tube Cutting'!M12,""))</f>
        <v/>
      </c>
      <c r="DB6" t="str">
        <f>IF(OR(D6="",'Tube Cutting'!C12=""),"",IF(AND('Tube Cutting'!O12="Black",'Tube Cutting'!N12="230mm"),'Tube Cutting'!L12,""))</f>
        <v/>
      </c>
      <c r="DC6" t="str">
        <f>IF(OR(D6="",'Tube Cutting'!C12=""),"",IF(AND('Tube Cutting'!O12="Black",'Tube Cutting'!N12="230mm"),'Tube Cutting'!M12,""))</f>
        <v/>
      </c>
      <c r="DD6" t="str">
        <f>IF(OR(D6="",'Tube Cutting'!C12=""),"",IF(AND('Tube Cutting'!O12="Monument",'Tube Cutting'!N12="230mm"),'Tube Cutting'!L12,""))</f>
        <v/>
      </c>
      <c r="DE6" t="str">
        <f>IF(OR(D6="",'Tube Cutting'!C12=""),"",IF(AND('Tube Cutting'!O12="Monument",'Tube Cutting'!N12="230mm"),'Tube Cutting'!M12,""))</f>
        <v/>
      </c>
      <c r="DF6" t="str">
        <f>IF(OR(D6="",'Tube Cutting'!C12=""),"",IF(AND('Tube Cutting'!O12="Woodland Grey",'Tube Cutting'!N12="230mm"),'Tube Cutting'!L12,""))</f>
        <v/>
      </c>
      <c r="DG6" t="str">
        <f>IF(OR(D6="",'Tube Cutting'!C12=""),"",IF(AND('Tube Cutting'!O12="Woodland Grey",'Tube Cutting'!N12="230mm"),'Tube Cutting'!M12,""))</f>
        <v/>
      </c>
      <c r="DH6" t="str">
        <f>IF(OR(D6="",'Tube Cutting'!C12=""),"",IF(AND('Tube Cutting'!O12="Surfmist",'Tube Cutting'!N12="230mm"),'Tube Cutting'!L12,""))</f>
        <v/>
      </c>
      <c r="DI6" t="str">
        <f>IF(OR(D6="",'Tube Cutting'!C12=""),"",IF(AND('Tube Cutting'!O12="Surfmist",'Tube Cutting'!N12="230mm"),'Tube Cutting'!M12,""))</f>
        <v/>
      </c>
      <c r="DJ6" t="str">
        <f>IF(OR(D6="",'Tube Cutting'!C12=""),"",IF(AND('Tube Cutting'!O12="Jasper",'Tube Cutting'!N12="230mm"),'Tube Cutting'!L12,""))</f>
        <v/>
      </c>
      <c r="DK6" t="str">
        <f>IF(OR(D6="",'Tube Cutting'!C12=""),"",IF(AND('Tube Cutting'!O12="Jasper",'Tube Cutting'!N12="230mm"),'Tube Cutting'!M12,""))</f>
        <v/>
      </c>
      <c r="DL6" t="str">
        <f>IF(OR(D6="",'Tube Cutting'!C12=""),"",IF(AND('Tube Cutting'!O12="Dune",'Tube Cutting'!N12="230mm"),'Tube Cutting'!L12,""))</f>
        <v/>
      </c>
      <c r="DM6" t="str">
        <f>IF(OR(D6="",'Tube Cutting'!C12=""),"",IF(AND('Tube Cutting'!O12="Dune",'Tube Cutting'!N12="230mm"),'Tube Cutting'!M12,""))</f>
        <v/>
      </c>
      <c r="DN6" t="str">
        <f>IF(OR(D6="",'Tube Cutting'!C12=""),"",IF(AND('Tube Cutting'!R12="Cream",'Job Sheet'!AG12="Bay Window Flashing x 1"),'Job Sheet'!BB12,IF(AND('Tube Cutting'!R12="Cream",'Job Sheet'!AG12="Bay Window Flashing x 2"),'Job Sheet'!BB12*2,"")))</f>
        <v/>
      </c>
      <c r="DO6" t="str">
        <f>IF(OR(D6="",'Tube Cutting'!C12=""),"",IF(AND('Tube Cutting'!R12="Mag",'Job Sheet'!AG12="Bay Window Flashing x 1"),'Job Sheet'!BB12,IF(AND('Tube Cutting'!R12="Mag Cream",'Job Sheet'!AG12="Bay Window Flashing x 2"),'Job Sheet'!BB12*2,"")))</f>
        <v/>
      </c>
      <c r="DP6" t="str">
        <f>IF(OR(D6="",'Tube Cutting'!C12=""),"",IF(AND('Tube Cutting'!R12="Clear Beige",'Job Sheet'!AG12="Bay Window Flashing x 1"),'Job Sheet'!BB12,IF(AND('Tube Cutting'!R12="Clear Beige",'Job Sheet'!AG12="Bay Window Flashing x 2"),'Job Sheet'!BB12*2,"")))</f>
        <v/>
      </c>
      <c r="DQ6" t="str">
        <f>IF(OR(D6="",'Tube Cutting'!C12=""),"",IF(AND('Tube Cutting'!R12="White",'Job Sheet'!AG12="Bay Window Flashing x 1"),'Job Sheet'!BB12,IF(AND('Tube Cutting'!R12="White",'Job Sheet'!AG12="Bay Window Flashing x 2"),'Job Sheet'!BB12*2,"")))</f>
        <v/>
      </c>
      <c r="DR6" t="str">
        <f>IF(OR(D6="",'Tube Cutting'!C12=""),"",IF(AND('Tube Cutting'!R12="Shale Grey",'Job Sheet'!AG12="Bay Window Flashing x 1"),'Job Sheet'!BB12,IF(AND('Tube Cutting'!R12="Shale Grey",'Job Sheet'!AG12="Bay Window Flashing x 2"),'Job Sheet'!BB12*2,"")))</f>
        <v/>
      </c>
      <c r="DS6" t="str">
        <f>IF(OR(D6="",'Tube Cutting'!C12=""),"",IF(AND('Tube Cutting'!R12="Brown",'Job Sheet'!AG12="Bay Window Flashing x 1"),'Job Sheet'!BB12,IF(AND('Tube Cutting'!R12="Brown",'Job Sheet'!AG12="Bay Window Flashing x 2"),'Job Sheet'!BB12*2,"")))</f>
        <v/>
      </c>
      <c r="DT6" t="str">
        <f>IF(OR(D6="",'Tube Cutting'!C12=""),"",IF(AND('Tube Cutting'!R12="Black",'Job Sheet'!AG12="Bay Window Flashing x 1"),'Job Sheet'!BB12,IF(AND('Tube Cutting'!R12="Black",'Job Sheet'!AG12="Bay Window Flashing x 2"),'Job Sheet'!BB12*2,"")))</f>
        <v/>
      </c>
      <c r="DU6" t="str">
        <f>IF(OR(D6="",'Tube Cutting'!C12=""),"",IF(AND('Tube Cutting'!R12="Monument",'Job Sheet'!AG12="Bay Window Flashing x 1"),'Job Sheet'!BB12,IF(AND('Tube Cutting'!R12="Monument",'Job Sheet'!AG12="Bay Window Flashing x 2"),'Job Sheet'!BB12*2,"")))</f>
        <v/>
      </c>
      <c r="DV6" t="str">
        <f>IF(OR(D6="",'Tube Cutting'!C12=""),"",IF(AND('Tube Cutting'!R12="Woodland Grey",'Job Sheet'!AG12="Bay Window Flashing x 1"),'Job Sheet'!BB12,IF(AND('Tube Cutting'!R12="Woodland Grey",'Job Sheet'!AG12="Bay Window Flashing x 2"),'Job Sheet'!BB12*2,"")))</f>
        <v/>
      </c>
      <c r="DW6" t="str">
        <f>IF(OR(D6="",'Tube Cutting'!C12=""),"",IF(AND('Tube Cutting'!R12="Surfmist",'Job Sheet'!AG12="Bay Window Flashing x 1"),'Job Sheet'!BB12,IF(AND('Tube Cutting'!R12="Surfmist",'Job Sheet'!AG12="Bay Window Flashing x 2"),'Job Sheet'!BB12*2,"")))</f>
        <v/>
      </c>
      <c r="DX6" t="str">
        <f>IF(OR(D6="",'Tube Cutting'!C12=""),"",IF(AND('Tube Cutting'!R12="Jasper",'Job Sheet'!AG12="Bay Window Flashing x 1"),'Job Sheet'!BB12,IF(AND('Tube Cutting'!R12="Jasper",'Job Sheet'!AG12="Bay Window Flashing x 2"),'Job Sheet'!BB12*2,"")))</f>
        <v/>
      </c>
      <c r="DY6" t="str">
        <f>IF(OR(D6="",'Tube Cutting'!C12=""),"",IF(AND('Tube Cutting'!R12="Dune",'Job Sheet'!AG12="Bay Window Flashing x 1"),'Job Sheet'!BB12,IF(AND('Tube Cutting'!R12="Dune",'Job Sheet'!AG12="Bay Window Flashing x 2"),'Job Sheet'!BB12*2,"")))</f>
        <v/>
      </c>
      <c r="DZ6" t="str">
        <f>IF(OR(D6="",'Tube Cutting'!C12=""),"",IF('Tube Cutting'!R12="Cream",IF(SUM('Job Sheet'!BR12:BU12)=0,"",SUM('Job Sheet'!BR12:BU12)),""))</f>
        <v/>
      </c>
      <c r="EA6" t="str">
        <f>IF(OR(D6="",'Tube Cutting'!C12=""),"",IF('Tube Cutting'!R12="Mag Cream",IF(SUM('Job Sheet'!BR12:BU12)=0,"",SUM('Job Sheet'!BR12:BU12)),""))</f>
        <v/>
      </c>
      <c r="EB6" t="str">
        <f>IF(OR(D6="",'Tube Cutting'!C12=""),"",IF('Tube Cutting'!R12="Clear Beige",IF(SUM('Job Sheet'!BR12:BU12)=0,"",SUM('Job Sheet'!BR12:BU12)),""))</f>
        <v/>
      </c>
      <c r="EC6" t="str">
        <f>IF(OR(D6="",'Tube Cutting'!C12=""),"",IF('Tube Cutting'!R12="White",IF(SUM('Job Sheet'!BR12:BU12)=0,"",SUM('Job Sheet'!BR12:BU12)),""))</f>
        <v/>
      </c>
      <c r="ED6" t="str">
        <f>IF(OR(D6="",'Tube Cutting'!C12=""),"",IF('Tube Cutting'!R12="Shale Grey",IF(SUM('Job Sheet'!BR12:BU12)=0,"",SUM('Job Sheet'!BR12:BU12)),""))</f>
        <v/>
      </c>
      <c r="EE6" t="str">
        <f>IF(OR(D6="",'Tube Cutting'!C12=""),"",IF('Tube Cutting'!R12="Brown",IF(SUM('Job Sheet'!BR12:BU12)=0,"",SUM('Job Sheet'!BR12:BU12)),""))</f>
        <v/>
      </c>
      <c r="EF6" t="str">
        <f>IF(OR(D6="",'Tube Cutting'!C12=""),"",IF('Tube Cutting'!R12="Black",IF(SUM('Job Sheet'!BR12:BU12)=0,"",SUM('Job Sheet'!BR12:BU12)),""))</f>
        <v/>
      </c>
      <c r="EG6" t="str">
        <f>IF(OR(D6="",'Tube Cutting'!C12=""),"",IF('Tube Cutting'!R12="Monument",IF(SUM('Job Sheet'!BR12:BU12)=0,"",SUM('Job Sheet'!BR12:BU12)),""))</f>
        <v/>
      </c>
      <c r="EH6" t="str">
        <f>IF(OR(D6="",'Tube Cutting'!C12=""),"",IF('Tube Cutting'!R12="Woodland Grey",IF(SUM('Job Sheet'!BR12:BU12)=0,"",SUM('Job Sheet'!BR12:BU12)),""))</f>
        <v/>
      </c>
      <c r="EI6" t="str">
        <f>IF(OR(D6="",'Tube Cutting'!C12=""),"",IF('Tube Cutting'!R12="Surfmist",IF(SUM('Job Sheet'!BR12:BU12)=0,"",SUM('Job Sheet'!BR12:BU12)),""))</f>
        <v/>
      </c>
      <c r="EJ6" t="str">
        <f>IF(OR(D6="",'Tube Cutting'!C12=""),"",IF('Tube Cutting'!R12="Jasper",IF(SUM('Job Sheet'!BR12:BU12)=0,"",SUM('Job Sheet'!BR12:BU12)),""))</f>
        <v/>
      </c>
      <c r="EK6" t="str">
        <f>IF(OR(D6="",'Tube Cutting'!C12=""),"",IF('Tube Cutting'!R12="Dune",IF(SUM('Job Sheet'!BR12:BU12)=0,"",SUM('Job Sheet'!BR12:BU12)),""))</f>
        <v/>
      </c>
      <c r="EL6" t="str">
        <f>IF(OR(D6="",'Tube Cutting'!C12=""),"",IF('Tube Cutting'!R12="Cream",IF(SUM('Job Sheet'!BV12:BY12)=0,"",SUM('Job Sheet'!BV12:BY12)),""))</f>
        <v/>
      </c>
      <c r="EM6" t="str">
        <f>IF(OR(D6="",'Tube Cutting'!C12=""),"",IF('Tube Cutting'!R12="Mag Cream",IF(SUM('Job Sheet'!BV12:BY12)=0,"",SUM('Job Sheet'!BV12:BY12)),""))</f>
        <v/>
      </c>
      <c r="EN6" t="str">
        <f>IF(OR(D6="",'Tube Cutting'!C12=""),"",IF('Tube Cutting'!R12="Clear Beige",IF(SUM('Job Sheet'!BV12:BY12)=0,"",SUM('Job Sheet'!BV12:BY12)),""))</f>
        <v/>
      </c>
      <c r="EO6" t="str">
        <f>IF(OR(D6="",'Tube Cutting'!C12=""),"",IF('Tube Cutting'!R12="White",IF(SUM('Job Sheet'!BV12:BY12)=0,"",SUM('Job Sheet'!BV12:BY12)),""))</f>
        <v/>
      </c>
      <c r="EP6" t="str">
        <f>IF(OR(D6="",'Tube Cutting'!C12=""),"",IF('Tube Cutting'!R12="Shale Grey",IF(SUM('Job Sheet'!BV12:BY12)=0,"",SUM('Job Sheet'!BV12:BY12)),""))</f>
        <v/>
      </c>
      <c r="EQ6" t="str">
        <f>IF(OR(D6="",'Tube Cutting'!C12=""),"",IF('Tube Cutting'!R12="Brown",IF(SUM('Job Sheet'!BV12:BY12)=0,"",SUM('Job Sheet'!BV12:BY12)),""))</f>
        <v/>
      </c>
      <c r="ER6" t="str">
        <f>IF(OR(D6="",'Tube Cutting'!C12=""),"",IF('Tube Cutting'!R12="Black",IF(SUM('Job Sheet'!BV12:BY12)=0,"",SUM('Job Sheet'!BV12:BY12)),""))</f>
        <v/>
      </c>
      <c r="ES6" t="str">
        <f>IF(OR(D6="",'Tube Cutting'!C12=""),"",IF('Tube Cutting'!R12="Monument",IF(SUM('Job Sheet'!BV12:BY12)=0,"",SUM('Job Sheet'!BV12:BY12)),""))</f>
        <v/>
      </c>
      <c r="ET6" t="str">
        <f>IF(OR(D6="",'Tube Cutting'!C12=""),"",IF('Tube Cutting'!R12="Woodland Grey",IF(SUM('Job Sheet'!BV12:BY12)=0,"",SUM('Job Sheet'!BV12:BY12)),""))</f>
        <v/>
      </c>
      <c r="EU6" t="str">
        <f>IF(OR(D6="",'Tube Cutting'!C12=""),"",IF('Tube Cutting'!R12="Surfmist",IF(SUM('Job Sheet'!BV12:BY12)=0,"",SUM('Job Sheet'!BV12:BY12)),""))</f>
        <v/>
      </c>
      <c r="EV6" t="str">
        <f>IF(OR(D6="",'Tube Cutting'!C12=""),"",IF('Tube Cutting'!R12="Jasper",IF(SUM('Job Sheet'!BV12:BY12)=0,"",SUM('Job Sheet'!BV12:BY12)),""))</f>
        <v/>
      </c>
      <c r="EW6" t="str">
        <f>IF(OR(D6="",'Tube Cutting'!C12=""),"",IF('Tube Cutting'!R12="Dune",IF(SUM('Job Sheet'!BV12:BY12)=0,"",SUM('Job Sheet'!BV12:BY12)),""))</f>
        <v/>
      </c>
      <c r="EX6" t="str">
        <f>IF(OR(D6="",'Tube Cutting'!C12=""),"",IF('Tube Cutting'!R12="Cream",IF(SUM('Job Sheet'!BZ12:CC12)=0,"",SUM('Job Sheet'!BZ12:CC12)),""))</f>
        <v/>
      </c>
      <c r="EY6" t="str">
        <f>IF(OR(D6="",'Tube Cutting'!C12=""),"",IF('Tube Cutting'!R12="Mag Cream",IF(SUM('Job Sheet'!BZ12:CC12)=0,"",SUM('Job Sheet'!BZ12:CC12)),""))</f>
        <v/>
      </c>
      <c r="EZ6" t="str">
        <f>IF(OR(D6="",'Tube Cutting'!C12=""),"",IF('Tube Cutting'!R12="Clear Beige",IF(SUM('Job Sheet'!BZ12:CC12)=0,"",SUM('Job Sheet'!BZ12:CC12)),""))</f>
        <v/>
      </c>
      <c r="FA6" t="str">
        <f>IF(OR(D6="",'Tube Cutting'!C12=""),"",IF('Tube Cutting'!R12="White",IF(SUM('Job Sheet'!BZ12:CC12)=0,"",SUM('Job Sheet'!BZ12:CC12)),""))</f>
        <v/>
      </c>
      <c r="FB6" t="str">
        <f>IF(OR(D6="",'Tube Cutting'!C12=""),"",IF('Tube Cutting'!R12="Shale Grey",IF(SUM('Job Sheet'!BZ12:CC12)=0,"",SUM('Job Sheet'!BZ12:CC12)),""))</f>
        <v/>
      </c>
      <c r="FC6" t="str">
        <f>IF(OR(D6="",'Tube Cutting'!C12=""),"",IF('Tube Cutting'!R12="Brown",IF(SUM('Job Sheet'!BZ12:CC12)=0,"",SUM('Job Sheet'!BZ12:CC12)),""))</f>
        <v/>
      </c>
      <c r="FD6" t="str">
        <f>IF(OR(D6="",'Tube Cutting'!C12=""),"",IF('Tube Cutting'!R12="Black",IF(SUM('Job Sheet'!BZ12:CC12)=0,"",SUM('Job Sheet'!BZ12:CC12)),""))</f>
        <v/>
      </c>
      <c r="FE6" t="str">
        <f>IF(OR(D6="",'Tube Cutting'!C12=""),"",IF('Tube Cutting'!R12="Monument",IF(SUM('Job Sheet'!BZ12:CC12)=0,"",SUM('Job Sheet'!BZ12:CC12)),""))</f>
        <v/>
      </c>
      <c r="FF6" t="str">
        <f>IF(OR(D6="",'Tube Cutting'!C12=""),"",IF('Tube Cutting'!R12="Woodland Grey",IF(SUM('Job Sheet'!BZ12:CC12)=0,"",SUM('Job Sheet'!BZ12:CC12)),""))</f>
        <v/>
      </c>
      <c r="FG6" t="str">
        <f>IF(OR(D6="",'Tube Cutting'!C12=""),"",IF('Tube Cutting'!R12="Surfmist",IF(SUM('Job Sheet'!BZ12:CC12)=0,"",SUM('Job Sheet'!BZ12:CC12)),""))</f>
        <v/>
      </c>
      <c r="FH6" t="str">
        <f>IF(OR(D6="",'Tube Cutting'!C12=""),"",IF('Tube Cutting'!R12="Jasper",IF(SUM('Job Sheet'!BZ12:CC12)=0,"",SUM('Job Sheet'!BZ12:CC12)),""))</f>
        <v/>
      </c>
      <c r="FI6" t="str">
        <f>IF(OR(D6="",'Tube Cutting'!C12=""),"",IF('Tube Cutting'!R12="Dune",IF(SUM('Job Sheet'!BZ12:CC12)=0,"",SUM('Job Sheet'!BZ12:CC12)),""))</f>
        <v/>
      </c>
      <c r="FJ6" t="str">
        <f>IF(OR(D6="",'Tube Cutting'!C12=""),"",IF('Tube Cutting'!R12="Cream",IF(SUM('Job Sheet'!BN12:BQ12)=0,"",SUM('Job Sheet'!BN12:BQ12)),""))</f>
        <v/>
      </c>
      <c r="FK6" t="str">
        <f>IF(OR(D6="",'Tube Cutting'!C12=""),"",IF('Tube Cutting'!R12="Mag Cream",IF(SUM('Job Sheet'!BN12:BQ12)=0,"",SUM('Job Sheet'!BN12:BQ12)),""))</f>
        <v/>
      </c>
      <c r="FL6" t="str">
        <f>IF(OR(D6="",'Tube Cutting'!C12=""),"",IF('Tube Cutting'!R12="Clear Beige",IF(SUM('Job Sheet'!BN12:BQ12)=0,"",SUM('Job Sheet'!BN12:BQ12)),""))</f>
        <v/>
      </c>
      <c r="FM6" t="str">
        <f>IF(OR(D6="",'Tube Cutting'!C12=""),"",IF('Tube Cutting'!R12="White",IF(SUM('Job Sheet'!BN12:BQ12)=0,"",SUM('Job Sheet'!BN12:BQ12)),""))</f>
        <v/>
      </c>
      <c r="FN6" t="str">
        <f>IF(OR(D6="",'Tube Cutting'!C12=""),"",IF('Tube Cutting'!R12="Shale Grey",IF(SUM('Job Sheet'!BN12:BQ12)=0,"",SUM('Job Sheet'!BN12:BQ12)),""))</f>
        <v/>
      </c>
      <c r="FO6" t="str">
        <f>IF(OR(D6="",'Tube Cutting'!C12=""),"",IF('Tube Cutting'!R12="Brown",IF(SUM('Job Sheet'!BN12:BQ12)=0,"",SUM('Job Sheet'!BN12:BQ12)),""))</f>
        <v/>
      </c>
      <c r="FP6" t="str">
        <f>IF(OR(D6="",'Tube Cutting'!C12=""),"",IF('Tube Cutting'!R12="Dune",IF(SUM('Job Sheet'!BN12:BQ12)=0,"",SUM('Job Sheet'!BN12:BQ12)),""))</f>
        <v/>
      </c>
      <c r="FQ6" t="str">
        <f>IF(OR(D6="",'Tube Cutting'!C12=""),"",IF('Tube Cutting'!R12="Dune",IF(SUM('Job Sheet'!BN12:BQ12)=0,"",SUM('Job Sheet'!BN12:BQ12)),""))</f>
        <v/>
      </c>
      <c r="FR6" t="str">
        <f>IF(OR(D6="",'Tube Cutting'!C12=""),"",IF('Tube Cutting'!R12="Black",IF(SUM('Job Sheet'!BN12:BQ12)=0,"",SUM('Job Sheet'!BN12:BQ12)),""))</f>
        <v/>
      </c>
      <c r="FS6" t="str">
        <f>IF(OR(D6="",'Tube Cutting'!C12=""),"",IF('Tube Cutting'!R12="Monument",IF(SUM('Job Sheet'!BN12:BQ12)=0,"",SUM('Job Sheet'!BN12:BQ12)),""))</f>
        <v/>
      </c>
      <c r="FT6" t="str">
        <f>IF(OR(D6="",'Tube Cutting'!C12=""),"",IF('Tube Cutting'!R12="Custom Powdercoat",IF(SUM('Job Sheet'!BN12:BQ12)=0,"",SUM('Job Sheet'!BN12:BQ12)),""))</f>
        <v/>
      </c>
      <c r="FU6" t="str">
        <f>IF(OR(D6="",'Tube Cutting'!C12=""),"",IF('Tube Cutting'!R12="Woodland Grey",IF(SUM('Job Sheet'!BN12:BQ12)=0,"",SUM('Job Sheet'!BN12:BQ12)),""))</f>
        <v/>
      </c>
      <c r="FV6" t="str">
        <f>IF(OR(D6="",'Tube Cutting'!C12=""),"",IF('Tube Cutting'!R12="Jasper",IF(SUM('Job Sheet'!BN12:BQ12)=0,"",SUM('Job Sheet'!BN12:BQ12)),""))</f>
        <v/>
      </c>
      <c r="FW6" t="str">
        <f>IF(OR(D6="",'Tube Cutting'!C12=""),"",IF('Tube Cutting'!R12="Surfmist",IF(SUM('Job Sheet'!BN12:BQ12)=0,"",SUM('Job Sheet'!BN12:BQ12)),""))</f>
        <v/>
      </c>
      <c r="FX6" t="str">
        <f>IF(OR(D6="",'Tube Cutting'!C12=""),"",IF('Tube Cutting'!R12="Dune",IF(SUM('Job Sheet'!BN12:BQ12)=0,"",SUM('Job Sheet'!BN12:BQ12)),""))</f>
        <v/>
      </c>
      <c r="FY6">
        <f>IF(OR(D6="",'Tube Cutting'!C12=""),"",IF(AND('Order Form'!R10="Supplied by Davidson's",'Tube Cutting'!C12&lt;&gt;""),"",'Tube Cutting'!S12))</f>
        <v>1839</v>
      </c>
      <c r="FZ6" t="str">
        <f>IF(OR(D6="",'Tube Cutting'!C12=""),"",IF(AND(Data!BN12="42mm Standard Slat",'Tube Cutting'!J12="Black"),'Tube Cutting'!I12,""))</f>
        <v/>
      </c>
      <c r="GA6" t="str">
        <f>IF(OR(D6="",'Tube Cutting'!C12=""),"",IF(AND(Data!BN12="42mm Standard Slat",'Tube Cutting'!J12="Clear Beige"),'Tube Cutting'!I12,""))</f>
        <v/>
      </c>
      <c r="GB6" t="str">
        <f>IF(OR(D6="",'Tube Cutting'!C12=""),"",IF(AND(Data!BN12="42mm Standard Slat",'Tube Cutting'!J12="Dune"),'Tube Cutting'!I12,""))</f>
        <v/>
      </c>
      <c r="GC6" t="str">
        <f>IF(OR(D6="",'Tube Cutting'!C12=""),"",IF(AND(Data!BN12="42mm Standard Slat",'Tube Cutting'!J12="Mag Cream"),'Tube Cutting'!I12,""))</f>
        <v/>
      </c>
      <c r="GD6">
        <f>IF(OR(D6="",'Tube Cutting'!C12=""),"",IF(AND(Data!BN12="42mm Standard Slat",'Tube Cutting'!J12="Monument"),'Tube Cutting'!I12,""))</f>
        <v>1847</v>
      </c>
      <c r="GE6" t="str">
        <f>IF(OR(D6="",'Tube Cutting'!C12=""),"",IF(AND(Data!BN12="42mm Standard Slat",'Tube Cutting'!J12="Shale Grey"),'Tube Cutting'!I12,""))</f>
        <v/>
      </c>
      <c r="GF6" t="str">
        <f>IF(OR(D6="",'Tube Cutting'!C12=""),"",IF(AND(Data!BN12="42mm Standard Slat",'Tube Cutting'!J12="White"),'Tube Cutting'!I12,""))</f>
        <v/>
      </c>
      <c r="GG6" t="str">
        <f>IF(OR(D6="",'Tube Cutting'!C12=""),"",IF(AND(Data!BN12="42mm Standard Slat",'Tube Cutting'!J12="Woodland Grey"),'Tube Cutting'!I12,""))</f>
        <v/>
      </c>
      <c r="GH6" t="str">
        <f>IF(OR(D6="",'Tube Cutting'!C12=""),"",IF(AND(Data!BN12="42mm Standard Slat",'Tube Cutting'!J12="Cream"),'Tube Cutting'!I12,""))</f>
        <v/>
      </c>
      <c r="GI6" t="str">
        <f>IF(OR(D6="",'Tube Cutting'!C12=""),"",IF(AND(Data!BN12="42mm Standard Slat",'Tube Cutting'!J12="Brown"),'Tube Cutting'!I12,""))</f>
        <v/>
      </c>
      <c r="GJ6" t="str">
        <f>IF(OR(D6="",'Tube Cutting'!C12=""),"",IF(AND(Data!BN12="42mm Standard Slat",'Tube Cutting'!J12="Custom Powdercoat"),'Tube Cutting'!I12,""))</f>
        <v/>
      </c>
      <c r="GK6" t="str">
        <f>IF(OR(D6="",'Tube Cutting'!C12=""),"",IF(AND(Data!BN12="42mm Standard Slat",'Tube Cutting'!J12="Surfmist"),'Tube Cutting'!I12,""))</f>
        <v/>
      </c>
      <c r="GL6" t="str">
        <f>IF(OR(D6="",'Tube Cutting'!C12=""),"",IF(AND(Data!BN12="42mm Standard Slat",'Tube Cutting'!J12="Jasper"),'Tube Cutting'!I12,""))</f>
        <v/>
      </c>
      <c r="GM6" t="str">
        <f>IF(OR(D6="",'Tube Cutting'!C12=""),"",IF('Tube Cutting'!R12="Black",('Job Sheet'!BB12*2+IF('Job Sheet'!Q12="Black",SUM('Job Sheet'!BJ12:BM12))),""))</f>
        <v/>
      </c>
      <c r="GN6" t="str">
        <f>IF(OR(D6="",'Tube Cutting'!C12=""),"",IF('Tube Cutting'!R12="Clear Beige",('Job Sheet'!BB12*2+IF('Job Sheet'!Q12="Clear Beige",SUM('Job Sheet'!BJ12:BM12))),""))</f>
        <v/>
      </c>
      <c r="GO6" t="str">
        <f>IF(OR(D6="",'Tube Cutting'!C12=""),"",IF('Tube Cutting'!R12="Dune",('Job Sheet'!BB12*2+IF('Job Sheet'!Q12="Dune",SUM('Job Sheet'!BJ12:BM12))),""))</f>
        <v/>
      </c>
      <c r="GP6" t="str">
        <f>IF(OR(D6="",'Tube Cutting'!C12=""),"",IF('Tube Cutting'!R12="Mag Cream",('Job Sheet'!BB12*2+IF('Job Sheet'!Q12="Mag Cream",SUM('Job Sheet'!BJ12:BM12))),""))</f>
        <v/>
      </c>
      <c r="GQ6">
        <f>IF(OR(D6="",'Tube Cutting'!C12=""),"",IF('Tube Cutting'!R12="Monument",('Job Sheet'!BB12*2+IF('Job Sheet'!Q12="Monument",SUM('Job Sheet'!BJ12:BM12))),""))</f>
        <v>2580</v>
      </c>
      <c r="GR6" t="str">
        <f>IF(OR(D6="",'Tube Cutting'!C12=""),"",IF('Tube Cutting'!R12="Shale Grey",('Job Sheet'!BB12*2+IF('Job Sheet'!Q12="Shale Grey",SUM('Job Sheet'!BJ12:BM12))),""))</f>
        <v/>
      </c>
      <c r="GS6" t="str">
        <f>IF(OR(D6="",'Tube Cutting'!C12=""),"",IF('Tube Cutting'!R12="White",('Job Sheet'!BB12*2+IF('Job Sheet'!Q12="White",SUM('Job Sheet'!BJ12:BM12))),""))</f>
        <v/>
      </c>
      <c r="GT6" t="str">
        <f>IF(OR(D6="",'Tube Cutting'!C12=""),"",IF('Tube Cutting'!R12="Woodland Grey",('Job Sheet'!BB12*2+IF('Job Sheet'!Q12="Woodland Grey",SUM('Job Sheet'!BJ12:BM12))),""))</f>
        <v/>
      </c>
      <c r="GU6" t="str">
        <f>IF(OR(D6="",'Tube Cutting'!C12=""),"",IF('Tube Cutting'!R12="Cream",('Job Sheet'!BB12*2+IF('Job Sheet'!Q12="Cream",SUM('Job Sheet'!BJ12:BM12))),""))</f>
        <v/>
      </c>
      <c r="GV6" t="str">
        <f>IF(OR(D6="",'Tube Cutting'!C12=""),"",IF('Tube Cutting'!R12="Brown",('Job Sheet'!BB12*2+IF('Job Sheet'!Q12="Brown",SUM('Job Sheet'!BJ12:BM12))),""))</f>
        <v/>
      </c>
      <c r="GW6" t="str">
        <f>IF(OR(D6="",'Tube Cutting'!C12=""),"",IF('Tube Cutting'!R12="Custom Powdercoat",('Job Sheet'!BB12*2+IF('Job Sheet'!Q12="Custom Powdercoat",SUM('Job Sheet'!BJ12:BM12))),""))</f>
        <v/>
      </c>
      <c r="GX6" t="str">
        <f>IF(OR(D6="",'Tube Cutting'!C12=""),"",IF('Tube Cutting'!R12="Surfmist",('Job Sheet'!BB12*2+IF('Job Sheet'!Q12="Surfmist",SUM('Job Sheet'!BJ12:BM12))),""))</f>
        <v/>
      </c>
      <c r="GY6" t="str">
        <f>IF(OR(D6="",'Tube Cutting'!C12=""),"",IF('Tube Cutting'!R12="Jasper",('Job Sheet'!BB12*2+IF('Job Sheet'!Q12="Jasper",SUM('Job Sheet'!BJ12:BM12))),""))</f>
        <v/>
      </c>
      <c r="GZ6" t="str">
        <f>IF(OR(D6="",'Tube Cutting'!C12=""),"",IF(AND('Tube Cutting'!R12="Cream",'Tube Cutting'!P12="68mm"),'Job Sheet'!BB12*2,""))</f>
        <v/>
      </c>
      <c r="HA6" t="str">
        <f>IF(OR(D6="",'Tube Cutting'!C12=""),"",IF(AND('Tube Cutting'!R12="Mag Cream",'Tube Cutting'!P12="68mm"),'Job Sheet'!BB12*2,""))</f>
        <v/>
      </c>
      <c r="HB6" t="str">
        <f>IF(OR(D6="",'Tube Cutting'!C12=""),"",IF(AND('Tube Cutting'!R12="Clear Beige",'Tube Cutting'!P12="68mm"),'Job Sheet'!BB12*2,""))</f>
        <v/>
      </c>
      <c r="HC6" t="str">
        <f>IF(OR(D6="",'Tube Cutting'!C12=""),"",IF(AND('Tube Cutting'!R12="White",'Tube Cutting'!P12="68mm"),'Job Sheet'!BB12*2,""))</f>
        <v/>
      </c>
      <c r="HD6" t="str">
        <f>IF(OR(D6="",'Tube Cutting'!C12=""),"",IF(AND('Tube Cutting'!R12="Shale Grey",'Tube Cutting'!P12="68mm"),'Job Sheet'!BB12*2,""))</f>
        <v/>
      </c>
      <c r="HE6" t="str">
        <f>IF(OR(D6="",'Tube Cutting'!C12=""),"",IF(AND('Tube Cutting'!R12="Brown",'Tube Cutting'!P12="68mm"),'Job Sheet'!BB12*2,""))</f>
        <v/>
      </c>
      <c r="HF6" t="str">
        <f>IF(OR(D6="",'Tube Cutting'!C12=""),"",IF(AND('Tube Cutting'!R12="Black",'Tube Cutting'!P12="68mm"),'Job Sheet'!BB12*2,""))</f>
        <v/>
      </c>
      <c r="HG6" t="str">
        <f>IF(OR(D6="",'Tube Cutting'!C12=""),"",IF(AND('Tube Cutting'!R12="Monument",'Tube Cutting'!P12="68mm"),'Job Sheet'!BB12*2,""))</f>
        <v/>
      </c>
      <c r="HH6" t="str">
        <f>IF(OR(D6="",'Tube Cutting'!C12=""),"",IF(AND('Tube Cutting'!R12="Custom Powdercoat",'Tube Cutting'!P12="68mm"),'Job Sheet'!BB12*2,""))</f>
        <v/>
      </c>
      <c r="HI6" t="str">
        <f>IF(OR(D6="",'Tube Cutting'!C12=""),"",IF(AND('Tube Cutting'!R12="Woodland Grey",'Tube Cutting'!P12="68mm"),'Job Sheet'!BB12*2,""))</f>
        <v/>
      </c>
      <c r="HJ6" t="str">
        <f>IF(OR(D6="",'Tube Cutting'!C12=""),"",IF(AND('Tube Cutting'!R12="Surfmist",'Tube Cutting'!P12="68mm"),'Job Sheet'!BB12*2,""))</f>
        <v/>
      </c>
      <c r="HK6" t="str">
        <f>IF(OR(D6="",'Tube Cutting'!C12=""),"",IF(AND('Tube Cutting'!R12="Jasper",'Tube Cutting'!P12="68mm"),'Job Sheet'!BB12*2,""))</f>
        <v/>
      </c>
      <c r="HL6" t="str">
        <f>IF(OR(D6="",'Tube Cutting'!C12=""),"",IF(AND('Tube Cutting'!R12="Dune",'Tube Cutting'!P12="68mm"),'Job Sheet'!BB12*2,""))</f>
        <v/>
      </c>
      <c r="HM6" t="str">
        <f>IF(OR(D6="",'Tube Cutting'!C12=""),"",IF(AND('Tube Cutting'!O12="Black",'Tube Cutting'!N12="180mm"),1,""))</f>
        <v/>
      </c>
      <c r="HN6" t="str">
        <f>IF(OR(D6="",'Tube Cutting'!C12=""),"",IF(AND('Tube Cutting'!O12="Clear Beige",'Tube Cutting'!N12="180mm"),1,""))</f>
        <v/>
      </c>
      <c r="HO6" t="str">
        <f>IF(OR(D6="",'Tube Cutting'!C12=""),"",IF(AND('Tube Cutting'!O12="Dune",'Tube Cutting'!N12="180mm"),1,""))</f>
        <v/>
      </c>
      <c r="HP6" t="str">
        <f>IF(OR(D6="",'Tube Cutting'!C12=""),"",IF(AND('Tube Cutting'!O12="Mag Cream",'Tube Cutting'!N12="180mm"),1,""))</f>
        <v/>
      </c>
      <c r="HQ6">
        <f>IF(OR(D6="",'Tube Cutting'!C12=""),"",IF(AND('Tube Cutting'!O12="Monument",'Tube Cutting'!N12="180mm"),1,""))</f>
        <v>1</v>
      </c>
      <c r="HR6" t="str">
        <f>IF(OR(D6="",'Tube Cutting'!C12=""),"",IF(AND('Tube Cutting'!O12="Shale Grey",'Tube Cutting'!N12="180mm"),1,""))</f>
        <v/>
      </c>
      <c r="HS6" t="str">
        <f>IF(OR(D6="",'Tube Cutting'!C12=""),"",IF(AND('Tube Cutting'!O12="White",'Tube Cutting'!N12="180mm"),1,""))</f>
        <v/>
      </c>
      <c r="HT6" t="str">
        <f>IF(OR(D6="",'Tube Cutting'!C12=""),"",IF(AND('Tube Cutting'!O12="Woodland Grey",'Tube Cutting'!N12="180mm"),1,""))</f>
        <v/>
      </c>
      <c r="HU6" t="str">
        <f>IF(OR(D6="",'Tube Cutting'!C12=""),"",IF(AND('Tube Cutting'!O12="Cream",'Tube Cutting'!N12="180mm"),1,""))</f>
        <v/>
      </c>
      <c r="HV6" t="str">
        <f>IF(OR(D6="",'Tube Cutting'!C12=""),"",IF(AND('Tube Cutting'!O12="Brown",'Tube Cutting'!N12="180mm"),1,""))</f>
        <v/>
      </c>
      <c r="HW6" t="str">
        <f>IF(OR(D6="",'Tube Cutting'!C12=""),"",IF(AND('Tube Cutting'!O12="Surfmist",'Tube Cutting'!N12="180mm"),1,""))</f>
        <v/>
      </c>
      <c r="HX6" t="str">
        <f>IF(OR(D6="",'Tube Cutting'!C12=""),"",IF(AND('Tube Cutting'!O12="Jasper",'Tube Cutting'!N12="180mm"),1,""))</f>
        <v/>
      </c>
      <c r="HY6" t="str">
        <f>IF(OR(E6="",'Tube Cutting'!C12=""),"",IF(AND('Tube Cutting'!O12="Red",'Tube Cutting'!N12="180mm"),1,""))</f>
        <v/>
      </c>
      <c r="HZ6" t="str">
        <f>IF(OR(D6="",'Tube Cutting'!C12=""),"",IF(AND('Tube Cutting'!O12="Black",'Tube Cutting'!N12="205mm"),1,""))</f>
        <v/>
      </c>
      <c r="IA6" t="str">
        <f>IF(OR(D6="",'Tube Cutting'!C12=""),"",IF(AND('Tube Cutting'!O12="Clear Beige",'Tube Cutting'!N12="205mm"),1,""))</f>
        <v/>
      </c>
      <c r="IB6" t="str">
        <f>IF(OR(D6="",'Tube Cutting'!C12=""),"",IF(AND('Tube Cutting'!O12="Dune",'Tube Cutting'!N12="205mm"),1,""))</f>
        <v/>
      </c>
      <c r="IC6" t="str">
        <f>IF(OR(D6="",'Tube Cutting'!C12=""),"",IF(AND('Tube Cutting'!O12="Mag Cream",'Tube Cutting'!N12="205mm"),1,""))</f>
        <v/>
      </c>
      <c r="ID6" t="str">
        <f>IF(OR(D6="",'Tube Cutting'!C12=""),"",IF(AND('Tube Cutting'!O12="Monument",'Tube Cutting'!N12="205mm"),1,""))</f>
        <v/>
      </c>
      <c r="IE6" t="str">
        <f>IF(OR(D6="",'Tube Cutting'!C12=""),"",IF(AND('Tube Cutting'!O12="Shale Grey",'Tube Cutting'!N12="205mm"),1,""))</f>
        <v/>
      </c>
      <c r="IF6" t="str">
        <f>IF(OR(D6="",'Tube Cutting'!C12=""),"",IF(AND('Tube Cutting'!O12="White",'Tube Cutting'!N12="205mm"),1,""))</f>
        <v/>
      </c>
      <c r="IG6" t="str">
        <f>IF(OR(D6="",'Tube Cutting'!C12=""),"",IF(AND('Tube Cutting'!O12="Woodland Grey",'Tube Cutting'!N12="205mm"),1,""))</f>
        <v/>
      </c>
      <c r="IH6" t="str">
        <f>IF(OR(D6="",'Tube Cutting'!C12=""),"",IF(AND('Tube Cutting'!O12="Cream",'Tube Cutting'!N12="205mm"),1,""))</f>
        <v/>
      </c>
      <c r="II6" t="str">
        <f>IF(OR(D6="",'Tube Cutting'!C12=""),"",IF(AND('Tube Cutting'!O12="Brown",'Tube Cutting'!N12="205mm"),1,""))</f>
        <v/>
      </c>
      <c r="IJ6" t="str">
        <f>IF(OR(D6="",'Tube Cutting'!C12=""),"",IF(AND('Tube Cutting'!O12="Surfmist",'Tube Cutting'!N12="205mm"),1,""))</f>
        <v/>
      </c>
      <c r="IK6" t="str">
        <f>IF(OR(D6="",'Tube Cutting'!C12=""),"",IF(AND('Tube Cutting'!O12="Jasper",'Tube Cutting'!N12="205mm"),1,""))</f>
        <v/>
      </c>
      <c r="IL6" t="str">
        <f>IF(OR(D6="",'Tube Cutting'!C12=""),"",IF(AND('Tube Cutting'!O12="Cream",'Tube Cutting'!N12="230mm"),1,""))</f>
        <v/>
      </c>
      <c r="IM6" t="str">
        <f>IF(OR(D6="",'Tube Cutting'!C12=""),"",IF(AND('Tube Cutting'!O12="Mag Cream",'Tube Cutting'!N12="230mm"),1,""))</f>
        <v/>
      </c>
      <c r="IN6" t="str">
        <f>IF(OR(D6="",'Tube Cutting'!C12=""),"",IF(AND('Tube Cutting'!O12="Clear Beige",'Tube Cutting'!N12="230mm"),1,""))</f>
        <v/>
      </c>
      <c r="IO6" t="str">
        <f>IF(OR(D6="",'Tube Cutting'!C12=""),"",IF(AND('Tube Cutting'!O12="White",'Tube Cutting'!N12="230mm"),1,""))</f>
        <v/>
      </c>
      <c r="IP6" t="str">
        <f>IF(OR(D6="",'Tube Cutting'!C12=""),"",IF(AND('Tube Cutting'!O12="Shale Grey",'Tube Cutting'!N12="230mm"),1,""))</f>
        <v/>
      </c>
      <c r="IQ6" t="str">
        <f>IF(OR(D6="",'Tube Cutting'!C12=""),"",IF(AND('Tube Cutting'!O12="Black",'Tube Cutting'!N12="230mm"),1,""))</f>
        <v/>
      </c>
      <c r="IR6" t="str">
        <f>IF(OR(D6="",'Tube Cutting'!C12=""),"",IF(AND('Tube Cutting'!O12="Monument",'Tube Cutting'!N12="230mm"),1,""))</f>
        <v/>
      </c>
      <c r="IS6" t="str">
        <f>IF(OR(D6="",'Tube Cutting'!C12=""),"",IF(AND('Tube Cutting'!O12="Woodland Grey",'Tube Cutting'!N12="230mm"),1,""))</f>
        <v/>
      </c>
      <c r="IT6" t="str">
        <f>IF(OR(D6="",'Tube Cutting'!C12=""),"",IF(AND('Tube Cutting'!O12="Surfmist",'Tube Cutting'!N12="230mm"),1,""))</f>
        <v/>
      </c>
      <c r="IU6" t="str">
        <f>IF(OR(D6="",'Tube Cutting'!C12=""),"",IF(AND('Tube Cutting'!O12="Jasper",'Tube Cutting'!N12="230mm"),1,""))</f>
        <v/>
      </c>
      <c r="IV6" t="str">
        <f>IF(OR(D6="",'Tube Cutting'!C12=""),"",IF(AND('Tube Cutting'!O12="Dune",'Tube Cutting'!N12="230mm"),1,""))</f>
        <v/>
      </c>
      <c r="IW6">
        <f>IF(OR(D6="",'Tube Cutting'!C12=""),"",IF(AND('Order Form'!R10="Supplied by Davidson's",'Tube Cutting'!C12&lt;&gt;""),"",1))</f>
        <v>1</v>
      </c>
      <c r="IX6">
        <f>IF(OR(D6="",'Tube Cutting'!C12=""),"",IF('Job Sheet'!AE12="Yes",2,""))</f>
        <v>2</v>
      </c>
      <c r="IY6" t="str">
        <f t="array" ref="IY6">IF(OR('Tube Cutting'!R12&lt;&gt;"Cream",D6=""),"",IF('Job Sheet'!J12&gt;2100,10,IF(OR(bpLOOKUP(Data!$AV12,"FIXING",CustOrdOpt,6,FALSE)="Hebel",'Job Sheet'!J12&gt;1800),8,6)))</f>
        <v/>
      </c>
      <c r="IZ6" t="str">
        <f t="array" ref="IZ6">IF(OR('Tube Cutting'!R12&lt;&gt;"Clear Beige",D6=""),"",IF('Job Sheet'!J12&gt;2100,10,IF(OR(bpLOOKUP(Data!$AV12,"FIXING",CustOrdOpt,6,FALSE)="Hebel",'Job Sheet'!J12&gt;1800),8,6)))</f>
        <v/>
      </c>
      <c r="JA6" t="str">
        <f t="array" ref="JA6">IF(OR('Tube Cutting'!R12&lt;&gt;"White",D6=""),"",IF('Job Sheet'!J12&gt;2100,10,IF(OR(bpLOOKUP(Data!$AV12,"FIXING",CustOrdOpt,6,FALSE)="Hebel",'Job Sheet'!J12&gt;1800),8,6)))</f>
        <v/>
      </c>
      <c r="JB6" t="str">
        <f t="array" ref="JB6">IF(OR('Tube Cutting'!R12&lt;&gt;"Shale Grey",D6=""),"",IF('Job Sheet'!J12&gt;2100,10,IF(OR(bpLOOKUP(Data!$AV12,"FIXING",CustOrdOpt,6,FALSE)="Hebel",'Job Sheet'!J12&gt;1800),8,6)))</f>
        <v/>
      </c>
      <c r="JC6" t="str">
        <f t="array" ref="JC6">IF(OR('Tube Cutting'!R12&lt;&gt;"Brown",D6=""),"",IF('Job Sheet'!J12&gt;2100,10,IF(OR(bpLOOKUP(Data!$AV12,"FIXING",CustOrdOpt,6,FALSE)="Hebel",'Job Sheet'!J12&gt;1800),8,6)))</f>
        <v/>
      </c>
      <c r="JD6" t="str">
        <f t="array" ref="JD6">IF(OR('Tube Cutting'!R12&lt;&gt;"Green",D6=""),"",IF('Job Sheet'!J12&gt;2100,10,IF(OR(bpLOOKUP(Data!$AV12,"FIXING",CustOrdOpt,6,FALSE)="Hebel",'Job Sheet'!J12&gt;1800),8,6)))</f>
        <v/>
      </c>
      <c r="JE6" t="str">
        <f t="array" ref="JE6">IF(OR('Tube Cutting'!R12&lt;&gt;"Red",D6=""),"",IF('Job Sheet'!J12&gt;2100,10,IF(OR(bpLOOKUP(Data!$AV12,"FIXING",CustOrdOpt,6,FALSE)="Hebel",'Job Sheet'!J12&gt;1800),8,6)))</f>
        <v/>
      </c>
      <c r="JF6" t="str">
        <f t="array" ref="JF6">IF(OR('Tube Cutting'!R12&lt;&gt;"Mag Cream",D6=""),"",IF('Job Sheet'!J12&gt;2100,10,IF(OR(bpLOOKUP(Data!$AV12,"FIXING",CustOrdOpt,6,FALSE)="Hebel",'Job Sheet'!J12&gt;1800),8,6)))</f>
        <v/>
      </c>
      <c r="JG6" t="str">
        <f t="array" ref="JG6">IF(OR('Tube Cutting'!R12&lt;&gt;"Black",D6=""),"",IF('Job Sheet'!J12&gt;2100,10,IF(OR(bpLOOKUP(Data!$AV12,"FIXING",CustOrdOpt,6,FALSE)="Hebel",'Job Sheet'!J12&gt;1800),8,6)))</f>
        <v/>
      </c>
      <c r="JH6">
        <f t="array" ref="JH6">IF(OR('Tube Cutting'!R12&lt;&gt;"Monument",D6=""),"",IF('Job Sheet'!J12&gt;2100,10,IF(OR(bpLOOKUP(Data!$AV12,"FIXING",CustOrdOpt,6,FALSE)="Hebel",'Job Sheet'!J12&gt;1800),8,6)))</f>
        <v>6</v>
      </c>
      <c r="JI6" t="str">
        <f t="array" ref="JI6">IF(OR('Tube Cutting'!R12&lt;&gt;"Deep Ocean",D6=""),"",IF('Job Sheet'!J12&gt;2100,10,IF(OR(bpLOOKUP(Data!$AV12,"FIXING",CustOrdOpt,6,FALSE)="Hebel",'Job Sheet'!J12&gt;1800),8,6)))</f>
        <v/>
      </c>
      <c r="JJ6" t="str">
        <f t="array" ref="JJ6">IF(OR('Tube Cutting'!R12&lt;&gt;"Woodland Grey",D6=""),"",IF('Job Sheet'!J12&gt;2100,10,IF(OR(bpLOOKUP(Data!$AV12,"FIXING",CustOrdOpt,6,FALSE)="Hebel",'Job Sheet'!J12&gt;1800),8,6)))</f>
        <v/>
      </c>
      <c r="JK6" t="str">
        <f t="array" ref="JK6">IF(OR('Tube Cutting'!R12&lt;&gt;"Jasper",D6=""),"",IF('Job Sheet'!J12&gt;2100,10,IF(OR(bpLOOKUP(Data!$AV12,"FIXING",CustOrdOpt,6,FALSE)="Hebel",'Job Sheet'!J12&gt;1800),8,6)))</f>
        <v/>
      </c>
      <c r="JL6" t="str">
        <f t="array" ref="JL6">IF(OR('Tube Cutting'!R12&lt;&gt;"Surfmist",D6=""),"",IF('Job Sheet'!J12&gt;2100,10,IF(OR(bpLOOKUP(Data!$AV12,"FIXING",CustOrdOpt,6,FALSE)="Hebel",'Job Sheet'!J12&gt;1800),8,6)))</f>
        <v/>
      </c>
      <c r="JM6" t="str">
        <f t="array" ref="JM6">IF(OR('Tube Cutting'!R12&lt;&gt;"Dune",D6=""),"",IF('Job Sheet'!J12&gt;2100,10,IF(OR(bpLOOKUP(Data!$AV12,"FIXING",CustOrdOpt,6,FALSE)="Hebel",'Job Sheet'!J12&gt;1800),8,6)))</f>
        <v/>
      </c>
      <c r="JN6">
        <f>IF(OR(D6="",'Tube Cutting'!C12=""),"",IF(AND('Order Form'!R10="Supplied by Davidson's",'Tube Cutting'!C12&lt;&gt;""),"",1))</f>
        <v>1</v>
      </c>
      <c r="JO6" t="str">
        <f>IF(D6="","",IF(AND('Job Sheet'!X12="Operated Outside",'Job Sheet'!Y12="Eyelot Crank Handle"),1,""))</f>
        <v/>
      </c>
      <c r="JP6" t="str">
        <f t="shared" si="1" ref="JP6:JP14">JO6</f>
        <v/>
      </c>
      <c r="JQ6" t="str">
        <f>IF('Job Sheet'!X12="Operated Inside",1,"")</f>
        <v/>
      </c>
      <c r="JS6" t="str">
        <f>IF('Job Sheet'!X12="Operated Inside",1,"")</f>
        <v/>
      </c>
      <c r="JT6" t="str">
        <f>IF('Job Sheet'!X12="Operated Inside",1,"")</f>
        <v/>
      </c>
      <c r="JU6" t="str">
        <f>IF('Job Sheet'!X12="Operated Inside",1,"")</f>
        <v/>
      </c>
      <c r="JV6" t="str">
        <f>IF(AND('Job Sheet'!X12="Operated Outside",'Job Sheet'!Y12="Concealed Operation Crank Handle"),1,"")</f>
        <v/>
      </c>
      <c r="JW6" t="str">
        <f>IF(AND('Job Sheet'!X12="Operated Outside",'Job Sheet'!Y12="Concealed Operation Crank Handle"),1,"")</f>
        <v/>
      </c>
      <c r="JX6" t="str">
        <f>IF(AND('Job Sheet'!X12="Operated Outside",'Job Sheet'!Y12="Concealed Operation Crank Handle"),1,"")</f>
        <v/>
      </c>
      <c r="JY6" s="113">
        <f>IF(OR(D6="",'Tube Cutting'!C12=""),"",IF(AND('Order Form'!R10="Supplied by Davidson's",'Tube Cutting'!C12&lt;&gt;""),"",'Assembly(a)'!F12))</f>
        <v>32.28</v>
      </c>
      <c r="JZ6">
        <f>IF(OR(D6="",'Tube Cutting'!C12=""),"",Packing!K12)</f>
        <v>4</v>
      </c>
      <c r="KA6">
        <f>IF(OR(D6="",'Tube Cutting'!C12=""),"",IF(AND('Order Form'!R10="Supplied by Davidson's",'Tube Cutting'!C12&lt;&gt;""),"",2))</f>
        <v>2</v>
      </c>
      <c r="KB6" t="str">
        <f>IF(OR(D6="",'Tube Cutting'!C12=""),"",'Tube Cutting'!K12)</f>
        <v/>
      </c>
      <c r="KC6" t="str">
        <f>IF(Packing!T12="Corner Telescopic Bracket x 1",1,IF(Packing!T12="Corner Telescopic Bracket x 2",2,""))</f>
        <v/>
      </c>
      <c r="KD6" t="str">
        <f>IF(Packing!T12="Bay Telescopic Bracket x 1",1,IF(Packing!T12="Bay Telescopic Bracket x 2",2,""))</f>
        <v/>
      </c>
      <c r="KE6">
        <f>IF(OR(D6="",'Tube Cutting'!C12=""),"",IF('Job Sheet'!W12="Toggle Wall Switch",1,""))</f>
        <v>1</v>
      </c>
      <c r="KF6" t="str">
        <f>IF(OR(D6="",'Tube Cutting'!C12=""),"",IF(OR('Job Sheet'!Z12="UPS with No Electrician Required",'Job Sheet'!Z12="UPS with Electrician Required"),1,""))</f>
        <v/>
      </c>
      <c r="KG6" t="str">
        <f>IF(OR(Packing!C12="Too Small to be Motorised",Packing!C12="Check Motor Options"),1,"")</f>
        <v/>
      </c>
      <c r="KH6" t="str">
        <f>IF('Job Sheet'!U12="Maxim 10nm Remote Motor",1,"")</f>
        <v/>
      </c>
      <c r="KI6" t="str">
        <f>IF('Job Sheet'!U12="Maxim 20nm Remote Motor",1,"")</f>
        <v/>
      </c>
      <c r="KJ6">
        <f>IF(OR('Job Sheet'!U12="Maxim 10nm Switch Motor",'Job Sheet'!U12="Maxim 10nm Switch Motor with Inline Receiver"),1,"")</f>
        <v>1</v>
      </c>
      <c r="KK6" t="str">
        <f>IF('Job Sheet'!U12="Maxim 20nm Switch Motor",1,"")</f>
        <v/>
      </c>
      <c r="KL6" t="str">
        <f>IF(OR(D6="",'Tube Cutting'!C12=""),"",IF('Job Sheet'!W12="Maxim 1 Channel Remote",1,""))</f>
        <v/>
      </c>
      <c r="KM6" t="str">
        <f>IF(OR(D6="",'Tube Cutting'!C12=""),"",IF('Job Sheet'!W12="Maxim 6 Channel Remote",1,""))</f>
        <v/>
      </c>
      <c r="KN6" t="str">
        <f>IF(OR(D6="",'Tube Cutting'!C12=""),"",IF('Job Sheet'!W12="Maxim 16 Channel Remote",1,""))</f>
        <v/>
      </c>
      <c r="KO6" t="str">
        <f>IF(OR(D6="",'Tube Cutting'!C12=""),"",IF('Job Sheet'!W12="Maxim 1 Channel Wall Mounted Remote",1,""))</f>
        <v/>
      </c>
      <c r="KP6" t="str">
        <f>IF(OR(D6="",'Tube Cutting'!C12=""),"",IF('Job Sheet'!W12="CWP 5 Channel Wall Mounted Remote",1,""))</f>
        <v/>
      </c>
      <c r="KQ6" t="str">
        <f>IF(OR(D6="",'Tube Cutting'!C12=""),"",IF('Job Sheet'!W12="CWP 8 Channel Remote with Timer",1,""))</f>
        <v/>
      </c>
      <c r="KR6" t="str">
        <f>IF(OR(D6="",'Tube Cutting'!C12=""),"",IF('Job Sheet'!W12="CWP Key Ring Remote",1,""))</f>
        <v/>
      </c>
      <c r="KS6" t="str">
        <f>IF(OR(D6="",'Tube Cutting'!C12=""),"",IF(OR('Job Sheet'!W12="Key Switch",'Job Sheet'!W12="Key Switch &amp; Key Switch Relay"),1,""))</f>
        <v/>
      </c>
      <c r="KT6" t="str">
        <f>IF(OR(D6="",'Tube Cutting'!C12=""),"",IF(OR('Job Sheet'!W12="Key Switch Relay",'Job Sheet'!W12="Key Switch &amp; Key Switch Relay"),1,""))</f>
        <v/>
      </c>
      <c r="KU6" t="str">
        <f>IF(OR(D6="",'Tube Cutting'!C12=""),"",IF(OR('Job Sheet'!U12="CW5 10nm Short Switch Motor with Inline Receiver",'Job Sheet'!U12="Maxim 10nm Switch Motor with Inline Receiver",'Job Sheet'!U12="CWP Manual Override 30Nm Motor with Inline Receiver",'Job Sheet'!U12="CWP Manual Override 50Nm Motor with Inline Receiver"),1,""))</f>
        <v/>
      </c>
      <c r="KY6" t="str">
        <f>IF(OR('Job Sheet'!U12="CW5 10nm Short Switch Motor",'Job Sheet'!U12="CW5 10nm Short Switch Motor with Inline Receiver"),1,"")</f>
        <v/>
      </c>
      <c r="LB6" t="str">
        <f>IF(OR(D6="",'Tube Cutting'!C12=""),"",IF(OR('Job Sheet'!U12="CWP Manual Override 30Nm Motor with Inline Receiver",'Job Sheet'!U12="CWP Manual Override 30Nm Motor"),1,""))</f>
        <v/>
      </c>
      <c r="LC6" t="str">
        <f>IF(OR(D6="",'Tube Cutting'!C12=""),"",IF(OR('Job Sheet'!U12="CWP Manual Override 50Nm Motor with Inline Receiver",'Job Sheet'!U12="CWP Manual Override 50Nm Motor"),1,""))</f>
        <v/>
      </c>
      <c r="LG6" t="str">
        <f>IF('Job Sheet'!U12="L10 ODS Motor",1,"")</f>
        <v/>
      </c>
      <c r="LH6" t="str">
        <f>IF('Job Sheet'!U12="L10 ODS Motor",1,"")</f>
        <v/>
      </c>
      <c r="LI6" t="str">
        <f>IF('Job Sheet'!U12="T20 ODS Motor",1,"")</f>
        <v/>
      </c>
      <c r="LJ6" t="str">
        <f>IF(OR('Job Sheet'!U12="T20 ODS Motor",'Job Sheet'!U12="T35 ODS Motor"),1,"")</f>
        <v/>
      </c>
      <c r="LK6" t="str">
        <f>IF(OR('Job Sheet'!U12="T20 ODS Motor",'Job Sheet'!U12="T35 ODS Motor"),2,"")</f>
        <v/>
      </c>
      <c r="LL6" t="str">
        <f>IF('Job Sheet'!U12="T35 ODS Motor",1,"")</f>
        <v/>
      </c>
      <c r="LM6" t="str">
        <f>IF('Job Sheet'!W12="Controller &amp; Charger",1,"")</f>
        <v/>
      </c>
      <c r="LN6" t="str">
        <f>IF(OR('Job Sheet'!T12="12v ODS System",'Job Sheet'!T12="Firesafe 12v ODS System"),1,"")</f>
        <v/>
      </c>
      <c r="LO6" t="str">
        <f>IF(OR('Job Sheet'!W12="RF Controller &amp; Charger",'Job Sheet'!W12="RF Controller, Charger &amp; 9 Channel Remote",'Job Sheet'!W12="RF Controller, Charger &amp; Single Channel Remote",'Job Sheet'!W12="Controller &amp; Charger"),1,"")</f>
        <v/>
      </c>
      <c r="LP6" t="str">
        <f>IF(OR('Job Sheet'!W12="RF Controller &amp; Charger",'Job Sheet'!W12="RF Controller, Charger &amp; Single Channel Remote",'Job Sheet'!W12="RF Controller, Charger &amp; 9 Channel Remote"),1,"")</f>
        <v/>
      </c>
      <c r="LQ6" t="str">
        <f>IF(OR('Job Sheet'!Z12="3 Way Switch for Bay Windows",'Job Sheet'!Z12="3 Way Switch for Bay Windows with Wiring Loom"),1,"")</f>
        <v/>
      </c>
      <c r="LR6" t="str">
        <f>IF('Job Sheet'!W12="RF Controller, Charger &amp; Single Channel Remote",1,"")</f>
        <v/>
      </c>
      <c r="LS6" t="str">
        <f>IF('Job Sheet'!W12="RF Controller, Charger &amp; 9 Channel Remote",1,"")</f>
        <v/>
      </c>
      <c r="LT6" t="str">
        <f>IF(OR('Job Sheet'!Z12="Wiring Loom Extension",'Job Sheet'!Z12="3 Way Switch for Bay Windows with Wiring Loom"),1,"")</f>
        <v/>
      </c>
      <c r="LU6" t="str">
        <f>IF('Job Sheet'!U12="Acmeda External 15nm Remote Motor",1,"")</f>
        <v/>
      </c>
      <c r="LV6" t="str">
        <f>IF('Job Sheet'!U12="Acmeda External 30nm Remote Motor",1,"")</f>
        <v/>
      </c>
      <c r="LW6" t="str">
        <f>IF('Job Sheet'!U12="Acmeda External 50nm Remote Motor",1,"")</f>
        <v/>
      </c>
      <c r="LX6" t="str">
        <f>IF(OR('Job Sheet'!U12="Acmeda External 15nm Remote Motor",'Job Sheet'!U12="Acmeda External 15nm Remote Motor"),1,"")</f>
        <v/>
      </c>
      <c r="LY6" t="str">
        <f>IF(OR('Job Sheet'!U12="Acmeda External 15nm Remote Motor",'Job Sheet'!U12="Acmeda External 15nm Remote Motor"),1,"")</f>
        <v/>
      </c>
      <c r="MC6" t="str">
        <f>IF(OR('Job Sheet'!Z12="Pulse 2.0 Automation Hub",'Job Sheet'!Z12="Pulse Pro Automation Hub"),1,"")</f>
        <v/>
      </c>
      <c r="MD6" t="str">
        <f>IF('Job Sheet'!Z12="1 Channel Dry Contact Relay Module",1,"")</f>
        <v/>
      </c>
      <c r="ME6" t="str">
        <f>IF('Job Sheet'!Z12="USB Repeater",1,"")</f>
        <v/>
      </c>
      <c r="MF6" t="str">
        <f>IF('Job Sheet'!W12="Acmeda 1 Channel White Remote",1,"")</f>
        <v/>
      </c>
      <c r="MG6" t="str">
        <f>IF('Job Sheet'!W12="Acmeda 1 Channel Black Remote",1,"")</f>
        <v/>
      </c>
      <c r="MH6" t="str">
        <f>IF('Job Sheet'!W12="Acmeda 5 Channel White Remote",1,"")</f>
        <v/>
      </c>
      <c r="MI6" t="str">
        <f>IF('Job Sheet'!W12="Acmeda 5 Channel Black Remote",1,"")</f>
        <v/>
      </c>
      <c r="MJ6" t="str">
        <f>IF('Job Sheet'!W12="Acmeda 15 Channel White Remote",1,"")</f>
        <v/>
      </c>
      <c r="MK6" t="str">
        <f>IF('Job Sheet'!W12="Acmeda 15 Channel Black Remote",1,"")</f>
        <v/>
      </c>
      <c r="ML6" t="str">
        <f>IF('Job Sheet'!W12="Acmeda Wall Mounted Single Channel White Remote",1,"")</f>
        <v/>
      </c>
      <c r="MM6" t="str">
        <f>IF('Job Sheet'!W12="Acmeda Wall Mounted 5 Channel White Remote",1,"")</f>
        <v/>
      </c>
      <c r="MN6" t="str">
        <f>IF('Job Sheet'!W12="Acmeda Wall Mounted 15 Channel White Remote",1,"")</f>
        <v/>
      </c>
      <c r="MO6" t="str">
        <f>IF('Job Sheet'!W12="Acmeda Push Pro White Remote with Charger",1,"")</f>
        <v/>
      </c>
      <c r="MP6" t="str">
        <f>IF('Job Sheet'!X12="Acmeda Push Pro Black Remote with Charger",1,"")</f>
        <v/>
      </c>
      <c r="MQ6" t="str">
        <f>IF(OR('Job Sheet'!X12="Acmeda Push Pro White Remote with Charger",'Job Sheet'!X12="Acmeda Push Pro Black Remote with Charger"),"1","")</f>
        <v/>
      </c>
      <c r="MR6" t="str">
        <f t="shared" si="2" ref="MR6:MR14">MQ6</f>
        <v/>
      </c>
      <c r="NE6" t="str">
        <f>IF('Job Sheet'!U12="Somfy Altus 50 RTS 6/17",1,"")</f>
        <v/>
      </c>
      <c r="NF6" t="str">
        <f>IF('Job Sheet'!U12="Somfy Altus 50 RTS 10/17",1,"")</f>
        <v/>
      </c>
      <c r="NG6" t="str">
        <f>IF('Job Sheet'!U12="Somfy Altus 50 RTS 15/17",1,"")</f>
        <v/>
      </c>
      <c r="NH6" t="str">
        <f>IF('Job Sheet'!U12="Somfy Altus 50 RTS 25/17",1,"")</f>
        <v/>
      </c>
      <c r="NI6" t="str">
        <f>IF('Job Sheet'!U12="Somfy Orea 50 WT 40/17",1,"")</f>
        <v/>
      </c>
      <c r="NJ6" t="str">
        <f t="shared" si="3" ref="NJ6:NJ14">IF(SUM(NE6:NI6)=1,1,"")</f>
        <v/>
      </c>
      <c r="NK6" t="str">
        <f t="shared" si="4" ref="NK6:NK14">IF(SUM(NE6:NI6)=1,1,"")</f>
        <v/>
      </c>
      <c r="NL6" t="str">
        <f t="shared" si="5" ref="NL6:NL14">IF(SUM(NE6:NI6)=1,1,"")</f>
        <v/>
      </c>
      <c r="NM6" t="str">
        <f>IF('Job Sheet'!Z12="Connexoon App Connector",1,"")</f>
        <v/>
      </c>
      <c r="NN6" t="str">
        <f>IF('Job Sheet'!Z12="Tahoma Switch",1,"")</f>
        <v/>
      </c>
      <c r="NO6" t="str">
        <f>IF('Job Sheet'!W12="Somfy Single Channel Silver Remote",1,"")</f>
        <v/>
      </c>
      <c r="NP6" t="str">
        <f>IF('Job Sheet'!W12="Somfy Single Channel White Remote",1,"")</f>
        <v/>
      </c>
      <c r="NQ6" t="str">
        <f>IF('Job Sheet'!W12="Somfy 2 Channel Silver Remote",1,"")</f>
        <v/>
      </c>
      <c r="NR6" t="str">
        <f>IF('Job Sheet'!W12="Somfy 2 Channel White Remote",1,"")</f>
        <v/>
      </c>
      <c r="NS6" t="str">
        <f>IF('Job Sheet'!W12="Somfy 5 Channel Silver Remote",1,"")</f>
        <v/>
      </c>
      <c r="NT6" t="str">
        <f>IF('Job Sheet'!W12="Somfy 5 Channel White Remote",1,"")</f>
        <v/>
      </c>
      <c r="NU6" t="str">
        <f>IF('Job Sheet'!W12="Somfy 15 Channel Silver Remote",1,"")</f>
        <v/>
      </c>
      <c r="NV6" t="str">
        <f>IF('Job Sheet'!W12="Somfy 15 Channel White Remote",1,"")</f>
        <v/>
      </c>
      <c r="NW6" t="str">
        <f>IF('Job Sheet'!W12="Somfy Single Channel Wall Mounted Smoove Remote White with Black Cover Plate",1,"")</f>
        <v/>
      </c>
      <c r="NX6" t="str">
        <f>IF('Job Sheet'!W12="Somfy Single Channel Wall Mounted Smoove Remote White with Silver Cover Plate",1,"")</f>
        <v/>
      </c>
      <c r="NY6" t="str">
        <f>IF('Job Sheet'!W12="Somfy Single Channel Wall Mounted Smoove Remote White",1,"")</f>
        <v/>
      </c>
      <c r="NZ6" t="str">
        <f>IF('Job Sheet'!W12="Somfy 2 Channel Wall Mounted Smoove Remote White with Black Cover Plate",1,"")</f>
        <v/>
      </c>
      <c r="OA6" t="str">
        <f>IF('Job Sheet'!W12="Somfy 2 Channel Wall Mounted Smoove Remote White with Silver Cover Plate",1,"")</f>
        <v/>
      </c>
      <c r="OB6" t="str">
        <f>IF('Job Sheet'!W12="Somfy 2 Channel Wall Mounted Smoove Remote White",1,"")</f>
        <v/>
      </c>
      <c r="OC6" t="str">
        <f>IF('Job Sheet'!W12="Somfy 5 Channel Wall Mounted Smoove Remote White with Black Cover Plate",1,"")</f>
        <v/>
      </c>
      <c r="OD6" t="str">
        <f>IF('Job Sheet'!W12="Somfy 5 Channel Wall Mounted Smoove Remote White with Silver Cover Plate",1,"")</f>
        <v/>
      </c>
      <c r="OE6" t="str">
        <f>IF('Job Sheet'!W12="Somfy 5 Channel Wall Mounted Smoove Remote White",1,"")</f>
        <v/>
      </c>
    </row>
    <row r="7" spans="4:395" ht="13.2" customHeight="1">
      <c r="D7" t="str">
        <f>IF(Data!AV13="","",IF(OR('Order Form'!R11="Supplied by Davidson's",SUM(NE7:NI7)&lt;&gt;0),CONCATENATE(Data!BC$5,".",Data!BD$5),IF(AND('Order Form'!R11&lt;&gt;"Supplied by Davidson's",'Tube Cutting'!C13=""),"",CONCATENATE(Data!BC$5,".",Data!BD$5))))</f>
        <v>11804.C</v>
      </c>
      <c r="E7">
        <f>IF(D7="","",Data!AW13)</f>
        <v>3</v>
      </c>
      <c r="F7" t="str">
        <f>IF(D7="","",Data!AV13)</f>
        <v>1954979d-6f15-4a4b-b182-9fdda71bb03b</v>
      </c>
      <c r="G7" t="str">
        <f t="shared" si="0"/>
        <v>Roller Shutters</v>
      </c>
      <c r="H7" t="str">
        <f>IF(D7="","",Data!BF$5)</f>
        <v>Crow, Tahlia</v>
      </c>
      <c r="I7" t="str">
        <f>IF(D7="","",Data!AX$5)</f>
        <v>Roller Shutters</v>
      </c>
      <c r="J7" s="116" t="str">
        <f>IF(OR(D7="",'Tube Cutting'!C13=""),"",IF(AND(Data!BN13="42mm Standard Slat",Data!BO13="Black"),'Tube Cutting'!C13*'Tube Cutting'!D13/5800,IF(AND(Data!BN13="42mm Standard Slat",'Tube Cutting'!H13="Black"),'Tube Cutting'!C13*'Tube Cutting'!G13/5800,"")))</f>
        <v/>
      </c>
      <c r="K7" s="116" t="str">
        <f>IF(OR(D7="",'Tube Cutting'!C13=""),"",IF(AND(Data!BN13="42mm Standard Slat",Data!BO13="Clear Beige"),'Tube Cutting'!C13*'Tube Cutting'!D13/5800,IF(AND(Data!BN13="42mm Standard Slat",'Tube Cutting'!H13="Clear Beige"),'Tube Cutting'!C13*'Tube Cutting'!G13/5800,"")))</f>
        <v/>
      </c>
      <c r="L7" s="116" t="str">
        <f>IF(OR(D7="",'Tube Cutting'!C13=""),"",IF(AND(Data!BN13="42mm Standard Slat",Data!BO13="Dune"),'Tube Cutting'!C13*'Tube Cutting'!D13/5800,IF(AND(Data!BN13="42mm Standard Slat",'Tube Cutting'!H13="Dune"),'Tube Cutting'!C13*'Tube Cutting'!G13/5800,"")))</f>
        <v/>
      </c>
      <c r="M7" s="116" t="str">
        <f>IF(OR(D7="",'Tube Cutting'!C13=""),"",IF(AND(Data!BN13="42mm Standard Slat",Data!BO13="Mag Cream"),'Tube Cutting'!C13*'Tube Cutting'!D13/5800,IF(AND(Data!BN13="42mm Standard Slat",'Tube Cutting'!H13="Mag Cream"),'Tube Cutting'!C13*'Tube Cutting'!G13/5800,"")))</f>
        <v/>
      </c>
      <c r="N7" s="116">
        <f>IF(OR(D7="",'Tube Cutting'!C13=""),"",IF(AND(Data!BN13="42mm Standard Slat",Data!BO13="Monument"),'Tube Cutting'!C13*'Tube Cutting'!D13/5800,IF(AND(Data!BN13="42mm Standard Slat",'Tube Cutting'!H13="Monument"),'Tube Cutting'!C13*'Tube Cutting'!G13/5800,"")))</f>
        <v>3.02902068965517</v>
      </c>
      <c r="O7" s="116" t="str">
        <f>IF(OR(D7="",'Tube Cutting'!C13=""),"",IF(AND(Data!BN13="42mm Standard Slat",Data!BO13="Shale Grey"),'Tube Cutting'!C13*'Tube Cutting'!D13/5800,IF(AND(Data!BN13="42mm Standard Slat",'Tube Cutting'!H13="Shale Grey"),'Tube Cutting'!C13*'Tube Cutting'!G13/5800,"")))</f>
        <v/>
      </c>
      <c r="P7" s="116" t="str">
        <f>IF(OR(D7="",'Tube Cutting'!C13=""),"",IF(AND(Data!BN13="42mm Standard Slat",Data!BO13="White"),'Tube Cutting'!C13*'Tube Cutting'!D13/5800,IF(AND(Data!BN13="42mm Standard Slat",'Tube Cutting'!H13="White"),'Tube Cutting'!C13*'Tube Cutting'!G13/5800,"")))</f>
        <v/>
      </c>
      <c r="Q7" s="116" t="str">
        <f>IF(OR(D7="",'Tube Cutting'!C13=""),"",IF(AND(Data!BN13="42mm Standard Slat",Data!BO13="Woodland Grey"),'Tube Cutting'!C13*'Tube Cutting'!D13/5800,IF(AND(Data!BN13="42mm Standard Slat",'Tube Cutting'!H13="Woodland Grey"),'Tube Cutting'!C13*'Tube Cutting'!G13/5800,"")))</f>
        <v/>
      </c>
      <c r="R7" s="116" t="str">
        <f>IF(OR(D7="",'Tube Cutting'!C13=""),"",IF(AND(Data!BN13="42mm Standard Slat",Data!BO13="Cream"),'Tube Cutting'!C13*'Tube Cutting'!D13/5800,IF(AND(Data!BN13="42mm Standard Slat",'Tube Cutting'!H13="Cream"),'Tube Cutting'!C13*'Tube Cutting'!G13/5800,"")))</f>
        <v/>
      </c>
      <c r="S7" s="116" t="str">
        <f>IF(OR(D7="",'Tube Cutting'!C13=""),"",IF(AND(Data!BN13="42mm Standard Slat",Data!BO13="Brown"),'Tube Cutting'!C13*'Tube Cutting'!D13/5800,IF(AND(Data!BN13="42mm Standard Slat",'Tube Cutting'!H13="Brown"),'Tube Cutting'!C13*'Tube Cutting'!G13/5800,"")))</f>
        <v/>
      </c>
      <c r="T7" s="116" t="str">
        <f>IF(OR(D7="",'Tube Cutting'!C13=""),"",IF(AND(Data!BN13="42mm Standard Slat",Data!BO13="Beige"),'Tube Cutting'!C13*'Tube Cutting'!D13/5800,IF(AND(Data!BN13="42mm Standard Slat",'Tube Cutting'!H13="Beige"),'Tube Cutting'!C13*'Tube Cutting'!G13/5800,"")))</f>
        <v/>
      </c>
      <c r="U7" s="116" t="str">
        <f>IF(OR(D7="",'Tube Cutting'!C13=""),"",IF(AND(Data!BN13="42mm Standard Slat",Data!BO13="Green"),'Tube Cutting'!C13*'Tube Cutting'!D13/5800,IF(AND(Data!BN13="42mm Standard Slat",'Tube Cutting'!H13="Green"),'Tube Cutting'!C13*'Tube Cutting'!G13/5800,"")))</f>
        <v/>
      </c>
      <c r="V7" s="116" t="str">
        <f>IF(OR(D7="",'Tube Cutting'!C13=""),"",IF(AND(Data!BN13="42mm Standard Slat",Data!BO13="Red"),'Tube Cutting'!C13*'Tube Cutting'!D13/5800,IF(AND(Data!BN13="42mm Standard Slat",'Tube Cutting'!H13="Red"),'Tube Cutting'!C13*'Tube Cutting'!G13/5800,"")))</f>
        <v/>
      </c>
      <c r="W7" s="116" t="str">
        <f>IF(OR(D7="",'Tube Cutting'!C13=""),"",IF(AND(Data!BN13="42mm Standard Slat",Data!BO13="Bronze"),'Tube Cutting'!C13*'Tube Cutting'!D13/5800,IF(AND(Data!BN13="42mm Standard Slat",'Tube Cutting'!H13="Bronze"),'Tube Cutting'!C13*'Tube Cutting'!G13/5800,"")))</f>
        <v/>
      </c>
      <c r="X7" s="116" t="str">
        <f>IF(OR(D7="",'Tube Cutting'!C13=""),"",IF(AND(Data!BN13="42mm Standard Slat",Data!BO13="Silver"),'Tube Cutting'!C13*'Tube Cutting'!D13/5800,IF(AND(Data!BN13="42mm Standard Slat",'Tube Cutting'!H13="Silver"),'Tube Cutting'!C13*'Tube Cutting'!G13/5800,"")))</f>
        <v/>
      </c>
      <c r="Y7" s="116" t="str">
        <f>IF(OR(D7="",'Tube Cutting'!C13=""),"",IF(AND(Data!BN13="42mm Standard Slat",Data!BO13="Deep Ocean Blue"),'Tube Cutting'!C13*'Tube Cutting'!D13/5800,IF(AND(Data!BN13="42mm Standard Slat",'Tube Cutting'!H13="Deep Ocean Blue"),'Tube Cutting'!C13*'Tube Cutting'!G13/5800,"")))</f>
        <v/>
      </c>
      <c r="Z7" s="116" t="str">
        <f>IF(OR(D7="",'Tube Cutting'!C13=""),"",IF(AND(Data!BN13="42mm Standard Slat",Data!BO13="Jasper"),'Tube Cutting'!C13*'Tube Cutting'!D13/5800,IF(AND(Data!BN13="42mm Standard Slat",'Tube Cutting'!H13="Jasper"),'Tube Cutting'!C13*'Tube Cutting'!G13/5800,"")))</f>
        <v/>
      </c>
      <c r="AA7" s="116" t="str">
        <f>IF(OR(D7="",'Tube Cutting'!C13=""),"",IF(AND(Data!BN13="42mm Standard Slat",Data!BO13="Surfmist"),'Tube Cutting'!C13*'Tube Cutting'!D13/5800,IF(AND(Data!BN13="42mm Standard Slat",'Tube Cutting'!H13="Surfmist"),'Tube Cutting'!C13*'Tube Cutting'!G13/5800,"")))</f>
        <v/>
      </c>
      <c r="AB7" s="116" t="str">
        <f>IF(OR(D7="",'Tube Cutting'!C13=""),"",IF('Tube Cutting'!H13="Black Unperforated",'Tube Cutting'!G13*'Tube Cutting'!C13/5800,IF(AND(OR(Data!BN13="42mm Standard Slat",Data!BN13="42mm Unperforated Slat"),Data!BO13="Black"),('Tube Cutting'!C13*'Tube Cutting'!E13/1000)/5.8,"")))</f>
        <v/>
      </c>
      <c r="AC7" s="116" t="str">
        <f>IF(OR(D7="",'Tube Cutting'!C13=""),"",IF('Tube Cutting'!H13="Clear Beige Unperforated",'Tube Cutting'!G13*'Tube Cutting'!C13/5800,IF(AND(OR(Data!BN13="42mm Standard Slat",Data!BN13="42mm Unperforated Slat"),Data!BO13="Clear Beige"),('Tube Cutting'!C13*'Tube Cutting'!E13/1000)/5.8,"")))</f>
        <v/>
      </c>
      <c r="AD7" s="116" t="str">
        <f>IF(OR(D7="",'Tube Cutting'!C13=""),"",IF('Tube Cutting'!H13="Dune Unperforated",'Tube Cutting'!G13*'Tube Cutting'!C13/5800,IF(AND(OR(Data!BN13="42mm Standard Slat",Data!BN13="42mm Unperforated Slat"),Data!BO13="Dune"),('Tube Cutting'!C13*'Tube Cutting'!E13/1000)/5.8,"")))</f>
        <v/>
      </c>
      <c r="AE7" s="116" t="str">
        <f>IF(OR(D7="",'Tube Cutting'!C13=""),"",IF('Tube Cutting'!H13="Mag Cream Unperforated",'Tube Cutting'!G13*'Tube Cutting'!C13/5800,IF(AND(OR(Data!BN13="42mm Standard Slat",Data!BN13="42mm Unperforated Slat"),Data!BO13="Mag Cream"),('Tube Cutting'!C13*'Tube Cutting'!E13/1000)/5.8,"")))</f>
        <v/>
      </c>
      <c r="AF7" s="116">
        <f>IF(OR(D7="",'Tube Cutting'!C13=""),"",IF('Tube Cutting'!H13="Monument Unperforated",'Tube Cutting'!G13*'Tube Cutting'!C13/5800,IF(AND(OR(Data!BN13="42mm Standard Slat",Data!BN13="42mm Unperforated Slat"),Data!BO13="Monument"),('Tube Cutting'!C13*'Tube Cutting'!E13/1000)/5.8,"")))</f>
        <v>0.555172413793103</v>
      </c>
      <c r="AG7" s="116" t="str">
        <f>IF(OR(D7="",'Tube Cutting'!C13=""),"",IF('Tube Cutting'!H13="Shale Grey Unperforated",'Tube Cutting'!G13*'Tube Cutting'!C13/5800,IF(AND(OR(Data!BN13="42mm Standard Slat",Data!BN13="42mm Unperforated Slat"),Data!BO13="Shale Grey"),('Tube Cutting'!C13*'Tube Cutting'!E13/1000)/5.8,"")))</f>
        <v/>
      </c>
      <c r="AH7" s="116" t="str">
        <f>IF(OR(D7="",'Tube Cutting'!C13=""),"",IF('Tube Cutting'!H13="White Unperforated",'Tube Cutting'!G13*'Tube Cutting'!C13/5800,IF(AND(OR(Data!BN13="42mm Standard Slat",Data!BN13="42mm Unperforated Slat"),Data!BO13="White"),('Tube Cutting'!C13*'Tube Cutting'!E13/1000)/5.8,"")))</f>
        <v/>
      </c>
      <c r="AI7" s="116" t="str">
        <f>IF(OR(D7="",'Tube Cutting'!C13=""),"",IF('Tube Cutting'!H13="Woodland Grey Unperforated",'Tube Cutting'!G13*'Tube Cutting'!C13/5800,IF(AND(OR(Data!BN13="42mm Standard Slat",Data!BN13="42mm Unperforated Slat"),Data!BO13="Woodland Grey"),('Tube Cutting'!C13*'Tube Cutting'!E13/1000)/5.8,"")))</f>
        <v/>
      </c>
      <c r="AJ7" s="116" t="str">
        <f>IF(OR(D7="",'Tube Cutting'!C13=""),"",IF('Tube Cutting'!H13="Cream Unperforated",'Tube Cutting'!G13*'Tube Cutting'!C13/5800,IF(AND(OR(Data!BN13="42mm Standard Slat",Data!BN13="42mm Unperforated Slat"),Data!BO13="Cream"),('Tube Cutting'!C13*'Tube Cutting'!E13/1000)/5.8,"")))</f>
        <v/>
      </c>
      <c r="AK7" s="116" t="str">
        <f>IF(OR(D7="",'Tube Cutting'!C13=""),"",IF('Tube Cutting'!H13="Brown Unperforated",'Tube Cutting'!G13*'Tube Cutting'!C13/5800,IF(AND(OR(Data!BN13="42mm Standard Slat",Data!BN13="42mm Unperforated Slat"),Data!BO13="Brown"),('Tube Cutting'!C13*'Tube Cutting'!E13/1000)/5.8,"")))</f>
        <v/>
      </c>
      <c r="AL7" s="116" t="str">
        <f>IF(OR(D7="",'Tube Cutting'!C13=""),"",IF('Tube Cutting'!H13="Beige Unperforated",'Tube Cutting'!G13*'Tube Cutting'!C13/5800,IF(AND(OR(Data!BN13="42mm Standard Slat",Data!BN13="42mm Unperforated Slat"),Data!BO13="Beige"),('Tube Cutting'!C13*'Tube Cutting'!E13/1000)/5.8,"")))</f>
        <v/>
      </c>
      <c r="AM7" s="116" t="str">
        <f>IF(OR(D7="",'Tube Cutting'!C13=""),"",IF('Tube Cutting'!H13="Green Unperforated",'Tube Cutting'!G13*'Tube Cutting'!C13/5800,IF(AND(OR(Data!BN13="42mm Standard Slat",Data!BN13="42mm Unperforated Slat"),Data!BO13="Green"),('Tube Cutting'!C13*'Tube Cutting'!E13/1000)/5.8,"")))</f>
        <v/>
      </c>
      <c r="AN7" s="116" t="str">
        <f>IF(OR(D7="",'Tube Cutting'!C13=""),"",IF('Tube Cutting'!H13="Red Unperforated",'Tube Cutting'!G13*'Tube Cutting'!C13/5800,IF(AND(OR(Data!BN13="42mm Standard Slat",Data!BN13="42mm Unperforated Slat"),Data!BO13="Red"),('Tube Cutting'!C13*'Tube Cutting'!E13/1000)/5.8,"")))</f>
        <v/>
      </c>
      <c r="AO7" s="116" t="str">
        <f>IF(OR(D7="",'Tube Cutting'!C13=""),"",IF('Tube Cutting'!H13="Bronze Unperforated",'Tube Cutting'!G13*'Tube Cutting'!C13/5800,IF(AND(OR(Data!BN13="42mm Standard Slat",Data!BN13="42mm Unperforated Slat"),Data!BO13="Bronze"),('Tube Cutting'!C13*'Tube Cutting'!E13/1000)/5.8,"")))</f>
        <v/>
      </c>
      <c r="AP7" s="116" t="str">
        <f>IF(OR(D7="",'Tube Cutting'!C13=""),"",IF('Tube Cutting'!H13="Silver Unperforated",'Tube Cutting'!G13*'Tube Cutting'!C13/5800,IF(AND(OR(Data!BN13="42mm Standard Slat",Data!BN13="42mm Unperforated Slat"),Data!BO13="Silver"),('Tube Cutting'!C13*'Tube Cutting'!E13/1000)/5.8,"")))</f>
        <v/>
      </c>
      <c r="AQ7" s="116" t="str">
        <f>IF(OR(D7="",'Tube Cutting'!C13=""),"",IF('Tube Cutting'!H13="Deep Ocean Unperforated",'Tube Cutting'!G13*'Tube Cutting'!C13/5800,IF(AND(OR(Data!BN13="42mm Standard Slat",Data!BN13="42mm Unperforated Slat"),Data!BO13="Deep Ocean"),('Tube Cutting'!C13*'Tube Cutting'!E13/1000)/5.8,"")))</f>
        <v/>
      </c>
      <c r="AR7" s="116" t="str">
        <f>IF(OR(D7="",'Tube Cutting'!C13=""),"",IF('Tube Cutting'!H13="Jasper Unperforated",'Tube Cutting'!G13*'Tube Cutting'!C13/5800,IF(AND(OR(Data!BN13="42mm Standard Slat",Data!BN13="42mm Unperforated Slat"),Data!BO13="Jasper"),('Tube Cutting'!C13*'Tube Cutting'!E13/1000)/5.8,"")))</f>
        <v/>
      </c>
      <c r="AS7" s="116" t="str">
        <f>IF(OR(D7="",'Tube Cutting'!C13=""),"",IF('Tube Cutting'!H13="Surfmist Unperforated",'Tube Cutting'!G13*'Tube Cutting'!C13/5800,IF(AND(OR(Data!BN13="42mm Standard Slat",Data!BN13="42mm Unperforated Slat"),Data!BO13="Surfmist"),('Tube Cutting'!C13*'Tube Cutting'!E13/1000)/5.8,"")))</f>
        <v/>
      </c>
      <c r="AT7" t="str">
        <f>IF(OR(D7="",'Tube Cutting'!C13=""),"",IF(AND('Tube Cutting'!O13="Black",'Tube Cutting'!N13="180mm"),'Tube Cutting'!L13,""))</f>
        <v/>
      </c>
      <c r="AU7" t="str">
        <f>IF(OR(D7="",'Tube Cutting'!C13=""),"",IF(AND('Tube Cutting'!O13="Black",'Tube Cutting'!N13="180mm"),'Tube Cutting'!M13,""))</f>
        <v/>
      </c>
      <c r="AV7" t="str">
        <f>IF(OR(D7="",'Tube Cutting'!C13=""),"",IF(AND('Tube Cutting'!O13="Clear Beige",'Tube Cutting'!N13="180mm"),'Tube Cutting'!L13,""))</f>
        <v/>
      </c>
      <c r="AW7" t="str">
        <f>IF(OR(D7="",'Tube Cutting'!C13=""),"",IF(AND('Tube Cutting'!O13="Clear Beige",'Tube Cutting'!N13="180mm"),'Tube Cutting'!M13,""))</f>
        <v/>
      </c>
      <c r="AX7" t="str">
        <f>IF(OR(D7="",'Tube Cutting'!C13=""),"",IF(AND('Tube Cutting'!O13="Dune",'Tube Cutting'!N13="180mm"),'Tube Cutting'!L13,""))</f>
        <v/>
      </c>
      <c r="AY7" t="str">
        <f>IF(OR(D7="",'Tube Cutting'!C13=""),"",IF(AND('Tube Cutting'!O13="Dune",'Tube Cutting'!N13="180mm"),'Tube Cutting'!M13,""))</f>
        <v/>
      </c>
      <c r="AZ7" t="str">
        <f>IF(OR(D7="",'Tube Cutting'!C13=""),"",IF(AND('Tube Cutting'!O13="Mag Cream",'Tube Cutting'!N13="180mm"),'Tube Cutting'!L13,""))</f>
        <v/>
      </c>
      <c r="BA7" t="str">
        <f>IF(OR(D7="",'Tube Cutting'!C13=""),"",IF(AND('Tube Cutting'!O13="Mag Cream",'Tube Cutting'!N13="180mm"),'Tube Cutting'!M13,""))</f>
        <v/>
      </c>
      <c r="BB7">
        <f>IF(OR(D7="",'Tube Cutting'!C13=""),"",IF(AND('Tube Cutting'!O13="Monument",'Tube Cutting'!N13="180mm"),'Tube Cutting'!L13,""))</f>
        <v>706</v>
      </c>
      <c r="BC7">
        <f>IF(OR(D7="",'Tube Cutting'!C13=""),"",IF(AND('Tube Cutting'!O13="Monument",'Tube Cutting'!N13="180mm"),'Tube Cutting'!M13,""))</f>
        <v>706</v>
      </c>
      <c r="BD7" t="str">
        <f>IF(OR(D7="",'Tube Cutting'!C13=""),"",IF(AND('Tube Cutting'!O13="Shale Grey",'Tube Cutting'!N13="180mm"),'Tube Cutting'!L13,""))</f>
        <v/>
      </c>
      <c r="BE7" t="str">
        <f>IF(OR(D7="",'Tube Cutting'!C13=""),"",IF(AND('Tube Cutting'!O13="Shale Grey",'Tube Cutting'!N13="180mm"),'Tube Cutting'!M13,""))</f>
        <v/>
      </c>
      <c r="BF7" t="str">
        <f>IF(OR(D7="",'Tube Cutting'!C13=""),"",IF(AND('Tube Cutting'!O13="White",'Tube Cutting'!N13="180mm"),'Tube Cutting'!L13,""))</f>
        <v/>
      </c>
      <c r="BG7" t="str">
        <f>IF(OR(D7="",'Tube Cutting'!C13=""),"",IF(AND('Tube Cutting'!O13="White",'Tube Cutting'!N13="180mm"),'Tube Cutting'!M13,""))</f>
        <v/>
      </c>
      <c r="BH7" t="str">
        <f>IF(OR(D7="",'Tube Cutting'!C13=""),"",IF(AND('Tube Cutting'!O13="Woodland Grey",'Tube Cutting'!N13="180mm"),'Tube Cutting'!L13,""))</f>
        <v/>
      </c>
      <c r="BI7" t="str">
        <f>IF(OR(D7="",'Tube Cutting'!C13=""),"",IF(AND('Tube Cutting'!O13="Woodland Grey",'Tube Cutting'!N13="180mm"),'Tube Cutting'!M13,""))</f>
        <v/>
      </c>
      <c r="BJ7" t="str">
        <f>IF(OR(D7="",'Tube Cutting'!C13=""),"",IF(AND('Tube Cutting'!O13="Cream",'Tube Cutting'!N13="180mm"),'Tube Cutting'!L13,""))</f>
        <v/>
      </c>
      <c r="BK7" t="str">
        <f>IF(OR(D7="",'Tube Cutting'!C13=""),"",IF(AND('Tube Cutting'!O13="Cream",'Tube Cutting'!N13="180mm"),'Tube Cutting'!M13,""))</f>
        <v/>
      </c>
      <c r="BL7" t="str">
        <f>IF(OR(D7="",'Tube Cutting'!C13=""),"",IF(AND('Tube Cutting'!O13="Brown",'Tube Cutting'!N13="180mm"),'Tube Cutting'!L13,""))</f>
        <v/>
      </c>
      <c r="BM7" t="str">
        <f>IF(OR(D7="",'Tube Cutting'!C13=""),"",IF(AND('Tube Cutting'!O13="Brown",'Tube Cutting'!N13="180mm"),'Tube Cutting'!M13,""))</f>
        <v/>
      </c>
      <c r="BN7" t="str">
        <f>IF(OR(D7="",'Tube Cutting'!C13=""),"",IF(AND('Tube Cutting'!O13="Surfmist",'Tube Cutting'!N13="180mm"),'Tube Cutting'!L13,""))</f>
        <v/>
      </c>
      <c r="BO7" t="str">
        <f>IF(OR(D7="",'Tube Cutting'!C13=""),"",IF(AND('Tube Cutting'!O13="Surfmist",'Tube Cutting'!N13="180mm"),'Tube Cutting'!M13,""))</f>
        <v/>
      </c>
      <c r="BP7" t="str">
        <f>IF(OR(D7="",'Tube Cutting'!C13=""),"",IF(AND('Tube Cutting'!O13="Jasper",'Tube Cutting'!N13="180mm"),'Tube Cutting'!L13,""))</f>
        <v/>
      </c>
      <c r="BQ7" t="str">
        <f>IF(OR(D7="",'Tube Cutting'!C13=""),"",IF(AND('Tube Cutting'!O13="Jasper",'Tube Cutting'!N13="180mm"),'Tube Cutting'!M13,""))</f>
        <v/>
      </c>
      <c r="BR7" t="str">
        <f>IF(OR(E7="",'Tube Cutting'!D13=""),"",IF(AND('Tube Cutting'!O13="Red",'Tube Cutting'!N13="180mm"),'Tube Cutting'!L13,""))</f>
        <v/>
      </c>
      <c r="BS7" t="str">
        <f>IF(OR(E7="",'Tube Cutting'!D13=""),"",IF(AND('Tube Cutting'!O13="Red",'Tube Cutting'!N13="180mm"),'Tube Cutting'!M13,""))</f>
        <v/>
      </c>
      <c r="BT7" t="str">
        <f>IF(OR(D7="",'Tube Cutting'!C13=""),"",IF(AND('Tube Cutting'!O13="Black",'Tube Cutting'!N13="205mm"),'Tube Cutting'!L13,""))</f>
        <v/>
      </c>
      <c r="BU7" t="str">
        <f>IF(OR(D7="",'Tube Cutting'!C13=""),"",IF(AND('Tube Cutting'!O13="Black",'Tube Cutting'!N13="205mm"),'Tube Cutting'!M13,""))</f>
        <v/>
      </c>
      <c r="BV7" t="str">
        <f>IF(OR(D7="",'Tube Cutting'!C13=""),"",IF(AND('Tube Cutting'!O13="Clear Beige",'Tube Cutting'!N13="205mm"),'Tube Cutting'!L13,""))</f>
        <v/>
      </c>
      <c r="BW7" t="str">
        <f>IF(OR(D7="",'Tube Cutting'!C13=""),"",IF(AND('Tube Cutting'!O13="Clear Beige",'Tube Cutting'!N13="205mm"),'Tube Cutting'!M13,""))</f>
        <v/>
      </c>
      <c r="BX7" t="str">
        <f>IF(OR(D7="",'Tube Cutting'!C13=""),"",IF(AND('Tube Cutting'!O13="Dune",'Tube Cutting'!N13="205mm"),'Tube Cutting'!L13,""))</f>
        <v/>
      </c>
      <c r="BY7" t="str">
        <f>IF(OR(D7="",'Tube Cutting'!C13=""),"",IF(AND('Tube Cutting'!O13="Dune",'Tube Cutting'!N13="205mm"),'Tube Cutting'!M13,""))</f>
        <v/>
      </c>
      <c r="BZ7" t="str">
        <f>IF(OR(D7="",'Tube Cutting'!C13=""),"",IF(AND('Tube Cutting'!O13="Mag Cream",'Tube Cutting'!N13="205mm"),'Tube Cutting'!L13,""))</f>
        <v/>
      </c>
      <c r="CA7" t="str">
        <f>IF(OR(D7="",'Tube Cutting'!C13=""),"",IF(AND('Tube Cutting'!O13="Mag Cream",'Tube Cutting'!N13="205mm"),'Tube Cutting'!M13,""))</f>
        <v/>
      </c>
      <c r="CB7" t="str">
        <f>IF(OR(D7="",'Tube Cutting'!C13=""),"",IF(AND('Tube Cutting'!O13="Monument",'Tube Cutting'!N13="205mm"),'Tube Cutting'!L13,""))</f>
        <v/>
      </c>
      <c r="CC7" t="str">
        <f>IF(OR(D7="",'Tube Cutting'!C13=""),"",IF(AND('Tube Cutting'!O13="Monument",'Tube Cutting'!N13="205mm"),'Tube Cutting'!M13,""))</f>
        <v/>
      </c>
      <c r="CD7" t="str">
        <f>IF(OR(D7="",'Tube Cutting'!C13=""),"",IF(AND('Tube Cutting'!O13="Shale Grey",'Tube Cutting'!N13="205mm"),'Tube Cutting'!L13,""))</f>
        <v/>
      </c>
      <c r="CE7" t="str">
        <f>IF(OR(D7="",'Tube Cutting'!C13=""),"",IF(AND('Tube Cutting'!O13="Shale Grey",'Tube Cutting'!N13="205mm"),'Tube Cutting'!M13,""))</f>
        <v/>
      </c>
      <c r="CF7" t="str">
        <f>IF(OR(D7="",'Tube Cutting'!C13=""),"",IF(AND('Tube Cutting'!O13="White",'Tube Cutting'!N13="205mm"),'Tube Cutting'!L13,""))</f>
        <v/>
      </c>
      <c r="CG7" t="str">
        <f>IF(OR(D7="",'Tube Cutting'!C13=""),"",IF(AND('Tube Cutting'!O13="White",'Tube Cutting'!N13="205mm"),'Tube Cutting'!M13,""))</f>
        <v/>
      </c>
      <c r="CH7" t="str">
        <f>IF(OR(D7="",'Tube Cutting'!C13=""),"",IF(AND('Tube Cutting'!O13="Woodland Grey",'Tube Cutting'!N13="205mm"),'Tube Cutting'!L13,""))</f>
        <v/>
      </c>
      <c r="CI7" t="str">
        <f>IF(OR(D7="",'Tube Cutting'!C13=""),"",IF(AND('Tube Cutting'!O13="Woodland Grey",'Tube Cutting'!N13="205mm"),'Tube Cutting'!M13,""))</f>
        <v/>
      </c>
      <c r="CJ7" t="str">
        <f>IF(OR(D7="",'Tube Cutting'!C13=""),"",IF(AND('Tube Cutting'!O13="Cream",'Tube Cutting'!N13="205mm"),'Tube Cutting'!L13,""))</f>
        <v/>
      </c>
      <c r="CK7" t="str">
        <f>IF(OR(D7="",'Tube Cutting'!C13=""),"",IF(AND('Tube Cutting'!O13="Cream",'Tube Cutting'!N13="205mm"),'Tube Cutting'!M13,""))</f>
        <v/>
      </c>
      <c r="CL7" t="str">
        <f>IF(OR(D7="",'Tube Cutting'!C13=""),"",IF(AND('Tube Cutting'!O13="Brown",'Tube Cutting'!N13="205mm"),'Tube Cutting'!L13,""))</f>
        <v/>
      </c>
      <c r="CM7" t="str">
        <f>IF(OR(D7="",'Tube Cutting'!C13=""),"",IF(AND('Tube Cutting'!O13="Brown",'Tube Cutting'!N13="205mm"),'Tube Cutting'!M13,""))</f>
        <v/>
      </c>
      <c r="CN7" t="str">
        <f>IF(OR(D7="",'Tube Cutting'!C13=""),"",IF(AND('Tube Cutting'!O13="Surfmist",'Tube Cutting'!N13="205mm"),'Tube Cutting'!L13,""))</f>
        <v/>
      </c>
      <c r="CO7" t="str">
        <f>IF(OR(D7="",'Tube Cutting'!C13=""),"",IF(AND('Tube Cutting'!O13="Surfmist",'Tube Cutting'!N13="205mm"),'Tube Cutting'!M13,""))</f>
        <v/>
      </c>
      <c r="CP7" t="str">
        <f>IF(OR(D7="",'Tube Cutting'!C13=""),"",IF(AND('Tube Cutting'!O13="Jasper",'Tube Cutting'!N13="205mm"),'Tube Cutting'!L13,""))</f>
        <v/>
      </c>
      <c r="CQ7" t="str">
        <f>IF(OR(D7="",'Tube Cutting'!C13=""),"",IF(AND('Tube Cutting'!O13="Jasper",'Tube Cutting'!N13="205mm"),'Tube Cutting'!M13,""))</f>
        <v/>
      </c>
      <c r="CR7" t="str">
        <f>IF(OR(D7="",'Tube Cutting'!C13=""),"",IF(AND('Tube Cutting'!O13="Cream",'Tube Cutting'!N13="230mm"),'Tube Cutting'!L13,""))</f>
        <v/>
      </c>
      <c r="CS7" t="str">
        <f>IF(OR(D7="",'Tube Cutting'!C13=""),"",IF(AND('Tube Cutting'!O13="Cream",'Tube Cutting'!N13="230mm"),'Tube Cutting'!M13,""))</f>
        <v/>
      </c>
      <c r="CT7" t="str">
        <f>IF(OR(D7="",'Tube Cutting'!C13=""),"",IF(AND('Tube Cutting'!O13="Mag Cream",'Tube Cutting'!N13="230mm"),'Tube Cutting'!L13,""))</f>
        <v/>
      </c>
      <c r="CU7" t="str">
        <f>IF(OR(D7="",'Tube Cutting'!C13=""),"",IF(AND('Tube Cutting'!O13="Mag Cream",'Tube Cutting'!N13="230mm"),'Tube Cutting'!M13,""))</f>
        <v/>
      </c>
      <c r="CV7" t="str">
        <f>IF(OR(D7="",'Tube Cutting'!C13=""),"",IF(AND('Tube Cutting'!O13="Clear Beige",'Tube Cutting'!N13="230mm"),'Tube Cutting'!L13,""))</f>
        <v/>
      </c>
      <c r="CW7" t="str">
        <f>IF(OR(D7="",'Tube Cutting'!C13=""),"",IF(AND('Tube Cutting'!O13="Clear Beige",'Tube Cutting'!N13="230mm"),'Tube Cutting'!M13,""))</f>
        <v/>
      </c>
      <c r="CX7" t="str">
        <f>IF(OR(D7="",'Tube Cutting'!C13=""),"",IF(AND('Tube Cutting'!O13="White",'Tube Cutting'!N13="230mm"),'Tube Cutting'!L13,""))</f>
        <v/>
      </c>
      <c r="CY7" t="str">
        <f>IF(OR(D7="",'Tube Cutting'!C13=""),"",IF(AND('Tube Cutting'!O13="White",'Tube Cutting'!N13="230mm"),'Tube Cutting'!M13,""))</f>
        <v/>
      </c>
      <c r="CZ7" t="str">
        <f>IF(OR(D7="",'Tube Cutting'!C13=""),"",IF(AND('Tube Cutting'!O13="Shale Grey",'Tube Cutting'!N13="230mm"),'Tube Cutting'!L13,""))</f>
        <v/>
      </c>
      <c r="DA7" t="str">
        <f>IF(OR(D7="",'Tube Cutting'!C13=""),"",IF(AND('Tube Cutting'!O13="Shale Grey",'Tube Cutting'!N13="230mm"),'Tube Cutting'!M13,""))</f>
        <v/>
      </c>
      <c r="DB7" t="str">
        <f>IF(OR(D7="",'Tube Cutting'!C13=""),"",IF(AND('Tube Cutting'!O13="Black",'Tube Cutting'!N13="230mm"),'Tube Cutting'!L13,""))</f>
        <v/>
      </c>
      <c r="DC7" t="str">
        <f>IF(OR(D7="",'Tube Cutting'!C13=""),"",IF(AND('Tube Cutting'!O13="Black",'Tube Cutting'!N13="230mm"),'Tube Cutting'!M13,""))</f>
        <v/>
      </c>
      <c r="DD7" t="str">
        <f>IF(OR(D7="",'Tube Cutting'!C13=""),"",IF(AND('Tube Cutting'!O13="Monument",'Tube Cutting'!N13="230mm"),'Tube Cutting'!L13,""))</f>
        <v/>
      </c>
      <c r="DE7" t="str">
        <f>IF(OR(D7="",'Tube Cutting'!C13=""),"",IF(AND('Tube Cutting'!O13="Monument",'Tube Cutting'!N13="230mm"),'Tube Cutting'!M13,""))</f>
        <v/>
      </c>
      <c r="DF7" t="str">
        <f>IF(OR(D7="",'Tube Cutting'!C13=""),"",IF(AND('Tube Cutting'!O13="Woodland Grey",'Tube Cutting'!N13="230mm"),'Tube Cutting'!L13,""))</f>
        <v/>
      </c>
      <c r="DG7" t="str">
        <f>IF(OR(D7="",'Tube Cutting'!C13=""),"",IF(AND('Tube Cutting'!O13="Woodland Grey",'Tube Cutting'!N13="230mm"),'Tube Cutting'!M13,""))</f>
        <v/>
      </c>
      <c r="DH7" t="str">
        <f>IF(OR(D7="",'Tube Cutting'!C13=""),"",IF(AND('Tube Cutting'!O13="Surfmist",'Tube Cutting'!N13="230mm"),'Tube Cutting'!L13,""))</f>
        <v/>
      </c>
      <c r="DI7" t="str">
        <f>IF(OR(D7="",'Tube Cutting'!C13=""),"",IF(AND('Tube Cutting'!O13="Surfmist",'Tube Cutting'!N13="230mm"),'Tube Cutting'!M13,""))</f>
        <v/>
      </c>
      <c r="DJ7" t="str">
        <f>IF(OR(D7="",'Tube Cutting'!C13=""),"",IF(AND('Tube Cutting'!O13="Jasper",'Tube Cutting'!N13="230mm"),'Tube Cutting'!L13,""))</f>
        <v/>
      </c>
      <c r="DK7" t="str">
        <f>IF(OR(D7="",'Tube Cutting'!C13=""),"",IF(AND('Tube Cutting'!O13="Jasper",'Tube Cutting'!N13="230mm"),'Tube Cutting'!M13,""))</f>
        <v/>
      </c>
      <c r="DL7" t="str">
        <f>IF(OR(D7="",'Tube Cutting'!C13=""),"",IF(AND('Tube Cutting'!O13="Dune",'Tube Cutting'!N13="230mm"),'Tube Cutting'!L13,""))</f>
        <v/>
      </c>
      <c r="DM7" t="str">
        <f>IF(OR(D7="",'Tube Cutting'!C13=""),"",IF(AND('Tube Cutting'!O13="Dune",'Tube Cutting'!N13="230mm"),'Tube Cutting'!M13,""))</f>
        <v/>
      </c>
      <c r="DN7" t="str">
        <f>IF(OR(D7="",'Tube Cutting'!C13=""),"",IF(AND('Tube Cutting'!R13="Cream",'Job Sheet'!AG13="Bay Window Flashing x 1"),'Job Sheet'!BB13,IF(AND('Tube Cutting'!R13="Cream",'Job Sheet'!AG13="Bay Window Flashing x 2"),'Job Sheet'!BB13*2,"")))</f>
        <v/>
      </c>
      <c r="DO7" t="str">
        <f>IF(OR(D7="",'Tube Cutting'!C13=""),"",IF(AND('Tube Cutting'!R13="Mag",'Job Sheet'!AG13="Bay Window Flashing x 1"),'Job Sheet'!BB13,IF(AND('Tube Cutting'!R13="Mag Cream",'Job Sheet'!AG13="Bay Window Flashing x 2"),'Job Sheet'!BB13*2,"")))</f>
        <v/>
      </c>
      <c r="DP7" t="str">
        <f>IF(OR(D7="",'Tube Cutting'!C13=""),"",IF(AND('Tube Cutting'!R13="Clear Beige",'Job Sheet'!AG13="Bay Window Flashing x 1"),'Job Sheet'!BB13,IF(AND('Tube Cutting'!R13="Clear Beige",'Job Sheet'!AG13="Bay Window Flashing x 2"),'Job Sheet'!BB13*2,"")))</f>
        <v/>
      </c>
      <c r="DQ7" t="str">
        <f>IF(OR(D7="",'Tube Cutting'!C13=""),"",IF(AND('Tube Cutting'!R13="White",'Job Sheet'!AG13="Bay Window Flashing x 1"),'Job Sheet'!BB13,IF(AND('Tube Cutting'!R13="White",'Job Sheet'!AG13="Bay Window Flashing x 2"),'Job Sheet'!BB13*2,"")))</f>
        <v/>
      </c>
      <c r="DR7" t="str">
        <f>IF(OR(D7="",'Tube Cutting'!C13=""),"",IF(AND('Tube Cutting'!R13="Shale Grey",'Job Sheet'!AG13="Bay Window Flashing x 1"),'Job Sheet'!BB13,IF(AND('Tube Cutting'!R13="Shale Grey",'Job Sheet'!AG13="Bay Window Flashing x 2"),'Job Sheet'!BB13*2,"")))</f>
        <v/>
      </c>
      <c r="DS7" t="str">
        <f>IF(OR(D7="",'Tube Cutting'!C13=""),"",IF(AND('Tube Cutting'!R13="Brown",'Job Sheet'!AG13="Bay Window Flashing x 1"),'Job Sheet'!BB13,IF(AND('Tube Cutting'!R13="Brown",'Job Sheet'!AG13="Bay Window Flashing x 2"),'Job Sheet'!BB13*2,"")))</f>
        <v/>
      </c>
      <c r="DT7" t="str">
        <f>IF(OR(D7="",'Tube Cutting'!C13=""),"",IF(AND('Tube Cutting'!R13="Black",'Job Sheet'!AG13="Bay Window Flashing x 1"),'Job Sheet'!BB13,IF(AND('Tube Cutting'!R13="Black",'Job Sheet'!AG13="Bay Window Flashing x 2"),'Job Sheet'!BB13*2,"")))</f>
        <v/>
      </c>
      <c r="DU7" t="str">
        <f>IF(OR(D7="",'Tube Cutting'!C13=""),"",IF(AND('Tube Cutting'!R13="Monument",'Job Sheet'!AG13="Bay Window Flashing x 1"),'Job Sheet'!BB13,IF(AND('Tube Cutting'!R13="Monument",'Job Sheet'!AG13="Bay Window Flashing x 2"),'Job Sheet'!BB13*2,"")))</f>
        <v/>
      </c>
      <c r="DV7" t="str">
        <f>IF(OR(D7="",'Tube Cutting'!C13=""),"",IF(AND('Tube Cutting'!R13="Woodland Grey",'Job Sheet'!AG13="Bay Window Flashing x 1"),'Job Sheet'!BB13,IF(AND('Tube Cutting'!R13="Woodland Grey",'Job Sheet'!AG13="Bay Window Flashing x 2"),'Job Sheet'!BB13*2,"")))</f>
        <v/>
      </c>
      <c r="DW7" t="str">
        <f>IF(OR(D7="",'Tube Cutting'!C13=""),"",IF(AND('Tube Cutting'!R13="Surfmist",'Job Sheet'!AG13="Bay Window Flashing x 1"),'Job Sheet'!BB13,IF(AND('Tube Cutting'!R13="Surfmist",'Job Sheet'!AG13="Bay Window Flashing x 2"),'Job Sheet'!BB13*2,"")))</f>
        <v/>
      </c>
      <c r="DX7" t="str">
        <f>IF(OR(D7="",'Tube Cutting'!C13=""),"",IF(AND('Tube Cutting'!R13="Jasper",'Job Sheet'!AG13="Bay Window Flashing x 1"),'Job Sheet'!BB13,IF(AND('Tube Cutting'!R13="Jasper",'Job Sheet'!AG13="Bay Window Flashing x 2"),'Job Sheet'!BB13*2,"")))</f>
        <v/>
      </c>
      <c r="DY7" t="str">
        <f>IF(OR(D7="",'Tube Cutting'!C13=""),"",IF(AND('Tube Cutting'!R13="Dune",'Job Sheet'!AG13="Bay Window Flashing x 1"),'Job Sheet'!BB13,IF(AND('Tube Cutting'!R13="Dune",'Job Sheet'!AG13="Bay Window Flashing x 2"),'Job Sheet'!BB13*2,"")))</f>
        <v/>
      </c>
      <c r="DZ7" t="str">
        <f>IF(OR(D7="",'Tube Cutting'!C13=""),"",IF('Tube Cutting'!R13="Cream",IF(SUM('Job Sheet'!BR13:BU13)=0,"",SUM('Job Sheet'!BR13:BU13)),""))</f>
        <v/>
      </c>
      <c r="EA7" t="str">
        <f>IF(OR(D7="",'Tube Cutting'!C13=""),"",IF('Tube Cutting'!R13="Mag Cream",IF(SUM('Job Sheet'!BR13:BU13)=0,"",SUM('Job Sheet'!BR13:BU13)),""))</f>
        <v/>
      </c>
      <c r="EB7" t="str">
        <f>IF(OR(D7="",'Tube Cutting'!C13=""),"",IF('Tube Cutting'!R13="Clear Beige",IF(SUM('Job Sheet'!BR13:BU13)=0,"",SUM('Job Sheet'!BR13:BU13)),""))</f>
        <v/>
      </c>
      <c r="EC7" t="str">
        <f>IF(OR(D7="",'Tube Cutting'!C13=""),"",IF('Tube Cutting'!R13="White",IF(SUM('Job Sheet'!BR13:BU13)=0,"",SUM('Job Sheet'!BR13:BU13)),""))</f>
        <v/>
      </c>
      <c r="ED7" t="str">
        <f>IF(OR(D7="",'Tube Cutting'!C13=""),"",IF('Tube Cutting'!R13="Shale Grey",IF(SUM('Job Sheet'!BR13:BU13)=0,"",SUM('Job Sheet'!BR13:BU13)),""))</f>
        <v/>
      </c>
      <c r="EE7" t="str">
        <f>IF(OR(D7="",'Tube Cutting'!C13=""),"",IF('Tube Cutting'!R13="Brown",IF(SUM('Job Sheet'!BR13:BU13)=0,"",SUM('Job Sheet'!BR13:BU13)),""))</f>
        <v/>
      </c>
      <c r="EF7" t="str">
        <f>IF(OR(D7="",'Tube Cutting'!C13=""),"",IF('Tube Cutting'!R13="Black",IF(SUM('Job Sheet'!BR13:BU13)=0,"",SUM('Job Sheet'!BR13:BU13)),""))</f>
        <v/>
      </c>
      <c r="EG7" t="str">
        <f>IF(OR(D7="",'Tube Cutting'!C13=""),"",IF('Tube Cutting'!R13="Monument",IF(SUM('Job Sheet'!BR13:BU13)=0,"",SUM('Job Sheet'!BR13:BU13)),""))</f>
        <v/>
      </c>
      <c r="EH7" t="str">
        <f>IF(OR(D7="",'Tube Cutting'!C13=""),"",IF('Tube Cutting'!R13="Woodland Grey",IF(SUM('Job Sheet'!BR13:BU13)=0,"",SUM('Job Sheet'!BR13:BU13)),""))</f>
        <v/>
      </c>
      <c r="EI7" t="str">
        <f>IF(OR(D7="",'Tube Cutting'!C13=""),"",IF('Tube Cutting'!R13="Surfmist",IF(SUM('Job Sheet'!BR13:BU13)=0,"",SUM('Job Sheet'!BR13:BU13)),""))</f>
        <v/>
      </c>
      <c r="EJ7" t="str">
        <f>IF(OR(D7="",'Tube Cutting'!C13=""),"",IF('Tube Cutting'!R13="Jasper",IF(SUM('Job Sheet'!BR13:BU13)=0,"",SUM('Job Sheet'!BR13:BU13)),""))</f>
        <v/>
      </c>
      <c r="EK7" t="str">
        <f>IF(OR(D7="",'Tube Cutting'!C13=""),"",IF('Tube Cutting'!R13="Dune",IF(SUM('Job Sheet'!BR13:BU13)=0,"",SUM('Job Sheet'!BR13:BU13)),""))</f>
        <v/>
      </c>
      <c r="EL7" t="str">
        <f>IF(OR(D7="",'Tube Cutting'!C13=""),"",IF('Tube Cutting'!R13="Cream",IF(SUM('Job Sheet'!BV13:BY13)=0,"",SUM('Job Sheet'!BV13:BY13)),""))</f>
        <v/>
      </c>
      <c r="EM7" t="str">
        <f>IF(OR(D7="",'Tube Cutting'!C13=""),"",IF('Tube Cutting'!R13="Mag Cream",IF(SUM('Job Sheet'!BV13:BY13)=0,"",SUM('Job Sheet'!BV13:BY13)),""))</f>
        <v/>
      </c>
      <c r="EN7" t="str">
        <f>IF(OR(D7="",'Tube Cutting'!C13=""),"",IF('Tube Cutting'!R13="Clear Beige",IF(SUM('Job Sheet'!BV13:BY13)=0,"",SUM('Job Sheet'!BV13:BY13)),""))</f>
        <v/>
      </c>
      <c r="EO7" t="str">
        <f>IF(OR(D7="",'Tube Cutting'!C13=""),"",IF('Tube Cutting'!R13="White",IF(SUM('Job Sheet'!BV13:BY13)=0,"",SUM('Job Sheet'!BV13:BY13)),""))</f>
        <v/>
      </c>
      <c r="EP7" t="str">
        <f>IF(OR(D7="",'Tube Cutting'!C13=""),"",IF('Tube Cutting'!R13="Shale Grey",IF(SUM('Job Sheet'!BV13:BY13)=0,"",SUM('Job Sheet'!BV13:BY13)),""))</f>
        <v/>
      </c>
      <c r="EQ7" t="str">
        <f>IF(OR(D7="",'Tube Cutting'!C13=""),"",IF('Tube Cutting'!R13="Brown",IF(SUM('Job Sheet'!BV13:BY13)=0,"",SUM('Job Sheet'!BV13:BY13)),""))</f>
        <v/>
      </c>
      <c r="ER7" t="str">
        <f>IF(OR(D7="",'Tube Cutting'!C13=""),"",IF('Tube Cutting'!R13="Black",IF(SUM('Job Sheet'!BV13:BY13)=0,"",SUM('Job Sheet'!BV13:BY13)),""))</f>
        <v/>
      </c>
      <c r="ES7" t="str">
        <f>IF(OR(D7="",'Tube Cutting'!C13=""),"",IF('Tube Cutting'!R13="Monument",IF(SUM('Job Sheet'!BV13:BY13)=0,"",SUM('Job Sheet'!BV13:BY13)),""))</f>
        <v/>
      </c>
      <c r="ET7" t="str">
        <f>IF(OR(D7="",'Tube Cutting'!C13=""),"",IF('Tube Cutting'!R13="Woodland Grey",IF(SUM('Job Sheet'!BV13:BY13)=0,"",SUM('Job Sheet'!BV13:BY13)),""))</f>
        <v/>
      </c>
      <c r="EU7" t="str">
        <f>IF(OR(D7="",'Tube Cutting'!C13=""),"",IF('Tube Cutting'!R13="Surfmist",IF(SUM('Job Sheet'!BV13:BY13)=0,"",SUM('Job Sheet'!BV13:BY13)),""))</f>
        <v/>
      </c>
      <c r="EV7" t="str">
        <f>IF(OR(D7="",'Tube Cutting'!C13=""),"",IF('Tube Cutting'!R13="Jasper",IF(SUM('Job Sheet'!BV13:BY13)=0,"",SUM('Job Sheet'!BV13:BY13)),""))</f>
        <v/>
      </c>
      <c r="EW7" t="str">
        <f>IF(OR(D7="",'Tube Cutting'!C13=""),"",IF('Tube Cutting'!R13="Dune",IF(SUM('Job Sheet'!BV13:BY13)=0,"",SUM('Job Sheet'!BV13:BY13)),""))</f>
        <v/>
      </c>
      <c r="EX7" t="str">
        <f>IF(OR(D7="",'Tube Cutting'!C13=""),"",IF('Tube Cutting'!R13="Cream",IF(SUM('Job Sheet'!BZ13:CC13)=0,"",SUM('Job Sheet'!BZ13:CC13)),""))</f>
        <v/>
      </c>
      <c r="EY7" t="str">
        <f>IF(OR(D7="",'Tube Cutting'!C13=""),"",IF('Tube Cutting'!R13="Mag Cream",IF(SUM('Job Sheet'!BZ13:CC13)=0,"",SUM('Job Sheet'!BZ13:CC13)),""))</f>
        <v/>
      </c>
      <c r="EZ7" t="str">
        <f>IF(OR(D7="",'Tube Cutting'!C13=""),"",IF('Tube Cutting'!R13="Clear Beige",IF(SUM('Job Sheet'!BZ13:CC13)=0,"",SUM('Job Sheet'!BZ13:CC13)),""))</f>
        <v/>
      </c>
      <c r="FA7" t="str">
        <f>IF(OR(D7="",'Tube Cutting'!C13=""),"",IF('Tube Cutting'!R13="White",IF(SUM('Job Sheet'!BZ13:CC13)=0,"",SUM('Job Sheet'!BZ13:CC13)),""))</f>
        <v/>
      </c>
      <c r="FB7" t="str">
        <f>IF(OR(D7="",'Tube Cutting'!C13=""),"",IF('Tube Cutting'!R13="Shale Grey",IF(SUM('Job Sheet'!BZ13:CC13)=0,"",SUM('Job Sheet'!BZ13:CC13)),""))</f>
        <v/>
      </c>
      <c r="FC7" t="str">
        <f>IF(OR(D7="",'Tube Cutting'!C13=""),"",IF('Tube Cutting'!R13="Brown",IF(SUM('Job Sheet'!BZ13:CC13)=0,"",SUM('Job Sheet'!BZ13:CC13)),""))</f>
        <v/>
      </c>
      <c r="FD7" t="str">
        <f>IF(OR(D7="",'Tube Cutting'!C13=""),"",IF('Tube Cutting'!R13="Black",IF(SUM('Job Sheet'!BZ13:CC13)=0,"",SUM('Job Sheet'!BZ13:CC13)),""))</f>
        <v/>
      </c>
      <c r="FE7" t="str">
        <f>IF(OR(D7="",'Tube Cutting'!C13=""),"",IF('Tube Cutting'!R13="Monument",IF(SUM('Job Sheet'!BZ13:CC13)=0,"",SUM('Job Sheet'!BZ13:CC13)),""))</f>
        <v/>
      </c>
      <c r="FF7" t="str">
        <f>IF(OR(D7="",'Tube Cutting'!C13=""),"",IF('Tube Cutting'!R13="Woodland Grey",IF(SUM('Job Sheet'!BZ13:CC13)=0,"",SUM('Job Sheet'!BZ13:CC13)),""))</f>
        <v/>
      </c>
      <c r="FG7" t="str">
        <f>IF(OR(D7="",'Tube Cutting'!C13=""),"",IF('Tube Cutting'!R13="Surfmist",IF(SUM('Job Sheet'!BZ13:CC13)=0,"",SUM('Job Sheet'!BZ13:CC13)),""))</f>
        <v/>
      </c>
      <c r="FH7" t="str">
        <f>IF(OR(D7="",'Tube Cutting'!C13=""),"",IF('Tube Cutting'!R13="Jasper",IF(SUM('Job Sheet'!BZ13:CC13)=0,"",SUM('Job Sheet'!BZ13:CC13)),""))</f>
        <v/>
      </c>
      <c r="FI7" t="str">
        <f>IF(OR(D7="",'Tube Cutting'!C13=""),"",IF('Tube Cutting'!R13="Dune",IF(SUM('Job Sheet'!BZ13:CC13)=0,"",SUM('Job Sheet'!BZ13:CC13)),""))</f>
        <v/>
      </c>
      <c r="FJ7" t="str">
        <f>IF(OR(D7="",'Tube Cutting'!C13=""),"",IF('Tube Cutting'!R13="Cream",IF(SUM('Job Sheet'!BN13:BQ13)=0,"",SUM('Job Sheet'!BN13:BQ13)),""))</f>
        <v/>
      </c>
      <c r="FK7" t="str">
        <f>IF(OR(D7="",'Tube Cutting'!C13=""),"",IF('Tube Cutting'!R13="Mag Cream",IF(SUM('Job Sheet'!BN13:BQ13)=0,"",SUM('Job Sheet'!BN13:BQ13)),""))</f>
        <v/>
      </c>
      <c r="FL7" t="str">
        <f>IF(OR(D7="",'Tube Cutting'!C13=""),"",IF('Tube Cutting'!R13="Clear Beige",IF(SUM('Job Sheet'!BN13:BQ13)=0,"",SUM('Job Sheet'!BN13:BQ13)),""))</f>
        <v/>
      </c>
      <c r="FM7" t="str">
        <f>IF(OR(D7="",'Tube Cutting'!C13=""),"",IF('Tube Cutting'!R13="White",IF(SUM('Job Sheet'!BN13:BQ13)=0,"",SUM('Job Sheet'!BN13:BQ13)),""))</f>
        <v/>
      </c>
      <c r="FN7" t="str">
        <f>IF(OR(D7="",'Tube Cutting'!C13=""),"",IF('Tube Cutting'!R13="Shale Grey",IF(SUM('Job Sheet'!BN13:BQ13)=0,"",SUM('Job Sheet'!BN13:BQ13)),""))</f>
        <v/>
      </c>
      <c r="FO7" t="str">
        <f>IF(OR(D7="",'Tube Cutting'!C13=""),"",IF('Tube Cutting'!R13="Brown",IF(SUM('Job Sheet'!BN13:BQ13)=0,"",SUM('Job Sheet'!BN13:BQ13)),""))</f>
        <v/>
      </c>
      <c r="FP7" t="str">
        <f>IF(OR(D7="",'Tube Cutting'!C13=""),"",IF('Tube Cutting'!R13="Dune",IF(SUM('Job Sheet'!BN13:BQ13)=0,"",SUM('Job Sheet'!BN13:BQ13)),""))</f>
        <v/>
      </c>
      <c r="FQ7" t="str">
        <f>IF(OR(D7="",'Tube Cutting'!C13=""),"",IF('Tube Cutting'!R13="Dune",IF(SUM('Job Sheet'!BN13:BQ13)=0,"",SUM('Job Sheet'!BN13:BQ13)),""))</f>
        <v/>
      </c>
      <c r="FR7" t="str">
        <f>IF(OR(D7="",'Tube Cutting'!C13=""),"",IF('Tube Cutting'!R13="Black",IF(SUM('Job Sheet'!BN13:BQ13)=0,"",SUM('Job Sheet'!BN13:BQ13)),""))</f>
        <v/>
      </c>
      <c r="FS7" t="str">
        <f>IF(OR(D7="",'Tube Cutting'!C13=""),"",IF('Tube Cutting'!R13="Monument",IF(SUM('Job Sheet'!BN13:BQ13)=0,"",SUM('Job Sheet'!BN13:BQ13)),""))</f>
        <v/>
      </c>
      <c r="FT7" t="str">
        <f>IF(OR(D7="",'Tube Cutting'!C13=""),"",IF('Tube Cutting'!R13="Custom Powdercoat",IF(SUM('Job Sheet'!BN13:BQ13)=0,"",SUM('Job Sheet'!BN13:BQ13)),""))</f>
        <v/>
      </c>
      <c r="FU7" t="str">
        <f>IF(OR(D7="",'Tube Cutting'!C13=""),"",IF('Tube Cutting'!R13="Woodland Grey",IF(SUM('Job Sheet'!BN13:BQ13)=0,"",SUM('Job Sheet'!BN13:BQ13)),""))</f>
        <v/>
      </c>
      <c r="FV7" t="str">
        <f>IF(OR(D7="",'Tube Cutting'!C13=""),"",IF('Tube Cutting'!R13="Jasper",IF(SUM('Job Sheet'!BN13:BQ13)=0,"",SUM('Job Sheet'!BN13:BQ13)),""))</f>
        <v/>
      </c>
      <c r="FW7" t="str">
        <f>IF(OR(D7="",'Tube Cutting'!C13=""),"",IF('Tube Cutting'!R13="Surfmist",IF(SUM('Job Sheet'!BN13:BQ13)=0,"",SUM('Job Sheet'!BN13:BQ13)),""))</f>
        <v/>
      </c>
      <c r="FX7" t="str">
        <f>IF(OR(D7="",'Tube Cutting'!C13=""),"",IF('Tube Cutting'!R13="Dune",IF(SUM('Job Sheet'!BN13:BQ13)=0,"",SUM('Job Sheet'!BN13:BQ13)),""))</f>
        <v/>
      </c>
      <c r="FY7">
        <f>IF(OR(D7="",'Tube Cutting'!C13=""),"",IF(AND('Order Form'!R11="Supplied by Davidson's",'Tube Cutting'!C13&lt;&gt;""),"",'Tube Cutting'!S13))</f>
        <v>636</v>
      </c>
      <c r="FZ7" t="str">
        <f>IF(OR(D7="",'Tube Cutting'!C13=""),"",IF(AND(Data!BN13="42mm Standard Slat",'Tube Cutting'!J13="Black"),'Tube Cutting'!I13,""))</f>
        <v/>
      </c>
      <c r="GA7" t="str">
        <f>IF(OR(D7="",'Tube Cutting'!C13=""),"",IF(AND(Data!BN13="42mm Standard Slat",'Tube Cutting'!J13="Clear Beige"),'Tube Cutting'!I13,""))</f>
        <v/>
      </c>
      <c r="GB7" t="str">
        <f>IF(OR(D7="",'Tube Cutting'!C13=""),"",IF(AND(Data!BN13="42mm Standard Slat",'Tube Cutting'!J13="Dune"),'Tube Cutting'!I13,""))</f>
        <v/>
      </c>
      <c r="GC7" t="str">
        <f>IF(OR(D7="",'Tube Cutting'!C13=""),"",IF(AND(Data!BN13="42mm Standard Slat",'Tube Cutting'!J13="Mag Cream"),'Tube Cutting'!I13,""))</f>
        <v/>
      </c>
      <c r="GD7">
        <f>IF(OR(D7="",'Tube Cutting'!C13=""),"",IF(AND(Data!BN13="42mm Standard Slat",'Tube Cutting'!J13="Monument"),'Tube Cutting'!I13,""))</f>
        <v>644</v>
      </c>
      <c r="GE7" t="str">
        <f>IF(OR(D7="",'Tube Cutting'!C13=""),"",IF(AND(Data!BN13="42mm Standard Slat",'Tube Cutting'!J13="Shale Grey"),'Tube Cutting'!I13,""))</f>
        <v/>
      </c>
      <c r="GF7" t="str">
        <f>IF(OR(D7="",'Tube Cutting'!C13=""),"",IF(AND(Data!BN13="42mm Standard Slat",'Tube Cutting'!J13="White"),'Tube Cutting'!I13,""))</f>
        <v/>
      </c>
      <c r="GG7" t="str">
        <f>IF(OR(D7="",'Tube Cutting'!C13=""),"",IF(AND(Data!BN13="42mm Standard Slat",'Tube Cutting'!J13="Woodland Grey"),'Tube Cutting'!I13,""))</f>
        <v/>
      </c>
      <c r="GH7" t="str">
        <f>IF(OR(D7="",'Tube Cutting'!C13=""),"",IF(AND(Data!BN13="42mm Standard Slat",'Tube Cutting'!J13="Cream"),'Tube Cutting'!I13,""))</f>
        <v/>
      </c>
      <c r="GI7" t="str">
        <f>IF(OR(D7="",'Tube Cutting'!C13=""),"",IF(AND(Data!BN13="42mm Standard Slat",'Tube Cutting'!J13="Brown"),'Tube Cutting'!I13,""))</f>
        <v/>
      </c>
      <c r="GJ7" t="str">
        <f>IF(OR(D7="",'Tube Cutting'!C13=""),"",IF(AND(Data!BN13="42mm Standard Slat",'Tube Cutting'!J13="Custom Powdercoat"),'Tube Cutting'!I13,""))</f>
        <v/>
      </c>
      <c r="GK7" t="str">
        <f>IF(OR(D7="",'Tube Cutting'!C13=""),"",IF(AND(Data!BN13="42mm Standard Slat",'Tube Cutting'!J13="Surfmist"),'Tube Cutting'!I13,""))</f>
        <v/>
      </c>
      <c r="GL7" t="str">
        <f>IF(OR(D7="",'Tube Cutting'!C13=""),"",IF(AND(Data!BN13="42mm Standard Slat",'Tube Cutting'!J13="Jasper"),'Tube Cutting'!I13,""))</f>
        <v/>
      </c>
      <c r="GM7" t="str">
        <f>IF(OR(D7="",'Tube Cutting'!C13=""),"",IF('Tube Cutting'!R13="Black",('Job Sheet'!BB13*2+IF('Job Sheet'!Q13="Black",SUM('Job Sheet'!BJ13:BM13))),""))</f>
        <v/>
      </c>
      <c r="GN7" t="str">
        <f>IF(OR(D7="",'Tube Cutting'!C13=""),"",IF('Tube Cutting'!R13="Clear Beige",('Job Sheet'!BB13*2+IF('Job Sheet'!Q13="Clear Beige",SUM('Job Sheet'!BJ13:BM13))),""))</f>
        <v/>
      </c>
      <c r="GO7" t="str">
        <f>IF(OR(D7="",'Tube Cutting'!C13=""),"",IF('Tube Cutting'!R13="Dune",('Job Sheet'!BB13*2+IF('Job Sheet'!Q13="Dune",SUM('Job Sheet'!BJ13:BM13))),""))</f>
        <v/>
      </c>
      <c r="GP7" t="str">
        <f>IF(OR(D7="",'Tube Cutting'!C13=""),"",IF('Tube Cutting'!R13="Mag Cream",('Job Sheet'!BB13*2+IF('Job Sheet'!Q13="Mag Cream",SUM('Job Sheet'!BJ13:BM13))),""))</f>
        <v/>
      </c>
      <c r="GQ7">
        <f>IF(OR(D7="",'Tube Cutting'!C13=""),"",IF('Tube Cutting'!R13="Monument",('Job Sheet'!BB13*2+IF('Job Sheet'!Q13="Monument",SUM('Job Sheet'!BJ13:BM13))),""))</f>
        <v>2580</v>
      </c>
      <c r="GR7" t="str">
        <f>IF(OR(D7="",'Tube Cutting'!C13=""),"",IF('Tube Cutting'!R13="Shale Grey",('Job Sheet'!BB13*2+IF('Job Sheet'!Q13="Shale Grey",SUM('Job Sheet'!BJ13:BM13))),""))</f>
        <v/>
      </c>
      <c r="GS7" t="str">
        <f>IF(OR(D7="",'Tube Cutting'!C13=""),"",IF('Tube Cutting'!R13="White",('Job Sheet'!BB13*2+IF('Job Sheet'!Q13="White",SUM('Job Sheet'!BJ13:BM13))),""))</f>
        <v/>
      </c>
      <c r="GT7" t="str">
        <f>IF(OR(D7="",'Tube Cutting'!C13=""),"",IF('Tube Cutting'!R13="Woodland Grey",('Job Sheet'!BB13*2+IF('Job Sheet'!Q13="Woodland Grey",SUM('Job Sheet'!BJ13:BM13))),""))</f>
        <v/>
      </c>
      <c r="GU7" t="str">
        <f>IF(OR(D7="",'Tube Cutting'!C13=""),"",IF('Tube Cutting'!R13="Cream",('Job Sheet'!BB13*2+IF('Job Sheet'!Q13="Cream",SUM('Job Sheet'!BJ13:BM13))),""))</f>
        <v/>
      </c>
      <c r="GV7" t="str">
        <f>IF(OR(D7="",'Tube Cutting'!C13=""),"",IF('Tube Cutting'!R13="Brown",('Job Sheet'!BB13*2+IF('Job Sheet'!Q13="Brown",SUM('Job Sheet'!BJ13:BM13))),""))</f>
        <v/>
      </c>
      <c r="GW7" t="str">
        <f>IF(OR(D7="",'Tube Cutting'!C13=""),"",IF('Tube Cutting'!R13="Custom Powdercoat",('Job Sheet'!BB13*2+IF('Job Sheet'!Q13="Custom Powdercoat",SUM('Job Sheet'!BJ13:BM13))),""))</f>
        <v/>
      </c>
      <c r="GX7" t="str">
        <f>IF(OR(D7="",'Tube Cutting'!C13=""),"",IF('Tube Cutting'!R13="Surfmist",('Job Sheet'!BB13*2+IF('Job Sheet'!Q13="Surfmist",SUM('Job Sheet'!BJ13:BM13))),""))</f>
        <v/>
      </c>
      <c r="GY7" t="str">
        <f>IF(OR(D7="",'Tube Cutting'!C13=""),"",IF('Tube Cutting'!R13="Jasper",('Job Sheet'!BB13*2+IF('Job Sheet'!Q13="Jasper",SUM('Job Sheet'!BJ13:BM13))),""))</f>
        <v/>
      </c>
      <c r="GZ7" t="str">
        <f>IF(OR(D7="",'Tube Cutting'!C13=""),"",IF(AND('Tube Cutting'!R13="Cream",'Tube Cutting'!P13="68mm"),'Job Sheet'!BB13*2,""))</f>
        <v/>
      </c>
      <c r="HA7" t="str">
        <f>IF(OR(D7="",'Tube Cutting'!C13=""),"",IF(AND('Tube Cutting'!R13="Mag Cream",'Tube Cutting'!P13="68mm"),'Job Sheet'!BB13*2,""))</f>
        <v/>
      </c>
      <c r="HB7" t="str">
        <f>IF(OR(D7="",'Tube Cutting'!C13=""),"",IF(AND('Tube Cutting'!R13="Clear Beige",'Tube Cutting'!P13="68mm"),'Job Sheet'!BB13*2,""))</f>
        <v/>
      </c>
      <c r="HC7" t="str">
        <f>IF(OR(D7="",'Tube Cutting'!C13=""),"",IF(AND('Tube Cutting'!R13="White",'Tube Cutting'!P13="68mm"),'Job Sheet'!BB13*2,""))</f>
        <v/>
      </c>
      <c r="HD7" t="str">
        <f>IF(OR(D7="",'Tube Cutting'!C13=""),"",IF(AND('Tube Cutting'!R13="Shale Grey",'Tube Cutting'!P13="68mm"),'Job Sheet'!BB13*2,""))</f>
        <v/>
      </c>
      <c r="HE7" t="str">
        <f>IF(OR(D7="",'Tube Cutting'!C13=""),"",IF(AND('Tube Cutting'!R13="Brown",'Tube Cutting'!P13="68mm"),'Job Sheet'!BB13*2,""))</f>
        <v/>
      </c>
      <c r="HF7" t="str">
        <f>IF(OR(D7="",'Tube Cutting'!C13=""),"",IF(AND('Tube Cutting'!R13="Black",'Tube Cutting'!P13="68mm"),'Job Sheet'!BB13*2,""))</f>
        <v/>
      </c>
      <c r="HG7" t="str">
        <f>IF(OR(D7="",'Tube Cutting'!C13=""),"",IF(AND('Tube Cutting'!R13="Monument",'Tube Cutting'!P13="68mm"),'Job Sheet'!BB13*2,""))</f>
        <v/>
      </c>
      <c r="HH7" t="str">
        <f>IF(OR(D7="",'Tube Cutting'!C13=""),"",IF(AND('Tube Cutting'!R13="Custom Powdercoat",'Tube Cutting'!P13="68mm"),'Job Sheet'!BB13*2,""))</f>
        <v/>
      </c>
      <c r="HI7" t="str">
        <f>IF(OR(D7="",'Tube Cutting'!C13=""),"",IF(AND('Tube Cutting'!R13="Woodland Grey",'Tube Cutting'!P13="68mm"),'Job Sheet'!BB13*2,""))</f>
        <v/>
      </c>
      <c r="HJ7" t="str">
        <f>IF(OR(D7="",'Tube Cutting'!C13=""),"",IF(AND('Tube Cutting'!R13="Surfmist",'Tube Cutting'!P13="68mm"),'Job Sheet'!BB13*2,""))</f>
        <v/>
      </c>
      <c r="HK7" t="str">
        <f>IF(OR(D7="",'Tube Cutting'!C13=""),"",IF(AND('Tube Cutting'!R13="Jasper",'Tube Cutting'!P13="68mm"),'Job Sheet'!BB13*2,""))</f>
        <v/>
      </c>
      <c r="HL7" t="str">
        <f>IF(OR(D7="",'Tube Cutting'!C13=""),"",IF(AND('Tube Cutting'!R13="Dune",'Tube Cutting'!P13="68mm"),'Job Sheet'!BB13*2,""))</f>
        <v/>
      </c>
      <c r="HM7" t="str">
        <f>IF(OR(D7="",'Tube Cutting'!C13=""),"",IF(AND('Tube Cutting'!O13="Black",'Tube Cutting'!N13="180mm"),1,""))</f>
        <v/>
      </c>
      <c r="HN7" t="str">
        <f>IF(OR(D7="",'Tube Cutting'!C13=""),"",IF(AND('Tube Cutting'!O13="Clear Beige",'Tube Cutting'!N13="180mm"),1,""))</f>
        <v/>
      </c>
      <c r="HO7" t="str">
        <f>IF(OR(D7="",'Tube Cutting'!C13=""),"",IF(AND('Tube Cutting'!O13="Dune",'Tube Cutting'!N13="180mm"),1,""))</f>
        <v/>
      </c>
      <c r="HP7" t="str">
        <f>IF(OR(D7="",'Tube Cutting'!C13=""),"",IF(AND('Tube Cutting'!O13="Mag Cream",'Tube Cutting'!N13="180mm"),1,""))</f>
        <v/>
      </c>
      <c r="HQ7">
        <f>IF(OR(D7="",'Tube Cutting'!C13=""),"",IF(AND('Tube Cutting'!O13="Monument",'Tube Cutting'!N13="180mm"),1,""))</f>
        <v>1</v>
      </c>
      <c r="HR7" t="str">
        <f>IF(OR(D7="",'Tube Cutting'!C13=""),"",IF(AND('Tube Cutting'!O13="Shale Grey",'Tube Cutting'!N13="180mm"),1,""))</f>
        <v/>
      </c>
      <c r="HS7" t="str">
        <f>IF(OR(D7="",'Tube Cutting'!C13=""),"",IF(AND('Tube Cutting'!O13="White",'Tube Cutting'!N13="180mm"),1,""))</f>
        <v/>
      </c>
      <c r="HT7" t="str">
        <f>IF(OR(D7="",'Tube Cutting'!C13=""),"",IF(AND('Tube Cutting'!O13="Woodland Grey",'Tube Cutting'!N13="180mm"),1,""))</f>
        <v/>
      </c>
      <c r="HU7" t="str">
        <f>IF(OR(D7="",'Tube Cutting'!C13=""),"",IF(AND('Tube Cutting'!O13="Cream",'Tube Cutting'!N13="180mm"),1,""))</f>
        <v/>
      </c>
      <c r="HV7" t="str">
        <f>IF(OR(D7="",'Tube Cutting'!C13=""),"",IF(AND('Tube Cutting'!O13="Brown",'Tube Cutting'!N13="180mm"),1,""))</f>
        <v/>
      </c>
      <c r="HW7" t="str">
        <f>IF(OR(D7="",'Tube Cutting'!C13=""),"",IF(AND('Tube Cutting'!O13="Surfmist",'Tube Cutting'!N13="180mm"),1,""))</f>
        <v/>
      </c>
      <c r="HX7" t="str">
        <f>IF(OR(D7="",'Tube Cutting'!C13=""),"",IF(AND('Tube Cutting'!O13="Jasper",'Tube Cutting'!N13="180mm"),1,""))</f>
        <v/>
      </c>
      <c r="HY7" t="str">
        <f>IF(OR(E7="",'Tube Cutting'!C13=""),"",IF(AND('Tube Cutting'!O13="Red",'Tube Cutting'!N13="180mm"),1,""))</f>
        <v/>
      </c>
      <c r="HZ7" t="str">
        <f>IF(OR(D7="",'Tube Cutting'!C13=""),"",IF(AND('Tube Cutting'!O13="Black",'Tube Cutting'!N13="205mm"),1,""))</f>
        <v/>
      </c>
      <c r="IA7" t="str">
        <f>IF(OR(D7="",'Tube Cutting'!C13=""),"",IF(AND('Tube Cutting'!O13="Clear Beige",'Tube Cutting'!N13="205mm"),1,""))</f>
        <v/>
      </c>
      <c r="IB7" t="str">
        <f>IF(OR(D7="",'Tube Cutting'!C13=""),"",IF(AND('Tube Cutting'!O13="Dune",'Tube Cutting'!N13="205mm"),1,""))</f>
        <v/>
      </c>
      <c r="IC7" t="str">
        <f>IF(OR(D7="",'Tube Cutting'!C13=""),"",IF(AND('Tube Cutting'!O13="Mag Cream",'Tube Cutting'!N13="205mm"),1,""))</f>
        <v/>
      </c>
      <c r="ID7" t="str">
        <f>IF(OR(D7="",'Tube Cutting'!C13=""),"",IF(AND('Tube Cutting'!O13="Monument",'Tube Cutting'!N13="205mm"),1,""))</f>
        <v/>
      </c>
      <c r="IE7" t="str">
        <f>IF(OR(D7="",'Tube Cutting'!C13=""),"",IF(AND('Tube Cutting'!O13="Shale Grey",'Tube Cutting'!N13="205mm"),1,""))</f>
        <v/>
      </c>
      <c r="IF7" t="str">
        <f>IF(OR(D7="",'Tube Cutting'!C13=""),"",IF(AND('Tube Cutting'!O13="White",'Tube Cutting'!N13="205mm"),1,""))</f>
        <v/>
      </c>
      <c r="IG7" t="str">
        <f>IF(OR(D7="",'Tube Cutting'!C13=""),"",IF(AND('Tube Cutting'!O13="Woodland Grey",'Tube Cutting'!N13="205mm"),1,""))</f>
        <v/>
      </c>
      <c r="IH7" t="str">
        <f>IF(OR(D7="",'Tube Cutting'!C13=""),"",IF(AND('Tube Cutting'!O13="Cream",'Tube Cutting'!N13="205mm"),1,""))</f>
        <v/>
      </c>
      <c r="II7" t="str">
        <f>IF(OR(D7="",'Tube Cutting'!C13=""),"",IF(AND('Tube Cutting'!O13="Brown",'Tube Cutting'!N13="205mm"),1,""))</f>
        <v/>
      </c>
      <c r="IJ7" t="str">
        <f>IF(OR(D7="",'Tube Cutting'!C13=""),"",IF(AND('Tube Cutting'!O13="Surfmist",'Tube Cutting'!N13="205mm"),1,""))</f>
        <v/>
      </c>
      <c r="IK7" t="str">
        <f>IF(OR(D7="",'Tube Cutting'!C13=""),"",IF(AND('Tube Cutting'!O13="Jasper",'Tube Cutting'!N13="205mm"),1,""))</f>
        <v/>
      </c>
      <c r="IL7" t="str">
        <f>IF(OR(D7="",'Tube Cutting'!C13=""),"",IF(AND('Tube Cutting'!O13="Cream",'Tube Cutting'!N13="230mm"),1,""))</f>
        <v/>
      </c>
      <c r="IM7" t="str">
        <f>IF(OR(D7="",'Tube Cutting'!C13=""),"",IF(AND('Tube Cutting'!O13="Mag Cream",'Tube Cutting'!N13="230mm"),1,""))</f>
        <v/>
      </c>
      <c r="IN7" t="str">
        <f>IF(OR(D7="",'Tube Cutting'!C13=""),"",IF(AND('Tube Cutting'!O13="Clear Beige",'Tube Cutting'!N13="230mm"),1,""))</f>
        <v/>
      </c>
      <c r="IO7" t="str">
        <f>IF(OR(D7="",'Tube Cutting'!C13=""),"",IF(AND('Tube Cutting'!O13="White",'Tube Cutting'!N13="230mm"),1,""))</f>
        <v/>
      </c>
      <c r="IP7" t="str">
        <f>IF(OR(D7="",'Tube Cutting'!C13=""),"",IF(AND('Tube Cutting'!O13="Shale Grey",'Tube Cutting'!N13="230mm"),1,""))</f>
        <v/>
      </c>
      <c r="IQ7" t="str">
        <f>IF(OR(D7="",'Tube Cutting'!C13=""),"",IF(AND('Tube Cutting'!O13="Black",'Tube Cutting'!N13="230mm"),1,""))</f>
        <v/>
      </c>
      <c r="IR7" t="str">
        <f>IF(OR(D7="",'Tube Cutting'!C13=""),"",IF(AND('Tube Cutting'!O13="Monument",'Tube Cutting'!N13="230mm"),1,""))</f>
        <v/>
      </c>
      <c r="IS7" t="str">
        <f>IF(OR(D7="",'Tube Cutting'!C13=""),"",IF(AND('Tube Cutting'!O13="Woodland Grey",'Tube Cutting'!N13="230mm"),1,""))</f>
        <v/>
      </c>
      <c r="IT7" t="str">
        <f>IF(OR(D7="",'Tube Cutting'!C13=""),"",IF(AND('Tube Cutting'!O13="Surfmist",'Tube Cutting'!N13="230mm"),1,""))</f>
        <v/>
      </c>
      <c r="IU7" t="str">
        <f>IF(OR(D7="",'Tube Cutting'!C13=""),"",IF(AND('Tube Cutting'!O13="Jasper",'Tube Cutting'!N13="230mm"),1,""))</f>
        <v/>
      </c>
      <c r="IV7" t="str">
        <f>IF(OR(D7="",'Tube Cutting'!C13=""),"",IF(AND('Tube Cutting'!O13="Dune",'Tube Cutting'!N13="230mm"),1,""))</f>
        <v/>
      </c>
      <c r="IW7">
        <f>IF(OR(D7="",'Tube Cutting'!C13=""),"",IF(AND('Order Form'!R11="Supplied by Davidson's",'Tube Cutting'!C13&lt;&gt;""),"",1))</f>
        <v>1</v>
      </c>
      <c r="IX7">
        <f>IF(OR(D7="",'Tube Cutting'!C13=""),"",IF('Job Sheet'!AE13="Yes",2,""))</f>
        <v>2</v>
      </c>
      <c r="IY7" t="str">
        <f t="array" ref="IY7">IF(OR('Tube Cutting'!R13&lt;&gt;"Cream",D7=""),"",IF('Job Sheet'!J13&gt;2100,10,IF(OR(bpLOOKUP(Data!$AV13,"FIXING",CustOrdOpt,6,FALSE)="Hebel",'Job Sheet'!J13&gt;1800),8,6)))</f>
        <v/>
      </c>
      <c r="IZ7" t="str">
        <f t="array" ref="IZ7">IF(OR('Tube Cutting'!R13&lt;&gt;"Clear Beige",D7=""),"",IF('Job Sheet'!J13&gt;2100,10,IF(OR(bpLOOKUP(Data!$AV13,"FIXING",CustOrdOpt,6,FALSE)="Hebel",'Job Sheet'!J13&gt;1800),8,6)))</f>
        <v/>
      </c>
      <c r="JA7" t="str">
        <f t="array" ref="JA7">IF(OR('Tube Cutting'!R13&lt;&gt;"White",D7=""),"",IF('Job Sheet'!J13&gt;2100,10,IF(OR(bpLOOKUP(Data!$AV13,"FIXING",CustOrdOpt,6,FALSE)="Hebel",'Job Sheet'!J13&gt;1800),8,6)))</f>
        <v/>
      </c>
      <c r="JB7" t="str">
        <f t="array" ref="JB7">IF(OR('Tube Cutting'!R13&lt;&gt;"Shale Grey",D7=""),"",IF('Job Sheet'!J13&gt;2100,10,IF(OR(bpLOOKUP(Data!$AV13,"FIXING",CustOrdOpt,6,FALSE)="Hebel",'Job Sheet'!J13&gt;1800),8,6)))</f>
        <v/>
      </c>
      <c r="JC7" t="str">
        <f t="array" ref="JC7">IF(OR('Tube Cutting'!R13&lt;&gt;"Brown",D7=""),"",IF('Job Sheet'!J13&gt;2100,10,IF(OR(bpLOOKUP(Data!$AV13,"FIXING",CustOrdOpt,6,FALSE)="Hebel",'Job Sheet'!J13&gt;1800),8,6)))</f>
        <v/>
      </c>
      <c r="JD7" t="str">
        <f t="array" ref="JD7">IF(OR('Tube Cutting'!R13&lt;&gt;"Green",D7=""),"",IF('Job Sheet'!J13&gt;2100,10,IF(OR(bpLOOKUP(Data!$AV13,"FIXING",CustOrdOpt,6,FALSE)="Hebel",'Job Sheet'!J13&gt;1800),8,6)))</f>
        <v/>
      </c>
      <c r="JE7" t="str">
        <f t="array" ref="JE7">IF(OR('Tube Cutting'!R13&lt;&gt;"Red",D7=""),"",IF('Job Sheet'!J13&gt;2100,10,IF(OR(bpLOOKUP(Data!$AV13,"FIXING",CustOrdOpt,6,FALSE)="Hebel",'Job Sheet'!J13&gt;1800),8,6)))</f>
        <v/>
      </c>
      <c r="JF7" t="str">
        <f t="array" ref="JF7">IF(OR('Tube Cutting'!R13&lt;&gt;"Mag Cream",D7=""),"",IF('Job Sheet'!J13&gt;2100,10,IF(OR(bpLOOKUP(Data!$AV13,"FIXING",CustOrdOpt,6,FALSE)="Hebel",'Job Sheet'!J13&gt;1800),8,6)))</f>
        <v/>
      </c>
      <c r="JG7" t="str">
        <f t="array" ref="JG7">IF(OR('Tube Cutting'!R13&lt;&gt;"Black",D7=""),"",IF('Job Sheet'!J13&gt;2100,10,IF(OR(bpLOOKUP(Data!$AV13,"FIXING",CustOrdOpt,6,FALSE)="Hebel",'Job Sheet'!J13&gt;1800),8,6)))</f>
        <v/>
      </c>
      <c r="JH7">
        <f t="array" ref="JH7">IF(OR('Tube Cutting'!R13&lt;&gt;"Monument",D7=""),"",IF('Job Sheet'!J13&gt;2100,10,IF(OR(bpLOOKUP(Data!$AV13,"FIXING",CustOrdOpt,6,FALSE)="Hebel",'Job Sheet'!J13&gt;1800),8,6)))</f>
        <v>6</v>
      </c>
      <c r="JI7" t="str">
        <f t="array" ref="JI7">IF(OR('Tube Cutting'!R13&lt;&gt;"Deep Ocean",D7=""),"",IF('Job Sheet'!J13&gt;2100,10,IF(OR(bpLOOKUP(Data!$AV13,"FIXING",CustOrdOpt,6,FALSE)="Hebel",'Job Sheet'!J13&gt;1800),8,6)))</f>
        <v/>
      </c>
      <c r="JJ7" t="str">
        <f t="array" ref="JJ7">IF(OR('Tube Cutting'!R13&lt;&gt;"Woodland Grey",D7=""),"",IF('Job Sheet'!J13&gt;2100,10,IF(OR(bpLOOKUP(Data!$AV13,"FIXING",CustOrdOpt,6,FALSE)="Hebel",'Job Sheet'!J13&gt;1800),8,6)))</f>
        <v/>
      </c>
      <c r="JK7" t="str">
        <f t="array" ref="JK7">IF(OR('Tube Cutting'!R13&lt;&gt;"Jasper",D7=""),"",IF('Job Sheet'!J13&gt;2100,10,IF(OR(bpLOOKUP(Data!$AV13,"FIXING",CustOrdOpt,6,FALSE)="Hebel",'Job Sheet'!J13&gt;1800),8,6)))</f>
        <v/>
      </c>
      <c r="JL7" t="str">
        <f t="array" ref="JL7">IF(OR('Tube Cutting'!R13&lt;&gt;"Surfmist",D7=""),"",IF('Job Sheet'!J13&gt;2100,10,IF(OR(bpLOOKUP(Data!$AV13,"FIXING",CustOrdOpt,6,FALSE)="Hebel",'Job Sheet'!J13&gt;1800),8,6)))</f>
        <v/>
      </c>
      <c r="JM7" t="str">
        <f t="array" ref="JM7">IF(OR('Tube Cutting'!R13&lt;&gt;"Dune",D7=""),"",IF('Job Sheet'!J13&gt;2100,10,IF(OR(bpLOOKUP(Data!$AV13,"FIXING",CustOrdOpt,6,FALSE)="Hebel",'Job Sheet'!J13&gt;1800),8,6)))</f>
        <v/>
      </c>
      <c r="JN7">
        <f>IF(OR(D7="",'Tube Cutting'!C13=""),"",IF(AND('Order Form'!R11="Supplied by Davidson's",'Tube Cutting'!C13&lt;&gt;""),"",1))</f>
        <v>1</v>
      </c>
      <c r="JO7" t="str">
        <f>IF(D7="","",IF(AND('Job Sheet'!X13="Operated Outside",'Job Sheet'!Y13="Eyelot Crank Handle"),1,""))</f>
        <v/>
      </c>
      <c r="JP7" t="str">
        <f t="shared" si="1"/>
        <v/>
      </c>
      <c r="JQ7" t="str">
        <f>IF('Job Sheet'!X13="Operated Inside",1,"")</f>
        <v/>
      </c>
      <c r="JS7" t="str">
        <f>IF('Job Sheet'!X13="Operated Inside",1,"")</f>
        <v/>
      </c>
      <c r="JT7" t="str">
        <f>IF('Job Sheet'!X13="Operated Inside",1,"")</f>
        <v/>
      </c>
      <c r="JU7" t="str">
        <f>IF('Job Sheet'!X13="Operated Inside",1,"")</f>
        <v/>
      </c>
      <c r="JV7" t="str">
        <f>IF(AND('Job Sheet'!X13="Operated Outside",'Job Sheet'!Y13="Concealed Operation Crank Handle"),1,"")</f>
        <v/>
      </c>
      <c r="JW7" t="str">
        <f>IF(AND('Job Sheet'!X13="Operated Outside",'Job Sheet'!Y13="Concealed Operation Crank Handle"),1,"")</f>
        <v/>
      </c>
      <c r="JX7" t="str">
        <f>IF(AND('Job Sheet'!X13="Operated Outside",'Job Sheet'!Y13="Concealed Operation Crank Handle"),1,"")</f>
        <v/>
      </c>
      <c r="JY7" s="113">
        <f>IF(OR(D7="",'Tube Cutting'!C13=""),"",IF(AND('Order Form'!R11="Supplied by Davidson's",'Tube Cutting'!C13&lt;&gt;""),"",'Assembly(a)'!F13))</f>
        <v>32.28</v>
      </c>
      <c r="JZ7">
        <f>IF(OR(D7="",'Tube Cutting'!C13=""),"",Packing!K13)</f>
        <v>2</v>
      </c>
      <c r="KA7">
        <f>IF(OR(D7="",'Tube Cutting'!C13=""),"",IF(AND('Order Form'!R11="Supplied by Davidson's",'Tube Cutting'!C13&lt;&gt;""),"",2))</f>
        <v>2</v>
      </c>
      <c r="KB7">
        <f>IF(OR(D7="",'Tube Cutting'!C13=""),"",'Tube Cutting'!K13)</f>
        <v>584</v>
      </c>
      <c r="KC7" t="str">
        <f>IF(Packing!T13="Corner Telescopic Bracket x 1",1,IF(Packing!T13="Corner Telescopic Bracket x 2",2,""))</f>
        <v/>
      </c>
      <c r="KD7" t="str">
        <f>IF(Packing!T13="Bay Telescopic Bracket x 1",1,IF(Packing!T13="Bay Telescopic Bracket x 2",2,""))</f>
        <v/>
      </c>
      <c r="KE7">
        <f>IF(OR(D7="",'Tube Cutting'!C13=""),"",IF('Job Sheet'!W13="Toggle Wall Switch",1,""))</f>
        <v>1</v>
      </c>
      <c r="KF7" t="str">
        <f>IF(OR(D7="",'Tube Cutting'!C13=""),"",IF(OR('Job Sheet'!Z13="UPS with No Electrician Required",'Job Sheet'!Z13="UPS with Electrician Required"),1,""))</f>
        <v/>
      </c>
      <c r="KG7" t="str">
        <f>IF(OR(Packing!C13="Too Small to be Motorised",Packing!C13="Check Motor Options"),1,"")</f>
        <v/>
      </c>
      <c r="KH7" t="str">
        <f>IF('Job Sheet'!U13="Maxim 10nm Remote Motor",1,"")</f>
        <v/>
      </c>
      <c r="KI7" t="str">
        <f>IF('Job Sheet'!U13="Maxim 20nm Remote Motor",1,"")</f>
        <v/>
      </c>
      <c r="KJ7">
        <f>IF(OR('Job Sheet'!U13="Maxim 10nm Switch Motor",'Job Sheet'!U13="Maxim 10nm Switch Motor with Inline Receiver"),1,"")</f>
        <v>1</v>
      </c>
      <c r="KK7" t="str">
        <f>IF('Job Sheet'!U13="Maxim 20nm Switch Motor",1,"")</f>
        <v/>
      </c>
      <c r="KL7" t="str">
        <f>IF(OR(D7="",'Tube Cutting'!C13=""),"",IF('Job Sheet'!W13="Maxim 1 Channel Remote",1,""))</f>
        <v/>
      </c>
      <c r="KM7" t="str">
        <f>IF(OR(D7="",'Tube Cutting'!C13=""),"",IF('Job Sheet'!W13="Maxim 6 Channel Remote",1,""))</f>
        <v/>
      </c>
      <c r="KN7" t="str">
        <f>IF(OR(D7="",'Tube Cutting'!C13=""),"",IF('Job Sheet'!W13="Maxim 16 Channel Remote",1,""))</f>
        <v/>
      </c>
      <c r="KO7" t="str">
        <f>IF(OR(D7="",'Tube Cutting'!C13=""),"",IF('Job Sheet'!W13="Maxim 1 Channel Wall Mounted Remote",1,""))</f>
        <v/>
      </c>
      <c r="KP7" t="str">
        <f>IF(OR(D7="",'Tube Cutting'!C13=""),"",IF('Job Sheet'!W13="CWP 5 Channel Wall Mounted Remote",1,""))</f>
        <v/>
      </c>
      <c r="KQ7" t="str">
        <f>IF(OR(D7="",'Tube Cutting'!C13=""),"",IF('Job Sheet'!W13="CWP 8 Channel Remote with Timer",1,""))</f>
        <v/>
      </c>
      <c r="KR7" t="str">
        <f>IF(OR(D7="",'Tube Cutting'!C13=""),"",IF('Job Sheet'!W13="CWP Key Ring Remote",1,""))</f>
        <v/>
      </c>
      <c r="KS7" t="str">
        <f>IF(OR(D7="",'Tube Cutting'!C13=""),"",IF(OR('Job Sheet'!W13="Key Switch",'Job Sheet'!W13="Key Switch &amp; Key Switch Relay"),1,""))</f>
        <v/>
      </c>
      <c r="KT7" t="str">
        <f>IF(OR(D7="",'Tube Cutting'!C13=""),"",IF(OR('Job Sheet'!W13="Key Switch Relay",'Job Sheet'!W13="Key Switch &amp; Key Switch Relay"),1,""))</f>
        <v/>
      </c>
      <c r="KU7" t="str">
        <f>IF(OR(D7="",'Tube Cutting'!C13=""),"",IF(OR('Job Sheet'!U13="CW5 10nm Short Switch Motor with Inline Receiver",'Job Sheet'!U13="Maxim 10nm Switch Motor with Inline Receiver",'Job Sheet'!U13="CWP Manual Override 30Nm Motor with Inline Receiver",'Job Sheet'!U13="CWP Manual Override 50Nm Motor with Inline Receiver"),1,""))</f>
        <v/>
      </c>
      <c r="KY7" t="str">
        <f>IF(OR('Job Sheet'!U13="CW5 10nm Short Switch Motor",'Job Sheet'!U13="CW5 10nm Short Switch Motor with Inline Receiver"),1,"")</f>
        <v/>
      </c>
      <c r="LB7" t="str">
        <f>IF(OR(D7="",'Tube Cutting'!C13=""),"",IF(OR('Job Sheet'!U13="CWP Manual Override 30Nm Motor with Inline Receiver",'Job Sheet'!U13="CWP Manual Override 30Nm Motor"),1,""))</f>
        <v/>
      </c>
      <c r="LC7" t="str">
        <f>IF(OR(D7="",'Tube Cutting'!C13=""),"",IF(OR('Job Sheet'!U13="CWP Manual Override 50Nm Motor with Inline Receiver",'Job Sheet'!U13="CWP Manual Override 50Nm Motor"),1,""))</f>
        <v/>
      </c>
      <c r="LG7" t="str">
        <f>IF('Job Sheet'!U13="L10 ODS Motor",1,"")</f>
        <v/>
      </c>
      <c r="LH7" t="str">
        <f>IF('Job Sheet'!U13="L10 ODS Motor",1,"")</f>
        <v/>
      </c>
      <c r="LI7" t="str">
        <f>IF('Job Sheet'!U13="T20 ODS Motor",1,"")</f>
        <v/>
      </c>
      <c r="LJ7" t="str">
        <f>IF(OR('Job Sheet'!U13="T20 ODS Motor",'Job Sheet'!U13="T35 ODS Motor"),1,"")</f>
        <v/>
      </c>
      <c r="LK7" t="str">
        <f>IF(OR('Job Sheet'!U13="T20 ODS Motor",'Job Sheet'!U13="T35 ODS Motor"),2,"")</f>
        <v/>
      </c>
      <c r="LL7" t="str">
        <f>IF('Job Sheet'!U13="T35 ODS Motor",1,"")</f>
        <v/>
      </c>
      <c r="LM7" t="str">
        <f>IF('Job Sheet'!W13="Controller &amp; Charger",1,"")</f>
        <v/>
      </c>
      <c r="LN7" t="str">
        <f>IF(OR('Job Sheet'!T13="12v ODS System",'Job Sheet'!T13="Firesafe 12v ODS System"),1,"")</f>
        <v/>
      </c>
      <c r="LO7" t="str">
        <f>IF(OR('Job Sheet'!W13="RF Controller &amp; Charger",'Job Sheet'!W13="RF Controller, Charger &amp; 9 Channel Remote",'Job Sheet'!W13="RF Controller, Charger &amp; Single Channel Remote",'Job Sheet'!W13="Controller &amp; Charger"),1,"")</f>
        <v/>
      </c>
      <c r="LP7" t="str">
        <f>IF(OR('Job Sheet'!W13="RF Controller &amp; Charger",'Job Sheet'!W13="RF Controller, Charger &amp; Single Channel Remote",'Job Sheet'!W13="RF Controller, Charger &amp; 9 Channel Remote"),1,"")</f>
        <v/>
      </c>
      <c r="LQ7" t="str">
        <f>IF(OR('Job Sheet'!Z13="3 Way Switch for Bay Windows",'Job Sheet'!Z13="3 Way Switch for Bay Windows with Wiring Loom"),1,"")</f>
        <v/>
      </c>
      <c r="LR7" t="str">
        <f>IF('Job Sheet'!W13="RF Controller, Charger &amp; Single Channel Remote",1,"")</f>
        <v/>
      </c>
      <c r="LS7" t="str">
        <f>IF('Job Sheet'!W13="RF Controller, Charger &amp; 9 Channel Remote",1,"")</f>
        <v/>
      </c>
      <c r="LT7" t="str">
        <f>IF(OR('Job Sheet'!Z13="Wiring Loom Extension",'Job Sheet'!Z13="3 Way Switch for Bay Windows with Wiring Loom"),1,"")</f>
        <v/>
      </c>
      <c r="LU7" t="str">
        <f>IF('Job Sheet'!U13="Acmeda External 15nm Remote Motor",1,"")</f>
        <v/>
      </c>
      <c r="LV7" t="str">
        <f>IF('Job Sheet'!U13="Acmeda External 30nm Remote Motor",1,"")</f>
        <v/>
      </c>
      <c r="LW7" t="str">
        <f>IF('Job Sheet'!U13="Acmeda External 50nm Remote Motor",1,"")</f>
        <v/>
      </c>
      <c r="LX7" t="str">
        <f>IF(OR('Job Sheet'!U13="Acmeda External 15nm Remote Motor",'Job Sheet'!U13="Acmeda External 15nm Remote Motor"),1,"")</f>
        <v/>
      </c>
      <c r="LY7" t="str">
        <f>IF(OR('Job Sheet'!U13="Acmeda External 15nm Remote Motor",'Job Sheet'!U13="Acmeda External 15nm Remote Motor"),1,"")</f>
        <v/>
      </c>
      <c r="MC7" t="str">
        <f>IF(OR('Job Sheet'!Z13="Pulse 2.0 Automation Hub",'Job Sheet'!Z13="Pulse Pro Automation Hub"),1,"")</f>
        <v/>
      </c>
      <c r="MD7" t="str">
        <f>IF('Job Sheet'!Z13="1 Channel Dry Contact Relay Module",1,"")</f>
        <v/>
      </c>
      <c r="ME7" t="str">
        <f>IF('Job Sheet'!Z13="USB Repeater",1,"")</f>
        <v/>
      </c>
      <c r="MF7" t="str">
        <f>IF('Job Sheet'!W13="Acmeda 1 Channel White Remote",1,"")</f>
        <v/>
      </c>
      <c r="MG7" t="str">
        <f>IF('Job Sheet'!W13="Acmeda 1 Channel Black Remote",1,"")</f>
        <v/>
      </c>
      <c r="MH7" t="str">
        <f>IF('Job Sheet'!W13="Acmeda 5 Channel White Remote",1,"")</f>
        <v/>
      </c>
      <c r="MI7" t="str">
        <f>IF('Job Sheet'!W13="Acmeda 5 Channel Black Remote",1,"")</f>
        <v/>
      </c>
      <c r="MJ7" t="str">
        <f>IF('Job Sheet'!W13="Acmeda 15 Channel White Remote",1,"")</f>
        <v/>
      </c>
      <c r="MK7" t="str">
        <f>IF('Job Sheet'!W13="Acmeda 15 Channel Black Remote",1,"")</f>
        <v/>
      </c>
      <c r="ML7" t="str">
        <f>IF('Job Sheet'!W13="Acmeda Wall Mounted Single Channel White Remote",1,"")</f>
        <v/>
      </c>
      <c r="MM7" t="str">
        <f>IF('Job Sheet'!W13="Acmeda Wall Mounted 5 Channel White Remote",1,"")</f>
        <v/>
      </c>
      <c r="MN7" t="str">
        <f>IF('Job Sheet'!W13="Acmeda Wall Mounted 15 Channel White Remote",1,"")</f>
        <v/>
      </c>
      <c r="MO7" t="str">
        <f>IF('Job Sheet'!W13="Acmeda Push Pro White Remote with Charger",1,"")</f>
        <v/>
      </c>
      <c r="MP7" t="str">
        <f>IF('Job Sheet'!X13="Acmeda Push Pro Black Remote with Charger",1,"")</f>
        <v/>
      </c>
      <c r="MQ7" t="str">
        <f>IF(OR('Job Sheet'!X13="Acmeda Push Pro White Remote with Charger",'Job Sheet'!X13="Acmeda Push Pro Black Remote with Charger"),"1","")</f>
        <v/>
      </c>
      <c r="MR7" t="str">
        <f t="shared" si="2"/>
        <v/>
      </c>
      <c r="NE7" t="str">
        <f>IF('Job Sheet'!U13="Somfy Altus 50 RTS 6/17",1,"")</f>
        <v/>
      </c>
      <c r="NF7" t="str">
        <f>IF('Job Sheet'!U13="Somfy Altus 50 RTS 10/17",1,"")</f>
        <v/>
      </c>
      <c r="NG7" t="str">
        <f>IF('Job Sheet'!U13="Somfy Altus 50 RTS 15/17",1,"")</f>
        <v/>
      </c>
      <c r="NH7" t="str">
        <f>IF('Job Sheet'!U13="Somfy Altus 50 RTS 25/17",1,"")</f>
        <v/>
      </c>
      <c r="NI7" t="str">
        <f>IF('Job Sheet'!U13="Somfy Orea 50 WT 40/17",1,"")</f>
        <v/>
      </c>
      <c r="NJ7" t="str">
        <f t="shared" si="3"/>
        <v/>
      </c>
      <c r="NK7" t="str">
        <f t="shared" si="4"/>
        <v/>
      </c>
      <c r="NL7" t="str">
        <f t="shared" si="5"/>
        <v/>
      </c>
      <c r="NM7" t="str">
        <f>IF('Job Sheet'!Z13="Connexoon App Connector",1,"")</f>
        <v/>
      </c>
      <c r="NN7" t="str">
        <f>IF('Job Sheet'!Z13="Tahoma Switch",1,"")</f>
        <v/>
      </c>
      <c r="NO7" t="str">
        <f>IF('Job Sheet'!W13="Somfy Single Channel Silver Remote",1,"")</f>
        <v/>
      </c>
      <c r="NP7" t="str">
        <f>IF('Job Sheet'!W13="Somfy Single Channel White Remote",1,"")</f>
        <v/>
      </c>
      <c r="NQ7" t="str">
        <f>IF('Job Sheet'!W13="Somfy 2 Channel Silver Remote",1,"")</f>
        <v/>
      </c>
      <c r="NR7" t="str">
        <f>IF('Job Sheet'!W13="Somfy 2 Channel White Remote",1,"")</f>
        <v/>
      </c>
      <c r="NS7" t="str">
        <f>IF('Job Sheet'!W13="Somfy 5 Channel Silver Remote",1,"")</f>
        <v/>
      </c>
      <c r="NT7" t="str">
        <f>IF('Job Sheet'!W13="Somfy 5 Channel White Remote",1,"")</f>
        <v/>
      </c>
      <c r="NU7" t="str">
        <f>IF('Job Sheet'!W13="Somfy 15 Channel Silver Remote",1,"")</f>
        <v/>
      </c>
      <c r="NV7" t="str">
        <f>IF('Job Sheet'!W13="Somfy 15 Channel White Remote",1,"")</f>
        <v/>
      </c>
      <c r="NW7" t="str">
        <f>IF('Job Sheet'!W13="Somfy Single Channel Wall Mounted Smoove Remote White with Black Cover Plate",1,"")</f>
        <v/>
      </c>
      <c r="NX7" t="str">
        <f>IF('Job Sheet'!W13="Somfy Single Channel Wall Mounted Smoove Remote White with Silver Cover Plate",1,"")</f>
        <v/>
      </c>
      <c r="NY7" t="str">
        <f>IF('Job Sheet'!W13="Somfy Single Channel Wall Mounted Smoove Remote White",1,"")</f>
        <v/>
      </c>
      <c r="NZ7" t="str">
        <f>IF('Job Sheet'!W13="Somfy 2 Channel Wall Mounted Smoove Remote White with Black Cover Plate",1,"")</f>
        <v/>
      </c>
      <c r="OA7" t="str">
        <f>IF('Job Sheet'!W13="Somfy 2 Channel Wall Mounted Smoove Remote White with Silver Cover Plate",1,"")</f>
        <v/>
      </c>
      <c r="OB7" t="str">
        <f>IF('Job Sheet'!W13="Somfy 2 Channel Wall Mounted Smoove Remote White",1,"")</f>
        <v/>
      </c>
      <c r="OC7" t="str">
        <f>IF('Job Sheet'!W13="Somfy 5 Channel Wall Mounted Smoove Remote White with Black Cover Plate",1,"")</f>
        <v/>
      </c>
      <c r="OD7" t="str">
        <f>IF('Job Sheet'!W13="Somfy 5 Channel Wall Mounted Smoove Remote White with Silver Cover Plate",1,"")</f>
        <v/>
      </c>
      <c r="OE7" t="str">
        <f>IF('Job Sheet'!W13="Somfy 5 Channel Wall Mounted Smoove Remote White",1,"")</f>
        <v/>
      </c>
    </row>
    <row r="8" spans="4:395" ht="13.2" customHeight="1">
      <c r="D8" t="str">
        <f>IF(Data!AV14="","",IF(OR('Order Form'!R12="Supplied by Davidson's",SUM(NE8:NI8)&lt;&gt;0),CONCATENATE(Data!BC$5,".",Data!BD$5),IF(AND('Order Form'!R12&lt;&gt;"Supplied by Davidson's",'Tube Cutting'!C14=""),"",CONCATENATE(Data!BC$5,".",Data!BD$5))))</f>
        <v>11804.C</v>
      </c>
      <c r="E8">
        <f>IF(D8="","",Data!AW14)</f>
        <v>4</v>
      </c>
      <c r="F8" t="str">
        <f>IF(D8="","",Data!AV14)</f>
        <v>3e6caa16-a590-4763-94c9-1f3a0bb0eade</v>
      </c>
      <c r="G8" t="str">
        <f t="shared" si="0"/>
        <v>Roller Shutters</v>
      </c>
      <c r="H8" t="str">
        <f>IF(D8="","",Data!BF$5)</f>
        <v>Crow, Tahlia</v>
      </c>
      <c r="I8" t="str">
        <f>IF(D8="","",Data!AX$5)</f>
        <v>Roller Shutters</v>
      </c>
      <c r="J8" s="116" t="str">
        <f>IF(OR(D8="",'Tube Cutting'!C14=""),"",IF(AND(Data!BN14="42mm Standard Slat",Data!BO14="Black"),'Tube Cutting'!C14*'Tube Cutting'!D14/5800,IF(AND(Data!BN14="42mm Standard Slat",'Tube Cutting'!H14="Black"),'Tube Cutting'!C14*'Tube Cutting'!G14/5800,"")))</f>
        <v/>
      </c>
      <c r="K8" s="116" t="str">
        <f>IF(OR(D8="",'Tube Cutting'!C14=""),"",IF(AND(Data!BN14="42mm Standard Slat",Data!BO14="Clear Beige"),'Tube Cutting'!C14*'Tube Cutting'!D14/5800,IF(AND(Data!BN14="42mm Standard Slat",'Tube Cutting'!H14="Clear Beige"),'Tube Cutting'!C14*'Tube Cutting'!G14/5800,"")))</f>
        <v/>
      </c>
      <c r="L8" s="116" t="str">
        <f>IF(OR(D8="",'Tube Cutting'!C14=""),"",IF(AND(Data!BN14="42mm Standard Slat",Data!BO14="Dune"),'Tube Cutting'!C14*'Tube Cutting'!D14/5800,IF(AND(Data!BN14="42mm Standard Slat",'Tube Cutting'!H14="Dune"),'Tube Cutting'!C14*'Tube Cutting'!G14/5800,"")))</f>
        <v/>
      </c>
      <c r="M8" s="116" t="str">
        <f>IF(OR(D8="",'Tube Cutting'!C14=""),"",IF(AND(Data!BN14="42mm Standard Slat",Data!BO14="Mag Cream"),'Tube Cutting'!C14*'Tube Cutting'!D14/5800,IF(AND(Data!BN14="42mm Standard Slat",'Tube Cutting'!H14="Mag Cream"),'Tube Cutting'!C14*'Tube Cutting'!G14/5800,"")))</f>
        <v/>
      </c>
      <c r="N8" s="116">
        <f>IF(OR(D8="",'Tube Cutting'!C14=""),"",IF(AND(Data!BN14="42mm Standard Slat",Data!BO14="Monument"),'Tube Cutting'!C14*'Tube Cutting'!D14/5800,IF(AND(Data!BN14="42mm Standard Slat",'Tube Cutting'!H14="Monument"),'Tube Cutting'!C14*'Tube Cutting'!G14/5800,"")))</f>
        <v>5.952</v>
      </c>
      <c r="O8" s="116" t="str">
        <f>IF(OR(D8="",'Tube Cutting'!C14=""),"",IF(AND(Data!BN14="42mm Standard Slat",Data!BO14="Shale Grey"),'Tube Cutting'!C14*'Tube Cutting'!D14/5800,IF(AND(Data!BN14="42mm Standard Slat",'Tube Cutting'!H14="Shale Grey"),'Tube Cutting'!C14*'Tube Cutting'!G14/5800,"")))</f>
        <v/>
      </c>
      <c r="P8" s="116" t="str">
        <f>IF(OR(D8="",'Tube Cutting'!C14=""),"",IF(AND(Data!BN14="42mm Standard Slat",Data!BO14="White"),'Tube Cutting'!C14*'Tube Cutting'!D14/5800,IF(AND(Data!BN14="42mm Standard Slat",'Tube Cutting'!H14="White"),'Tube Cutting'!C14*'Tube Cutting'!G14/5800,"")))</f>
        <v/>
      </c>
      <c r="Q8" s="116" t="str">
        <f>IF(OR(D8="",'Tube Cutting'!C14=""),"",IF(AND(Data!BN14="42mm Standard Slat",Data!BO14="Woodland Grey"),'Tube Cutting'!C14*'Tube Cutting'!D14/5800,IF(AND(Data!BN14="42mm Standard Slat",'Tube Cutting'!H14="Woodland Grey"),'Tube Cutting'!C14*'Tube Cutting'!G14/5800,"")))</f>
        <v/>
      </c>
      <c r="R8" s="116" t="str">
        <f>IF(OR(D8="",'Tube Cutting'!C14=""),"",IF(AND(Data!BN14="42mm Standard Slat",Data!BO14="Cream"),'Tube Cutting'!C14*'Tube Cutting'!D14/5800,IF(AND(Data!BN14="42mm Standard Slat",'Tube Cutting'!H14="Cream"),'Tube Cutting'!C14*'Tube Cutting'!G14/5800,"")))</f>
        <v/>
      </c>
      <c r="S8" s="116" t="str">
        <f>IF(OR(D8="",'Tube Cutting'!C14=""),"",IF(AND(Data!BN14="42mm Standard Slat",Data!BO14="Brown"),'Tube Cutting'!C14*'Tube Cutting'!D14/5800,IF(AND(Data!BN14="42mm Standard Slat",'Tube Cutting'!H14="Brown"),'Tube Cutting'!C14*'Tube Cutting'!G14/5800,"")))</f>
        <v/>
      </c>
      <c r="T8" s="116" t="str">
        <f>IF(OR(D8="",'Tube Cutting'!C14=""),"",IF(AND(Data!BN14="42mm Standard Slat",Data!BO14="Beige"),'Tube Cutting'!C14*'Tube Cutting'!D14/5800,IF(AND(Data!BN14="42mm Standard Slat",'Tube Cutting'!H14="Beige"),'Tube Cutting'!C14*'Tube Cutting'!G14/5800,"")))</f>
        <v/>
      </c>
      <c r="U8" s="116" t="str">
        <f>IF(OR(D8="",'Tube Cutting'!C14=""),"",IF(AND(Data!BN14="42mm Standard Slat",Data!BO14="Green"),'Tube Cutting'!C14*'Tube Cutting'!D14/5800,IF(AND(Data!BN14="42mm Standard Slat",'Tube Cutting'!H14="Green"),'Tube Cutting'!C14*'Tube Cutting'!G14/5800,"")))</f>
        <v/>
      </c>
      <c r="V8" s="116" t="str">
        <f>IF(OR(D8="",'Tube Cutting'!C14=""),"",IF(AND(Data!BN14="42mm Standard Slat",Data!BO14="Red"),'Tube Cutting'!C14*'Tube Cutting'!D14/5800,IF(AND(Data!BN14="42mm Standard Slat",'Tube Cutting'!H14="Red"),'Tube Cutting'!C14*'Tube Cutting'!G14/5800,"")))</f>
        <v/>
      </c>
      <c r="W8" s="116" t="str">
        <f>IF(OR(D8="",'Tube Cutting'!C14=""),"",IF(AND(Data!BN14="42mm Standard Slat",Data!BO14="Bronze"),'Tube Cutting'!C14*'Tube Cutting'!D14/5800,IF(AND(Data!BN14="42mm Standard Slat",'Tube Cutting'!H14="Bronze"),'Tube Cutting'!C14*'Tube Cutting'!G14/5800,"")))</f>
        <v/>
      </c>
      <c r="X8" s="116" t="str">
        <f>IF(OR(D8="",'Tube Cutting'!C14=""),"",IF(AND(Data!BN14="42mm Standard Slat",Data!BO14="Silver"),'Tube Cutting'!C14*'Tube Cutting'!D14/5800,IF(AND(Data!BN14="42mm Standard Slat",'Tube Cutting'!H14="Silver"),'Tube Cutting'!C14*'Tube Cutting'!G14/5800,"")))</f>
        <v/>
      </c>
      <c r="Y8" s="116" t="str">
        <f>IF(OR(D8="",'Tube Cutting'!C14=""),"",IF(AND(Data!BN14="42mm Standard Slat",Data!BO14="Deep Ocean Blue"),'Tube Cutting'!C14*'Tube Cutting'!D14/5800,IF(AND(Data!BN14="42mm Standard Slat",'Tube Cutting'!H14="Deep Ocean Blue"),'Tube Cutting'!C14*'Tube Cutting'!G14/5800,"")))</f>
        <v/>
      </c>
      <c r="Z8" s="116" t="str">
        <f>IF(OR(D8="",'Tube Cutting'!C14=""),"",IF(AND(Data!BN14="42mm Standard Slat",Data!BO14="Jasper"),'Tube Cutting'!C14*'Tube Cutting'!D14/5800,IF(AND(Data!BN14="42mm Standard Slat",'Tube Cutting'!H14="Jasper"),'Tube Cutting'!C14*'Tube Cutting'!G14/5800,"")))</f>
        <v/>
      </c>
      <c r="AA8" s="116" t="str">
        <f>IF(OR(D8="",'Tube Cutting'!C14=""),"",IF(AND(Data!BN14="42mm Standard Slat",Data!BO14="Surfmist"),'Tube Cutting'!C14*'Tube Cutting'!D14/5800,IF(AND(Data!BN14="42mm Standard Slat",'Tube Cutting'!H14="Surfmist"),'Tube Cutting'!C14*'Tube Cutting'!G14/5800,"")))</f>
        <v/>
      </c>
      <c r="AB8" s="116" t="str">
        <f>IF(OR(D8="",'Tube Cutting'!C14=""),"",IF('Tube Cutting'!H14="Black Unperforated",'Tube Cutting'!G14*'Tube Cutting'!C14/5800,IF(AND(OR(Data!BN14="42mm Standard Slat",Data!BN14="42mm Unperforated Slat"),Data!BO14="Black"),('Tube Cutting'!C14*'Tube Cutting'!E14/1000)/5.8,"")))</f>
        <v/>
      </c>
      <c r="AC8" s="116" t="str">
        <f>IF(OR(D8="",'Tube Cutting'!C14=""),"",IF('Tube Cutting'!H14="Clear Beige Unperforated",'Tube Cutting'!G14*'Tube Cutting'!C14/5800,IF(AND(OR(Data!BN14="42mm Standard Slat",Data!BN14="42mm Unperforated Slat"),Data!BO14="Clear Beige"),('Tube Cutting'!C14*'Tube Cutting'!E14/1000)/5.8,"")))</f>
        <v/>
      </c>
      <c r="AD8" s="116" t="str">
        <f>IF(OR(D8="",'Tube Cutting'!C14=""),"",IF('Tube Cutting'!H14="Dune Unperforated",'Tube Cutting'!G14*'Tube Cutting'!C14/5800,IF(AND(OR(Data!BN14="42mm Standard Slat",Data!BN14="42mm Unperforated Slat"),Data!BO14="Dune"),('Tube Cutting'!C14*'Tube Cutting'!E14/1000)/5.8,"")))</f>
        <v/>
      </c>
      <c r="AE8" s="116" t="str">
        <f>IF(OR(D8="",'Tube Cutting'!C14=""),"",IF('Tube Cutting'!H14="Mag Cream Unperforated",'Tube Cutting'!G14*'Tube Cutting'!C14/5800,IF(AND(OR(Data!BN14="42mm Standard Slat",Data!BN14="42mm Unperforated Slat"),Data!BO14="Mag Cream"),('Tube Cutting'!C14*'Tube Cutting'!E14/1000)/5.8,"")))</f>
        <v/>
      </c>
      <c r="AF8" s="116">
        <f>IF(OR(D8="",'Tube Cutting'!C14=""),"",IF('Tube Cutting'!H14="Monument Unperforated",'Tube Cutting'!G14*'Tube Cutting'!C14/5800,IF(AND(OR(Data!BN14="42mm Standard Slat",Data!BN14="42mm Unperforated Slat"),Data!BO14="Monument"),('Tube Cutting'!C14*'Tube Cutting'!E14/1000)/5.8,"")))</f>
        <v>1.28275862068966</v>
      </c>
      <c r="AG8" s="116" t="str">
        <f>IF(OR(D8="",'Tube Cutting'!C14=""),"",IF('Tube Cutting'!H14="Shale Grey Unperforated",'Tube Cutting'!G14*'Tube Cutting'!C14/5800,IF(AND(OR(Data!BN14="42mm Standard Slat",Data!BN14="42mm Unperforated Slat"),Data!BO14="Shale Grey"),('Tube Cutting'!C14*'Tube Cutting'!E14/1000)/5.8,"")))</f>
        <v/>
      </c>
      <c r="AH8" s="116" t="str">
        <f>IF(OR(D8="",'Tube Cutting'!C14=""),"",IF('Tube Cutting'!H14="White Unperforated",'Tube Cutting'!G14*'Tube Cutting'!C14/5800,IF(AND(OR(Data!BN14="42mm Standard Slat",Data!BN14="42mm Unperforated Slat"),Data!BO14="White"),('Tube Cutting'!C14*'Tube Cutting'!E14/1000)/5.8,"")))</f>
        <v/>
      </c>
      <c r="AI8" s="116" t="str">
        <f>IF(OR(D8="",'Tube Cutting'!C14=""),"",IF('Tube Cutting'!H14="Woodland Grey Unperforated",'Tube Cutting'!G14*'Tube Cutting'!C14/5800,IF(AND(OR(Data!BN14="42mm Standard Slat",Data!BN14="42mm Unperforated Slat"),Data!BO14="Woodland Grey"),('Tube Cutting'!C14*'Tube Cutting'!E14/1000)/5.8,"")))</f>
        <v/>
      </c>
      <c r="AJ8" s="116" t="str">
        <f>IF(OR(D8="",'Tube Cutting'!C14=""),"",IF('Tube Cutting'!H14="Cream Unperforated",'Tube Cutting'!G14*'Tube Cutting'!C14/5800,IF(AND(OR(Data!BN14="42mm Standard Slat",Data!BN14="42mm Unperforated Slat"),Data!BO14="Cream"),('Tube Cutting'!C14*'Tube Cutting'!E14/1000)/5.8,"")))</f>
        <v/>
      </c>
      <c r="AK8" s="116" t="str">
        <f>IF(OR(D8="",'Tube Cutting'!C14=""),"",IF('Tube Cutting'!H14="Brown Unperforated",'Tube Cutting'!G14*'Tube Cutting'!C14/5800,IF(AND(OR(Data!BN14="42mm Standard Slat",Data!BN14="42mm Unperforated Slat"),Data!BO14="Brown"),('Tube Cutting'!C14*'Tube Cutting'!E14/1000)/5.8,"")))</f>
        <v/>
      </c>
      <c r="AL8" s="116" t="str">
        <f>IF(OR(D8="",'Tube Cutting'!C14=""),"",IF('Tube Cutting'!H14="Beige Unperforated",'Tube Cutting'!G14*'Tube Cutting'!C14/5800,IF(AND(OR(Data!BN14="42mm Standard Slat",Data!BN14="42mm Unperforated Slat"),Data!BO14="Beige"),('Tube Cutting'!C14*'Tube Cutting'!E14/1000)/5.8,"")))</f>
        <v/>
      </c>
      <c r="AM8" s="116" t="str">
        <f>IF(OR(D8="",'Tube Cutting'!C14=""),"",IF('Tube Cutting'!H14="Green Unperforated",'Tube Cutting'!G14*'Tube Cutting'!C14/5800,IF(AND(OR(Data!BN14="42mm Standard Slat",Data!BN14="42mm Unperforated Slat"),Data!BO14="Green"),('Tube Cutting'!C14*'Tube Cutting'!E14/1000)/5.8,"")))</f>
        <v/>
      </c>
      <c r="AN8" s="116" t="str">
        <f>IF(OR(D8="",'Tube Cutting'!C14=""),"",IF('Tube Cutting'!H14="Red Unperforated",'Tube Cutting'!G14*'Tube Cutting'!C14/5800,IF(AND(OR(Data!BN14="42mm Standard Slat",Data!BN14="42mm Unperforated Slat"),Data!BO14="Red"),('Tube Cutting'!C14*'Tube Cutting'!E14/1000)/5.8,"")))</f>
        <v/>
      </c>
      <c r="AO8" s="116" t="str">
        <f>IF(OR(D8="",'Tube Cutting'!C14=""),"",IF('Tube Cutting'!H14="Bronze Unperforated",'Tube Cutting'!G14*'Tube Cutting'!C14/5800,IF(AND(OR(Data!BN14="42mm Standard Slat",Data!BN14="42mm Unperforated Slat"),Data!BO14="Bronze"),('Tube Cutting'!C14*'Tube Cutting'!E14/1000)/5.8,"")))</f>
        <v/>
      </c>
      <c r="AP8" s="116" t="str">
        <f>IF(OR(D8="",'Tube Cutting'!C14=""),"",IF('Tube Cutting'!H14="Silver Unperforated",'Tube Cutting'!G14*'Tube Cutting'!C14/5800,IF(AND(OR(Data!BN14="42mm Standard Slat",Data!BN14="42mm Unperforated Slat"),Data!BO14="Silver"),('Tube Cutting'!C14*'Tube Cutting'!E14/1000)/5.8,"")))</f>
        <v/>
      </c>
      <c r="AQ8" s="116" t="str">
        <f>IF(OR(D8="",'Tube Cutting'!C14=""),"",IF('Tube Cutting'!H14="Deep Ocean Unperforated",'Tube Cutting'!G14*'Tube Cutting'!C14/5800,IF(AND(OR(Data!BN14="42mm Standard Slat",Data!BN14="42mm Unperforated Slat"),Data!BO14="Deep Ocean"),('Tube Cutting'!C14*'Tube Cutting'!E14/1000)/5.8,"")))</f>
        <v/>
      </c>
      <c r="AR8" s="116" t="str">
        <f>IF(OR(D8="",'Tube Cutting'!C14=""),"",IF('Tube Cutting'!H14="Jasper Unperforated",'Tube Cutting'!G14*'Tube Cutting'!C14/5800,IF(AND(OR(Data!BN14="42mm Standard Slat",Data!BN14="42mm Unperforated Slat"),Data!BO14="Jasper"),('Tube Cutting'!C14*'Tube Cutting'!E14/1000)/5.8,"")))</f>
        <v/>
      </c>
      <c r="AS8" s="116" t="str">
        <f>IF(OR(D8="",'Tube Cutting'!C14=""),"",IF('Tube Cutting'!H14="Surfmist Unperforated",'Tube Cutting'!G14*'Tube Cutting'!C14/5800,IF(AND(OR(Data!BN14="42mm Standard Slat",Data!BN14="42mm Unperforated Slat"),Data!BO14="Surfmist"),('Tube Cutting'!C14*'Tube Cutting'!E14/1000)/5.8,"")))</f>
        <v/>
      </c>
      <c r="AT8" t="str">
        <f>IF(OR(D8="",'Tube Cutting'!C14=""),"",IF(AND('Tube Cutting'!O14="Black",'Tube Cutting'!N14="180mm"),'Tube Cutting'!L14,""))</f>
        <v/>
      </c>
      <c r="AU8" t="str">
        <f>IF(OR(D8="",'Tube Cutting'!C14=""),"",IF(AND('Tube Cutting'!O14="Black",'Tube Cutting'!N14="180mm"),'Tube Cutting'!M14,""))</f>
        <v/>
      </c>
      <c r="AV8" t="str">
        <f>IF(OR(D8="",'Tube Cutting'!C14=""),"",IF(AND('Tube Cutting'!O14="Clear Beige",'Tube Cutting'!N14="180mm"),'Tube Cutting'!L14,""))</f>
        <v/>
      </c>
      <c r="AW8" t="str">
        <f>IF(OR(D8="",'Tube Cutting'!C14=""),"",IF(AND('Tube Cutting'!O14="Clear Beige",'Tube Cutting'!N14="180mm"),'Tube Cutting'!M14,""))</f>
        <v/>
      </c>
      <c r="AX8" t="str">
        <f>IF(OR(D8="",'Tube Cutting'!C14=""),"",IF(AND('Tube Cutting'!O14="Dune",'Tube Cutting'!N14="180mm"),'Tube Cutting'!L14,""))</f>
        <v/>
      </c>
      <c r="AY8" t="str">
        <f>IF(OR(D8="",'Tube Cutting'!C14=""),"",IF(AND('Tube Cutting'!O14="Dune",'Tube Cutting'!N14="180mm"),'Tube Cutting'!M14,""))</f>
        <v/>
      </c>
      <c r="AZ8" t="str">
        <f>IF(OR(D8="",'Tube Cutting'!C14=""),"",IF(AND('Tube Cutting'!O14="Mag Cream",'Tube Cutting'!N14="180mm"),'Tube Cutting'!L14,""))</f>
        <v/>
      </c>
      <c r="BA8" t="str">
        <f>IF(OR(D8="",'Tube Cutting'!C14=""),"",IF(AND('Tube Cutting'!O14="Mag Cream",'Tube Cutting'!N14="180mm"),'Tube Cutting'!M14,""))</f>
        <v/>
      </c>
      <c r="BB8">
        <f>IF(OR(D8="",'Tube Cutting'!C14=""),"",IF(AND('Tube Cutting'!O14="Monument",'Tube Cutting'!N14="180mm"),'Tube Cutting'!L14,""))</f>
        <v>1550</v>
      </c>
      <c r="BC8">
        <f>IF(OR(D8="",'Tube Cutting'!C14=""),"",IF(AND('Tube Cutting'!O14="Monument",'Tube Cutting'!N14="180mm"),'Tube Cutting'!M14,""))</f>
        <v>1550</v>
      </c>
      <c r="BD8" t="str">
        <f>IF(OR(D8="",'Tube Cutting'!C14=""),"",IF(AND('Tube Cutting'!O14="Shale Grey",'Tube Cutting'!N14="180mm"),'Tube Cutting'!L14,""))</f>
        <v/>
      </c>
      <c r="BE8" t="str">
        <f>IF(OR(D8="",'Tube Cutting'!C14=""),"",IF(AND('Tube Cutting'!O14="Shale Grey",'Tube Cutting'!N14="180mm"),'Tube Cutting'!M14,""))</f>
        <v/>
      </c>
      <c r="BF8" t="str">
        <f>IF(OR(D8="",'Tube Cutting'!C14=""),"",IF(AND('Tube Cutting'!O14="White",'Tube Cutting'!N14="180mm"),'Tube Cutting'!L14,""))</f>
        <v/>
      </c>
      <c r="BG8" t="str">
        <f>IF(OR(D8="",'Tube Cutting'!C14=""),"",IF(AND('Tube Cutting'!O14="White",'Tube Cutting'!N14="180mm"),'Tube Cutting'!M14,""))</f>
        <v/>
      </c>
      <c r="BH8" t="str">
        <f>IF(OR(D8="",'Tube Cutting'!C14=""),"",IF(AND('Tube Cutting'!O14="Woodland Grey",'Tube Cutting'!N14="180mm"),'Tube Cutting'!L14,""))</f>
        <v/>
      </c>
      <c r="BI8" t="str">
        <f>IF(OR(D8="",'Tube Cutting'!C14=""),"",IF(AND('Tube Cutting'!O14="Woodland Grey",'Tube Cutting'!N14="180mm"),'Tube Cutting'!M14,""))</f>
        <v/>
      </c>
      <c r="BJ8" t="str">
        <f>IF(OR(D8="",'Tube Cutting'!C14=""),"",IF(AND('Tube Cutting'!O14="Cream",'Tube Cutting'!N14="180mm"),'Tube Cutting'!L14,""))</f>
        <v/>
      </c>
      <c r="BK8" t="str">
        <f>IF(OR(D8="",'Tube Cutting'!C14=""),"",IF(AND('Tube Cutting'!O14="Cream",'Tube Cutting'!N14="180mm"),'Tube Cutting'!M14,""))</f>
        <v/>
      </c>
      <c r="BL8" t="str">
        <f>IF(OR(D8="",'Tube Cutting'!C14=""),"",IF(AND('Tube Cutting'!O14="Brown",'Tube Cutting'!N14="180mm"),'Tube Cutting'!L14,""))</f>
        <v/>
      </c>
      <c r="BM8" t="str">
        <f>IF(OR(D8="",'Tube Cutting'!C14=""),"",IF(AND('Tube Cutting'!O14="Brown",'Tube Cutting'!N14="180mm"),'Tube Cutting'!M14,""))</f>
        <v/>
      </c>
      <c r="BN8" t="str">
        <f>IF(OR(D8="",'Tube Cutting'!C14=""),"",IF(AND('Tube Cutting'!O14="Surfmist",'Tube Cutting'!N14="180mm"),'Tube Cutting'!L14,""))</f>
        <v/>
      </c>
      <c r="BO8" t="str">
        <f>IF(OR(D8="",'Tube Cutting'!C14=""),"",IF(AND('Tube Cutting'!O14="Surfmist",'Tube Cutting'!N14="180mm"),'Tube Cutting'!M14,""))</f>
        <v/>
      </c>
      <c r="BP8" t="str">
        <f>IF(OR(D8="",'Tube Cutting'!C14=""),"",IF(AND('Tube Cutting'!O14="Jasper",'Tube Cutting'!N14="180mm"),'Tube Cutting'!L14,""))</f>
        <v/>
      </c>
      <c r="BQ8" t="str">
        <f>IF(OR(D8="",'Tube Cutting'!C14=""),"",IF(AND('Tube Cutting'!O14="Jasper",'Tube Cutting'!N14="180mm"),'Tube Cutting'!M14,""))</f>
        <v/>
      </c>
      <c r="BR8" t="str">
        <f>IF(OR(E8="",'Tube Cutting'!D14=""),"",IF(AND('Tube Cutting'!O14="Red",'Tube Cutting'!N14="180mm"),'Tube Cutting'!L14,""))</f>
        <v/>
      </c>
      <c r="BS8" t="str">
        <f>IF(OR(E8="",'Tube Cutting'!D14=""),"",IF(AND('Tube Cutting'!O14="Red",'Tube Cutting'!N14="180mm"),'Tube Cutting'!M14,""))</f>
        <v/>
      </c>
      <c r="BT8" t="str">
        <f>IF(OR(D8="",'Tube Cutting'!C14=""),"",IF(AND('Tube Cutting'!O14="Black",'Tube Cutting'!N14="205mm"),'Tube Cutting'!L14,""))</f>
        <v/>
      </c>
      <c r="BU8" t="str">
        <f>IF(OR(D8="",'Tube Cutting'!C14=""),"",IF(AND('Tube Cutting'!O14="Black",'Tube Cutting'!N14="205mm"),'Tube Cutting'!M14,""))</f>
        <v/>
      </c>
      <c r="BV8" t="str">
        <f>IF(OR(D8="",'Tube Cutting'!C14=""),"",IF(AND('Tube Cutting'!O14="Clear Beige",'Tube Cutting'!N14="205mm"),'Tube Cutting'!L14,""))</f>
        <v/>
      </c>
      <c r="BW8" t="str">
        <f>IF(OR(D8="",'Tube Cutting'!C14=""),"",IF(AND('Tube Cutting'!O14="Clear Beige",'Tube Cutting'!N14="205mm"),'Tube Cutting'!M14,""))</f>
        <v/>
      </c>
      <c r="BX8" t="str">
        <f>IF(OR(D8="",'Tube Cutting'!C14=""),"",IF(AND('Tube Cutting'!O14="Dune",'Tube Cutting'!N14="205mm"),'Tube Cutting'!L14,""))</f>
        <v/>
      </c>
      <c r="BY8" t="str">
        <f>IF(OR(D8="",'Tube Cutting'!C14=""),"",IF(AND('Tube Cutting'!O14="Dune",'Tube Cutting'!N14="205mm"),'Tube Cutting'!M14,""))</f>
        <v/>
      </c>
      <c r="BZ8" t="str">
        <f>IF(OR(D8="",'Tube Cutting'!C14=""),"",IF(AND('Tube Cutting'!O14="Mag Cream",'Tube Cutting'!N14="205mm"),'Tube Cutting'!L14,""))</f>
        <v/>
      </c>
      <c r="CA8" t="str">
        <f>IF(OR(D8="",'Tube Cutting'!C14=""),"",IF(AND('Tube Cutting'!O14="Mag Cream",'Tube Cutting'!N14="205mm"),'Tube Cutting'!M14,""))</f>
        <v/>
      </c>
      <c r="CB8" t="str">
        <f>IF(OR(D8="",'Tube Cutting'!C14=""),"",IF(AND('Tube Cutting'!O14="Monument",'Tube Cutting'!N14="205mm"),'Tube Cutting'!L14,""))</f>
        <v/>
      </c>
      <c r="CC8" t="str">
        <f>IF(OR(D8="",'Tube Cutting'!C14=""),"",IF(AND('Tube Cutting'!O14="Monument",'Tube Cutting'!N14="205mm"),'Tube Cutting'!M14,""))</f>
        <v/>
      </c>
      <c r="CD8" t="str">
        <f>IF(OR(D8="",'Tube Cutting'!C14=""),"",IF(AND('Tube Cutting'!O14="Shale Grey",'Tube Cutting'!N14="205mm"),'Tube Cutting'!L14,""))</f>
        <v/>
      </c>
      <c r="CE8" t="str">
        <f>IF(OR(D8="",'Tube Cutting'!C14=""),"",IF(AND('Tube Cutting'!O14="Shale Grey",'Tube Cutting'!N14="205mm"),'Tube Cutting'!M14,""))</f>
        <v/>
      </c>
      <c r="CF8" t="str">
        <f>IF(OR(D8="",'Tube Cutting'!C14=""),"",IF(AND('Tube Cutting'!O14="White",'Tube Cutting'!N14="205mm"),'Tube Cutting'!L14,""))</f>
        <v/>
      </c>
      <c r="CG8" t="str">
        <f>IF(OR(D8="",'Tube Cutting'!C14=""),"",IF(AND('Tube Cutting'!O14="White",'Tube Cutting'!N14="205mm"),'Tube Cutting'!M14,""))</f>
        <v/>
      </c>
      <c r="CH8" t="str">
        <f>IF(OR(D8="",'Tube Cutting'!C14=""),"",IF(AND('Tube Cutting'!O14="Woodland Grey",'Tube Cutting'!N14="205mm"),'Tube Cutting'!L14,""))</f>
        <v/>
      </c>
      <c r="CI8" t="str">
        <f>IF(OR(D8="",'Tube Cutting'!C14=""),"",IF(AND('Tube Cutting'!O14="Woodland Grey",'Tube Cutting'!N14="205mm"),'Tube Cutting'!M14,""))</f>
        <v/>
      </c>
      <c r="CJ8" t="str">
        <f>IF(OR(D8="",'Tube Cutting'!C14=""),"",IF(AND('Tube Cutting'!O14="Cream",'Tube Cutting'!N14="205mm"),'Tube Cutting'!L14,""))</f>
        <v/>
      </c>
      <c r="CK8" t="str">
        <f>IF(OR(D8="",'Tube Cutting'!C14=""),"",IF(AND('Tube Cutting'!O14="Cream",'Tube Cutting'!N14="205mm"),'Tube Cutting'!M14,""))</f>
        <v/>
      </c>
      <c r="CL8" t="str">
        <f>IF(OR(D8="",'Tube Cutting'!C14=""),"",IF(AND('Tube Cutting'!O14="Brown",'Tube Cutting'!N14="205mm"),'Tube Cutting'!L14,""))</f>
        <v/>
      </c>
      <c r="CM8" t="str">
        <f>IF(OR(D8="",'Tube Cutting'!C14=""),"",IF(AND('Tube Cutting'!O14="Brown",'Tube Cutting'!N14="205mm"),'Tube Cutting'!M14,""))</f>
        <v/>
      </c>
      <c r="CN8" t="str">
        <f>IF(OR(D8="",'Tube Cutting'!C14=""),"",IF(AND('Tube Cutting'!O14="Surfmist",'Tube Cutting'!N14="205mm"),'Tube Cutting'!L14,""))</f>
        <v/>
      </c>
      <c r="CO8" t="str">
        <f>IF(OR(D8="",'Tube Cutting'!C14=""),"",IF(AND('Tube Cutting'!O14="Surfmist",'Tube Cutting'!N14="205mm"),'Tube Cutting'!M14,""))</f>
        <v/>
      </c>
      <c r="CP8" t="str">
        <f>IF(OR(D8="",'Tube Cutting'!C14=""),"",IF(AND('Tube Cutting'!O14="Jasper",'Tube Cutting'!N14="205mm"),'Tube Cutting'!L14,""))</f>
        <v/>
      </c>
      <c r="CQ8" t="str">
        <f>IF(OR(D8="",'Tube Cutting'!C14=""),"",IF(AND('Tube Cutting'!O14="Jasper",'Tube Cutting'!N14="205mm"),'Tube Cutting'!M14,""))</f>
        <v/>
      </c>
      <c r="CR8" t="str">
        <f>IF(OR(D8="",'Tube Cutting'!C14=""),"",IF(AND('Tube Cutting'!O14="Cream",'Tube Cutting'!N14="230mm"),'Tube Cutting'!L14,""))</f>
        <v/>
      </c>
      <c r="CS8" t="str">
        <f>IF(OR(D8="",'Tube Cutting'!C14=""),"",IF(AND('Tube Cutting'!O14="Cream",'Tube Cutting'!N14="230mm"),'Tube Cutting'!M14,""))</f>
        <v/>
      </c>
      <c r="CT8" t="str">
        <f>IF(OR(D8="",'Tube Cutting'!C14=""),"",IF(AND('Tube Cutting'!O14="Mag Cream",'Tube Cutting'!N14="230mm"),'Tube Cutting'!L14,""))</f>
        <v/>
      </c>
      <c r="CU8" t="str">
        <f>IF(OR(D8="",'Tube Cutting'!C14=""),"",IF(AND('Tube Cutting'!O14="Mag Cream",'Tube Cutting'!N14="230mm"),'Tube Cutting'!M14,""))</f>
        <v/>
      </c>
      <c r="CV8" t="str">
        <f>IF(OR(D8="",'Tube Cutting'!C14=""),"",IF(AND('Tube Cutting'!O14="Clear Beige",'Tube Cutting'!N14="230mm"),'Tube Cutting'!L14,""))</f>
        <v/>
      </c>
      <c r="CW8" t="str">
        <f>IF(OR(D8="",'Tube Cutting'!C14=""),"",IF(AND('Tube Cutting'!O14="Clear Beige",'Tube Cutting'!N14="230mm"),'Tube Cutting'!M14,""))</f>
        <v/>
      </c>
      <c r="CX8" t="str">
        <f>IF(OR(D8="",'Tube Cutting'!C14=""),"",IF(AND('Tube Cutting'!O14="White",'Tube Cutting'!N14="230mm"),'Tube Cutting'!L14,""))</f>
        <v/>
      </c>
      <c r="CY8" t="str">
        <f>IF(OR(D8="",'Tube Cutting'!C14=""),"",IF(AND('Tube Cutting'!O14="White",'Tube Cutting'!N14="230mm"),'Tube Cutting'!M14,""))</f>
        <v/>
      </c>
      <c r="CZ8" t="str">
        <f>IF(OR(D8="",'Tube Cutting'!C14=""),"",IF(AND('Tube Cutting'!O14="Shale Grey",'Tube Cutting'!N14="230mm"),'Tube Cutting'!L14,""))</f>
        <v/>
      </c>
      <c r="DA8" t="str">
        <f>IF(OR(D8="",'Tube Cutting'!C14=""),"",IF(AND('Tube Cutting'!O14="Shale Grey",'Tube Cutting'!N14="230mm"),'Tube Cutting'!M14,""))</f>
        <v/>
      </c>
      <c r="DB8" t="str">
        <f>IF(OR(D8="",'Tube Cutting'!C14=""),"",IF(AND('Tube Cutting'!O14="Black",'Tube Cutting'!N14="230mm"),'Tube Cutting'!L14,""))</f>
        <v/>
      </c>
      <c r="DC8" t="str">
        <f>IF(OR(D8="",'Tube Cutting'!C14=""),"",IF(AND('Tube Cutting'!O14="Black",'Tube Cutting'!N14="230mm"),'Tube Cutting'!M14,""))</f>
        <v/>
      </c>
      <c r="DD8" t="str">
        <f>IF(OR(D8="",'Tube Cutting'!C14=""),"",IF(AND('Tube Cutting'!O14="Monument",'Tube Cutting'!N14="230mm"),'Tube Cutting'!L14,""))</f>
        <v/>
      </c>
      <c r="DE8" t="str">
        <f>IF(OR(D8="",'Tube Cutting'!C14=""),"",IF(AND('Tube Cutting'!O14="Monument",'Tube Cutting'!N14="230mm"),'Tube Cutting'!M14,""))</f>
        <v/>
      </c>
      <c r="DF8" t="str">
        <f>IF(OR(D8="",'Tube Cutting'!C14=""),"",IF(AND('Tube Cutting'!O14="Woodland Grey",'Tube Cutting'!N14="230mm"),'Tube Cutting'!L14,""))</f>
        <v/>
      </c>
      <c r="DG8" t="str">
        <f>IF(OR(D8="",'Tube Cutting'!C14=""),"",IF(AND('Tube Cutting'!O14="Woodland Grey",'Tube Cutting'!N14="230mm"),'Tube Cutting'!M14,""))</f>
        <v/>
      </c>
      <c r="DH8" t="str">
        <f>IF(OR(D8="",'Tube Cutting'!C14=""),"",IF(AND('Tube Cutting'!O14="Surfmist",'Tube Cutting'!N14="230mm"),'Tube Cutting'!L14,""))</f>
        <v/>
      </c>
      <c r="DI8" t="str">
        <f>IF(OR(D8="",'Tube Cutting'!C14=""),"",IF(AND('Tube Cutting'!O14="Surfmist",'Tube Cutting'!N14="230mm"),'Tube Cutting'!M14,""))</f>
        <v/>
      </c>
      <c r="DJ8" t="str">
        <f>IF(OR(D8="",'Tube Cutting'!C14=""),"",IF(AND('Tube Cutting'!O14="Jasper",'Tube Cutting'!N14="230mm"),'Tube Cutting'!L14,""))</f>
        <v/>
      </c>
      <c r="DK8" t="str">
        <f>IF(OR(D8="",'Tube Cutting'!C14=""),"",IF(AND('Tube Cutting'!O14="Jasper",'Tube Cutting'!N14="230mm"),'Tube Cutting'!M14,""))</f>
        <v/>
      </c>
      <c r="DL8" t="str">
        <f>IF(OR(D8="",'Tube Cutting'!C14=""),"",IF(AND('Tube Cutting'!O14="Dune",'Tube Cutting'!N14="230mm"),'Tube Cutting'!L14,""))</f>
        <v/>
      </c>
      <c r="DM8" t="str">
        <f>IF(OR(D8="",'Tube Cutting'!C14=""),"",IF(AND('Tube Cutting'!O14="Dune",'Tube Cutting'!N14="230mm"),'Tube Cutting'!M14,""))</f>
        <v/>
      </c>
      <c r="DN8" t="str">
        <f>IF(OR(D8="",'Tube Cutting'!C14=""),"",IF(AND('Tube Cutting'!R14="Cream",'Job Sheet'!AG14="Bay Window Flashing x 1"),'Job Sheet'!BB14,IF(AND('Tube Cutting'!R14="Cream",'Job Sheet'!AG14="Bay Window Flashing x 2"),'Job Sheet'!BB14*2,"")))</f>
        <v/>
      </c>
      <c r="DO8" t="str">
        <f>IF(OR(D8="",'Tube Cutting'!C14=""),"",IF(AND('Tube Cutting'!R14="Mag",'Job Sheet'!AG14="Bay Window Flashing x 1"),'Job Sheet'!BB14,IF(AND('Tube Cutting'!R14="Mag Cream",'Job Sheet'!AG14="Bay Window Flashing x 2"),'Job Sheet'!BB14*2,"")))</f>
        <v/>
      </c>
      <c r="DP8" t="str">
        <f>IF(OR(D8="",'Tube Cutting'!C14=""),"",IF(AND('Tube Cutting'!R14="Clear Beige",'Job Sheet'!AG14="Bay Window Flashing x 1"),'Job Sheet'!BB14,IF(AND('Tube Cutting'!R14="Clear Beige",'Job Sheet'!AG14="Bay Window Flashing x 2"),'Job Sheet'!BB14*2,"")))</f>
        <v/>
      </c>
      <c r="DQ8" t="str">
        <f>IF(OR(D8="",'Tube Cutting'!C14=""),"",IF(AND('Tube Cutting'!R14="White",'Job Sheet'!AG14="Bay Window Flashing x 1"),'Job Sheet'!BB14,IF(AND('Tube Cutting'!R14="White",'Job Sheet'!AG14="Bay Window Flashing x 2"),'Job Sheet'!BB14*2,"")))</f>
        <v/>
      </c>
      <c r="DR8" t="str">
        <f>IF(OR(D8="",'Tube Cutting'!C14=""),"",IF(AND('Tube Cutting'!R14="Shale Grey",'Job Sheet'!AG14="Bay Window Flashing x 1"),'Job Sheet'!BB14,IF(AND('Tube Cutting'!R14="Shale Grey",'Job Sheet'!AG14="Bay Window Flashing x 2"),'Job Sheet'!BB14*2,"")))</f>
        <v/>
      </c>
      <c r="DS8" t="str">
        <f>IF(OR(D8="",'Tube Cutting'!C14=""),"",IF(AND('Tube Cutting'!R14="Brown",'Job Sheet'!AG14="Bay Window Flashing x 1"),'Job Sheet'!BB14,IF(AND('Tube Cutting'!R14="Brown",'Job Sheet'!AG14="Bay Window Flashing x 2"),'Job Sheet'!BB14*2,"")))</f>
        <v/>
      </c>
      <c r="DT8" t="str">
        <f>IF(OR(D8="",'Tube Cutting'!C14=""),"",IF(AND('Tube Cutting'!R14="Black",'Job Sheet'!AG14="Bay Window Flashing x 1"),'Job Sheet'!BB14,IF(AND('Tube Cutting'!R14="Black",'Job Sheet'!AG14="Bay Window Flashing x 2"),'Job Sheet'!BB14*2,"")))</f>
        <v/>
      </c>
      <c r="DU8" t="str">
        <f>IF(OR(D8="",'Tube Cutting'!C14=""),"",IF(AND('Tube Cutting'!R14="Monument",'Job Sheet'!AG14="Bay Window Flashing x 1"),'Job Sheet'!BB14,IF(AND('Tube Cutting'!R14="Monument",'Job Sheet'!AG14="Bay Window Flashing x 2"),'Job Sheet'!BB14*2,"")))</f>
        <v/>
      </c>
      <c r="DV8" t="str">
        <f>IF(OR(D8="",'Tube Cutting'!C14=""),"",IF(AND('Tube Cutting'!R14="Woodland Grey",'Job Sheet'!AG14="Bay Window Flashing x 1"),'Job Sheet'!BB14,IF(AND('Tube Cutting'!R14="Woodland Grey",'Job Sheet'!AG14="Bay Window Flashing x 2"),'Job Sheet'!BB14*2,"")))</f>
        <v/>
      </c>
      <c r="DW8" t="str">
        <f>IF(OR(D8="",'Tube Cutting'!C14=""),"",IF(AND('Tube Cutting'!R14="Surfmist",'Job Sheet'!AG14="Bay Window Flashing x 1"),'Job Sheet'!BB14,IF(AND('Tube Cutting'!R14="Surfmist",'Job Sheet'!AG14="Bay Window Flashing x 2"),'Job Sheet'!BB14*2,"")))</f>
        <v/>
      </c>
      <c r="DX8" t="str">
        <f>IF(OR(D8="",'Tube Cutting'!C14=""),"",IF(AND('Tube Cutting'!R14="Jasper",'Job Sheet'!AG14="Bay Window Flashing x 1"),'Job Sheet'!BB14,IF(AND('Tube Cutting'!R14="Jasper",'Job Sheet'!AG14="Bay Window Flashing x 2"),'Job Sheet'!BB14*2,"")))</f>
        <v/>
      </c>
      <c r="DY8" t="str">
        <f>IF(OR(D8="",'Tube Cutting'!C14=""),"",IF(AND('Tube Cutting'!R14="Dune",'Job Sheet'!AG14="Bay Window Flashing x 1"),'Job Sheet'!BB14,IF(AND('Tube Cutting'!R14="Dune",'Job Sheet'!AG14="Bay Window Flashing x 2"),'Job Sheet'!BB14*2,"")))</f>
        <v/>
      </c>
      <c r="DZ8" t="str">
        <f>IF(OR(D8="",'Tube Cutting'!C14=""),"",IF('Tube Cutting'!R14="Cream",IF(SUM('Job Sheet'!BR14:BU14)=0,"",SUM('Job Sheet'!BR14:BU14)),""))</f>
        <v/>
      </c>
      <c r="EA8" t="str">
        <f>IF(OR(D8="",'Tube Cutting'!C14=""),"",IF('Tube Cutting'!R14="Mag Cream",IF(SUM('Job Sheet'!BR14:BU14)=0,"",SUM('Job Sheet'!BR14:BU14)),""))</f>
        <v/>
      </c>
      <c r="EB8" t="str">
        <f>IF(OR(D8="",'Tube Cutting'!C14=""),"",IF('Tube Cutting'!R14="Clear Beige",IF(SUM('Job Sheet'!BR14:BU14)=0,"",SUM('Job Sheet'!BR14:BU14)),""))</f>
        <v/>
      </c>
      <c r="EC8" t="str">
        <f>IF(OR(D8="",'Tube Cutting'!C14=""),"",IF('Tube Cutting'!R14="White",IF(SUM('Job Sheet'!BR14:BU14)=0,"",SUM('Job Sheet'!BR14:BU14)),""))</f>
        <v/>
      </c>
      <c r="ED8" t="str">
        <f>IF(OR(D8="",'Tube Cutting'!C14=""),"",IF('Tube Cutting'!R14="Shale Grey",IF(SUM('Job Sheet'!BR14:BU14)=0,"",SUM('Job Sheet'!BR14:BU14)),""))</f>
        <v/>
      </c>
      <c r="EE8" t="str">
        <f>IF(OR(D8="",'Tube Cutting'!C14=""),"",IF('Tube Cutting'!R14="Brown",IF(SUM('Job Sheet'!BR14:BU14)=0,"",SUM('Job Sheet'!BR14:BU14)),""))</f>
        <v/>
      </c>
      <c r="EF8" t="str">
        <f>IF(OR(D8="",'Tube Cutting'!C14=""),"",IF('Tube Cutting'!R14="Black",IF(SUM('Job Sheet'!BR14:BU14)=0,"",SUM('Job Sheet'!BR14:BU14)),""))</f>
        <v/>
      </c>
      <c r="EG8" t="str">
        <f>IF(OR(D8="",'Tube Cutting'!C14=""),"",IF('Tube Cutting'!R14="Monument",IF(SUM('Job Sheet'!BR14:BU14)=0,"",SUM('Job Sheet'!BR14:BU14)),""))</f>
        <v/>
      </c>
      <c r="EH8" t="str">
        <f>IF(OR(D8="",'Tube Cutting'!C14=""),"",IF('Tube Cutting'!R14="Woodland Grey",IF(SUM('Job Sheet'!BR14:BU14)=0,"",SUM('Job Sheet'!BR14:BU14)),""))</f>
        <v/>
      </c>
      <c r="EI8" t="str">
        <f>IF(OR(D8="",'Tube Cutting'!C14=""),"",IF('Tube Cutting'!R14="Surfmist",IF(SUM('Job Sheet'!BR14:BU14)=0,"",SUM('Job Sheet'!BR14:BU14)),""))</f>
        <v/>
      </c>
      <c r="EJ8" t="str">
        <f>IF(OR(D8="",'Tube Cutting'!C14=""),"",IF('Tube Cutting'!R14="Jasper",IF(SUM('Job Sheet'!BR14:BU14)=0,"",SUM('Job Sheet'!BR14:BU14)),""))</f>
        <v/>
      </c>
      <c r="EK8" t="str">
        <f>IF(OR(D8="",'Tube Cutting'!C14=""),"",IF('Tube Cutting'!R14="Dune",IF(SUM('Job Sheet'!BR14:BU14)=0,"",SUM('Job Sheet'!BR14:BU14)),""))</f>
        <v/>
      </c>
      <c r="EL8" t="str">
        <f>IF(OR(D8="",'Tube Cutting'!C14=""),"",IF('Tube Cutting'!R14="Cream",IF(SUM('Job Sheet'!BV14:BY14)=0,"",SUM('Job Sheet'!BV14:BY14)),""))</f>
        <v/>
      </c>
      <c r="EM8" t="str">
        <f>IF(OR(D8="",'Tube Cutting'!C14=""),"",IF('Tube Cutting'!R14="Mag Cream",IF(SUM('Job Sheet'!BV14:BY14)=0,"",SUM('Job Sheet'!BV14:BY14)),""))</f>
        <v/>
      </c>
      <c r="EN8" t="str">
        <f>IF(OR(D8="",'Tube Cutting'!C14=""),"",IF('Tube Cutting'!R14="Clear Beige",IF(SUM('Job Sheet'!BV14:BY14)=0,"",SUM('Job Sheet'!BV14:BY14)),""))</f>
        <v/>
      </c>
      <c r="EO8" t="str">
        <f>IF(OR(D8="",'Tube Cutting'!C14=""),"",IF('Tube Cutting'!R14="White",IF(SUM('Job Sheet'!BV14:BY14)=0,"",SUM('Job Sheet'!BV14:BY14)),""))</f>
        <v/>
      </c>
      <c r="EP8" t="str">
        <f>IF(OR(D8="",'Tube Cutting'!C14=""),"",IF('Tube Cutting'!R14="Shale Grey",IF(SUM('Job Sheet'!BV14:BY14)=0,"",SUM('Job Sheet'!BV14:BY14)),""))</f>
        <v/>
      </c>
      <c r="EQ8" t="str">
        <f>IF(OR(D8="",'Tube Cutting'!C14=""),"",IF('Tube Cutting'!R14="Brown",IF(SUM('Job Sheet'!BV14:BY14)=0,"",SUM('Job Sheet'!BV14:BY14)),""))</f>
        <v/>
      </c>
      <c r="ER8" t="str">
        <f>IF(OR(D8="",'Tube Cutting'!C14=""),"",IF('Tube Cutting'!R14="Black",IF(SUM('Job Sheet'!BV14:BY14)=0,"",SUM('Job Sheet'!BV14:BY14)),""))</f>
        <v/>
      </c>
      <c r="ES8" t="str">
        <f>IF(OR(D8="",'Tube Cutting'!C14=""),"",IF('Tube Cutting'!R14="Monument",IF(SUM('Job Sheet'!BV14:BY14)=0,"",SUM('Job Sheet'!BV14:BY14)),""))</f>
        <v/>
      </c>
      <c r="ET8" t="str">
        <f>IF(OR(D8="",'Tube Cutting'!C14=""),"",IF('Tube Cutting'!R14="Woodland Grey",IF(SUM('Job Sheet'!BV14:BY14)=0,"",SUM('Job Sheet'!BV14:BY14)),""))</f>
        <v/>
      </c>
      <c r="EU8" t="str">
        <f>IF(OR(D8="",'Tube Cutting'!C14=""),"",IF('Tube Cutting'!R14="Surfmist",IF(SUM('Job Sheet'!BV14:BY14)=0,"",SUM('Job Sheet'!BV14:BY14)),""))</f>
        <v/>
      </c>
      <c r="EV8" t="str">
        <f>IF(OR(D8="",'Tube Cutting'!C14=""),"",IF('Tube Cutting'!R14="Jasper",IF(SUM('Job Sheet'!BV14:BY14)=0,"",SUM('Job Sheet'!BV14:BY14)),""))</f>
        <v/>
      </c>
      <c r="EW8" t="str">
        <f>IF(OR(D8="",'Tube Cutting'!C14=""),"",IF('Tube Cutting'!R14="Dune",IF(SUM('Job Sheet'!BV14:BY14)=0,"",SUM('Job Sheet'!BV14:BY14)),""))</f>
        <v/>
      </c>
      <c r="EX8" t="str">
        <f>IF(OR(D8="",'Tube Cutting'!C14=""),"",IF('Tube Cutting'!R14="Cream",IF(SUM('Job Sheet'!BZ14:CC14)=0,"",SUM('Job Sheet'!BZ14:CC14)),""))</f>
        <v/>
      </c>
      <c r="EY8" t="str">
        <f>IF(OR(D8="",'Tube Cutting'!C14=""),"",IF('Tube Cutting'!R14="Mag Cream",IF(SUM('Job Sheet'!BZ14:CC14)=0,"",SUM('Job Sheet'!BZ14:CC14)),""))</f>
        <v/>
      </c>
      <c r="EZ8" t="str">
        <f>IF(OR(D8="",'Tube Cutting'!C14=""),"",IF('Tube Cutting'!R14="Clear Beige",IF(SUM('Job Sheet'!BZ14:CC14)=0,"",SUM('Job Sheet'!BZ14:CC14)),""))</f>
        <v/>
      </c>
      <c r="FA8" t="str">
        <f>IF(OR(D8="",'Tube Cutting'!C14=""),"",IF('Tube Cutting'!R14="White",IF(SUM('Job Sheet'!BZ14:CC14)=0,"",SUM('Job Sheet'!BZ14:CC14)),""))</f>
        <v/>
      </c>
      <c r="FB8" t="str">
        <f>IF(OR(D8="",'Tube Cutting'!C14=""),"",IF('Tube Cutting'!R14="Shale Grey",IF(SUM('Job Sheet'!BZ14:CC14)=0,"",SUM('Job Sheet'!BZ14:CC14)),""))</f>
        <v/>
      </c>
      <c r="FC8" t="str">
        <f>IF(OR(D8="",'Tube Cutting'!C14=""),"",IF('Tube Cutting'!R14="Brown",IF(SUM('Job Sheet'!BZ14:CC14)=0,"",SUM('Job Sheet'!BZ14:CC14)),""))</f>
        <v/>
      </c>
      <c r="FD8" t="str">
        <f>IF(OR(D8="",'Tube Cutting'!C14=""),"",IF('Tube Cutting'!R14="Black",IF(SUM('Job Sheet'!BZ14:CC14)=0,"",SUM('Job Sheet'!BZ14:CC14)),""))</f>
        <v/>
      </c>
      <c r="FE8" t="str">
        <f>IF(OR(D8="",'Tube Cutting'!C14=""),"",IF('Tube Cutting'!R14="Monument",IF(SUM('Job Sheet'!BZ14:CC14)=0,"",SUM('Job Sheet'!BZ14:CC14)),""))</f>
        <v/>
      </c>
      <c r="FF8" t="str">
        <f>IF(OR(D8="",'Tube Cutting'!C14=""),"",IF('Tube Cutting'!R14="Woodland Grey",IF(SUM('Job Sheet'!BZ14:CC14)=0,"",SUM('Job Sheet'!BZ14:CC14)),""))</f>
        <v/>
      </c>
      <c r="FG8" t="str">
        <f>IF(OR(D8="",'Tube Cutting'!C14=""),"",IF('Tube Cutting'!R14="Surfmist",IF(SUM('Job Sheet'!BZ14:CC14)=0,"",SUM('Job Sheet'!BZ14:CC14)),""))</f>
        <v/>
      </c>
      <c r="FH8" t="str">
        <f>IF(OR(D8="",'Tube Cutting'!C14=""),"",IF('Tube Cutting'!R14="Jasper",IF(SUM('Job Sheet'!BZ14:CC14)=0,"",SUM('Job Sheet'!BZ14:CC14)),""))</f>
        <v/>
      </c>
      <c r="FI8" t="str">
        <f>IF(OR(D8="",'Tube Cutting'!C14=""),"",IF('Tube Cutting'!R14="Dune",IF(SUM('Job Sheet'!BZ14:CC14)=0,"",SUM('Job Sheet'!BZ14:CC14)),""))</f>
        <v/>
      </c>
      <c r="FJ8" t="str">
        <f>IF(OR(D8="",'Tube Cutting'!C14=""),"",IF('Tube Cutting'!R14="Cream",IF(SUM('Job Sheet'!BN14:BQ14)=0,"",SUM('Job Sheet'!BN14:BQ14)),""))</f>
        <v/>
      </c>
      <c r="FK8" t="str">
        <f>IF(OR(D8="",'Tube Cutting'!C14=""),"",IF('Tube Cutting'!R14="Mag Cream",IF(SUM('Job Sheet'!BN14:BQ14)=0,"",SUM('Job Sheet'!BN14:BQ14)),""))</f>
        <v/>
      </c>
      <c r="FL8" t="str">
        <f>IF(OR(D8="",'Tube Cutting'!C14=""),"",IF('Tube Cutting'!R14="Clear Beige",IF(SUM('Job Sheet'!BN14:BQ14)=0,"",SUM('Job Sheet'!BN14:BQ14)),""))</f>
        <v/>
      </c>
      <c r="FM8" t="str">
        <f>IF(OR(D8="",'Tube Cutting'!C14=""),"",IF('Tube Cutting'!R14="White",IF(SUM('Job Sheet'!BN14:BQ14)=0,"",SUM('Job Sheet'!BN14:BQ14)),""))</f>
        <v/>
      </c>
      <c r="FN8" t="str">
        <f>IF(OR(D8="",'Tube Cutting'!C14=""),"",IF('Tube Cutting'!R14="Shale Grey",IF(SUM('Job Sheet'!BN14:BQ14)=0,"",SUM('Job Sheet'!BN14:BQ14)),""))</f>
        <v/>
      </c>
      <c r="FO8" t="str">
        <f>IF(OR(D8="",'Tube Cutting'!C14=""),"",IF('Tube Cutting'!R14="Brown",IF(SUM('Job Sheet'!BN14:BQ14)=0,"",SUM('Job Sheet'!BN14:BQ14)),""))</f>
        <v/>
      </c>
      <c r="FP8" t="str">
        <f>IF(OR(D8="",'Tube Cutting'!C14=""),"",IF('Tube Cutting'!R14="Dune",IF(SUM('Job Sheet'!BN14:BQ14)=0,"",SUM('Job Sheet'!BN14:BQ14)),""))</f>
        <v/>
      </c>
      <c r="FQ8" t="str">
        <f>IF(OR(D8="",'Tube Cutting'!C14=""),"",IF('Tube Cutting'!R14="Dune",IF(SUM('Job Sheet'!BN14:BQ14)=0,"",SUM('Job Sheet'!BN14:BQ14)),""))</f>
        <v/>
      </c>
      <c r="FR8" t="str">
        <f>IF(OR(D8="",'Tube Cutting'!C14=""),"",IF('Tube Cutting'!R14="Black",IF(SUM('Job Sheet'!BN14:BQ14)=0,"",SUM('Job Sheet'!BN14:BQ14)),""))</f>
        <v/>
      </c>
      <c r="FS8" t="str">
        <f>IF(OR(D8="",'Tube Cutting'!C14=""),"",IF('Tube Cutting'!R14="Monument",IF(SUM('Job Sheet'!BN14:BQ14)=0,"",SUM('Job Sheet'!BN14:BQ14)),""))</f>
        <v/>
      </c>
      <c r="FT8" t="str">
        <f>IF(OR(D8="",'Tube Cutting'!C14=""),"",IF('Tube Cutting'!R14="Custom Powdercoat",IF(SUM('Job Sheet'!BN14:BQ14)=0,"",SUM('Job Sheet'!BN14:BQ14)),""))</f>
        <v/>
      </c>
      <c r="FU8" t="str">
        <f>IF(OR(D8="",'Tube Cutting'!C14=""),"",IF('Tube Cutting'!R14="Woodland Grey",IF(SUM('Job Sheet'!BN14:BQ14)=0,"",SUM('Job Sheet'!BN14:BQ14)),""))</f>
        <v/>
      </c>
      <c r="FV8" t="str">
        <f>IF(OR(D8="",'Tube Cutting'!C14=""),"",IF('Tube Cutting'!R14="Jasper",IF(SUM('Job Sheet'!BN14:BQ14)=0,"",SUM('Job Sheet'!BN14:BQ14)),""))</f>
        <v/>
      </c>
      <c r="FW8" t="str">
        <f>IF(OR(D8="",'Tube Cutting'!C14=""),"",IF('Tube Cutting'!R14="Surfmist",IF(SUM('Job Sheet'!BN14:BQ14)=0,"",SUM('Job Sheet'!BN14:BQ14)),""))</f>
        <v/>
      </c>
      <c r="FX8" t="str">
        <f>IF(OR(D8="",'Tube Cutting'!C14=""),"",IF('Tube Cutting'!R14="Dune",IF(SUM('Job Sheet'!BN14:BQ14)=0,"",SUM('Job Sheet'!BN14:BQ14)),""))</f>
        <v/>
      </c>
      <c r="FY8">
        <f>IF(OR(D8="",'Tube Cutting'!C14=""),"",IF(AND('Order Form'!R12="Supplied by Davidson's",'Tube Cutting'!C14&lt;&gt;""),"",'Tube Cutting'!S14))</f>
        <v>1480</v>
      </c>
      <c r="FZ8" t="str">
        <f>IF(OR(D8="",'Tube Cutting'!C14=""),"",IF(AND(Data!BN14="42mm Standard Slat",'Tube Cutting'!J14="Black"),'Tube Cutting'!I14,""))</f>
        <v/>
      </c>
      <c r="GA8" t="str">
        <f>IF(OR(D8="",'Tube Cutting'!C14=""),"",IF(AND(Data!BN14="42mm Standard Slat",'Tube Cutting'!J14="Clear Beige"),'Tube Cutting'!I14,""))</f>
        <v/>
      </c>
      <c r="GB8" t="str">
        <f>IF(OR(D8="",'Tube Cutting'!C14=""),"",IF(AND(Data!BN14="42mm Standard Slat",'Tube Cutting'!J14="Dune"),'Tube Cutting'!I14,""))</f>
        <v/>
      </c>
      <c r="GC8" t="str">
        <f>IF(OR(D8="",'Tube Cutting'!C14=""),"",IF(AND(Data!BN14="42mm Standard Slat",'Tube Cutting'!J14="Mag Cream"),'Tube Cutting'!I14,""))</f>
        <v/>
      </c>
      <c r="GD8">
        <f>IF(OR(D8="",'Tube Cutting'!C14=""),"",IF(AND(Data!BN14="42mm Standard Slat",'Tube Cutting'!J14="Monument"),'Tube Cutting'!I14,""))</f>
        <v>1488</v>
      </c>
      <c r="GE8" t="str">
        <f>IF(OR(D8="",'Tube Cutting'!C14=""),"",IF(AND(Data!BN14="42mm Standard Slat",'Tube Cutting'!J14="Shale Grey"),'Tube Cutting'!I14,""))</f>
        <v/>
      </c>
      <c r="GF8" t="str">
        <f>IF(OR(D8="",'Tube Cutting'!C14=""),"",IF(AND(Data!BN14="42mm Standard Slat",'Tube Cutting'!J14="White"),'Tube Cutting'!I14,""))</f>
        <v/>
      </c>
      <c r="GG8" t="str">
        <f>IF(OR(D8="",'Tube Cutting'!C14=""),"",IF(AND(Data!BN14="42mm Standard Slat",'Tube Cutting'!J14="Woodland Grey"),'Tube Cutting'!I14,""))</f>
        <v/>
      </c>
      <c r="GH8" t="str">
        <f>IF(OR(D8="",'Tube Cutting'!C14=""),"",IF(AND(Data!BN14="42mm Standard Slat",'Tube Cutting'!J14="Cream"),'Tube Cutting'!I14,""))</f>
        <v/>
      </c>
      <c r="GI8" t="str">
        <f>IF(OR(D8="",'Tube Cutting'!C14=""),"",IF(AND(Data!BN14="42mm Standard Slat",'Tube Cutting'!J14="Brown"),'Tube Cutting'!I14,""))</f>
        <v/>
      </c>
      <c r="GJ8" t="str">
        <f>IF(OR(D8="",'Tube Cutting'!C14=""),"",IF(AND(Data!BN14="42mm Standard Slat",'Tube Cutting'!J14="Custom Powdercoat"),'Tube Cutting'!I14,""))</f>
        <v/>
      </c>
      <c r="GK8" t="str">
        <f>IF(OR(D8="",'Tube Cutting'!C14=""),"",IF(AND(Data!BN14="42mm Standard Slat",'Tube Cutting'!J14="Surfmist"),'Tube Cutting'!I14,""))</f>
        <v/>
      </c>
      <c r="GL8" t="str">
        <f>IF(OR(D8="",'Tube Cutting'!C14=""),"",IF(AND(Data!BN14="42mm Standard Slat",'Tube Cutting'!J14="Jasper"),'Tube Cutting'!I14,""))</f>
        <v/>
      </c>
      <c r="GM8" t="str">
        <f>IF(OR(D8="",'Tube Cutting'!C14=""),"",IF('Tube Cutting'!R14="Black",('Job Sheet'!BB14*2+IF('Job Sheet'!Q14="Black",SUM('Job Sheet'!BJ14:BM14))),""))</f>
        <v/>
      </c>
      <c r="GN8" t="str">
        <f>IF(OR(D8="",'Tube Cutting'!C14=""),"",IF('Tube Cutting'!R14="Clear Beige",('Job Sheet'!BB14*2+IF('Job Sheet'!Q14="Clear Beige",SUM('Job Sheet'!BJ14:BM14))),""))</f>
        <v/>
      </c>
      <c r="GO8" t="str">
        <f>IF(OR(D8="",'Tube Cutting'!C14=""),"",IF('Tube Cutting'!R14="Dune",('Job Sheet'!BB14*2+IF('Job Sheet'!Q14="Dune",SUM('Job Sheet'!BJ14:BM14))),""))</f>
        <v/>
      </c>
      <c r="GP8" t="str">
        <f>IF(OR(D8="",'Tube Cutting'!C14=""),"",IF('Tube Cutting'!R14="Mag Cream",('Job Sheet'!BB14*2+IF('Job Sheet'!Q14="Mag Cream",SUM('Job Sheet'!BJ14:BM14))),""))</f>
        <v/>
      </c>
      <c r="GQ8">
        <f>IF(OR(D8="",'Tube Cutting'!C14=""),"",IF('Tube Cutting'!R14="Monument",('Job Sheet'!BB14*2+IF('Job Sheet'!Q14="Monument",SUM('Job Sheet'!BJ14:BM14))),""))</f>
        <v>2240</v>
      </c>
      <c r="GR8" t="str">
        <f>IF(OR(D8="",'Tube Cutting'!C14=""),"",IF('Tube Cutting'!R14="Shale Grey",('Job Sheet'!BB14*2+IF('Job Sheet'!Q14="Shale Grey",SUM('Job Sheet'!BJ14:BM14))),""))</f>
        <v/>
      </c>
      <c r="GS8" t="str">
        <f>IF(OR(D8="",'Tube Cutting'!C14=""),"",IF('Tube Cutting'!R14="White",('Job Sheet'!BB14*2+IF('Job Sheet'!Q14="White",SUM('Job Sheet'!BJ14:BM14))),""))</f>
        <v/>
      </c>
      <c r="GT8" t="str">
        <f>IF(OR(D8="",'Tube Cutting'!C14=""),"",IF('Tube Cutting'!R14="Woodland Grey",('Job Sheet'!BB14*2+IF('Job Sheet'!Q14="Woodland Grey",SUM('Job Sheet'!BJ14:BM14))),""))</f>
        <v/>
      </c>
      <c r="GU8" t="str">
        <f>IF(OR(D8="",'Tube Cutting'!C14=""),"",IF('Tube Cutting'!R14="Cream",('Job Sheet'!BB14*2+IF('Job Sheet'!Q14="Cream",SUM('Job Sheet'!BJ14:BM14))),""))</f>
        <v/>
      </c>
      <c r="GV8" t="str">
        <f>IF(OR(D8="",'Tube Cutting'!C14=""),"",IF('Tube Cutting'!R14="Brown",('Job Sheet'!BB14*2+IF('Job Sheet'!Q14="Brown",SUM('Job Sheet'!BJ14:BM14))),""))</f>
        <v/>
      </c>
      <c r="GW8" t="str">
        <f>IF(OR(D8="",'Tube Cutting'!C14=""),"",IF('Tube Cutting'!R14="Custom Powdercoat",('Job Sheet'!BB14*2+IF('Job Sheet'!Q14="Custom Powdercoat",SUM('Job Sheet'!BJ14:BM14))),""))</f>
        <v/>
      </c>
      <c r="GX8" t="str">
        <f>IF(OR(D8="",'Tube Cutting'!C14=""),"",IF('Tube Cutting'!R14="Surfmist",('Job Sheet'!BB14*2+IF('Job Sheet'!Q14="Surfmist",SUM('Job Sheet'!BJ14:BM14))),""))</f>
        <v/>
      </c>
      <c r="GY8" t="str">
        <f>IF(OR(D8="",'Tube Cutting'!C14=""),"",IF('Tube Cutting'!R14="Jasper",('Job Sheet'!BB14*2+IF('Job Sheet'!Q14="Jasper",SUM('Job Sheet'!BJ14:BM14))),""))</f>
        <v/>
      </c>
      <c r="GZ8" t="str">
        <f>IF(OR(D8="",'Tube Cutting'!C14=""),"",IF(AND('Tube Cutting'!R14="Cream",'Tube Cutting'!P14="68mm"),'Job Sheet'!BB14*2,""))</f>
        <v/>
      </c>
      <c r="HA8" t="str">
        <f>IF(OR(D8="",'Tube Cutting'!C14=""),"",IF(AND('Tube Cutting'!R14="Mag Cream",'Tube Cutting'!P14="68mm"),'Job Sheet'!BB14*2,""))</f>
        <v/>
      </c>
      <c r="HB8" t="str">
        <f>IF(OR(D8="",'Tube Cutting'!C14=""),"",IF(AND('Tube Cutting'!R14="Clear Beige",'Tube Cutting'!P14="68mm"),'Job Sheet'!BB14*2,""))</f>
        <v/>
      </c>
      <c r="HC8" t="str">
        <f>IF(OR(D8="",'Tube Cutting'!C14=""),"",IF(AND('Tube Cutting'!R14="White",'Tube Cutting'!P14="68mm"),'Job Sheet'!BB14*2,""))</f>
        <v/>
      </c>
      <c r="HD8" t="str">
        <f>IF(OR(D8="",'Tube Cutting'!C14=""),"",IF(AND('Tube Cutting'!R14="Shale Grey",'Tube Cutting'!P14="68mm"),'Job Sheet'!BB14*2,""))</f>
        <v/>
      </c>
      <c r="HE8" t="str">
        <f>IF(OR(D8="",'Tube Cutting'!C14=""),"",IF(AND('Tube Cutting'!R14="Brown",'Tube Cutting'!P14="68mm"),'Job Sheet'!BB14*2,""))</f>
        <v/>
      </c>
      <c r="HF8" t="str">
        <f>IF(OR(D8="",'Tube Cutting'!C14=""),"",IF(AND('Tube Cutting'!R14="Black",'Tube Cutting'!P14="68mm"),'Job Sheet'!BB14*2,""))</f>
        <v/>
      </c>
      <c r="HG8" t="str">
        <f>IF(OR(D8="",'Tube Cutting'!C14=""),"",IF(AND('Tube Cutting'!R14="Monument",'Tube Cutting'!P14="68mm"),'Job Sheet'!BB14*2,""))</f>
        <v/>
      </c>
      <c r="HH8" t="str">
        <f>IF(OR(D8="",'Tube Cutting'!C14=""),"",IF(AND('Tube Cutting'!R14="Custom Powdercoat",'Tube Cutting'!P14="68mm"),'Job Sheet'!BB14*2,""))</f>
        <v/>
      </c>
      <c r="HI8" t="str">
        <f>IF(OR(D8="",'Tube Cutting'!C14=""),"",IF(AND('Tube Cutting'!R14="Woodland Grey",'Tube Cutting'!P14="68mm"),'Job Sheet'!BB14*2,""))</f>
        <v/>
      </c>
      <c r="HJ8" t="str">
        <f>IF(OR(D8="",'Tube Cutting'!C14=""),"",IF(AND('Tube Cutting'!R14="Surfmist",'Tube Cutting'!P14="68mm"),'Job Sheet'!BB14*2,""))</f>
        <v/>
      </c>
      <c r="HK8" t="str">
        <f>IF(OR(D8="",'Tube Cutting'!C14=""),"",IF(AND('Tube Cutting'!R14="Jasper",'Tube Cutting'!P14="68mm"),'Job Sheet'!BB14*2,""))</f>
        <v/>
      </c>
      <c r="HL8" t="str">
        <f>IF(OR(D8="",'Tube Cutting'!C14=""),"",IF(AND('Tube Cutting'!R14="Dune",'Tube Cutting'!P14="68mm"),'Job Sheet'!BB14*2,""))</f>
        <v/>
      </c>
      <c r="HM8" t="str">
        <f>IF(OR(D8="",'Tube Cutting'!C14=""),"",IF(AND('Tube Cutting'!O14="Black",'Tube Cutting'!N14="180mm"),1,""))</f>
        <v/>
      </c>
      <c r="HN8" t="str">
        <f>IF(OR(D8="",'Tube Cutting'!C14=""),"",IF(AND('Tube Cutting'!O14="Clear Beige",'Tube Cutting'!N14="180mm"),1,""))</f>
        <v/>
      </c>
      <c r="HO8" t="str">
        <f>IF(OR(D8="",'Tube Cutting'!C14=""),"",IF(AND('Tube Cutting'!O14="Dune",'Tube Cutting'!N14="180mm"),1,""))</f>
        <v/>
      </c>
      <c r="HP8" t="str">
        <f>IF(OR(D8="",'Tube Cutting'!C14=""),"",IF(AND('Tube Cutting'!O14="Mag Cream",'Tube Cutting'!N14="180mm"),1,""))</f>
        <v/>
      </c>
      <c r="HQ8">
        <f>IF(OR(D8="",'Tube Cutting'!C14=""),"",IF(AND('Tube Cutting'!O14="Monument",'Tube Cutting'!N14="180mm"),1,""))</f>
        <v>1</v>
      </c>
      <c r="HR8" t="str">
        <f>IF(OR(D8="",'Tube Cutting'!C14=""),"",IF(AND('Tube Cutting'!O14="Shale Grey",'Tube Cutting'!N14="180mm"),1,""))</f>
        <v/>
      </c>
      <c r="HS8" t="str">
        <f>IF(OR(D8="",'Tube Cutting'!C14=""),"",IF(AND('Tube Cutting'!O14="White",'Tube Cutting'!N14="180mm"),1,""))</f>
        <v/>
      </c>
      <c r="HT8" t="str">
        <f>IF(OR(D8="",'Tube Cutting'!C14=""),"",IF(AND('Tube Cutting'!O14="Woodland Grey",'Tube Cutting'!N14="180mm"),1,""))</f>
        <v/>
      </c>
      <c r="HU8" t="str">
        <f>IF(OR(D8="",'Tube Cutting'!C14=""),"",IF(AND('Tube Cutting'!O14="Cream",'Tube Cutting'!N14="180mm"),1,""))</f>
        <v/>
      </c>
      <c r="HV8" t="str">
        <f>IF(OR(D8="",'Tube Cutting'!C14=""),"",IF(AND('Tube Cutting'!O14="Brown",'Tube Cutting'!N14="180mm"),1,""))</f>
        <v/>
      </c>
      <c r="HW8" t="str">
        <f>IF(OR(D8="",'Tube Cutting'!C14=""),"",IF(AND('Tube Cutting'!O14="Surfmist",'Tube Cutting'!N14="180mm"),1,""))</f>
        <v/>
      </c>
      <c r="HX8" t="str">
        <f>IF(OR(D8="",'Tube Cutting'!C14=""),"",IF(AND('Tube Cutting'!O14="Jasper",'Tube Cutting'!N14="180mm"),1,""))</f>
        <v/>
      </c>
      <c r="HY8" t="str">
        <f>IF(OR(E8="",'Tube Cutting'!C14=""),"",IF(AND('Tube Cutting'!O14="Red",'Tube Cutting'!N14="180mm"),1,""))</f>
        <v/>
      </c>
      <c r="HZ8" t="str">
        <f>IF(OR(D8="",'Tube Cutting'!C14=""),"",IF(AND('Tube Cutting'!O14="Black",'Tube Cutting'!N14="205mm"),1,""))</f>
        <v/>
      </c>
      <c r="IA8" t="str">
        <f>IF(OR(D8="",'Tube Cutting'!C14=""),"",IF(AND('Tube Cutting'!O14="Clear Beige",'Tube Cutting'!N14="205mm"),1,""))</f>
        <v/>
      </c>
      <c r="IB8" t="str">
        <f>IF(OR(D8="",'Tube Cutting'!C14=""),"",IF(AND('Tube Cutting'!O14="Dune",'Tube Cutting'!N14="205mm"),1,""))</f>
        <v/>
      </c>
      <c r="IC8" t="str">
        <f>IF(OR(D8="",'Tube Cutting'!C14=""),"",IF(AND('Tube Cutting'!O14="Mag Cream",'Tube Cutting'!N14="205mm"),1,""))</f>
        <v/>
      </c>
      <c r="ID8" t="str">
        <f>IF(OR(D8="",'Tube Cutting'!C14=""),"",IF(AND('Tube Cutting'!O14="Monument",'Tube Cutting'!N14="205mm"),1,""))</f>
        <v/>
      </c>
      <c r="IE8" t="str">
        <f>IF(OR(D8="",'Tube Cutting'!C14=""),"",IF(AND('Tube Cutting'!O14="Shale Grey",'Tube Cutting'!N14="205mm"),1,""))</f>
        <v/>
      </c>
      <c r="IF8" t="str">
        <f>IF(OR(D8="",'Tube Cutting'!C14=""),"",IF(AND('Tube Cutting'!O14="White",'Tube Cutting'!N14="205mm"),1,""))</f>
        <v/>
      </c>
      <c r="IG8" t="str">
        <f>IF(OR(D8="",'Tube Cutting'!C14=""),"",IF(AND('Tube Cutting'!O14="Woodland Grey",'Tube Cutting'!N14="205mm"),1,""))</f>
        <v/>
      </c>
      <c r="IH8" t="str">
        <f>IF(OR(D8="",'Tube Cutting'!C14=""),"",IF(AND('Tube Cutting'!O14="Cream",'Tube Cutting'!N14="205mm"),1,""))</f>
        <v/>
      </c>
      <c r="II8" t="str">
        <f>IF(OR(D8="",'Tube Cutting'!C14=""),"",IF(AND('Tube Cutting'!O14="Brown",'Tube Cutting'!N14="205mm"),1,""))</f>
        <v/>
      </c>
      <c r="IJ8" t="str">
        <f>IF(OR(D8="",'Tube Cutting'!C14=""),"",IF(AND('Tube Cutting'!O14="Surfmist",'Tube Cutting'!N14="205mm"),1,""))</f>
        <v/>
      </c>
      <c r="IK8" t="str">
        <f>IF(OR(D8="",'Tube Cutting'!C14=""),"",IF(AND('Tube Cutting'!O14="Jasper",'Tube Cutting'!N14="205mm"),1,""))</f>
        <v/>
      </c>
      <c r="IL8" t="str">
        <f>IF(OR(D8="",'Tube Cutting'!C14=""),"",IF(AND('Tube Cutting'!O14="Cream",'Tube Cutting'!N14="230mm"),1,""))</f>
        <v/>
      </c>
      <c r="IM8" t="str">
        <f>IF(OR(D8="",'Tube Cutting'!C14=""),"",IF(AND('Tube Cutting'!O14="Mag Cream",'Tube Cutting'!N14="230mm"),1,""))</f>
        <v/>
      </c>
      <c r="IN8" t="str">
        <f>IF(OR(D8="",'Tube Cutting'!C14=""),"",IF(AND('Tube Cutting'!O14="Clear Beige",'Tube Cutting'!N14="230mm"),1,""))</f>
        <v/>
      </c>
      <c r="IO8" t="str">
        <f>IF(OR(D8="",'Tube Cutting'!C14=""),"",IF(AND('Tube Cutting'!O14="White",'Tube Cutting'!N14="230mm"),1,""))</f>
        <v/>
      </c>
      <c r="IP8" t="str">
        <f>IF(OR(D8="",'Tube Cutting'!C14=""),"",IF(AND('Tube Cutting'!O14="Shale Grey",'Tube Cutting'!N14="230mm"),1,""))</f>
        <v/>
      </c>
      <c r="IQ8" t="str">
        <f>IF(OR(D8="",'Tube Cutting'!C14=""),"",IF(AND('Tube Cutting'!O14="Black",'Tube Cutting'!N14="230mm"),1,""))</f>
        <v/>
      </c>
      <c r="IR8" t="str">
        <f>IF(OR(D8="",'Tube Cutting'!C14=""),"",IF(AND('Tube Cutting'!O14="Monument",'Tube Cutting'!N14="230mm"),1,""))</f>
        <v/>
      </c>
      <c r="IS8" t="str">
        <f>IF(OR(D8="",'Tube Cutting'!C14=""),"",IF(AND('Tube Cutting'!O14="Woodland Grey",'Tube Cutting'!N14="230mm"),1,""))</f>
        <v/>
      </c>
      <c r="IT8" t="str">
        <f>IF(OR(D8="",'Tube Cutting'!C14=""),"",IF(AND('Tube Cutting'!O14="Surfmist",'Tube Cutting'!N14="230mm"),1,""))</f>
        <v/>
      </c>
      <c r="IU8" t="str">
        <f>IF(OR(D8="",'Tube Cutting'!C14=""),"",IF(AND('Tube Cutting'!O14="Jasper",'Tube Cutting'!N14="230mm"),1,""))</f>
        <v/>
      </c>
      <c r="IV8" t="str">
        <f>IF(OR(D8="",'Tube Cutting'!C14=""),"",IF(AND('Tube Cutting'!O14="Dune",'Tube Cutting'!N14="230mm"),1,""))</f>
        <v/>
      </c>
      <c r="IW8">
        <f>IF(OR(D8="",'Tube Cutting'!C14=""),"",IF(AND('Order Form'!R12="Supplied by Davidson's",'Tube Cutting'!C14&lt;&gt;""),"",1))</f>
        <v>1</v>
      </c>
      <c r="IX8">
        <f>IF(OR(D8="",'Tube Cutting'!C14=""),"",IF('Job Sheet'!AE14="Yes",2,""))</f>
        <v>2</v>
      </c>
      <c r="IY8" t="str">
        <f t="array" ref="IY8">IF(OR('Tube Cutting'!R14&lt;&gt;"Cream",D8=""),"",IF('Job Sheet'!J14&gt;2100,10,IF(OR(bpLOOKUP(Data!$AV14,"FIXING",CustOrdOpt,6,FALSE)="Hebel",'Job Sheet'!J14&gt;1800),8,6)))</f>
        <v/>
      </c>
      <c r="IZ8" t="str">
        <f t="array" ref="IZ8">IF(OR('Tube Cutting'!R14&lt;&gt;"Clear Beige",D8=""),"",IF('Job Sheet'!J14&gt;2100,10,IF(OR(bpLOOKUP(Data!$AV14,"FIXING",CustOrdOpt,6,FALSE)="Hebel",'Job Sheet'!J14&gt;1800),8,6)))</f>
        <v/>
      </c>
      <c r="JA8" t="str">
        <f t="array" ref="JA8">IF(OR('Tube Cutting'!R14&lt;&gt;"White",D8=""),"",IF('Job Sheet'!J14&gt;2100,10,IF(OR(bpLOOKUP(Data!$AV14,"FIXING",CustOrdOpt,6,FALSE)="Hebel",'Job Sheet'!J14&gt;1800),8,6)))</f>
        <v/>
      </c>
      <c r="JB8" t="str">
        <f t="array" ref="JB8">IF(OR('Tube Cutting'!R14&lt;&gt;"Shale Grey",D8=""),"",IF('Job Sheet'!J14&gt;2100,10,IF(OR(bpLOOKUP(Data!$AV14,"FIXING",CustOrdOpt,6,FALSE)="Hebel",'Job Sheet'!J14&gt;1800),8,6)))</f>
        <v/>
      </c>
      <c r="JC8" t="str">
        <f t="array" ref="JC8">IF(OR('Tube Cutting'!R14&lt;&gt;"Brown",D8=""),"",IF('Job Sheet'!J14&gt;2100,10,IF(OR(bpLOOKUP(Data!$AV14,"FIXING",CustOrdOpt,6,FALSE)="Hebel",'Job Sheet'!J14&gt;1800),8,6)))</f>
        <v/>
      </c>
      <c r="JD8" t="str">
        <f t="array" ref="JD8">IF(OR('Tube Cutting'!R14&lt;&gt;"Green",D8=""),"",IF('Job Sheet'!J14&gt;2100,10,IF(OR(bpLOOKUP(Data!$AV14,"FIXING",CustOrdOpt,6,FALSE)="Hebel",'Job Sheet'!J14&gt;1800),8,6)))</f>
        <v/>
      </c>
      <c r="JE8" t="str">
        <f t="array" ref="JE8">IF(OR('Tube Cutting'!R14&lt;&gt;"Red",D8=""),"",IF('Job Sheet'!J14&gt;2100,10,IF(OR(bpLOOKUP(Data!$AV14,"FIXING",CustOrdOpt,6,FALSE)="Hebel",'Job Sheet'!J14&gt;1800),8,6)))</f>
        <v/>
      </c>
      <c r="JF8" t="str">
        <f t="array" ref="JF8">IF(OR('Tube Cutting'!R14&lt;&gt;"Mag Cream",D8=""),"",IF('Job Sheet'!J14&gt;2100,10,IF(OR(bpLOOKUP(Data!$AV14,"FIXING",CustOrdOpt,6,FALSE)="Hebel",'Job Sheet'!J14&gt;1800),8,6)))</f>
        <v/>
      </c>
      <c r="JG8" t="str">
        <f t="array" ref="JG8">IF(OR('Tube Cutting'!R14&lt;&gt;"Black",D8=""),"",IF('Job Sheet'!J14&gt;2100,10,IF(OR(bpLOOKUP(Data!$AV14,"FIXING",CustOrdOpt,6,FALSE)="Hebel",'Job Sheet'!J14&gt;1800),8,6)))</f>
        <v/>
      </c>
      <c r="JH8">
        <f t="array" ref="JH8">IF(OR('Tube Cutting'!R14&lt;&gt;"Monument",D8=""),"",IF('Job Sheet'!J14&gt;2100,10,IF(OR(bpLOOKUP(Data!$AV14,"FIXING",CustOrdOpt,6,FALSE)="Hebel",'Job Sheet'!J14&gt;1800),8,6)))</f>
        <v>6</v>
      </c>
      <c r="JI8" t="str">
        <f t="array" ref="JI8">IF(OR('Tube Cutting'!R14&lt;&gt;"Deep Ocean",D8=""),"",IF('Job Sheet'!J14&gt;2100,10,IF(OR(bpLOOKUP(Data!$AV14,"FIXING",CustOrdOpt,6,FALSE)="Hebel",'Job Sheet'!J14&gt;1800),8,6)))</f>
        <v/>
      </c>
      <c r="JJ8" t="str">
        <f t="array" ref="JJ8">IF(OR('Tube Cutting'!R14&lt;&gt;"Woodland Grey",D8=""),"",IF('Job Sheet'!J14&gt;2100,10,IF(OR(bpLOOKUP(Data!$AV14,"FIXING",CustOrdOpt,6,FALSE)="Hebel",'Job Sheet'!J14&gt;1800),8,6)))</f>
        <v/>
      </c>
      <c r="JK8" t="str">
        <f t="array" ref="JK8">IF(OR('Tube Cutting'!R14&lt;&gt;"Jasper",D8=""),"",IF('Job Sheet'!J14&gt;2100,10,IF(OR(bpLOOKUP(Data!$AV14,"FIXING",CustOrdOpt,6,FALSE)="Hebel",'Job Sheet'!J14&gt;1800),8,6)))</f>
        <v/>
      </c>
      <c r="JL8" t="str">
        <f t="array" ref="JL8">IF(OR('Tube Cutting'!R14&lt;&gt;"Surfmist",D8=""),"",IF('Job Sheet'!J14&gt;2100,10,IF(OR(bpLOOKUP(Data!$AV14,"FIXING",CustOrdOpt,6,FALSE)="Hebel",'Job Sheet'!J14&gt;1800),8,6)))</f>
        <v/>
      </c>
      <c r="JM8" t="str">
        <f t="array" ref="JM8">IF(OR('Tube Cutting'!R14&lt;&gt;"Dune",D8=""),"",IF('Job Sheet'!J14&gt;2100,10,IF(OR(bpLOOKUP(Data!$AV14,"FIXING",CustOrdOpt,6,FALSE)="Hebel",'Job Sheet'!J14&gt;1800),8,6)))</f>
        <v/>
      </c>
      <c r="JN8">
        <f>IF(OR(D8="",'Tube Cutting'!C14=""),"",IF(AND('Order Form'!R12="Supplied by Davidson's",'Tube Cutting'!C14&lt;&gt;""),"",1))</f>
        <v>1</v>
      </c>
      <c r="JO8" t="str">
        <f>IF(D8="","",IF(AND('Job Sheet'!X14="Operated Outside",'Job Sheet'!Y14="Eyelot Crank Handle"),1,""))</f>
        <v/>
      </c>
      <c r="JP8" t="str">
        <f t="shared" si="1"/>
        <v/>
      </c>
      <c r="JQ8" t="str">
        <f>IF('Job Sheet'!X14="Operated Inside",1,"")</f>
        <v/>
      </c>
      <c r="JS8" t="str">
        <f>IF('Job Sheet'!X14="Operated Inside",1,"")</f>
        <v/>
      </c>
      <c r="JT8" t="str">
        <f>IF('Job Sheet'!X14="Operated Inside",1,"")</f>
        <v/>
      </c>
      <c r="JU8" t="str">
        <f>IF('Job Sheet'!X14="Operated Inside",1,"")</f>
        <v/>
      </c>
      <c r="JV8" t="str">
        <f>IF(AND('Job Sheet'!X14="Operated Outside",'Job Sheet'!Y14="Concealed Operation Crank Handle"),1,"")</f>
        <v/>
      </c>
      <c r="JW8" t="str">
        <f>IF(AND('Job Sheet'!X14="Operated Outside",'Job Sheet'!Y14="Concealed Operation Crank Handle"),1,"")</f>
        <v/>
      </c>
      <c r="JX8" t="str">
        <f>IF(AND('Job Sheet'!X14="Operated Outside",'Job Sheet'!Y14="Concealed Operation Crank Handle"),1,"")</f>
        <v/>
      </c>
      <c r="JY8" s="113">
        <f>IF(OR(D8="",'Tube Cutting'!C14=""),"",IF(AND('Order Form'!R12="Supplied by Davidson's",'Tube Cutting'!C14&lt;&gt;""),"",'Assembly(a)'!F14))</f>
        <v>28.2</v>
      </c>
      <c r="JZ8">
        <f>IF(OR(D8="",'Tube Cutting'!C14=""),"",Packing!K14)</f>
        <v>3</v>
      </c>
      <c r="KA8">
        <f>IF(OR(D8="",'Tube Cutting'!C14=""),"",IF(AND('Order Form'!R12="Supplied by Davidson's",'Tube Cutting'!C14&lt;&gt;""),"",2))</f>
        <v>2</v>
      </c>
      <c r="KB8" t="str">
        <f>IF(OR(D8="",'Tube Cutting'!C14=""),"",'Tube Cutting'!K14)</f>
        <v/>
      </c>
      <c r="KC8" t="str">
        <f>IF(Packing!T14="Corner Telescopic Bracket x 1",1,IF(Packing!T14="Corner Telescopic Bracket x 2",2,""))</f>
        <v/>
      </c>
      <c r="KD8" t="str">
        <f>IF(Packing!T14="Bay Telescopic Bracket x 1",1,IF(Packing!T14="Bay Telescopic Bracket x 2",2,""))</f>
        <v/>
      </c>
      <c r="KE8">
        <f>IF(OR(D8="",'Tube Cutting'!C14=""),"",IF('Job Sheet'!W14="Toggle Wall Switch",1,""))</f>
        <v>1</v>
      </c>
      <c r="KF8" t="str">
        <f>IF(OR(D8="",'Tube Cutting'!C14=""),"",IF(OR('Job Sheet'!Z14="UPS with No Electrician Required",'Job Sheet'!Z14="UPS with Electrician Required"),1,""))</f>
        <v/>
      </c>
      <c r="KG8" t="str">
        <f>IF(OR(Packing!C14="Too Small to be Motorised",Packing!C14="Check Motor Options"),1,"")</f>
        <v/>
      </c>
      <c r="KH8" t="str">
        <f>IF('Job Sheet'!U14="Maxim 10nm Remote Motor",1,"")</f>
        <v/>
      </c>
      <c r="KI8" t="str">
        <f>IF('Job Sheet'!U14="Maxim 20nm Remote Motor",1,"")</f>
        <v/>
      </c>
      <c r="KJ8">
        <f>IF(OR('Job Sheet'!U14="Maxim 10nm Switch Motor",'Job Sheet'!U14="Maxim 10nm Switch Motor with Inline Receiver"),1,"")</f>
        <v>1</v>
      </c>
      <c r="KK8" t="str">
        <f>IF('Job Sheet'!U14="Maxim 20nm Switch Motor",1,"")</f>
        <v/>
      </c>
      <c r="KL8" t="str">
        <f>IF(OR(D8="",'Tube Cutting'!C14=""),"",IF('Job Sheet'!W14="Maxim 1 Channel Remote",1,""))</f>
        <v/>
      </c>
      <c r="KM8" t="str">
        <f>IF(OR(D8="",'Tube Cutting'!C14=""),"",IF('Job Sheet'!W14="Maxim 6 Channel Remote",1,""))</f>
        <v/>
      </c>
      <c r="KN8" t="str">
        <f>IF(OR(D8="",'Tube Cutting'!C14=""),"",IF('Job Sheet'!W14="Maxim 16 Channel Remote",1,""))</f>
        <v/>
      </c>
      <c r="KO8" t="str">
        <f>IF(OR(D8="",'Tube Cutting'!C14=""),"",IF('Job Sheet'!W14="Maxim 1 Channel Wall Mounted Remote",1,""))</f>
        <v/>
      </c>
      <c r="KP8" t="str">
        <f>IF(OR(D8="",'Tube Cutting'!C14=""),"",IF('Job Sheet'!W14="CWP 5 Channel Wall Mounted Remote",1,""))</f>
        <v/>
      </c>
      <c r="KQ8" t="str">
        <f>IF(OR(D8="",'Tube Cutting'!C14=""),"",IF('Job Sheet'!W14="CWP 8 Channel Remote with Timer",1,""))</f>
        <v/>
      </c>
      <c r="KR8" t="str">
        <f>IF(OR(D8="",'Tube Cutting'!C14=""),"",IF('Job Sheet'!W14="CWP Key Ring Remote",1,""))</f>
        <v/>
      </c>
      <c r="KS8" t="str">
        <f>IF(OR(D8="",'Tube Cutting'!C14=""),"",IF(OR('Job Sheet'!W14="Key Switch",'Job Sheet'!W14="Key Switch &amp; Key Switch Relay"),1,""))</f>
        <v/>
      </c>
      <c r="KT8" t="str">
        <f>IF(OR(D8="",'Tube Cutting'!C14=""),"",IF(OR('Job Sheet'!W14="Key Switch Relay",'Job Sheet'!W14="Key Switch &amp; Key Switch Relay"),1,""))</f>
        <v/>
      </c>
      <c r="KU8" t="str">
        <f>IF(OR(D8="",'Tube Cutting'!C14=""),"",IF(OR('Job Sheet'!U14="CW5 10nm Short Switch Motor with Inline Receiver",'Job Sheet'!U14="Maxim 10nm Switch Motor with Inline Receiver",'Job Sheet'!U14="CWP Manual Override 30Nm Motor with Inline Receiver",'Job Sheet'!U14="CWP Manual Override 50Nm Motor with Inline Receiver"),1,""))</f>
        <v/>
      </c>
      <c r="KY8" t="str">
        <f>IF(OR('Job Sheet'!U14="CW5 10nm Short Switch Motor",'Job Sheet'!U14="CW5 10nm Short Switch Motor with Inline Receiver"),1,"")</f>
        <v/>
      </c>
      <c r="LB8" t="str">
        <f>IF(OR(D8="",'Tube Cutting'!C14=""),"",IF(OR('Job Sheet'!U14="CWP Manual Override 30Nm Motor with Inline Receiver",'Job Sheet'!U14="CWP Manual Override 30Nm Motor"),1,""))</f>
        <v/>
      </c>
      <c r="LC8" t="str">
        <f>IF(OR(D8="",'Tube Cutting'!C14=""),"",IF(OR('Job Sheet'!U14="CWP Manual Override 50Nm Motor with Inline Receiver",'Job Sheet'!U14="CWP Manual Override 50Nm Motor"),1,""))</f>
        <v/>
      </c>
      <c r="LG8" t="str">
        <f>IF('Job Sheet'!U14="L10 ODS Motor",1,"")</f>
        <v/>
      </c>
      <c r="LH8" t="str">
        <f>IF('Job Sheet'!U14="L10 ODS Motor",1,"")</f>
        <v/>
      </c>
      <c r="LI8" t="str">
        <f>IF('Job Sheet'!U14="T20 ODS Motor",1,"")</f>
        <v/>
      </c>
      <c r="LJ8" t="str">
        <f>IF(OR('Job Sheet'!U14="T20 ODS Motor",'Job Sheet'!U14="T35 ODS Motor"),1,"")</f>
        <v/>
      </c>
      <c r="LK8" t="str">
        <f>IF(OR('Job Sheet'!U14="T20 ODS Motor",'Job Sheet'!U14="T35 ODS Motor"),2,"")</f>
        <v/>
      </c>
      <c r="LL8" t="str">
        <f>IF('Job Sheet'!U14="T35 ODS Motor",1,"")</f>
        <v/>
      </c>
      <c r="LM8" t="str">
        <f>IF('Job Sheet'!W14="Controller &amp; Charger",1,"")</f>
        <v/>
      </c>
      <c r="LN8" t="str">
        <f>IF(OR('Job Sheet'!T14="12v ODS System",'Job Sheet'!T14="Firesafe 12v ODS System"),1,"")</f>
        <v/>
      </c>
      <c r="LO8" t="str">
        <f>IF(OR('Job Sheet'!W14="RF Controller &amp; Charger",'Job Sheet'!W14="RF Controller, Charger &amp; 9 Channel Remote",'Job Sheet'!W14="RF Controller, Charger &amp; Single Channel Remote",'Job Sheet'!W14="Controller &amp; Charger"),1,"")</f>
        <v/>
      </c>
      <c r="LP8" t="str">
        <f>IF(OR('Job Sheet'!W14="RF Controller &amp; Charger",'Job Sheet'!W14="RF Controller, Charger &amp; Single Channel Remote",'Job Sheet'!W14="RF Controller, Charger &amp; 9 Channel Remote"),1,"")</f>
        <v/>
      </c>
      <c r="LQ8" t="str">
        <f>IF(OR('Job Sheet'!Z14="3 Way Switch for Bay Windows",'Job Sheet'!Z14="3 Way Switch for Bay Windows with Wiring Loom"),1,"")</f>
        <v/>
      </c>
      <c r="LR8" t="str">
        <f>IF('Job Sheet'!W14="RF Controller, Charger &amp; Single Channel Remote",1,"")</f>
        <v/>
      </c>
      <c r="LS8" t="str">
        <f>IF('Job Sheet'!W14="RF Controller, Charger &amp; 9 Channel Remote",1,"")</f>
        <v/>
      </c>
      <c r="LT8" t="str">
        <f>IF(OR('Job Sheet'!Z14="Wiring Loom Extension",'Job Sheet'!Z14="3 Way Switch for Bay Windows with Wiring Loom"),1,"")</f>
        <v/>
      </c>
      <c r="LU8" t="str">
        <f>IF('Job Sheet'!U14="Acmeda External 15nm Remote Motor",1,"")</f>
        <v/>
      </c>
      <c r="LV8" t="str">
        <f>IF('Job Sheet'!U14="Acmeda External 30nm Remote Motor",1,"")</f>
        <v/>
      </c>
      <c r="LW8" t="str">
        <f>IF('Job Sheet'!U14="Acmeda External 50nm Remote Motor",1,"")</f>
        <v/>
      </c>
      <c r="LX8" t="str">
        <f>IF(OR('Job Sheet'!U14="Acmeda External 15nm Remote Motor",'Job Sheet'!U14="Acmeda External 15nm Remote Motor"),1,"")</f>
        <v/>
      </c>
      <c r="LY8" t="str">
        <f>IF(OR('Job Sheet'!U14="Acmeda External 15nm Remote Motor",'Job Sheet'!U14="Acmeda External 15nm Remote Motor"),1,"")</f>
        <v/>
      </c>
      <c r="MC8" t="str">
        <f>IF(OR('Job Sheet'!Z14="Pulse 2.0 Automation Hub",'Job Sheet'!Z14="Pulse Pro Automation Hub"),1,"")</f>
        <v/>
      </c>
      <c r="MD8" t="str">
        <f>IF('Job Sheet'!Z14="1 Channel Dry Contact Relay Module",1,"")</f>
        <v/>
      </c>
      <c r="ME8" t="str">
        <f>IF('Job Sheet'!Z14="USB Repeater",1,"")</f>
        <v/>
      </c>
      <c r="MF8" t="str">
        <f>IF('Job Sheet'!W14="Acmeda 1 Channel White Remote",1,"")</f>
        <v/>
      </c>
      <c r="MG8" t="str">
        <f>IF('Job Sheet'!W14="Acmeda 1 Channel Black Remote",1,"")</f>
        <v/>
      </c>
      <c r="MH8" t="str">
        <f>IF('Job Sheet'!W14="Acmeda 5 Channel White Remote",1,"")</f>
        <v/>
      </c>
      <c r="MI8" t="str">
        <f>IF('Job Sheet'!W14="Acmeda 5 Channel Black Remote",1,"")</f>
        <v/>
      </c>
      <c r="MJ8" t="str">
        <f>IF('Job Sheet'!W14="Acmeda 15 Channel White Remote",1,"")</f>
        <v/>
      </c>
      <c r="MK8" t="str">
        <f>IF('Job Sheet'!W14="Acmeda 15 Channel Black Remote",1,"")</f>
        <v/>
      </c>
      <c r="ML8" t="str">
        <f>IF('Job Sheet'!W14="Acmeda Wall Mounted Single Channel White Remote",1,"")</f>
        <v/>
      </c>
      <c r="MM8" t="str">
        <f>IF('Job Sheet'!W14="Acmeda Wall Mounted 5 Channel White Remote",1,"")</f>
        <v/>
      </c>
      <c r="MN8" t="str">
        <f>IF('Job Sheet'!W14="Acmeda Wall Mounted 15 Channel White Remote",1,"")</f>
        <v/>
      </c>
      <c r="MO8" t="str">
        <f>IF('Job Sheet'!W14="Acmeda Push Pro White Remote with Charger",1,"")</f>
        <v/>
      </c>
      <c r="MP8" t="str">
        <f>IF('Job Sheet'!X14="Acmeda Push Pro Black Remote with Charger",1,"")</f>
        <v/>
      </c>
      <c r="MQ8" t="str">
        <f>IF(OR('Job Sheet'!X14="Acmeda Push Pro White Remote with Charger",'Job Sheet'!X14="Acmeda Push Pro Black Remote with Charger"),"1","")</f>
        <v/>
      </c>
      <c r="MR8" t="str">
        <f t="shared" si="2"/>
        <v/>
      </c>
      <c r="NE8" t="str">
        <f>IF('Job Sheet'!U14="Somfy Altus 50 RTS 6/17",1,"")</f>
        <v/>
      </c>
      <c r="NF8" t="str">
        <f>IF('Job Sheet'!U14="Somfy Altus 50 RTS 10/17",1,"")</f>
        <v/>
      </c>
      <c r="NG8" t="str">
        <f>IF('Job Sheet'!U14="Somfy Altus 50 RTS 15/17",1,"")</f>
        <v/>
      </c>
      <c r="NH8" t="str">
        <f>IF('Job Sheet'!U14="Somfy Altus 50 RTS 25/17",1,"")</f>
        <v/>
      </c>
      <c r="NI8" t="str">
        <f>IF('Job Sheet'!U14="Somfy Orea 50 WT 40/17",1,"")</f>
        <v/>
      </c>
      <c r="NJ8" t="str">
        <f t="shared" si="3"/>
        <v/>
      </c>
      <c r="NK8" t="str">
        <f t="shared" si="4"/>
        <v/>
      </c>
      <c r="NL8" t="str">
        <f t="shared" si="5"/>
        <v/>
      </c>
      <c r="NM8" t="str">
        <f>IF('Job Sheet'!Z14="Connexoon App Connector",1,"")</f>
        <v/>
      </c>
      <c r="NN8" t="str">
        <f>IF('Job Sheet'!Z14="Tahoma Switch",1,"")</f>
        <v/>
      </c>
      <c r="NO8" t="str">
        <f>IF('Job Sheet'!W14="Somfy Single Channel Silver Remote",1,"")</f>
        <v/>
      </c>
      <c r="NP8" t="str">
        <f>IF('Job Sheet'!W14="Somfy Single Channel White Remote",1,"")</f>
        <v/>
      </c>
      <c r="NQ8" t="str">
        <f>IF('Job Sheet'!W14="Somfy 2 Channel Silver Remote",1,"")</f>
        <v/>
      </c>
      <c r="NR8" t="str">
        <f>IF('Job Sheet'!W14="Somfy 2 Channel White Remote",1,"")</f>
        <v/>
      </c>
      <c r="NS8" t="str">
        <f>IF('Job Sheet'!W14="Somfy 5 Channel Silver Remote",1,"")</f>
        <v/>
      </c>
      <c r="NT8" t="str">
        <f>IF('Job Sheet'!W14="Somfy 5 Channel White Remote",1,"")</f>
        <v/>
      </c>
      <c r="NU8" t="str">
        <f>IF('Job Sheet'!W14="Somfy 15 Channel Silver Remote",1,"")</f>
        <v/>
      </c>
      <c r="NV8" t="str">
        <f>IF('Job Sheet'!W14="Somfy 15 Channel White Remote",1,"")</f>
        <v/>
      </c>
      <c r="NW8" t="str">
        <f>IF('Job Sheet'!W14="Somfy Single Channel Wall Mounted Smoove Remote White with Black Cover Plate",1,"")</f>
        <v/>
      </c>
      <c r="NX8" t="str">
        <f>IF('Job Sheet'!W14="Somfy Single Channel Wall Mounted Smoove Remote White with Silver Cover Plate",1,"")</f>
        <v/>
      </c>
      <c r="NY8" t="str">
        <f>IF('Job Sheet'!W14="Somfy Single Channel Wall Mounted Smoove Remote White",1,"")</f>
        <v/>
      </c>
      <c r="NZ8" t="str">
        <f>IF('Job Sheet'!W14="Somfy 2 Channel Wall Mounted Smoove Remote White with Black Cover Plate",1,"")</f>
        <v/>
      </c>
      <c r="OA8" t="str">
        <f>IF('Job Sheet'!W14="Somfy 2 Channel Wall Mounted Smoove Remote White with Silver Cover Plate",1,"")</f>
        <v/>
      </c>
      <c r="OB8" t="str">
        <f>IF('Job Sheet'!W14="Somfy 2 Channel Wall Mounted Smoove Remote White",1,"")</f>
        <v/>
      </c>
      <c r="OC8" t="str">
        <f>IF('Job Sheet'!W14="Somfy 5 Channel Wall Mounted Smoove Remote White with Black Cover Plate",1,"")</f>
        <v/>
      </c>
      <c r="OD8" t="str">
        <f>IF('Job Sheet'!W14="Somfy 5 Channel Wall Mounted Smoove Remote White with Silver Cover Plate",1,"")</f>
        <v/>
      </c>
      <c r="OE8" t="str">
        <f>IF('Job Sheet'!W14="Somfy 5 Channel Wall Mounted Smoove Remote White",1,"")</f>
        <v/>
      </c>
    </row>
    <row r="9" spans="4:395" ht="13.2" customHeight="1">
      <c r="D9" t="str">
        <f>IF(Data!AV15="","",IF(OR('Order Form'!R13="Supplied by Davidson's",SUM(NE9:NI9)&lt;&gt;0),CONCATENATE(Data!BC$5,".",Data!BD$5),IF(AND('Order Form'!R13&lt;&gt;"Supplied by Davidson's",'Tube Cutting'!C15=""),"",CONCATENATE(Data!BC$5,".",Data!BD$5))))</f>
        <v>11804.C</v>
      </c>
      <c r="E9">
        <f>IF(D9="","",Data!AW15)</f>
        <v>5</v>
      </c>
      <c r="F9" t="str">
        <f>IF(D9="","",Data!AV15)</f>
        <v>a9c67415-4eab-4217-b4b2-1a4d0289c4db</v>
      </c>
      <c r="G9" t="str">
        <f t="shared" si="0"/>
        <v>Roller Shutters</v>
      </c>
      <c r="H9" t="str">
        <f>IF(D9="","",Data!BF$5)</f>
        <v>Crow, Tahlia</v>
      </c>
      <c r="I9" t="str">
        <f>IF(D9="","",Data!AX$5)</f>
        <v>Roller Shutters</v>
      </c>
      <c r="J9" s="116" t="str">
        <f>IF(OR(D9="",'Tube Cutting'!C15=""),"",IF(AND(Data!BN15="42mm Standard Slat",Data!BO15="Black"),'Tube Cutting'!C15*'Tube Cutting'!D15/5800,IF(AND(Data!BN15="42mm Standard Slat",'Tube Cutting'!H15="Black"),'Tube Cutting'!C15*'Tube Cutting'!G15/5800,"")))</f>
        <v/>
      </c>
      <c r="K9" s="116" t="str">
        <f>IF(OR(D9="",'Tube Cutting'!C15=""),"",IF(AND(Data!BN15="42mm Standard Slat",Data!BO15="Clear Beige"),'Tube Cutting'!C15*'Tube Cutting'!D15/5800,IF(AND(Data!BN15="42mm Standard Slat",'Tube Cutting'!H15="Clear Beige"),'Tube Cutting'!C15*'Tube Cutting'!G15/5800,"")))</f>
        <v/>
      </c>
      <c r="L9" s="116" t="str">
        <f>IF(OR(D9="",'Tube Cutting'!C15=""),"",IF(AND(Data!BN15="42mm Standard Slat",Data!BO15="Dune"),'Tube Cutting'!C15*'Tube Cutting'!D15/5800,IF(AND(Data!BN15="42mm Standard Slat",'Tube Cutting'!H15="Dune"),'Tube Cutting'!C15*'Tube Cutting'!G15/5800,"")))</f>
        <v/>
      </c>
      <c r="M9" s="116" t="str">
        <f>IF(OR(D9="",'Tube Cutting'!C15=""),"",IF(AND(Data!BN15="42mm Standard Slat",Data!BO15="Mag Cream"),'Tube Cutting'!C15*'Tube Cutting'!D15/5800,IF(AND(Data!BN15="42mm Standard Slat",'Tube Cutting'!H15="Mag Cream"),'Tube Cutting'!C15*'Tube Cutting'!G15/5800,"")))</f>
        <v/>
      </c>
      <c r="N9" s="116">
        <f>IF(OR(D9="",'Tube Cutting'!C15=""),"",IF(AND(Data!BN15="42mm Standard Slat",Data!BO15="Monument"),'Tube Cutting'!C15*'Tube Cutting'!D15/5800,IF(AND(Data!BN15="42mm Standard Slat",'Tube Cutting'!H15="Monument"),'Tube Cutting'!C15*'Tube Cutting'!G15/5800,"")))</f>
        <v>8.68726896551724</v>
      </c>
      <c r="O9" s="116" t="str">
        <f>IF(OR(D9="",'Tube Cutting'!C15=""),"",IF(AND(Data!BN15="42mm Standard Slat",Data!BO15="Shale Grey"),'Tube Cutting'!C15*'Tube Cutting'!D15/5800,IF(AND(Data!BN15="42mm Standard Slat",'Tube Cutting'!H15="Shale Grey"),'Tube Cutting'!C15*'Tube Cutting'!G15/5800,"")))</f>
        <v/>
      </c>
      <c r="P9" s="116" t="str">
        <f>IF(OR(D9="",'Tube Cutting'!C15=""),"",IF(AND(Data!BN15="42mm Standard Slat",Data!BO15="White"),'Tube Cutting'!C15*'Tube Cutting'!D15/5800,IF(AND(Data!BN15="42mm Standard Slat",'Tube Cutting'!H15="White"),'Tube Cutting'!C15*'Tube Cutting'!G15/5800,"")))</f>
        <v/>
      </c>
      <c r="Q9" s="116" t="str">
        <f>IF(OR(D9="",'Tube Cutting'!C15=""),"",IF(AND(Data!BN15="42mm Standard Slat",Data!BO15="Woodland Grey"),'Tube Cutting'!C15*'Tube Cutting'!D15/5800,IF(AND(Data!BN15="42mm Standard Slat",'Tube Cutting'!H15="Woodland Grey"),'Tube Cutting'!C15*'Tube Cutting'!G15/5800,"")))</f>
        <v/>
      </c>
      <c r="R9" s="116" t="str">
        <f>IF(OR(D9="",'Tube Cutting'!C15=""),"",IF(AND(Data!BN15="42mm Standard Slat",Data!BO15="Cream"),'Tube Cutting'!C15*'Tube Cutting'!D15/5800,IF(AND(Data!BN15="42mm Standard Slat",'Tube Cutting'!H15="Cream"),'Tube Cutting'!C15*'Tube Cutting'!G15/5800,"")))</f>
        <v/>
      </c>
      <c r="S9" s="116" t="str">
        <f>IF(OR(D9="",'Tube Cutting'!C15=""),"",IF(AND(Data!BN15="42mm Standard Slat",Data!BO15="Brown"),'Tube Cutting'!C15*'Tube Cutting'!D15/5800,IF(AND(Data!BN15="42mm Standard Slat",'Tube Cutting'!H15="Brown"),'Tube Cutting'!C15*'Tube Cutting'!G15/5800,"")))</f>
        <v/>
      </c>
      <c r="T9" s="116" t="str">
        <f>IF(OR(D9="",'Tube Cutting'!C15=""),"",IF(AND(Data!BN15="42mm Standard Slat",Data!BO15="Beige"),'Tube Cutting'!C15*'Tube Cutting'!D15/5800,IF(AND(Data!BN15="42mm Standard Slat",'Tube Cutting'!H15="Beige"),'Tube Cutting'!C15*'Tube Cutting'!G15/5800,"")))</f>
        <v/>
      </c>
      <c r="U9" s="116" t="str">
        <f>IF(OR(D9="",'Tube Cutting'!C15=""),"",IF(AND(Data!BN15="42mm Standard Slat",Data!BO15="Green"),'Tube Cutting'!C15*'Tube Cutting'!D15/5800,IF(AND(Data!BN15="42mm Standard Slat",'Tube Cutting'!H15="Green"),'Tube Cutting'!C15*'Tube Cutting'!G15/5800,"")))</f>
        <v/>
      </c>
      <c r="V9" s="116" t="str">
        <f>IF(OR(D9="",'Tube Cutting'!C15=""),"",IF(AND(Data!BN15="42mm Standard Slat",Data!BO15="Red"),'Tube Cutting'!C15*'Tube Cutting'!D15/5800,IF(AND(Data!BN15="42mm Standard Slat",'Tube Cutting'!H15="Red"),'Tube Cutting'!C15*'Tube Cutting'!G15/5800,"")))</f>
        <v/>
      </c>
      <c r="W9" s="116" t="str">
        <f>IF(OR(D9="",'Tube Cutting'!C15=""),"",IF(AND(Data!BN15="42mm Standard Slat",Data!BO15="Bronze"),'Tube Cutting'!C15*'Tube Cutting'!D15/5800,IF(AND(Data!BN15="42mm Standard Slat",'Tube Cutting'!H15="Bronze"),'Tube Cutting'!C15*'Tube Cutting'!G15/5800,"")))</f>
        <v/>
      </c>
      <c r="X9" s="116" t="str">
        <f>IF(OR(D9="",'Tube Cutting'!C15=""),"",IF(AND(Data!BN15="42mm Standard Slat",Data!BO15="Silver"),'Tube Cutting'!C15*'Tube Cutting'!D15/5800,IF(AND(Data!BN15="42mm Standard Slat",'Tube Cutting'!H15="Silver"),'Tube Cutting'!C15*'Tube Cutting'!G15/5800,"")))</f>
        <v/>
      </c>
      <c r="Y9" s="116" t="str">
        <f>IF(OR(D9="",'Tube Cutting'!C15=""),"",IF(AND(Data!BN15="42mm Standard Slat",Data!BO15="Deep Ocean Blue"),'Tube Cutting'!C15*'Tube Cutting'!D15/5800,IF(AND(Data!BN15="42mm Standard Slat",'Tube Cutting'!H15="Deep Ocean Blue"),'Tube Cutting'!C15*'Tube Cutting'!G15/5800,"")))</f>
        <v/>
      </c>
      <c r="Z9" s="116" t="str">
        <f>IF(OR(D9="",'Tube Cutting'!C15=""),"",IF(AND(Data!BN15="42mm Standard Slat",Data!BO15="Jasper"),'Tube Cutting'!C15*'Tube Cutting'!D15/5800,IF(AND(Data!BN15="42mm Standard Slat",'Tube Cutting'!H15="Jasper"),'Tube Cutting'!C15*'Tube Cutting'!G15/5800,"")))</f>
        <v/>
      </c>
      <c r="AA9" s="116" t="str">
        <f>IF(OR(D9="",'Tube Cutting'!C15=""),"",IF(AND(Data!BN15="42mm Standard Slat",Data!BO15="Surfmist"),'Tube Cutting'!C15*'Tube Cutting'!D15/5800,IF(AND(Data!BN15="42mm Standard Slat",'Tube Cutting'!H15="Surfmist"),'Tube Cutting'!C15*'Tube Cutting'!G15/5800,"")))</f>
        <v/>
      </c>
      <c r="AB9" s="116" t="str">
        <f>IF(OR(D9="",'Tube Cutting'!C15=""),"",IF('Tube Cutting'!H15="Black Unperforated",'Tube Cutting'!G15*'Tube Cutting'!C15/5800,IF(AND(OR(Data!BN15="42mm Standard Slat",Data!BN15="42mm Unperforated Slat"),Data!BO15="Black"),('Tube Cutting'!C15*'Tube Cutting'!E15/1000)/5.8,"")))</f>
        <v/>
      </c>
      <c r="AC9" s="116" t="str">
        <f>IF(OR(D9="",'Tube Cutting'!C15=""),"",IF('Tube Cutting'!H15="Clear Beige Unperforated",'Tube Cutting'!G15*'Tube Cutting'!C15/5800,IF(AND(OR(Data!BN15="42mm Standard Slat",Data!BN15="42mm Unperforated Slat"),Data!BO15="Clear Beige"),('Tube Cutting'!C15*'Tube Cutting'!E15/1000)/5.8,"")))</f>
        <v/>
      </c>
      <c r="AD9" s="116" t="str">
        <f>IF(OR(D9="",'Tube Cutting'!C15=""),"",IF('Tube Cutting'!H15="Dune Unperforated",'Tube Cutting'!G15*'Tube Cutting'!C15/5800,IF(AND(OR(Data!BN15="42mm Standard Slat",Data!BN15="42mm Unperforated Slat"),Data!BO15="Dune"),('Tube Cutting'!C15*'Tube Cutting'!E15/1000)/5.8,"")))</f>
        <v/>
      </c>
      <c r="AE9" s="116" t="str">
        <f>IF(OR(D9="",'Tube Cutting'!C15=""),"",IF('Tube Cutting'!H15="Mag Cream Unperforated",'Tube Cutting'!G15*'Tube Cutting'!C15/5800,IF(AND(OR(Data!BN15="42mm Standard Slat",Data!BN15="42mm Unperforated Slat"),Data!BO15="Mag Cream"),('Tube Cutting'!C15*'Tube Cutting'!E15/1000)/5.8,"")))</f>
        <v/>
      </c>
      <c r="AF9" s="116">
        <f>IF(OR(D9="",'Tube Cutting'!C15=""),"",IF('Tube Cutting'!H15="Monument Unperforated",'Tube Cutting'!G15*'Tube Cutting'!C15/5800,IF(AND(OR(Data!BN15="42mm Standard Slat",Data!BN15="42mm Unperforated Slat"),Data!BO15="Monument"),('Tube Cutting'!C15*'Tube Cutting'!E15/1000)/5.8,"")))</f>
        <v>1.59224137931034</v>
      </c>
      <c r="AG9" s="116" t="str">
        <f>IF(OR(D9="",'Tube Cutting'!C15=""),"",IF('Tube Cutting'!H15="Shale Grey Unperforated",'Tube Cutting'!G15*'Tube Cutting'!C15/5800,IF(AND(OR(Data!BN15="42mm Standard Slat",Data!BN15="42mm Unperforated Slat"),Data!BO15="Shale Grey"),('Tube Cutting'!C15*'Tube Cutting'!E15/1000)/5.8,"")))</f>
        <v/>
      </c>
      <c r="AH9" s="116" t="str">
        <f>IF(OR(D9="",'Tube Cutting'!C15=""),"",IF('Tube Cutting'!H15="White Unperforated",'Tube Cutting'!G15*'Tube Cutting'!C15/5800,IF(AND(OR(Data!BN15="42mm Standard Slat",Data!BN15="42mm Unperforated Slat"),Data!BO15="White"),('Tube Cutting'!C15*'Tube Cutting'!E15/1000)/5.8,"")))</f>
        <v/>
      </c>
      <c r="AI9" s="116" t="str">
        <f>IF(OR(D9="",'Tube Cutting'!C15=""),"",IF('Tube Cutting'!H15="Woodland Grey Unperforated",'Tube Cutting'!G15*'Tube Cutting'!C15/5800,IF(AND(OR(Data!BN15="42mm Standard Slat",Data!BN15="42mm Unperforated Slat"),Data!BO15="Woodland Grey"),('Tube Cutting'!C15*'Tube Cutting'!E15/1000)/5.8,"")))</f>
        <v/>
      </c>
      <c r="AJ9" s="116" t="str">
        <f>IF(OR(D9="",'Tube Cutting'!C15=""),"",IF('Tube Cutting'!H15="Cream Unperforated",'Tube Cutting'!G15*'Tube Cutting'!C15/5800,IF(AND(OR(Data!BN15="42mm Standard Slat",Data!BN15="42mm Unperforated Slat"),Data!BO15="Cream"),('Tube Cutting'!C15*'Tube Cutting'!E15/1000)/5.8,"")))</f>
        <v/>
      </c>
      <c r="AK9" s="116" t="str">
        <f>IF(OR(D9="",'Tube Cutting'!C15=""),"",IF('Tube Cutting'!H15="Brown Unperforated",'Tube Cutting'!G15*'Tube Cutting'!C15/5800,IF(AND(OR(Data!BN15="42mm Standard Slat",Data!BN15="42mm Unperforated Slat"),Data!BO15="Brown"),('Tube Cutting'!C15*'Tube Cutting'!E15/1000)/5.8,"")))</f>
        <v/>
      </c>
      <c r="AL9" s="116" t="str">
        <f>IF(OR(D9="",'Tube Cutting'!C15=""),"",IF('Tube Cutting'!H15="Beige Unperforated",'Tube Cutting'!G15*'Tube Cutting'!C15/5800,IF(AND(OR(Data!BN15="42mm Standard Slat",Data!BN15="42mm Unperforated Slat"),Data!BO15="Beige"),('Tube Cutting'!C15*'Tube Cutting'!E15/1000)/5.8,"")))</f>
        <v/>
      </c>
      <c r="AM9" s="116" t="str">
        <f>IF(OR(D9="",'Tube Cutting'!C15=""),"",IF('Tube Cutting'!H15="Green Unperforated",'Tube Cutting'!G15*'Tube Cutting'!C15/5800,IF(AND(OR(Data!BN15="42mm Standard Slat",Data!BN15="42mm Unperforated Slat"),Data!BO15="Green"),('Tube Cutting'!C15*'Tube Cutting'!E15/1000)/5.8,"")))</f>
        <v/>
      </c>
      <c r="AN9" s="116" t="str">
        <f>IF(OR(D9="",'Tube Cutting'!C15=""),"",IF('Tube Cutting'!H15="Red Unperforated",'Tube Cutting'!G15*'Tube Cutting'!C15/5800,IF(AND(OR(Data!BN15="42mm Standard Slat",Data!BN15="42mm Unperforated Slat"),Data!BO15="Red"),('Tube Cutting'!C15*'Tube Cutting'!E15/1000)/5.8,"")))</f>
        <v/>
      </c>
      <c r="AO9" s="116" t="str">
        <f>IF(OR(D9="",'Tube Cutting'!C15=""),"",IF('Tube Cutting'!H15="Bronze Unperforated",'Tube Cutting'!G15*'Tube Cutting'!C15/5800,IF(AND(OR(Data!BN15="42mm Standard Slat",Data!BN15="42mm Unperforated Slat"),Data!BO15="Bronze"),('Tube Cutting'!C15*'Tube Cutting'!E15/1000)/5.8,"")))</f>
        <v/>
      </c>
      <c r="AP9" s="116" t="str">
        <f>IF(OR(D9="",'Tube Cutting'!C15=""),"",IF('Tube Cutting'!H15="Silver Unperforated",'Tube Cutting'!G15*'Tube Cutting'!C15/5800,IF(AND(OR(Data!BN15="42mm Standard Slat",Data!BN15="42mm Unperforated Slat"),Data!BO15="Silver"),('Tube Cutting'!C15*'Tube Cutting'!E15/1000)/5.8,"")))</f>
        <v/>
      </c>
      <c r="AQ9" s="116" t="str">
        <f>IF(OR(D9="",'Tube Cutting'!C15=""),"",IF('Tube Cutting'!H15="Deep Ocean Unperforated",'Tube Cutting'!G15*'Tube Cutting'!C15/5800,IF(AND(OR(Data!BN15="42mm Standard Slat",Data!BN15="42mm Unperforated Slat"),Data!BO15="Deep Ocean"),('Tube Cutting'!C15*'Tube Cutting'!E15/1000)/5.8,"")))</f>
        <v/>
      </c>
      <c r="AR9" s="116" t="str">
        <f>IF(OR(D9="",'Tube Cutting'!C15=""),"",IF('Tube Cutting'!H15="Jasper Unperforated",'Tube Cutting'!G15*'Tube Cutting'!C15/5800,IF(AND(OR(Data!BN15="42mm Standard Slat",Data!BN15="42mm Unperforated Slat"),Data!BO15="Jasper"),('Tube Cutting'!C15*'Tube Cutting'!E15/1000)/5.8,"")))</f>
        <v/>
      </c>
      <c r="AS9" s="116" t="str">
        <f>IF(OR(D9="",'Tube Cutting'!C15=""),"",IF('Tube Cutting'!H15="Surfmist Unperforated",'Tube Cutting'!G15*'Tube Cutting'!C15/5800,IF(AND(OR(Data!BN15="42mm Standard Slat",Data!BN15="42mm Unperforated Slat"),Data!BO15="Surfmist"),('Tube Cutting'!C15*'Tube Cutting'!E15/1000)/5.8,"")))</f>
        <v/>
      </c>
      <c r="AT9" t="str">
        <f>IF(OR(D9="",'Tube Cutting'!C15=""),"",IF(AND('Tube Cutting'!O15="Black",'Tube Cutting'!N15="180mm"),'Tube Cutting'!L15,""))</f>
        <v/>
      </c>
      <c r="AU9" t="str">
        <f>IF(OR(D9="",'Tube Cutting'!C15=""),"",IF(AND('Tube Cutting'!O15="Black",'Tube Cutting'!N15="180mm"),'Tube Cutting'!M15,""))</f>
        <v/>
      </c>
      <c r="AV9" t="str">
        <f>IF(OR(D9="",'Tube Cutting'!C15=""),"",IF(AND('Tube Cutting'!O15="Clear Beige",'Tube Cutting'!N15="180mm"),'Tube Cutting'!L15,""))</f>
        <v/>
      </c>
      <c r="AW9" t="str">
        <f>IF(OR(D9="",'Tube Cutting'!C15=""),"",IF(AND('Tube Cutting'!O15="Clear Beige",'Tube Cutting'!N15="180mm"),'Tube Cutting'!M15,""))</f>
        <v/>
      </c>
      <c r="AX9" t="str">
        <f>IF(OR(D9="",'Tube Cutting'!C15=""),"",IF(AND('Tube Cutting'!O15="Dune",'Tube Cutting'!N15="180mm"),'Tube Cutting'!L15,""))</f>
        <v/>
      </c>
      <c r="AY9" t="str">
        <f>IF(OR(D9="",'Tube Cutting'!C15=""),"",IF(AND('Tube Cutting'!O15="Dune",'Tube Cutting'!N15="180mm"),'Tube Cutting'!M15,""))</f>
        <v/>
      </c>
      <c r="AZ9" t="str">
        <f>IF(OR(D9="",'Tube Cutting'!C15=""),"",IF(AND('Tube Cutting'!O15="Mag Cream",'Tube Cutting'!N15="180mm"),'Tube Cutting'!L15,""))</f>
        <v/>
      </c>
      <c r="BA9" t="str">
        <f>IF(OR(D9="",'Tube Cutting'!C15=""),"",IF(AND('Tube Cutting'!O15="Mag Cream",'Tube Cutting'!N15="180mm"),'Tube Cutting'!M15,""))</f>
        <v/>
      </c>
      <c r="BB9">
        <f>IF(OR(D9="",'Tube Cutting'!C15=""),"",IF(AND('Tube Cutting'!O15="Monument",'Tube Cutting'!N15="180mm"),'Tube Cutting'!L15,""))</f>
        <v>1909</v>
      </c>
      <c r="BC9">
        <f>IF(OR(D9="",'Tube Cutting'!C15=""),"",IF(AND('Tube Cutting'!O15="Monument",'Tube Cutting'!N15="180mm"),'Tube Cutting'!M15,""))</f>
        <v>1909</v>
      </c>
      <c r="BD9" t="str">
        <f>IF(OR(D9="",'Tube Cutting'!C15=""),"",IF(AND('Tube Cutting'!O15="Shale Grey",'Tube Cutting'!N15="180mm"),'Tube Cutting'!L15,""))</f>
        <v/>
      </c>
      <c r="BE9" t="str">
        <f>IF(OR(D9="",'Tube Cutting'!C15=""),"",IF(AND('Tube Cutting'!O15="Shale Grey",'Tube Cutting'!N15="180mm"),'Tube Cutting'!M15,""))</f>
        <v/>
      </c>
      <c r="BF9" t="str">
        <f>IF(OR(D9="",'Tube Cutting'!C15=""),"",IF(AND('Tube Cutting'!O15="White",'Tube Cutting'!N15="180mm"),'Tube Cutting'!L15,""))</f>
        <v/>
      </c>
      <c r="BG9" t="str">
        <f>IF(OR(D9="",'Tube Cutting'!C15=""),"",IF(AND('Tube Cutting'!O15="White",'Tube Cutting'!N15="180mm"),'Tube Cutting'!M15,""))</f>
        <v/>
      </c>
      <c r="BH9" t="str">
        <f>IF(OR(D9="",'Tube Cutting'!C15=""),"",IF(AND('Tube Cutting'!O15="Woodland Grey",'Tube Cutting'!N15="180mm"),'Tube Cutting'!L15,""))</f>
        <v/>
      </c>
      <c r="BI9" t="str">
        <f>IF(OR(D9="",'Tube Cutting'!C15=""),"",IF(AND('Tube Cutting'!O15="Woodland Grey",'Tube Cutting'!N15="180mm"),'Tube Cutting'!M15,""))</f>
        <v/>
      </c>
      <c r="BJ9" t="str">
        <f>IF(OR(D9="",'Tube Cutting'!C15=""),"",IF(AND('Tube Cutting'!O15="Cream",'Tube Cutting'!N15="180mm"),'Tube Cutting'!L15,""))</f>
        <v/>
      </c>
      <c r="BK9" t="str">
        <f>IF(OR(D9="",'Tube Cutting'!C15=""),"",IF(AND('Tube Cutting'!O15="Cream",'Tube Cutting'!N15="180mm"),'Tube Cutting'!M15,""))</f>
        <v/>
      </c>
      <c r="BL9" t="str">
        <f>IF(OR(D9="",'Tube Cutting'!C15=""),"",IF(AND('Tube Cutting'!O15="Brown",'Tube Cutting'!N15="180mm"),'Tube Cutting'!L15,""))</f>
        <v/>
      </c>
      <c r="BM9" t="str">
        <f>IF(OR(D9="",'Tube Cutting'!C15=""),"",IF(AND('Tube Cutting'!O15="Brown",'Tube Cutting'!N15="180mm"),'Tube Cutting'!M15,""))</f>
        <v/>
      </c>
      <c r="BN9" t="str">
        <f>IF(OR(D9="",'Tube Cutting'!C15=""),"",IF(AND('Tube Cutting'!O15="Surfmist",'Tube Cutting'!N15="180mm"),'Tube Cutting'!L15,""))</f>
        <v/>
      </c>
      <c r="BO9" t="str">
        <f>IF(OR(D9="",'Tube Cutting'!C15=""),"",IF(AND('Tube Cutting'!O15="Surfmist",'Tube Cutting'!N15="180mm"),'Tube Cutting'!M15,""))</f>
        <v/>
      </c>
      <c r="BP9" t="str">
        <f>IF(OR(D9="",'Tube Cutting'!C15=""),"",IF(AND('Tube Cutting'!O15="Jasper",'Tube Cutting'!N15="180mm"),'Tube Cutting'!L15,""))</f>
        <v/>
      </c>
      <c r="BQ9" t="str">
        <f>IF(OR(D9="",'Tube Cutting'!C15=""),"",IF(AND('Tube Cutting'!O15="Jasper",'Tube Cutting'!N15="180mm"),'Tube Cutting'!M15,""))</f>
        <v/>
      </c>
      <c r="BR9" t="str">
        <f>IF(OR(E9="",'Tube Cutting'!D15=""),"",IF(AND('Tube Cutting'!O15="Red",'Tube Cutting'!N15="180mm"),'Tube Cutting'!L15,""))</f>
        <v/>
      </c>
      <c r="BS9" t="str">
        <f>IF(OR(E9="",'Tube Cutting'!D15=""),"",IF(AND('Tube Cutting'!O15="Red",'Tube Cutting'!N15="180mm"),'Tube Cutting'!M15,""))</f>
        <v/>
      </c>
      <c r="BT9" t="str">
        <f>IF(OR(D9="",'Tube Cutting'!C15=""),"",IF(AND('Tube Cutting'!O15="Black",'Tube Cutting'!N15="205mm"),'Tube Cutting'!L15,""))</f>
        <v/>
      </c>
      <c r="BU9" t="str">
        <f>IF(OR(D9="",'Tube Cutting'!C15=""),"",IF(AND('Tube Cutting'!O15="Black",'Tube Cutting'!N15="205mm"),'Tube Cutting'!M15,""))</f>
        <v/>
      </c>
      <c r="BV9" t="str">
        <f>IF(OR(D9="",'Tube Cutting'!C15=""),"",IF(AND('Tube Cutting'!O15="Clear Beige",'Tube Cutting'!N15="205mm"),'Tube Cutting'!L15,""))</f>
        <v/>
      </c>
      <c r="BW9" t="str">
        <f>IF(OR(D9="",'Tube Cutting'!C15=""),"",IF(AND('Tube Cutting'!O15="Clear Beige",'Tube Cutting'!N15="205mm"),'Tube Cutting'!M15,""))</f>
        <v/>
      </c>
      <c r="BX9" t="str">
        <f>IF(OR(D9="",'Tube Cutting'!C15=""),"",IF(AND('Tube Cutting'!O15="Dune",'Tube Cutting'!N15="205mm"),'Tube Cutting'!L15,""))</f>
        <v/>
      </c>
      <c r="BY9" t="str">
        <f>IF(OR(D9="",'Tube Cutting'!C15=""),"",IF(AND('Tube Cutting'!O15="Dune",'Tube Cutting'!N15="205mm"),'Tube Cutting'!M15,""))</f>
        <v/>
      </c>
      <c r="BZ9" t="str">
        <f>IF(OR(D9="",'Tube Cutting'!C15=""),"",IF(AND('Tube Cutting'!O15="Mag Cream",'Tube Cutting'!N15="205mm"),'Tube Cutting'!L15,""))</f>
        <v/>
      </c>
      <c r="CA9" t="str">
        <f>IF(OR(D9="",'Tube Cutting'!C15=""),"",IF(AND('Tube Cutting'!O15="Mag Cream",'Tube Cutting'!N15="205mm"),'Tube Cutting'!M15,""))</f>
        <v/>
      </c>
      <c r="CB9" t="str">
        <f>IF(OR(D9="",'Tube Cutting'!C15=""),"",IF(AND('Tube Cutting'!O15="Monument",'Tube Cutting'!N15="205mm"),'Tube Cutting'!L15,""))</f>
        <v/>
      </c>
      <c r="CC9" t="str">
        <f>IF(OR(D9="",'Tube Cutting'!C15=""),"",IF(AND('Tube Cutting'!O15="Monument",'Tube Cutting'!N15="205mm"),'Tube Cutting'!M15,""))</f>
        <v/>
      </c>
      <c r="CD9" t="str">
        <f>IF(OR(D9="",'Tube Cutting'!C15=""),"",IF(AND('Tube Cutting'!O15="Shale Grey",'Tube Cutting'!N15="205mm"),'Tube Cutting'!L15,""))</f>
        <v/>
      </c>
      <c r="CE9" t="str">
        <f>IF(OR(D9="",'Tube Cutting'!C15=""),"",IF(AND('Tube Cutting'!O15="Shale Grey",'Tube Cutting'!N15="205mm"),'Tube Cutting'!M15,""))</f>
        <v/>
      </c>
      <c r="CF9" t="str">
        <f>IF(OR(D9="",'Tube Cutting'!C15=""),"",IF(AND('Tube Cutting'!O15="White",'Tube Cutting'!N15="205mm"),'Tube Cutting'!L15,""))</f>
        <v/>
      </c>
      <c r="CG9" t="str">
        <f>IF(OR(D9="",'Tube Cutting'!C15=""),"",IF(AND('Tube Cutting'!O15="White",'Tube Cutting'!N15="205mm"),'Tube Cutting'!M15,""))</f>
        <v/>
      </c>
      <c r="CH9" t="str">
        <f>IF(OR(D9="",'Tube Cutting'!C15=""),"",IF(AND('Tube Cutting'!O15="Woodland Grey",'Tube Cutting'!N15="205mm"),'Tube Cutting'!L15,""))</f>
        <v/>
      </c>
      <c r="CI9" t="str">
        <f>IF(OR(D9="",'Tube Cutting'!C15=""),"",IF(AND('Tube Cutting'!O15="Woodland Grey",'Tube Cutting'!N15="205mm"),'Tube Cutting'!M15,""))</f>
        <v/>
      </c>
      <c r="CJ9" t="str">
        <f>IF(OR(D9="",'Tube Cutting'!C15=""),"",IF(AND('Tube Cutting'!O15="Cream",'Tube Cutting'!N15="205mm"),'Tube Cutting'!L15,""))</f>
        <v/>
      </c>
      <c r="CK9" t="str">
        <f>IF(OR(D9="",'Tube Cutting'!C15=""),"",IF(AND('Tube Cutting'!O15="Cream",'Tube Cutting'!N15="205mm"),'Tube Cutting'!M15,""))</f>
        <v/>
      </c>
      <c r="CL9" t="str">
        <f>IF(OR(D9="",'Tube Cutting'!C15=""),"",IF(AND('Tube Cutting'!O15="Brown",'Tube Cutting'!N15="205mm"),'Tube Cutting'!L15,""))</f>
        <v/>
      </c>
      <c r="CM9" t="str">
        <f>IF(OR(D9="",'Tube Cutting'!C15=""),"",IF(AND('Tube Cutting'!O15="Brown",'Tube Cutting'!N15="205mm"),'Tube Cutting'!M15,""))</f>
        <v/>
      </c>
      <c r="CN9" t="str">
        <f>IF(OR(D9="",'Tube Cutting'!C15=""),"",IF(AND('Tube Cutting'!O15="Surfmist",'Tube Cutting'!N15="205mm"),'Tube Cutting'!L15,""))</f>
        <v/>
      </c>
      <c r="CO9" t="str">
        <f>IF(OR(D9="",'Tube Cutting'!C15=""),"",IF(AND('Tube Cutting'!O15="Surfmist",'Tube Cutting'!N15="205mm"),'Tube Cutting'!M15,""))</f>
        <v/>
      </c>
      <c r="CP9" t="str">
        <f>IF(OR(D9="",'Tube Cutting'!C15=""),"",IF(AND('Tube Cutting'!O15="Jasper",'Tube Cutting'!N15="205mm"),'Tube Cutting'!L15,""))</f>
        <v/>
      </c>
      <c r="CQ9" t="str">
        <f>IF(OR(D9="",'Tube Cutting'!C15=""),"",IF(AND('Tube Cutting'!O15="Jasper",'Tube Cutting'!N15="205mm"),'Tube Cutting'!M15,""))</f>
        <v/>
      </c>
      <c r="CR9" t="str">
        <f>IF(OR(D9="",'Tube Cutting'!C15=""),"",IF(AND('Tube Cutting'!O15="Cream",'Tube Cutting'!N15="230mm"),'Tube Cutting'!L15,""))</f>
        <v/>
      </c>
      <c r="CS9" t="str">
        <f>IF(OR(D9="",'Tube Cutting'!C15=""),"",IF(AND('Tube Cutting'!O15="Cream",'Tube Cutting'!N15="230mm"),'Tube Cutting'!M15,""))</f>
        <v/>
      </c>
      <c r="CT9" t="str">
        <f>IF(OR(D9="",'Tube Cutting'!C15=""),"",IF(AND('Tube Cutting'!O15="Mag Cream",'Tube Cutting'!N15="230mm"),'Tube Cutting'!L15,""))</f>
        <v/>
      </c>
      <c r="CU9" t="str">
        <f>IF(OR(D9="",'Tube Cutting'!C15=""),"",IF(AND('Tube Cutting'!O15="Mag Cream",'Tube Cutting'!N15="230mm"),'Tube Cutting'!M15,""))</f>
        <v/>
      </c>
      <c r="CV9" t="str">
        <f>IF(OR(D9="",'Tube Cutting'!C15=""),"",IF(AND('Tube Cutting'!O15="Clear Beige",'Tube Cutting'!N15="230mm"),'Tube Cutting'!L15,""))</f>
        <v/>
      </c>
      <c r="CW9" t="str">
        <f>IF(OR(D9="",'Tube Cutting'!C15=""),"",IF(AND('Tube Cutting'!O15="Clear Beige",'Tube Cutting'!N15="230mm"),'Tube Cutting'!M15,""))</f>
        <v/>
      </c>
      <c r="CX9" t="str">
        <f>IF(OR(D9="",'Tube Cutting'!C15=""),"",IF(AND('Tube Cutting'!O15="White",'Tube Cutting'!N15="230mm"),'Tube Cutting'!L15,""))</f>
        <v/>
      </c>
      <c r="CY9" t="str">
        <f>IF(OR(D9="",'Tube Cutting'!C15=""),"",IF(AND('Tube Cutting'!O15="White",'Tube Cutting'!N15="230mm"),'Tube Cutting'!M15,""))</f>
        <v/>
      </c>
      <c r="CZ9" t="str">
        <f>IF(OR(D9="",'Tube Cutting'!C15=""),"",IF(AND('Tube Cutting'!O15="Shale Grey",'Tube Cutting'!N15="230mm"),'Tube Cutting'!L15,""))</f>
        <v/>
      </c>
      <c r="DA9" t="str">
        <f>IF(OR(D9="",'Tube Cutting'!C15=""),"",IF(AND('Tube Cutting'!O15="Shale Grey",'Tube Cutting'!N15="230mm"),'Tube Cutting'!M15,""))</f>
        <v/>
      </c>
      <c r="DB9" t="str">
        <f>IF(OR(D9="",'Tube Cutting'!C15=""),"",IF(AND('Tube Cutting'!O15="Black",'Tube Cutting'!N15="230mm"),'Tube Cutting'!L15,""))</f>
        <v/>
      </c>
      <c r="DC9" t="str">
        <f>IF(OR(D9="",'Tube Cutting'!C15=""),"",IF(AND('Tube Cutting'!O15="Black",'Tube Cutting'!N15="230mm"),'Tube Cutting'!M15,""))</f>
        <v/>
      </c>
      <c r="DD9" t="str">
        <f>IF(OR(D9="",'Tube Cutting'!C15=""),"",IF(AND('Tube Cutting'!O15="Monument",'Tube Cutting'!N15="230mm"),'Tube Cutting'!L15,""))</f>
        <v/>
      </c>
      <c r="DE9" t="str">
        <f>IF(OR(D9="",'Tube Cutting'!C15=""),"",IF(AND('Tube Cutting'!O15="Monument",'Tube Cutting'!N15="230mm"),'Tube Cutting'!M15,""))</f>
        <v/>
      </c>
      <c r="DF9" t="str">
        <f>IF(OR(D9="",'Tube Cutting'!C15=""),"",IF(AND('Tube Cutting'!O15="Woodland Grey",'Tube Cutting'!N15="230mm"),'Tube Cutting'!L15,""))</f>
        <v/>
      </c>
      <c r="DG9" t="str">
        <f>IF(OR(D9="",'Tube Cutting'!C15=""),"",IF(AND('Tube Cutting'!O15="Woodland Grey",'Tube Cutting'!N15="230mm"),'Tube Cutting'!M15,""))</f>
        <v/>
      </c>
      <c r="DH9" t="str">
        <f>IF(OR(D9="",'Tube Cutting'!C15=""),"",IF(AND('Tube Cutting'!O15="Surfmist",'Tube Cutting'!N15="230mm"),'Tube Cutting'!L15,""))</f>
        <v/>
      </c>
      <c r="DI9" t="str">
        <f>IF(OR(D9="",'Tube Cutting'!C15=""),"",IF(AND('Tube Cutting'!O15="Surfmist",'Tube Cutting'!N15="230mm"),'Tube Cutting'!M15,""))</f>
        <v/>
      </c>
      <c r="DJ9" t="str">
        <f>IF(OR(D9="",'Tube Cutting'!C15=""),"",IF(AND('Tube Cutting'!O15="Jasper",'Tube Cutting'!N15="230mm"),'Tube Cutting'!L15,""))</f>
        <v/>
      </c>
      <c r="DK9" t="str">
        <f>IF(OR(D9="",'Tube Cutting'!C15=""),"",IF(AND('Tube Cutting'!O15="Jasper",'Tube Cutting'!N15="230mm"),'Tube Cutting'!M15,""))</f>
        <v/>
      </c>
      <c r="DL9" t="str">
        <f>IF(OR(D9="",'Tube Cutting'!C15=""),"",IF(AND('Tube Cutting'!O15="Dune",'Tube Cutting'!N15="230mm"),'Tube Cutting'!L15,""))</f>
        <v/>
      </c>
      <c r="DM9" t="str">
        <f>IF(OR(D9="",'Tube Cutting'!C15=""),"",IF(AND('Tube Cutting'!O15="Dune",'Tube Cutting'!N15="230mm"),'Tube Cutting'!M15,""))</f>
        <v/>
      </c>
      <c r="DN9" t="str">
        <f>IF(OR(D9="",'Tube Cutting'!C15=""),"",IF(AND('Tube Cutting'!R15="Cream",'Job Sheet'!AG15="Bay Window Flashing x 1"),'Job Sheet'!BB15,IF(AND('Tube Cutting'!R15="Cream",'Job Sheet'!AG15="Bay Window Flashing x 2"),'Job Sheet'!BB15*2,"")))</f>
        <v/>
      </c>
      <c r="DO9" t="str">
        <f>IF(OR(D9="",'Tube Cutting'!C15=""),"",IF(AND('Tube Cutting'!R15="Mag",'Job Sheet'!AG15="Bay Window Flashing x 1"),'Job Sheet'!BB15,IF(AND('Tube Cutting'!R15="Mag Cream",'Job Sheet'!AG15="Bay Window Flashing x 2"),'Job Sheet'!BB15*2,"")))</f>
        <v/>
      </c>
      <c r="DP9" t="str">
        <f>IF(OR(D9="",'Tube Cutting'!C15=""),"",IF(AND('Tube Cutting'!R15="Clear Beige",'Job Sheet'!AG15="Bay Window Flashing x 1"),'Job Sheet'!BB15,IF(AND('Tube Cutting'!R15="Clear Beige",'Job Sheet'!AG15="Bay Window Flashing x 2"),'Job Sheet'!BB15*2,"")))</f>
        <v/>
      </c>
      <c r="DQ9" t="str">
        <f>IF(OR(D9="",'Tube Cutting'!C15=""),"",IF(AND('Tube Cutting'!R15="White",'Job Sheet'!AG15="Bay Window Flashing x 1"),'Job Sheet'!BB15,IF(AND('Tube Cutting'!R15="White",'Job Sheet'!AG15="Bay Window Flashing x 2"),'Job Sheet'!BB15*2,"")))</f>
        <v/>
      </c>
      <c r="DR9" t="str">
        <f>IF(OR(D9="",'Tube Cutting'!C15=""),"",IF(AND('Tube Cutting'!R15="Shale Grey",'Job Sheet'!AG15="Bay Window Flashing x 1"),'Job Sheet'!BB15,IF(AND('Tube Cutting'!R15="Shale Grey",'Job Sheet'!AG15="Bay Window Flashing x 2"),'Job Sheet'!BB15*2,"")))</f>
        <v/>
      </c>
      <c r="DS9" t="str">
        <f>IF(OR(D9="",'Tube Cutting'!C15=""),"",IF(AND('Tube Cutting'!R15="Brown",'Job Sheet'!AG15="Bay Window Flashing x 1"),'Job Sheet'!BB15,IF(AND('Tube Cutting'!R15="Brown",'Job Sheet'!AG15="Bay Window Flashing x 2"),'Job Sheet'!BB15*2,"")))</f>
        <v/>
      </c>
      <c r="DT9" t="str">
        <f>IF(OR(D9="",'Tube Cutting'!C15=""),"",IF(AND('Tube Cutting'!R15="Black",'Job Sheet'!AG15="Bay Window Flashing x 1"),'Job Sheet'!BB15,IF(AND('Tube Cutting'!R15="Black",'Job Sheet'!AG15="Bay Window Flashing x 2"),'Job Sheet'!BB15*2,"")))</f>
        <v/>
      </c>
      <c r="DU9" t="str">
        <f>IF(OR(D9="",'Tube Cutting'!C15=""),"",IF(AND('Tube Cutting'!R15="Monument",'Job Sheet'!AG15="Bay Window Flashing x 1"),'Job Sheet'!BB15,IF(AND('Tube Cutting'!R15="Monument",'Job Sheet'!AG15="Bay Window Flashing x 2"),'Job Sheet'!BB15*2,"")))</f>
        <v/>
      </c>
      <c r="DV9" t="str">
        <f>IF(OR(D9="",'Tube Cutting'!C15=""),"",IF(AND('Tube Cutting'!R15="Woodland Grey",'Job Sheet'!AG15="Bay Window Flashing x 1"),'Job Sheet'!BB15,IF(AND('Tube Cutting'!R15="Woodland Grey",'Job Sheet'!AG15="Bay Window Flashing x 2"),'Job Sheet'!BB15*2,"")))</f>
        <v/>
      </c>
      <c r="DW9" t="str">
        <f>IF(OR(D9="",'Tube Cutting'!C15=""),"",IF(AND('Tube Cutting'!R15="Surfmist",'Job Sheet'!AG15="Bay Window Flashing x 1"),'Job Sheet'!BB15,IF(AND('Tube Cutting'!R15="Surfmist",'Job Sheet'!AG15="Bay Window Flashing x 2"),'Job Sheet'!BB15*2,"")))</f>
        <v/>
      </c>
      <c r="DX9" t="str">
        <f>IF(OR(D9="",'Tube Cutting'!C15=""),"",IF(AND('Tube Cutting'!R15="Jasper",'Job Sheet'!AG15="Bay Window Flashing x 1"),'Job Sheet'!BB15,IF(AND('Tube Cutting'!R15="Jasper",'Job Sheet'!AG15="Bay Window Flashing x 2"),'Job Sheet'!BB15*2,"")))</f>
        <v/>
      </c>
      <c r="DY9" t="str">
        <f>IF(OR(D9="",'Tube Cutting'!C15=""),"",IF(AND('Tube Cutting'!R15="Dune",'Job Sheet'!AG15="Bay Window Flashing x 1"),'Job Sheet'!BB15,IF(AND('Tube Cutting'!R15="Dune",'Job Sheet'!AG15="Bay Window Flashing x 2"),'Job Sheet'!BB15*2,"")))</f>
        <v/>
      </c>
      <c r="DZ9" t="str">
        <f>IF(OR(D9="",'Tube Cutting'!C15=""),"",IF('Tube Cutting'!R15="Cream",IF(SUM('Job Sheet'!BR15:BU15)=0,"",SUM('Job Sheet'!BR15:BU15)),""))</f>
        <v/>
      </c>
      <c r="EA9" t="str">
        <f>IF(OR(D9="",'Tube Cutting'!C15=""),"",IF('Tube Cutting'!R15="Mag Cream",IF(SUM('Job Sheet'!BR15:BU15)=0,"",SUM('Job Sheet'!BR15:BU15)),""))</f>
        <v/>
      </c>
      <c r="EB9" t="str">
        <f>IF(OR(D9="",'Tube Cutting'!C15=""),"",IF('Tube Cutting'!R15="Clear Beige",IF(SUM('Job Sheet'!BR15:BU15)=0,"",SUM('Job Sheet'!BR15:BU15)),""))</f>
        <v/>
      </c>
      <c r="EC9" t="str">
        <f>IF(OR(D9="",'Tube Cutting'!C15=""),"",IF('Tube Cutting'!R15="White",IF(SUM('Job Sheet'!BR15:BU15)=0,"",SUM('Job Sheet'!BR15:BU15)),""))</f>
        <v/>
      </c>
      <c r="ED9" t="str">
        <f>IF(OR(D9="",'Tube Cutting'!C15=""),"",IF('Tube Cutting'!R15="Shale Grey",IF(SUM('Job Sheet'!BR15:BU15)=0,"",SUM('Job Sheet'!BR15:BU15)),""))</f>
        <v/>
      </c>
      <c r="EE9" t="str">
        <f>IF(OR(D9="",'Tube Cutting'!C15=""),"",IF('Tube Cutting'!R15="Brown",IF(SUM('Job Sheet'!BR15:BU15)=0,"",SUM('Job Sheet'!BR15:BU15)),""))</f>
        <v/>
      </c>
      <c r="EF9" t="str">
        <f>IF(OR(D9="",'Tube Cutting'!C15=""),"",IF('Tube Cutting'!R15="Black",IF(SUM('Job Sheet'!BR15:BU15)=0,"",SUM('Job Sheet'!BR15:BU15)),""))</f>
        <v/>
      </c>
      <c r="EG9" t="str">
        <f>IF(OR(D9="",'Tube Cutting'!C15=""),"",IF('Tube Cutting'!R15="Monument",IF(SUM('Job Sheet'!BR15:BU15)=0,"",SUM('Job Sheet'!BR15:BU15)),""))</f>
        <v/>
      </c>
      <c r="EH9" t="str">
        <f>IF(OR(D9="",'Tube Cutting'!C15=""),"",IF('Tube Cutting'!R15="Woodland Grey",IF(SUM('Job Sheet'!BR15:BU15)=0,"",SUM('Job Sheet'!BR15:BU15)),""))</f>
        <v/>
      </c>
      <c r="EI9" t="str">
        <f>IF(OR(D9="",'Tube Cutting'!C15=""),"",IF('Tube Cutting'!R15="Surfmist",IF(SUM('Job Sheet'!BR15:BU15)=0,"",SUM('Job Sheet'!BR15:BU15)),""))</f>
        <v/>
      </c>
      <c r="EJ9" t="str">
        <f>IF(OR(D9="",'Tube Cutting'!C15=""),"",IF('Tube Cutting'!R15="Jasper",IF(SUM('Job Sheet'!BR15:BU15)=0,"",SUM('Job Sheet'!BR15:BU15)),""))</f>
        <v/>
      </c>
      <c r="EK9" t="str">
        <f>IF(OR(D9="",'Tube Cutting'!C15=""),"",IF('Tube Cutting'!R15="Dune",IF(SUM('Job Sheet'!BR15:BU15)=0,"",SUM('Job Sheet'!BR15:BU15)),""))</f>
        <v/>
      </c>
      <c r="EL9" t="str">
        <f>IF(OR(D9="",'Tube Cutting'!C15=""),"",IF('Tube Cutting'!R15="Cream",IF(SUM('Job Sheet'!BV15:BY15)=0,"",SUM('Job Sheet'!BV15:BY15)),""))</f>
        <v/>
      </c>
      <c r="EM9" t="str">
        <f>IF(OR(D9="",'Tube Cutting'!C15=""),"",IF('Tube Cutting'!R15="Mag Cream",IF(SUM('Job Sheet'!BV15:BY15)=0,"",SUM('Job Sheet'!BV15:BY15)),""))</f>
        <v/>
      </c>
      <c r="EN9" t="str">
        <f>IF(OR(D9="",'Tube Cutting'!C15=""),"",IF('Tube Cutting'!R15="Clear Beige",IF(SUM('Job Sheet'!BV15:BY15)=0,"",SUM('Job Sheet'!BV15:BY15)),""))</f>
        <v/>
      </c>
      <c r="EO9" t="str">
        <f>IF(OR(D9="",'Tube Cutting'!C15=""),"",IF('Tube Cutting'!R15="White",IF(SUM('Job Sheet'!BV15:BY15)=0,"",SUM('Job Sheet'!BV15:BY15)),""))</f>
        <v/>
      </c>
      <c r="EP9" t="str">
        <f>IF(OR(D9="",'Tube Cutting'!C15=""),"",IF('Tube Cutting'!R15="Shale Grey",IF(SUM('Job Sheet'!BV15:BY15)=0,"",SUM('Job Sheet'!BV15:BY15)),""))</f>
        <v/>
      </c>
      <c r="EQ9" t="str">
        <f>IF(OR(D9="",'Tube Cutting'!C15=""),"",IF('Tube Cutting'!R15="Brown",IF(SUM('Job Sheet'!BV15:BY15)=0,"",SUM('Job Sheet'!BV15:BY15)),""))</f>
        <v/>
      </c>
      <c r="ER9" t="str">
        <f>IF(OR(D9="",'Tube Cutting'!C15=""),"",IF('Tube Cutting'!R15="Black",IF(SUM('Job Sheet'!BV15:BY15)=0,"",SUM('Job Sheet'!BV15:BY15)),""))</f>
        <v/>
      </c>
      <c r="ES9" t="str">
        <f>IF(OR(D9="",'Tube Cutting'!C15=""),"",IF('Tube Cutting'!R15="Monument",IF(SUM('Job Sheet'!BV15:BY15)=0,"",SUM('Job Sheet'!BV15:BY15)),""))</f>
        <v/>
      </c>
      <c r="ET9" t="str">
        <f>IF(OR(D9="",'Tube Cutting'!C15=""),"",IF('Tube Cutting'!R15="Woodland Grey",IF(SUM('Job Sheet'!BV15:BY15)=0,"",SUM('Job Sheet'!BV15:BY15)),""))</f>
        <v/>
      </c>
      <c r="EU9" t="str">
        <f>IF(OR(D9="",'Tube Cutting'!C15=""),"",IF('Tube Cutting'!R15="Surfmist",IF(SUM('Job Sheet'!BV15:BY15)=0,"",SUM('Job Sheet'!BV15:BY15)),""))</f>
        <v/>
      </c>
      <c r="EV9" t="str">
        <f>IF(OR(D9="",'Tube Cutting'!C15=""),"",IF('Tube Cutting'!R15="Jasper",IF(SUM('Job Sheet'!BV15:BY15)=0,"",SUM('Job Sheet'!BV15:BY15)),""))</f>
        <v/>
      </c>
      <c r="EW9" t="str">
        <f>IF(OR(D9="",'Tube Cutting'!C15=""),"",IF('Tube Cutting'!R15="Dune",IF(SUM('Job Sheet'!BV15:BY15)=0,"",SUM('Job Sheet'!BV15:BY15)),""))</f>
        <v/>
      </c>
      <c r="EX9" t="str">
        <f>IF(OR(D9="",'Tube Cutting'!C15=""),"",IF('Tube Cutting'!R15="Cream",IF(SUM('Job Sheet'!BZ15:CC15)=0,"",SUM('Job Sheet'!BZ15:CC15)),""))</f>
        <v/>
      </c>
      <c r="EY9" t="str">
        <f>IF(OR(D9="",'Tube Cutting'!C15=""),"",IF('Tube Cutting'!R15="Mag Cream",IF(SUM('Job Sheet'!BZ15:CC15)=0,"",SUM('Job Sheet'!BZ15:CC15)),""))</f>
        <v/>
      </c>
      <c r="EZ9" t="str">
        <f>IF(OR(D9="",'Tube Cutting'!C15=""),"",IF('Tube Cutting'!R15="Clear Beige",IF(SUM('Job Sheet'!BZ15:CC15)=0,"",SUM('Job Sheet'!BZ15:CC15)),""))</f>
        <v/>
      </c>
      <c r="FA9" t="str">
        <f>IF(OR(D9="",'Tube Cutting'!C15=""),"",IF('Tube Cutting'!R15="White",IF(SUM('Job Sheet'!BZ15:CC15)=0,"",SUM('Job Sheet'!BZ15:CC15)),""))</f>
        <v/>
      </c>
      <c r="FB9" t="str">
        <f>IF(OR(D9="",'Tube Cutting'!C15=""),"",IF('Tube Cutting'!R15="Shale Grey",IF(SUM('Job Sheet'!BZ15:CC15)=0,"",SUM('Job Sheet'!BZ15:CC15)),""))</f>
        <v/>
      </c>
      <c r="FC9" t="str">
        <f>IF(OR(D9="",'Tube Cutting'!C15=""),"",IF('Tube Cutting'!R15="Brown",IF(SUM('Job Sheet'!BZ15:CC15)=0,"",SUM('Job Sheet'!BZ15:CC15)),""))</f>
        <v/>
      </c>
      <c r="FD9" t="str">
        <f>IF(OR(D9="",'Tube Cutting'!C15=""),"",IF('Tube Cutting'!R15="Black",IF(SUM('Job Sheet'!BZ15:CC15)=0,"",SUM('Job Sheet'!BZ15:CC15)),""))</f>
        <v/>
      </c>
      <c r="FE9" t="str">
        <f>IF(OR(D9="",'Tube Cutting'!C15=""),"",IF('Tube Cutting'!R15="Monument",IF(SUM('Job Sheet'!BZ15:CC15)=0,"",SUM('Job Sheet'!BZ15:CC15)),""))</f>
        <v/>
      </c>
      <c r="FF9" t="str">
        <f>IF(OR(D9="",'Tube Cutting'!C15=""),"",IF('Tube Cutting'!R15="Woodland Grey",IF(SUM('Job Sheet'!BZ15:CC15)=0,"",SUM('Job Sheet'!BZ15:CC15)),""))</f>
        <v/>
      </c>
      <c r="FG9" t="str">
        <f>IF(OR(D9="",'Tube Cutting'!C15=""),"",IF('Tube Cutting'!R15="Surfmist",IF(SUM('Job Sheet'!BZ15:CC15)=0,"",SUM('Job Sheet'!BZ15:CC15)),""))</f>
        <v/>
      </c>
      <c r="FH9" t="str">
        <f>IF(OR(D9="",'Tube Cutting'!C15=""),"",IF('Tube Cutting'!R15="Jasper",IF(SUM('Job Sheet'!BZ15:CC15)=0,"",SUM('Job Sheet'!BZ15:CC15)),""))</f>
        <v/>
      </c>
      <c r="FI9" t="str">
        <f>IF(OR(D9="",'Tube Cutting'!C15=""),"",IF('Tube Cutting'!R15="Dune",IF(SUM('Job Sheet'!BZ15:CC15)=0,"",SUM('Job Sheet'!BZ15:CC15)),""))</f>
        <v/>
      </c>
      <c r="FJ9" t="str">
        <f>IF(OR(D9="",'Tube Cutting'!C15=""),"",IF('Tube Cutting'!R15="Cream",IF(SUM('Job Sheet'!BN15:BQ15)=0,"",SUM('Job Sheet'!BN15:BQ15)),""))</f>
        <v/>
      </c>
      <c r="FK9" t="str">
        <f>IF(OR(D9="",'Tube Cutting'!C15=""),"",IF('Tube Cutting'!R15="Mag Cream",IF(SUM('Job Sheet'!BN15:BQ15)=0,"",SUM('Job Sheet'!BN15:BQ15)),""))</f>
        <v/>
      </c>
      <c r="FL9" t="str">
        <f>IF(OR(D9="",'Tube Cutting'!C15=""),"",IF('Tube Cutting'!R15="Clear Beige",IF(SUM('Job Sheet'!BN15:BQ15)=0,"",SUM('Job Sheet'!BN15:BQ15)),""))</f>
        <v/>
      </c>
      <c r="FM9" t="str">
        <f>IF(OR(D9="",'Tube Cutting'!C15=""),"",IF('Tube Cutting'!R15="White",IF(SUM('Job Sheet'!BN15:BQ15)=0,"",SUM('Job Sheet'!BN15:BQ15)),""))</f>
        <v/>
      </c>
      <c r="FN9" t="str">
        <f>IF(OR(D9="",'Tube Cutting'!C15=""),"",IF('Tube Cutting'!R15="Shale Grey",IF(SUM('Job Sheet'!BN15:BQ15)=0,"",SUM('Job Sheet'!BN15:BQ15)),""))</f>
        <v/>
      </c>
      <c r="FO9" t="str">
        <f>IF(OR(D9="",'Tube Cutting'!C15=""),"",IF('Tube Cutting'!R15="Brown",IF(SUM('Job Sheet'!BN15:BQ15)=0,"",SUM('Job Sheet'!BN15:BQ15)),""))</f>
        <v/>
      </c>
      <c r="FP9" t="str">
        <f>IF(OR(D9="",'Tube Cutting'!C15=""),"",IF('Tube Cutting'!R15="Dune",IF(SUM('Job Sheet'!BN15:BQ15)=0,"",SUM('Job Sheet'!BN15:BQ15)),""))</f>
        <v/>
      </c>
      <c r="FQ9" t="str">
        <f>IF(OR(D9="",'Tube Cutting'!C15=""),"",IF('Tube Cutting'!R15="Dune",IF(SUM('Job Sheet'!BN15:BQ15)=0,"",SUM('Job Sheet'!BN15:BQ15)),""))</f>
        <v/>
      </c>
      <c r="FR9" t="str">
        <f>IF(OR(D9="",'Tube Cutting'!C15=""),"",IF('Tube Cutting'!R15="Black",IF(SUM('Job Sheet'!BN15:BQ15)=0,"",SUM('Job Sheet'!BN15:BQ15)),""))</f>
        <v/>
      </c>
      <c r="FS9" t="str">
        <f>IF(OR(D9="",'Tube Cutting'!C15=""),"",IF('Tube Cutting'!R15="Monument",IF(SUM('Job Sheet'!BN15:BQ15)=0,"",SUM('Job Sheet'!BN15:BQ15)),""))</f>
        <v/>
      </c>
      <c r="FT9" t="str">
        <f>IF(OR(D9="",'Tube Cutting'!C15=""),"",IF('Tube Cutting'!R15="Custom Powdercoat",IF(SUM('Job Sheet'!BN15:BQ15)=0,"",SUM('Job Sheet'!BN15:BQ15)),""))</f>
        <v/>
      </c>
      <c r="FU9" t="str">
        <f>IF(OR(D9="",'Tube Cutting'!C15=""),"",IF('Tube Cutting'!R15="Woodland Grey",IF(SUM('Job Sheet'!BN15:BQ15)=0,"",SUM('Job Sheet'!BN15:BQ15)),""))</f>
        <v/>
      </c>
      <c r="FV9" t="str">
        <f>IF(OR(D9="",'Tube Cutting'!C15=""),"",IF('Tube Cutting'!R15="Jasper",IF(SUM('Job Sheet'!BN15:BQ15)=0,"",SUM('Job Sheet'!BN15:BQ15)),""))</f>
        <v/>
      </c>
      <c r="FW9" t="str">
        <f>IF(OR(D9="",'Tube Cutting'!C15=""),"",IF('Tube Cutting'!R15="Surfmist",IF(SUM('Job Sheet'!BN15:BQ15)=0,"",SUM('Job Sheet'!BN15:BQ15)),""))</f>
        <v/>
      </c>
      <c r="FX9" t="str">
        <f>IF(OR(D9="",'Tube Cutting'!C15=""),"",IF('Tube Cutting'!R15="Dune",IF(SUM('Job Sheet'!BN15:BQ15)=0,"",SUM('Job Sheet'!BN15:BQ15)),""))</f>
        <v/>
      </c>
      <c r="FY9">
        <f>IF(OR(D9="",'Tube Cutting'!C15=""),"",IF(AND('Order Form'!R13="Supplied by Davidson's",'Tube Cutting'!C15&lt;&gt;""),"",'Tube Cutting'!S15))</f>
        <v>1839</v>
      </c>
      <c r="FZ9" t="str">
        <f>IF(OR(D9="",'Tube Cutting'!C15=""),"",IF(AND(Data!BN15="42mm Standard Slat",'Tube Cutting'!J15="Black"),'Tube Cutting'!I15,""))</f>
        <v/>
      </c>
      <c r="GA9" t="str">
        <f>IF(OR(D9="",'Tube Cutting'!C15=""),"",IF(AND(Data!BN15="42mm Standard Slat",'Tube Cutting'!J15="Clear Beige"),'Tube Cutting'!I15,""))</f>
        <v/>
      </c>
      <c r="GB9" t="str">
        <f>IF(OR(D9="",'Tube Cutting'!C15=""),"",IF(AND(Data!BN15="42mm Standard Slat",'Tube Cutting'!J15="Dune"),'Tube Cutting'!I15,""))</f>
        <v/>
      </c>
      <c r="GC9" t="str">
        <f>IF(OR(D9="",'Tube Cutting'!C15=""),"",IF(AND(Data!BN15="42mm Standard Slat",'Tube Cutting'!J15="Mag Cream"),'Tube Cutting'!I15,""))</f>
        <v/>
      </c>
      <c r="GD9">
        <f>IF(OR(D9="",'Tube Cutting'!C15=""),"",IF(AND(Data!BN15="42mm Standard Slat",'Tube Cutting'!J15="Monument"),'Tube Cutting'!I15,""))</f>
        <v>1847</v>
      </c>
      <c r="GE9" t="str">
        <f>IF(OR(D9="",'Tube Cutting'!C15=""),"",IF(AND(Data!BN15="42mm Standard Slat",'Tube Cutting'!J15="Shale Grey"),'Tube Cutting'!I15,""))</f>
        <v/>
      </c>
      <c r="GF9" t="str">
        <f>IF(OR(D9="",'Tube Cutting'!C15=""),"",IF(AND(Data!BN15="42mm Standard Slat",'Tube Cutting'!J15="White"),'Tube Cutting'!I15,""))</f>
        <v/>
      </c>
      <c r="GG9" t="str">
        <f>IF(OR(D9="",'Tube Cutting'!C15=""),"",IF(AND(Data!BN15="42mm Standard Slat",'Tube Cutting'!J15="Woodland Grey"),'Tube Cutting'!I15,""))</f>
        <v/>
      </c>
      <c r="GH9" t="str">
        <f>IF(OR(D9="",'Tube Cutting'!C15=""),"",IF(AND(Data!BN15="42mm Standard Slat",'Tube Cutting'!J15="Cream"),'Tube Cutting'!I15,""))</f>
        <v/>
      </c>
      <c r="GI9" t="str">
        <f>IF(OR(D9="",'Tube Cutting'!C15=""),"",IF(AND(Data!BN15="42mm Standard Slat",'Tube Cutting'!J15="Brown"),'Tube Cutting'!I15,""))</f>
        <v/>
      </c>
      <c r="GJ9" t="str">
        <f>IF(OR(D9="",'Tube Cutting'!C15=""),"",IF(AND(Data!BN15="42mm Standard Slat",'Tube Cutting'!J15="Custom Powdercoat"),'Tube Cutting'!I15,""))</f>
        <v/>
      </c>
      <c r="GK9" t="str">
        <f>IF(OR(D9="",'Tube Cutting'!C15=""),"",IF(AND(Data!BN15="42mm Standard Slat",'Tube Cutting'!J15="Surfmist"),'Tube Cutting'!I15,""))</f>
        <v/>
      </c>
      <c r="GL9" t="str">
        <f>IF(OR(D9="",'Tube Cutting'!C15=""),"",IF(AND(Data!BN15="42mm Standard Slat",'Tube Cutting'!J15="Jasper"),'Tube Cutting'!I15,""))</f>
        <v/>
      </c>
      <c r="GM9" t="str">
        <f>IF(OR(D9="",'Tube Cutting'!C15=""),"",IF('Tube Cutting'!R15="Black",('Job Sheet'!BB15*2+IF('Job Sheet'!Q15="Black",SUM('Job Sheet'!BJ15:BM15))),""))</f>
        <v/>
      </c>
      <c r="GN9" t="str">
        <f>IF(OR(D9="",'Tube Cutting'!C15=""),"",IF('Tube Cutting'!R15="Clear Beige",('Job Sheet'!BB15*2+IF('Job Sheet'!Q15="Clear Beige",SUM('Job Sheet'!BJ15:BM15))),""))</f>
        <v/>
      </c>
      <c r="GO9" t="str">
        <f>IF(OR(D9="",'Tube Cutting'!C15=""),"",IF('Tube Cutting'!R15="Dune",('Job Sheet'!BB15*2+IF('Job Sheet'!Q15="Dune",SUM('Job Sheet'!BJ15:BM15))),""))</f>
        <v/>
      </c>
      <c r="GP9" t="str">
        <f>IF(OR(D9="",'Tube Cutting'!C15=""),"",IF('Tube Cutting'!R15="Mag Cream",('Job Sheet'!BB15*2+IF('Job Sheet'!Q15="Mag Cream",SUM('Job Sheet'!BJ15:BM15))),""))</f>
        <v/>
      </c>
      <c r="GQ9">
        <f>IF(OR(D9="",'Tube Cutting'!C15=""),"",IF('Tube Cutting'!R15="Monument",('Job Sheet'!BB15*2+IF('Job Sheet'!Q15="Monument",SUM('Job Sheet'!BJ15:BM15))),""))</f>
        <v>2580</v>
      </c>
      <c r="GR9" t="str">
        <f>IF(OR(D9="",'Tube Cutting'!C15=""),"",IF('Tube Cutting'!R15="Shale Grey",('Job Sheet'!BB15*2+IF('Job Sheet'!Q15="Shale Grey",SUM('Job Sheet'!BJ15:BM15))),""))</f>
        <v/>
      </c>
      <c r="GS9" t="str">
        <f>IF(OR(D9="",'Tube Cutting'!C15=""),"",IF('Tube Cutting'!R15="White",('Job Sheet'!BB15*2+IF('Job Sheet'!Q15="White",SUM('Job Sheet'!BJ15:BM15))),""))</f>
        <v/>
      </c>
      <c r="GT9" t="str">
        <f>IF(OR(D9="",'Tube Cutting'!C15=""),"",IF('Tube Cutting'!R15="Woodland Grey",('Job Sheet'!BB15*2+IF('Job Sheet'!Q15="Woodland Grey",SUM('Job Sheet'!BJ15:BM15))),""))</f>
        <v/>
      </c>
      <c r="GU9" t="str">
        <f>IF(OR(D9="",'Tube Cutting'!C15=""),"",IF('Tube Cutting'!R15="Cream",('Job Sheet'!BB15*2+IF('Job Sheet'!Q15="Cream",SUM('Job Sheet'!BJ15:BM15))),""))</f>
        <v/>
      </c>
      <c r="GV9" t="str">
        <f>IF(OR(D9="",'Tube Cutting'!C15=""),"",IF('Tube Cutting'!R15="Brown",('Job Sheet'!BB15*2+IF('Job Sheet'!Q15="Brown",SUM('Job Sheet'!BJ15:BM15))),""))</f>
        <v/>
      </c>
      <c r="GW9" t="str">
        <f>IF(OR(D9="",'Tube Cutting'!C15=""),"",IF('Tube Cutting'!R15="Custom Powdercoat",('Job Sheet'!BB15*2+IF('Job Sheet'!Q15="Custom Powdercoat",SUM('Job Sheet'!BJ15:BM15))),""))</f>
        <v/>
      </c>
      <c r="GX9" t="str">
        <f>IF(OR(D9="",'Tube Cutting'!C15=""),"",IF('Tube Cutting'!R15="Surfmist",('Job Sheet'!BB15*2+IF('Job Sheet'!Q15="Surfmist",SUM('Job Sheet'!BJ15:BM15))),""))</f>
        <v/>
      </c>
      <c r="GY9" t="str">
        <f>IF(OR(D9="",'Tube Cutting'!C15=""),"",IF('Tube Cutting'!R15="Jasper",('Job Sheet'!BB15*2+IF('Job Sheet'!Q15="Jasper",SUM('Job Sheet'!BJ15:BM15))),""))</f>
        <v/>
      </c>
      <c r="GZ9" t="str">
        <f>IF(OR(D9="",'Tube Cutting'!C15=""),"",IF(AND('Tube Cutting'!R15="Cream",'Tube Cutting'!P15="68mm"),'Job Sheet'!BB15*2,""))</f>
        <v/>
      </c>
      <c r="HA9" t="str">
        <f>IF(OR(D9="",'Tube Cutting'!C15=""),"",IF(AND('Tube Cutting'!R15="Mag Cream",'Tube Cutting'!P15="68mm"),'Job Sheet'!BB15*2,""))</f>
        <v/>
      </c>
      <c r="HB9" t="str">
        <f>IF(OR(D9="",'Tube Cutting'!C15=""),"",IF(AND('Tube Cutting'!R15="Clear Beige",'Tube Cutting'!P15="68mm"),'Job Sheet'!BB15*2,""))</f>
        <v/>
      </c>
      <c r="HC9" t="str">
        <f>IF(OR(D9="",'Tube Cutting'!C15=""),"",IF(AND('Tube Cutting'!R15="White",'Tube Cutting'!P15="68mm"),'Job Sheet'!BB15*2,""))</f>
        <v/>
      </c>
      <c r="HD9" t="str">
        <f>IF(OR(D9="",'Tube Cutting'!C15=""),"",IF(AND('Tube Cutting'!R15="Shale Grey",'Tube Cutting'!P15="68mm"),'Job Sheet'!BB15*2,""))</f>
        <v/>
      </c>
      <c r="HE9" t="str">
        <f>IF(OR(D9="",'Tube Cutting'!C15=""),"",IF(AND('Tube Cutting'!R15="Brown",'Tube Cutting'!P15="68mm"),'Job Sheet'!BB15*2,""))</f>
        <v/>
      </c>
      <c r="HF9" t="str">
        <f>IF(OR(D9="",'Tube Cutting'!C15=""),"",IF(AND('Tube Cutting'!R15="Black",'Tube Cutting'!P15="68mm"),'Job Sheet'!BB15*2,""))</f>
        <v/>
      </c>
      <c r="HG9" t="str">
        <f>IF(OR(D9="",'Tube Cutting'!C15=""),"",IF(AND('Tube Cutting'!R15="Monument",'Tube Cutting'!P15="68mm"),'Job Sheet'!BB15*2,""))</f>
        <v/>
      </c>
      <c r="HH9" t="str">
        <f>IF(OR(D9="",'Tube Cutting'!C15=""),"",IF(AND('Tube Cutting'!R15="Custom Powdercoat",'Tube Cutting'!P15="68mm"),'Job Sheet'!BB15*2,""))</f>
        <v/>
      </c>
      <c r="HI9" t="str">
        <f>IF(OR(D9="",'Tube Cutting'!C15=""),"",IF(AND('Tube Cutting'!R15="Woodland Grey",'Tube Cutting'!P15="68mm"),'Job Sheet'!BB15*2,""))</f>
        <v/>
      </c>
      <c r="HJ9" t="str">
        <f>IF(OR(D9="",'Tube Cutting'!C15=""),"",IF(AND('Tube Cutting'!R15="Surfmist",'Tube Cutting'!P15="68mm"),'Job Sheet'!BB15*2,""))</f>
        <v/>
      </c>
      <c r="HK9" t="str">
        <f>IF(OR(D9="",'Tube Cutting'!C15=""),"",IF(AND('Tube Cutting'!R15="Jasper",'Tube Cutting'!P15="68mm"),'Job Sheet'!BB15*2,""))</f>
        <v/>
      </c>
      <c r="HL9" t="str">
        <f>IF(OR(D9="",'Tube Cutting'!C15=""),"",IF(AND('Tube Cutting'!R15="Dune",'Tube Cutting'!P15="68mm"),'Job Sheet'!BB15*2,""))</f>
        <v/>
      </c>
      <c r="HM9" t="str">
        <f>IF(OR(D9="",'Tube Cutting'!C15=""),"",IF(AND('Tube Cutting'!O15="Black",'Tube Cutting'!N15="180mm"),1,""))</f>
        <v/>
      </c>
      <c r="HN9" t="str">
        <f>IF(OR(D9="",'Tube Cutting'!C15=""),"",IF(AND('Tube Cutting'!O15="Clear Beige",'Tube Cutting'!N15="180mm"),1,""))</f>
        <v/>
      </c>
      <c r="HO9" t="str">
        <f>IF(OR(D9="",'Tube Cutting'!C15=""),"",IF(AND('Tube Cutting'!O15="Dune",'Tube Cutting'!N15="180mm"),1,""))</f>
        <v/>
      </c>
      <c r="HP9" t="str">
        <f>IF(OR(D9="",'Tube Cutting'!C15=""),"",IF(AND('Tube Cutting'!O15="Mag Cream",'Tube Cutting'!N15="180mm"),1,""))</f>
        <v/>
      </c>
      <c r="HQ9">
        <f>IF(OR(D9="",'Tube Cutting'!C15=""),"",IF(AND('Tube Cutting'!O15="Monument",'Tube Cutting'!N15="180mm"),1,""))</f>
        <v>1</v>
      </c>
      <c r="HR9" t="str">
        <f>IF(OR(D9="",'Tube Cutting'!C15=""),"",IF(AND('Tube Cutting'!O15="Shale Grey",'Tube Cutting'!N15="180mm"),1,""))</f>
        <v/>
      </c>
      <c r="HS9" t="str">
        <f>IF(OR(D9="",'Tube Cutting'!C15=""),"",IF(AND('Tube Cutting'!O15="White",'Tube Cutting'!N15="180mm"),1,""))</f>
        <v/>
      </c>
      <c r="HT9" t="str">
        <f>IF(OR(D9="",'Tube Cutting'!C15=""),"",IF(AND('Tube Cutting'!O15="Woodland Grey",'Tube Cutting'!N15="180mm"),1,""))</f>
        <v/>
      </c>
      <c r="HU9" t="str">
        <f>IF(OR(D9="",'Tube Cutting'!C15=""),"",IF(AND('Tube Cutting'!O15="Cream",'Tube Cutting'!N15="180mm"),1,""))</f>
        <v/>
      </c>
      <c r="HV9" t="str">
        <f>IF(OR(D9="",'Tube Cutting'!C15=""),"",IF(AND('Tube Cutting'!O15="Brown",'Tube Cutting'!N15="180mm"),1,""))</f>
        <v/>
      </c>
      <c r="HW9" t="str">
        <f>IF(OR(D9="",'Tube Cutting'!C15=""),"",IF(AND('Tube Cutting'!O15="Surfmist",'Tube Cutting'!N15="180mm"),1,""))</f>
        <v/>
      </c>
      <c r="HX9" t="str">
        <f>IF(OR(D9="",'Tube Cutting'!C15=""),"",IF(AND('Tube Cutting'!O15="Jasper",'Tube Cutting'!N15="180mm"),1,""))</f>
        <v/>
      </c>
      <c r="HY9" t="str">
        <f>IF(OR(E9="",'Tube Cutting'!C15=""),"",IF(AND('Tube Cutting'!O15="Red",'Tube Cutting'!N15="180mm"),1,""))</f>
        <v/>
      </c>
      <c r="HZ9" t="str">
        <f>IF(OR(D9="",'Tube Cutting'!C15=""),"",IF(AND('Tube Cutting'!O15="Black",'Tube Cutting'!N15="205mm"),1,""))</f>
        <v/>
      </c>
      <c r="IA9" t="str">
        <f>IF(OR(D9="",'Tube Cutting'!C15=""),"",IF(AND('Tube Cutting'!O15="Clear Beige",'Tube Cutting'!N15="205mm"),1,""))</f>
        <v/>
      </c>
      <c r="IB9" t="str">
        <f>IF(OR(D9="",'Tube Cutting'!C15=""),"",IF(AND('Tube Cutting'!O15="Dune",'Tube Cutting'!N15="205mm"),1,""))</f>
        <v/>
      </c>
      <c r="IC9" t="str">
        <f>IF(OR(D9="",'Tube Cutting'!C15=""),"",IF(AND('Tube Cutting'!O15="Mag Cream",'Tube Cutting'!N15="205mm"),1,""))</f>
        <v/>
      </c>
      <c r="ID9" t="str">
        <f>IF(OR(D9="",'Tube Cutting'!C15=""),"",IF(AND('Tube Cutting'!O15="Monument",'Tube Cutting'!N15="205mm"),1,""))</f>
        <v/>
      </c>
      <c r="IE9" t="str">
        <f>IF(OR(D9="",'Tube Cutting'!C15=""),"",IF(AND('Tube Cutting'!O15="Shale Grey",'Tube Cutting'!N15="205mm"),1,""))</f>
        <v/>
      </c>
      <c r="IF9" t="str">
        <f>IF(OR(D9="",'Tube Cutting'!C15=""),"",IF(AND('Tube Cutting'!O15="White",'Tube Cutting'!N15="205mm"),1,""))</f>
        <v/>
      </c>
      <c r="IG9" t="str">
        <f>IF(OR(D9="",'Tube Cutting'!C15=""),"",IF(AND('Tube Cutting'!O15="Woodland Grey",'Tube Cutting'!N15="205mm"),1,""))</f>
        <v/>
      </c>
      <c r="IH9" t="str">
        <f>IF(OR(D9="",'Tube Cutting'!C15=""),"",IF(AND('Tube Cutting'!O15="Cream",'Tube Cutting'!N15="205mm"),1,""))</f>
        <v/>
      </c>
      <c r="II9" t="str">
        <f>IF(OR(D9="",'Tube Cutting'!C15=""),"",IF(AND('Tube Cutting'!O15="Brown",'Tube Cutting'!N15="205mm"),1,""))</f>
        <v/>
      </c>
      <c r="IJ9" t="str">
        <f>IF(OR(D9="",'Tube Cutting'!C15=""),"",IF(AND('Tube Cutting'!O15="Surfmist",'Tube Cutting'!N15="205mm"),1,""))</f>
        <v/>
      </c>
      <c r="IK9" t="str">
        <f>IF(OR(D9="",'Tube Cutting'!C15=""),"",IF(AND('Tube Cutting'!O15="Jasper",'Tube Cutting'!N15="205mm"),1,""))</f>
        <v/>
      </c>
      <c r="IL9" t="str">
        <f>IF(OR(D9="",'Tube Cutting'!C15=""),"",IF(AND('Tube Cutting'!O15="Cream",'Tube Cutting'!N15="230mm"),1,""))</f>
        <v/>
      </c>
      <c r="IM9" t="str">
        <f>IF(OR(D9="",'Tube Cutting'!C15=""),"",IF(AND('Tube Cutting'!O15="Mag Cream",'Tube Cutting'!N15="230mm"),1,""))</f>
        <v/>
      </c>
      <c r="IN9" t="str">
        <f>IF(OR(D9="",'Tube Cutting'!C15=""),"",IF(AND('Tube Cutting'!O15="Clear Beige",'Tube Cutting'!N15="230mm"),1,""))</f>
        <v/>
      </c>
      <c r="IO9" t="str">
        <f>IF(OR(D9="",'Tube Cutting'!C15=""),"",IF(AND('Tube Cutting'!O15="White",'Tube Cutting'!N15="230mm"),1,""))</f>
        <v/>
      </c>
      <c r="IP9" t="str">
        <f>IF(OR(D9="",'Tube Cutting'!C15=""),"",IF(AND('Tube Cutting'!O15="Shale Grey",'Tube Cutting'!N15="230mm"),1,""))</f>
        <v/>
      </c>
      <c r="IQ9" t="str">
        <f>IF(OR(D9="",'Tube Cutting'!C15=""),"",IF(AND('Tube Cutting'!O15="Black",'Tube Cutting'!N15="230mm"),1,""))</f>
        <v/>
      </c>
      <c r="IR9" t="str">
        <f>IF(OR(D9="",'Tube Cutting'!C15=""),"",IF(AND('Tube Cutting'!O15="Monument",'Tube Cutting'!N15="230mm"),1,""))</f>
        <v/>
      </c>
      <c r="IS9" t="str">
        <f>IF(OR(D9="",'Tube Cutting'!C15=""),"",IF(AND('Tube Cutting'!O15="Woodland Grey",'Tube Cutting'!N15="230mm"),1,""))</f>
        <v/>
      </c>
      <c r="IT9" t="str">
        <f>IF(OR(D9="",'Tube Cutting'!C15=""),"",IF(AND('Tube Cutting'!O15="Surfmist",'Tube Cutting'!N15="230mm"),1,""))</f>
        <v/>
      </c>
      <c r="IU9" t="str">
        <f>IF(OR(D9="",'Tube Cutting'!C15=""),"",IF(AND('Tube Cutting'!O15="Jasper",'Tube Cutting'!N15="230mm"),1,""))</f>
        <v/>
      </c>
      <c r="IV9" t="str">
        <f>IF(OR(D9="",'Tube Cutting'!C15=""),"",IF(AND('Tube Cutting'!O15="Dune",'Tube Cutting'!N15="230mm"),1,""))</f>
        <v/>
      </c>
      <c r="IW9">
        <f>IF(OR(D9="",'Tube Cutting'!C15=""),"",IF(AND('Order Form'!R13="Supplied by Davidson's",'Tube Cutting'!C15&lt;&gt;""),"",1))</f>
        <v>1</v>
      </c>
      <c r="IX9">
        <f>IF(OR(D9="",'Tube Cutting'!C15=""),"",IF('Job Sheet'!AE15="Yes",2,""))</f>
        <v>2</v>
      </c>
      <c r="IY9" t="str">
        <f t="array" ref="IY9">IF(OR('Tube Cutting'!R15&lt;&gt;"Cream",D9=""),"",IF('Job Sheet'!J15&gt;2100,10,IF(OR(bpLOOKUP(Data!$AV15,"FIXING",CustOrdOpt,6,FALSE)="Hebel",'Job Sheet'!J15&gt;1800),8,6)))</f>
        <v/>
      </c>
      <c r="IZ9" t="str">
        <f t="array" ref="IZ9">IF(OR('Tube Cutting'!R15&lt;&gt;"Clear Beige",D9=""),"",IF('Job Sheet'!J15&gt;2100,10,IF(OR(bpLOOKUP(Data!$AV15,"FIXING",CustOrdOpt,6,FALSE)="Hebel",'Job Sheet'!J15&gt;1800),8,6)))</f>
        <v/>
      </c>
      <c r="JA9" t="str">
        <f t="array" ref="JA9">IF(OR('Tube Cutting'!R15&lt;&gt;"White",D9=""),"",IF('Job Sheet'!J15&gt;2100,10,IF(OR(bpLOOKUP(Data!$AV15,"FIXING",CustOrdOpt,6,FALSE)="Hebel",'Job Sheet'!J15&gt;1800),8,6)))</f>
        <v/>
      </c>
      <c r="JB9" t="str">
        <f t="array" ref="JB9">IF(OR('Tube Cutting'!R15&lt;&gt;"Shale Grey",D9=""),"",IF('Job Sheet'!J15&gt;2100,10,IF(OR(bpLOOKUP(Data!$AV15,"FIXING",CustOrdOpt,6,FALSE)="Hebel",'Job Sheet'!J15&gt;1800),8,6)))</f>
        <v/>
      </c>
      <c r="JC9" t="str">
        <f t="array" ref="JC9">IF(OR('Tube Cutting'!R15&lt;&gt;"Brown",D9=""),"",IF('Job Sheet'!J15&gt;2100,10,IF(OR(bpLOOKUP(Data!$AV15,"FIXING",CustOrdOpt,6,FALSE)="Hebel",'Job Sheet'!J15&gt;1800),8,6)))</f>
        <v/>
      </c>
      <c r="JD9" t="str">
        <f t="array" ref="JD9">IF(OR('Tube Cutting'!R15&lt;&gt;"Green",D9=""),"",IF('Job Sheet'!J15&gt;2100,10,IF(OR(bpLOOKUP(Data!$AV15,"FIXING",CustOrdOpt,6,FALSE)="Hebel",'Job Sheet'!J15&gt;1800),8,6)))</f>
        <v/>
      </c>
      <c r="JE9" t="str">
        <f t="array" ref="JE9">IF(OR('Tube Cutting'!R15&lt;&gt;"Red",D9=""),"",IF('Job Sheet'!J15&gt;2100,10,IF(OR(bpLOOKUP(Data!$AV15,"FIXING",CustOrdOpt,6,FALSE)="Hebel",'Job Sheet'!J15&gt;1800),8,6)))</f>
        <v/>
      </c>
      <c r="JF9" t="str">
        <f t="array" ref="JF9">IF(OR('Tube Cutting'!R15&lt;&gt;"Mag Cream",D9=""),"",IF('Job Sheet'!J15&gt;2100,10,IF(OR(bpLOOKUP(Data!$AV15,"FIXING",CustOrdOpt,6,FALSE)="Hebel",'Job Sheet'!J15&gt;1800),8,6)))</f>
        <v/>
      </c>
      <c r="JG9" t="str">
        <f t="array" ref="JG9">IF(OR('Tube Cutting'!R15&lt;&gt;"Black",D9=""),"",IF('Job Sheet'!J15&gt;2100,10,IF(OR(bpLOOKUP(Data!$AV15,"FIXING",CustOrdOpt,6,FALSE)="Hebel",'Job Sheet'!J15&gt;1800),8,6)))</f>
        <v/>
      </c>
      <c r="JH9">
        <f t="array" ref="JH9">IF(OR('Tube Cutting'!R15&lt;&gt;"Monument",D9=""),"",IF('Job Sheet'!J15&gt;2100,10,IF(OR(bpLOOKUP(Data!$AV15,"FIXING",CustOrdOpt,6,FALSE)="Hebel",'Job Sheet'!J15&gt;1800),8,6)))</f>
        <v>6</v>
      </c>
      <c r="JI9" t="str">
        <f t="array" ref="JI9">IF(OR('Tube Cutting'!R15&lt;&gt;"Deep Ocean",D9=""),"",IF('Job Sheet'!J15&gt;2100,10,IF(OR(bpLOOKUP(Data!$AV15,"FIXING",CustOrdOpt,6,FALSE)="Hebel",'Job Sheet'!J15&gt;1800),8,6)))</f>
        <v/>
      </c>
      <c r="JJ9" t="str">
        <f t="array" ref="JJ9">IF(OR('Tube Cutting'!R15&lt;&gt;"Woodland Grey",D9=""),"",IF('Job Sheet'!J15&gt;2100,10,IF(OR(bpLOOKUP(Data!$AV15,"FIXING",CustOrdOpt,6,FALSE)="Hebel",'Job Sheet'!J15&gt;1800),8,6)))</f>
        <v/>
      </c>
      <c r="JK9" t="str">
        <f t="array" ref="JK9">IF(OR('Tube Cutting'!R15&lt;&gt;"Jasper",D9=""),"",IF('Job Sheet'!J15&gt;2100,10,IF(OR(bpLOOKUP(Data!$AV15,"FIXING",CustOrdOpt,6,FALSE)="Hebel",'Job Sheet'!J15&gt;1800),8,6)))</f>
        <v/>
      </c>
      <c r="JL9" t="str">
        <f t="array" ref="JL9">IF(OR('Tube Cutting'!R15&lt;&gt;"Surfmist",D9=""),"",IF('Job Sheet'!J15&gt;2100,10,IF(OR(bpLOOKUP(Data!$AV15,"FIXING",CustOrdOpt,6,FALSE)="Hebel",'Job Sheet'!J15&gt;1800),8,6)))</f>
        <v/>
      </c>
      <c r="JM9" t="str">
        <f t="array" ref="JM9">IF(OR('Tube Cutting'!R15&lt;&gt;"Dune",D9=""),"",IF('Job Sheet'!J15&gt;2100,10,IF(OR(bpLOOKUP(Data!$AV15,"FIXING",CustOrdOpt,6,FALSE)="Hebel",'Job Sheet'!J15&gt;1800),8,6)))</f>
        <v/>
      </c>
      <c r="JN9">
        <f>IF(OR(D9="",'Tube Cutting'!C15=""),"",IF(AND('Order Form'!R13="Supplied by Davidson's",'Tube Cutting'!C15&lt;&gt;""),"",1))</f>
        <v>1</v>
      </c>
      <c r="JO9" t="str">
        <f>IF(D9="","",IF(AND('Job Sheet'!X15="Operated Outside",'Job Sheet'!Y15="Eyelot Crank Handle"),1,""))</f>
        <v/>
      </c>
      <c r="JP9" t="str">
        <f t="shared" si="1"/>
        <v/>
      </c>
      <c r="JQ9" t="str">
        <f>IF('Job Sheet'!X15="Operated Inside",1,"")</f>
        <v/>
      </c>
      <c r="JS9" t="str">
        <f>IF('Job Sheet'!X15="Operated Inside",1,"")</f>
        <v/>
      </c>
      <c r="JT9" t="str">
        <f>IF('Job Sheet'!X15="Operated Inside",1,"")</f>
        <v/>
      </c>
      <c r="JU9" t="str">
        <f>IF('Job Sheet'!X15="Operated Inside",1,"")</f>
        <v/>
      </c>
      <c r="JV9" t="str">
        <f>IF(AND('Job Sheet'!X15="Operated Outside",'Job Sheet'!Y15="Concealed Operation Crank Handle"),1,"")</f>
        <v/>
      </c>
      <c r="JW9" t="str">
        <f>IF(AND('Job Sheet'!X15="Operated Outside",'Job Sheet'!Y15="Concealed Operation Crank Handle"),1,"")</f>
        <v/>
      </c>
      <c r="JX9" t="str">
        <f>IF(AND('Job Sheet'!X15="Operated Outside",'Job Sheet'!Y15="Concealed Operation Crank Handle"),1,"")</f>
        <v/>
      </c>
      <c r="JY9" s="113">
        <f>IF(OR(D9="",'Tube Cutting'!C15=""),"",IF(AND('Order Form'!R13="Supplied by Davidson's",'Tube Cutting'!C15&lt;&gt;""),"",'Assembly(a)'!F15))</f>
        <v>32.28</v>
      </c>
      <c r="JZ9">
        <f>IF(OR(D9="",'Tube Cutting'!C15=""),"",Packing!K15)</f>
        <v>4</v>
      </c>
      <c r="KA9">
        <f>IF(OR(D9="",'Tube Cutting'!C15=""),"",IF(AND('Order Form'!R13="Supplied by Davidson's",'Tube Cutting'!C15&lt;&gt;""),"",2))</f>
        <v>2</v>
      </c>
      <c r="KB9" t="str">
        <f>IF(OR(D9="",'Tube Cutting'!C15=""),"",'Tube Cutting'!K15)</f>
        <v/>
      </c>
      <c r="KC9" t="str">
        <f>IF(Packing!T15="Corner Telescopic Bracket x 1",1,IF(Packing!T15="Corner Telescopic Bracket x 2",2,""))</f>
        <v/>
      </c>
      <c r="KD9" t="str">
        <f>IF(Packing!T15="Bay Telescopic Bracket x 1",1,IF(Packing!T15="Bay Telescopic Bracket x 2",2,""))</f>
        <v/>
      </c>
      <c r="KE9">
        <f>IF(OR(D9="",'Tube Cutting'!C15=""),"",IF('Job Sheet'!W15="Toggle Wall Switch",1,""))</f>
        <v>1</v>
      </c>
      <c r="KF9" t="str">
        <f>IF(OR(D9="",'Tube Cutting'!C15=""),"",IF(OR('Job Sheet'!Z15="UPS with No Electrician Required",'Job Sheet'!Z15="UPS with Electrician Required"),1,""))</f>
        <v/>
      </c>
      <c r="KG9" t="str">
        <f>IF(OR(Packing!C15="Too Small to be Motorised",Packing!C15="Check Motor Options"),1,"")</f>
        <v/>
      </c>
      <c r="KH9" t="str">
        <f>IF('Job Sheet'!U15="Maxim 10nm Remote Motor",1,"")</f>
        <v/>
      </c>
      <c r="KI9" t="str">
        <f>IF('Job Sheet'!U15="Maxim 20nm Remote Motor",1,"")</f>
        <v/>
      </c>
      <c r="KJ9">
        <f>IF(OR('Job Sheet'!U15="Maxim 10nm Switch Motor",'Job Sheet'!U15="Maxim 10nm Switch Motor with Inline Receiver"),1,"")</f>
        <v>1</v>
      </c>
      <c r="KK9" t="str">
        <f>IF('Job Sheet'!U15="Maxim 20nm Switch Motor",1,"")</f>
        <v/>
      </c>
      <c r="KL9" t="str">
        <f>IF(OR(D9="",'Tube Cutting'!C15=""),"",IF('Job Sheet'!W15="Maxim 1 Channel Remote",1,""))</f>
        <v/>
      </c>
      <c r="KM9" t="str">
        <f>IF(OR(D9="",'Tube Cutting'!C15=""),"",IF('Job Sheet'!W15="Maxim 6 Channel Remote",1,""))</f>
        <v/>
      </c>
      <c r="KN9" t="str">
        <f>IF(OR(D9="",'Tube Cutting'!C15=""),"",IF('Job Sheet'!W15="Maxim 16 Channel Remote",1,""))</f>
        <v/>
      </c>
      <c r="KO9" t="str">
        <f>IF(OR(D9="",'Tube Cutting'!C15=""),"",IF('Job Sheet'!W15="Maxim 1 Channel Wall Mounted Remote",1,""))</f>
        <v/>
      </c>
      <c r="KP9" t="str">
        <f>IF(OR(D9="",'Tube Cutting'!C15=""),"",IF('Job Sheet'!W15="CWP 5 Channel Wall Mounted Remote",1,""))</f>
        <v/>
      </c>
      <c r="KQ9" t="str">
        <f>IF(OR(D9="",'Tube Cutting'!C15=""),"",IF('Job Sheet'!W15="CWP 8 Channel Remote with Timer",1,""))</f>
        <v/>
      </c>
      <c r="KR9" t="str">
        <f>IF(OR(D9="",'Tube Cutting'!C15=""),"",IF('Job Sheet'!W15="CWP Key Ring Remote",1,""))</f>
        <v/>
      </c>
      <c r="KS9" t="str">
        <f>IF(OR(D9="",'Tube Cutting'!C15=""),"",IF(OR('Job Sheet'!W15="Key Switch",'Job Sheet'!W15="Key Switch &amp; Key Switch Relay"),1,""))</f>
        <v/>
      </c>
      <c r="KT9" t="str">
        <f>IF(OR(D9="",'Tube Cutting'!C15=""),"",IF(OR('Job Sheet'!W15="Key Switch Relay",'Job Sheet'!W15="Key Switch &amp; Key Switch Relay"),1,""))</f>
        <v/>
      </c>
      <c r="KU9" t="str">
        <f>IF(OR(D9="",'Tube Cutting'!C15=""),"",IF(OR('Job Sheet'!U15="CW5 10nm Short Switch Motor with Inline Receiver",'Job Sheet'!U15="Maxim 10nm Switch Motor with Inline Receiver",'Job Sheet'!U15="CWP Manual Override 30Nm Motor with Inline Receiver",'Job Sheet'!U15="CWP Manual Override 50Nm Motor with Inline Receiver"),1,""))</f>
        <v/>
      </c>
      <c r="KY9" t="str">
        <f>IF(OR('Job Sheet'!U15="CW5 10nm Short Switch Motor",'Job Sheet'!U15="CW5 10nm Short Switch Motor with Inline Receiver"),1,"")</f>
        <v/>
      </c>
      <c r="LB9" t="str">
        <f>IF(OR(D9="",'Tube Cutting'!C15=""),"",IF(OR('Job Sheet'!U15="CWP Manual Override 30Nm Motor with Inline Receiver",'Job Sheet'!U15="CWP Manual Override 30Nm Motor"),1,""))</f>
        <v/>
      </c>
      <c r="LC9" t="str">
        <f>IF(OR(D9="",'Tube Cutting'!C15=""),"",IF(OR('Job Sheet'!U15="CWP Manual Override 50Nm Motor with Inline Receiver",'Job Sheet'!U15="CWP Manual Override 50Nm Motor"),1,""))</f>
        <v/>
      </c>
      <c r="LG9" t="str">
        <f>IF('Job Sheet'!U15="L10 ODS Motor",1,"")</f>
        <v/>
      </c>
      <c r="LH9" t="str">
        <f>IF('Job Sheet'!U15="L10 ODS Motor",1,"")</f>
        <v/>
      </c>
      <c r="LI9" t="str">
        <f>IF('Job Sheet'!U15="T20 ODS Motor",1,"")</f>
        <v/>
      </c>
      <c r="LJ9" t="str">
        <f>IF(OR('Job Sheet'!U15="T20 ODS Motor",'Job Sheet'!U15="T35 ODS Motor"),1,"")</f>
        <v/>
      </c>
      <c r="LK9" t="str">
        <f>IF(OR('Job Sheet'!U15="T20 ODS Motor",'Job Sheet'!U15="T35 ODS Motor"),2,"")</f>
        <v/>
      </c>
      <c r="LL9" t="str">
        <f>IF('Job Sheet'!U15="T35 ODS Motor",1,"")</f>
        <v/>
      </c>
      <c r="LM9" t="str">
        <f>IF('Job Sheet'!W15="Controller &amp; Charger",1,"")</f>
        <v/>
      </c>
      <c r="LN9" t="str">
        <f>IF(OR('Job Sheet'!T15="12v ODS System",'Job Sheet'!T15="Firesafe 12v ODS System"),1,"")</f>
        <v/>
      </c>
      <c r="LO9" t="str">
        <f>IF(OR('Job Sheet'!W15="RF Controller &amp; Charger",'Job Sheet'!W15="RF Controller, Charger &amp; 9 Channel Remote",'Job Sheet'!W15="RF Controller, Charger &amp; Single Channel Remote",'Job Sheet'!W15="Controller &amp; Charger"),1,"")</f>
        <v/>
      </c>
      <c r="LP9" t="str">
        <f>IF(OR('Job Sheet'!W15="RF Controller &amp; Charger",'Job Sheet'!W15="RF Controller, Charger &amp; Single Channel Remote",'Job Sheet'!W15="RF Controller, Charger &amp; 9 Channel Remote"),1,"")</f>
        <v/>
      </c>
      <c r="LQ9" t="str">
        <f>IF(OR('Job Sheet'!Z15="3 Way Switch for Bay Windows",'Job Sheet'!Z15="3 Way Switch for Bay Windows with Wiring Loom"),1,"")</f>
        <v/>
      </c>
      <c r="LR9" t="str">
        <f>IF('Job Sheet'!W15="RF Controller, Charger &amp; Single Channel Remote",1,"")</f>
        <v/>
      </c>
      <c r="LS9" t="str">
        <f>IF('Job Sheet'!W15="RF Controller, Charger &amp; 9 Channel Remote",1,"")</f>
        <v/>
      </c>
      <c r="LT9" t="str">
        <f>IF(OR('Job Sheet'!Z15="Wiring Loom Extension",'Job Sheet'!Z15="3 Way Switch for Bay Windows with Wiring Loom"),1,"")</f>
        <v/>
      </c>
      <c r="LU9" t="str">
        <f>IF('Job Sheet'!U15="Acmeda External 15nm Remote Motor",1,"")</f>
        <v/>
      </c>
      <c r="LV9" t="str">
        <f>IF('Job Sheet'!U15="Acmeda External 30nm Remote Motor",1,"")</f>
        <v/>
      </c>
      <c r="LW9" t="str">
        <f>IF('Job Sheet'!U15="Acmeda External 50nm Remote Motor",1,"")</f>
        <v/>
      </c>
      <c r="LX9" t="str">
        <f>IF(OR('Job Sheet'!U15="Acmeda External 15nm Remote Motor",'Job Sheet'!U15="Acmeda External 15nm Remote Motor"),1,"")</f>
        <v/>
      </c>
      <c r="LY9" t="str">
        <f>IF(OR('Job Sheet'!U15="Acmeda External 15nm Remote Motor",'Job Sheet'!U15="Acmeda External 15nm Remote Motor"),1,"")</f>
        <v/>
      </c>
      <c r="MC9" t="str">
        <f>IF(OR('Job Sheet'!Z15="Pulse 2.0 Automation Hub",'Job Sheet'!Z15="Pulse Pro Automation Hub"),1,"")</f>
        <v/>
      </c>
      <c r="MD9" t="str">
        <f>IF('Job Sheet'!Z15="1 Channel Dry Contact Relay Module",1,"")</f>
        <v/>
      </c>
      <c r="ME9" t="str">
        <f>IF('Job Sheet'!Z15="USB Repeater",1,"")</f>
        <v/>
      </c>
      <c r="MF9" t="str">
        <f>IF('Job Sheet'!W15="Acmeda 1 Channel White Remote",1,"")</f>
        <v/>
      </c>
      <c r="MG9" t="str">
        <f>IF('Job Sheet'!W15="Acmeda 1 Channel Black Remote",1,"")</f>
        <v/>
      </c>
      <c r="MH9" t="str">
        <f>IF('Job Sheet'!W15="Acmeda 5 Channel White Remote",1,"")</f>
        <v/>
      </c>
      <c r="MI9" t="str">
        <f>IF('Job Sheet'!W15="Acmeda 5 Channel Black Remote",1,"")</f>
        <v/>
      </c>
      <c r="MJ9" t="str">
        <f>IF('Job Sheet'!W15="Acmeda 15 Channel White Remote",1,"")</f>
        <v/>
      </c>
      <c r="MK9" t="str">
        <f>IF('Job Sheet'!W15="Acmeda 15 Channel Black Remote",1,"")</f>
        <v/>
      </c>
      <c r="ML9" t="str">
        <f>IF('Job Sheet'!W15="Acmeda Wall Mounted Single Channel White Remote",1,"")</f>
        <v/>
      </c>
      <c r="MM9" t="str">
        <f>IF('Job Sheet'!W15="Acmeda Wall Mounted 5 Channel White Remote",1,"")</f>
        <v/>
      </c>
      <c r="MN9" t="str">
        <f>IF('Job Sheet'!W15="Acmeda Wall Mounted 15 Channel White Remote",1,"")</f>
        <v/>
      </c>
      <c r="MO9" t="str">
        <f>IF('Job Sheet'!W15="Acmeda Push Pro White Remote with Charger",1,"")</f>
        <v/>
      </c>
      <c r="MP9" t="str">
        <f>IF('Job Sheet'!X15="Acmeda Push Pro Black Remote with Charger",1,"")</f>
        <v/>
      </c>
      <c r="MQ9" t="str">
        <f>IF(OR('Job Sheet'!X15="Acmeda Push Pro White Remote with Charger",'Job Sheet'!X15="Acmeda Push Pro Black Remote with Charger"),"1","")</f>
        <v/>
      </c>
      <c r="MR9" t="str">
        <f t="shared" si="2"/>
        <v/>
      </c>
      <c r="NE9" t="str">
        <f>IF('Job Sheet'!U15="Somfy Altus 50 RTS 6/17",1,"")</f>
        <v/>
      </c>
      <c r="NF9" t="str">
        <f>IF('Job Sheet'!U15="Somfy Altus 50 RTS 10/17",1,"")</f>
        <v/>
      </c>
      <c r="NG9" t="str">
        <f>IF('Job Sheet'!U15="Somfy Altus 50 RTS 15/17",1,"")</f>
        <v/>
      </c>
      <c r="NH9" t="str">
        <f>IF('Job Sheet'!U15="Somfy Altus 50 RTS 25/17",1,"")</f>
        <v/>
      </c>
      <c r="NI9" t="str">
        <f>IF('Job Sheet'!U15="Somfy Orea 50 WT 40/17",1,"")</f>
        <v/>
      </c>
      <c r="NJ9" t="str">
        <f t="shared" si="3"/>
        <v/>
      </c>
      <c r="NK9" t="str">
        <f t="shared" si="4"/>
        <v/>
      </c>
      <c r="NL9" t="str">
        <f t="shared" si="5"/>
        <v/>
      </c>
      <c r="NM9" t="str">
        <f>IF('Job Sheet'!Z15="Connexoon App Connector",1,"")</f>
        <v/>
      </c>
      <c r="NN9" t="str">
        <f>IF('Job Sheet'!Z15="Tahoma Switch",1,"")</f>
        <v/>
      </c>
      <c r="NO9" t="str">
        <f>IF('Job Sheet'!W15="Somfy Single Channel Silver Remote",1,"")</f>
        <v/>
      </c>
      <c r="NP9" t="str">
        <f>IF('Job Sheet'!W15="Somfy Single Channel White Remote",1,"")</f>
        <v/>
      </c>
      <c r="NQ9" t="str">
        <f>IF('Job Sheet'!W15="Somfy 2 Channel Silver Remote",1,"")</f>
        <v/>
      </c>
      <c r="NR9" t="str">
        <f>IF('Job Sheet'!W15="Somfy 2 Channel White Remote",1,"")</f>
        <v/>
      </c>
      <c r="NS9" t="str">
        <f>IF('Job Sheet'!W15="Somfy 5 Channel Silver Remote",1,"")</f>
        <v/>
      </c>
      <c r="NT9" t="str">
        <f>IF('Job Sheet'!W15="Somfy 5 Channel White Remote",1,"")</f>
        <v/>
      </c>
      <c r="NU9" t="str">
        <f>IF('Job Sheet'!W15="Somfy 15 Channel Silver Remote",1,"")</f>
        <v/>
      </c>
      <c r="NV9" t="str">
        <f>IF('Job Sheet'!W15="Somfy 15 Channel White Remote",1,"")</f>
        <v/>
      </c>
      <c r="NW9" t="str">
        <f>IF('Job Sheet'!W15="Somfy Single Channel Wall Mounted Smoove Remote White with Black Cover Plate",1,"")</f>
        <v/>
      </c>
      <c r="NX9" t="str">
        <f>IF('Job Sheet'!W15="Somfy Single Channel Wall Mounted Smoove Remote White with Silver Cover Plate",1,"")</f>
        <v/>
      </c>
      <c r="NY9" t="str">
        <f>IF('Job Sheet'!W15="Somfy Single Channel Wall Mounted Smoove Remote White",1,"")</f>
        <v/>
      </c>
      <c r="NZ9" t="str">
        <f>IF('Job Sheet'!W15="Somfy 2 Channel Wall Mounted Smoove Remote White with Black Cover Plate",1,"")</f>
        <v/>
      </c>
      <c r="OA9" t="str">
        <f>IF('Job Sheet'!W15="Somfy 2 Channel Wall Mounted Smoove Remote White with Silver Cover Plate",1,"")</f>
        <v/>
      </c>
      <c r="OB9" t="str">
        <f>IF('Job Sheet'!W15="Somfy 2 Channel Wall Mounted Smoove Remote White",1,"")</f>
        <v/>
      </c>
      <c r="OC9" t="str">
        <f>IF('Job Sheet'!W15="Somfy 5 Channel Wall Mounted Smoove Remote White with Black Cover Plate",1,"")</f>
        <v/>
      </c>
      <c r="OD9" t="str">
        <f>IF('Job Sheet'!W15="Somfy 5 Channel Wall Mounted Smoove Remote White with Silver Cover Plate",1,"")</f>
        <v/>
      </c>
      <c r="OE9" t="str">
        <f>IF('Job Sheet'!W15="Somfy 5 Channel Wall Mounted Smoove Remote White",1,"")</f>
        <v/>
      </c>
    </row>
    <row r="10" spans="4:395" ht="13.2" customHeight="1">
      <c r="D10" t="str">
        <f>IF(Data!AV16="","",IF(OR('Order Form'!R14="Supplied by Davidson's",SUM(NE10:NI10)&lt;&gt;0),CONCATENATE(Data!BC$5,".",Data!BD$5),IF(AND('Order Form'!R14&lt;&gt;"Supplied by Davidson's",'Tube Cutting'!C16=""),"",CONCATENATE(Data!BC$5,".",Data!BD$5))))</f>
        <v>11804.C</v>
      </c>
      <c r="E10">
        <f>IF(D10="","",Data!AW16)</f>
        <v>6</v>
      </c>
      <c r="F10" t="str">
        <f>IF(D10="","",Data!AV16)</f>
        <v>e3b07edc-5054-492d-9778-01fb4a38bf79</v>
      </c>
      <c r="G10" t="str">
        <f t="shared" si="0"/>
        <v>Roller Shutters</v>
      </c>
      <c r="H10" t="str">
        <f>IF(D10="","",Data!BF$5)</f>
        <v>Crow, Tahlia</v>
      </c>
      <c r="I10" t="str">
        <f>IF(D10="","",Data!AX$5)</f>
        <v>Roller Shutters</v>
      </c>
      <c r="J10" s="116" t="str">
        <f>IF(OR(D10="",'Tube Cutting'!C16=""),"",IF(AND(Data!BN16="42mm Standard Slat",Data!BO16="Black"),'Tube Cutting'!C16*'Tube Cutting'!D16/5800,IF(AND(Data!BN16="42mm Standard Slat",'Tube Cutting'!H16="Black"),'Tube Cutting'!C16*'Tube Cutting'!G16/5800,"")))</f>
        <v/>
      </c>
      <c r="K10" s="116" t="str">
        <f>IF(OR(D10="",'Tube Cutting'!C16=""),"",IF(AND(Data!BN16="42mm Standard Slat",Data!BO16="Clear Beige"),'Tube Cutting'!C16*'Tube Cutting'!D16/5800,IF(AND(Data!BN16="42mm Standard Slat",'Tube Cutting'!H16="Clear Beige"),'Tube Cutting'!C16*'Tube Cutting'!G16/5800,"")))</f>
        <v/>
      </c>
      <c r="L10" s="116">
        <f>IF(OR(D10="",'Tube Cutting'!C16=""),"",IF(AND(Data!BN16="42mm Standard Slat",Data!BO16="Dune"),'Tube Cutting'!C16*'Tube Cutting'!D16/5800,IF(AND(Data!BN16="42mm Standard Slat",'Tube Cutting'!H16="Dune"),'Tube Cutting'!C16*'Tube Cutting'!G16/5800,"")))</f>
        <v>8.68256551724138</v>
      </c>
      <c r="M10" s="116" t="str">
        <f>IF(OR(D10="",'Tube Cutting'!C16=""),"",IF(AND(Data!BN16="42mm Standard Slat",Data!BO16="Mag Cream"),'Tube Cutting'!C16*'Tube Cutting'!D16/5800,IF(AND(Data!BN16="42mm Standard Slat",'Tube Cutting'!H16="Mag Cream"),'Tube Cutting'!C16*'Tube Cutting'!G16/5800,"")))</f>
        <v/>
      </c>
      <c r="N10" s="116" t="str">
        <f>IF(OR(D10="",'Tube Cutting'!C16=""),"",IF(AND(Data!BN16="42mm Standard Slat",Data!BO16="Monument"),'Tube Cutting'!C16*'Tube Cutting'!D16/5800,IF(AND(Data!BN16="42mm Standard Slat",'Tube Cutting'!H16="Monument"),'Tube Cutting'!C16*'Tube Cutting'!G16/5800,"")))</f>
        <v/>
      </c>
      <c r="O10" s="116" t="str">
        <f>IF(OR(D10="",'Tube Cutting'!C16=""),"",IF(AND(Data!BN16="42mm Standard Slat",Data!BO16="Shale Grey"),'Tube Cutting'!C16*'Tube Cutting'!D16/5800,IF(AND(Data!BN16="42mm Standard Slat",'Tube Cutting'!H16="Shale Grey"),'Tube Cutting'!C16*'Tube Cutting'!G16/5800,"")))</f>
        <v/>
      </c>
      <c r="P10" s="116" t="str">
        <f>IF(OR(D10="",'Tube Cutting'!C16=""),"",IF(AND(Data!BN16="42mm Standard Slat",Data!BO16="White"),'Tube Cutting'!C16*'Tube Cutting'!D16/5800,IF(AND(Data!BN16="42mm Standard Slat",'Tube Cutting'!H16="White"),'Tube Cutting'!C16*'Tube Cutting'!G16/5800,"")))</f>
        <v/>
      </c>
      <c r="Q10" s="116" t="str">
        <f>IF(OR(D10="",'Tube Cutting'!C16=""),"",IF(AND(Data!BN16="42mm Standard Slat",Data!BO16="Woodland Grey"),'Tube Cutting'!C16*'Tube Cutting'!D16/5800,IF(AND(Data!BN16="42mm Standard Slat",'Tube Cutting'!H16="Woodland Grey"),'Tube Cutting'!C16*'Tube Cutting'!G16/5800,"")))</f>
        <v/>
      </c>
      <c r="R10" s="116" t="str">
        <f>IF(OR(D10="",'Tube Cutting'!C16=""),"",IF(AND(Data!BN16="42mm Standard Slat",Data!BO16="Cream"),'Tube Cutting'!C16*'Tube Cutting'!D16/5800,IF(AND(Data!BN16="42mm Standard Slat",'Tube Cutting'!H16="Cream"),'Tube Cutting'!C16*'Tube Cutting'!G16/5800,"")))</f>
        <v/>
      </c>
      <c r="S10" s="116" t="str">
        <f>IF(OR(D10="",'Tube Cutting'!C16=""),"",IF(AND(Data!BN16="42mm Standard Slat",Data!BO16="Brown"),'Tube Cutting'!C16*'Tube Cutting'!D16/5800,IF(AND(Data!BN16="42mm Standard Slat",'Tube Cutting'!H16="Brown"),'Tube Cutting'!C16*'Tube Cutting'!G16/5800,"")))</f>
        <v/>
      </c>
      <c r="T10" s="116" t="str">
        <f>IF(OR(D10="",'Tube Cutting'!C16=""),"",IF(AND(Data!BN16="42mm Standard Slat",Data!BO16="Beige"),'Tube Cutting'!C16*'Tube Cutting'!D16/5800,IF(AND(Data!BN16="42mm Standard Slat",'Tube Cutting'!H16="Beige"),'Tube Cutting'!C16*'Tube Cutting'!G16/5800,"")))</f>
        <v/>
      </c>
      <c r="U10" s="116" t="str">
        <f>IF(OR(D10="",'Tube Cutting'!C16=""),"",IF(AND(Data!BN16="42mm Standard Slat",Data!BO16="Green"),'Tube Cutting'!C16*'Tube Cutting'!D16/5800,IF(AND(Data!BN16="42mm Standard Slat",'Tube Cutting'!H16="Green"),'Tube Cutting'!C16*'Tube Cutting'!G16/5800,"")))</f>
        <v/>
      </c>
      <c r="V10" s="116" t="str">
        <f>IF(OR(D10="",'Tube Cutting'!C16=""),"",IF(AND(Data!BN16="42mm Standard Slat",Data!BO16="Red"),'Tube Cutting'!C16*'Tube Cutting'!D16/5800,IF(AND(Data!BN16="42mm Standard Slat",'Tube Cutting'!H16="Red"),'Tube Cutting'!C16*'Tube Cutting'!G16/5800,"")))</f>
        <v/>
      </c>
      <c r="W10" s="116" t="str">
        <f>IF(OR(D10="",'Tube Cutting'!C16=""),"",IF(AND(Data!BN16="42mm Standard Slat",Data!BO16="Bronze"),'Tube Cutting'!C16*'Tube Cutting'!D16/5800,IF(AND(Data!BN16="42mm Standard Slat",'Tube Cutting'!H16="Bronze"),'Tube Cutting'!C16*'Tube Cutting'!G16/5800,"")))</f>
        <v/>
      </c>
      <c r="X10" s="116" t="str">
        <f>IF(OR(D10="",'Tube Cutting'!C16=""),"",IF(AND(Data!BN16="42mm Standard Slat",Data!BO16="Silver"),'Tube Cutting'!C16*'Tube Cutting'!D16/5800,IF(AND(Data!BN16="42mm Standard Slat",'Tube Cutting'!H16="Silver"),'Tube Cutting'!C16*'Tube Cutting'!G16/5800,"")))</f>
        <v/>
      </c>
      <c r="Y10" s="116" t="str">
        <f>IF(OR(D10="",'Tube Cutting'!C16=""),"",IF(AND(Data!BN16="42mm Standard Slat",Data!BO16="Deep Ocean Blue"),'Tube Cutting'!C16*'Tube Cutting'!D16/5800,IF(AND(Data!BN16="42mm Standard Slat",'Tube Cutting'!H16="Deep Ocean Blue"),'Tube Cutting'!C16*'Tube Cutting'!G16/5800,"")))</f>
        <v/>
      </c>
      <c r="Z10" s="116" t="str">
        <f>IF(OR(D10="",'Tube Cutting'!C16=""),"",IF(AND(Data!BN16="42mm Standard Slat",Data!BO16="Jasper"),'Tube Cutting'!C16*'Tube Cutting'!D16/5800,IF(AND(Data!BN16="42mm Standard Slat",'Tube Cutting'!H16="Jasper"),'Tube Cutting'!C16*'Tube Cutting'!G16/5800,"")))</f>
        <v/>
      </c>
      <c r="AA10" s="116" t="str">
        <f>IF(OR(D10="",'Tube Cutting'!C16=""),"",IF(AND(Data!BN16="42mm Standard Slat",Data!BO16="Surfmist"),'Tube Cutting'!C16*'Tube Cutting'!D16/5800,IF(AND(Data!BN16="42mm Standard Slat",'Tube Cutting'!H16="Surfmist"),'Tube Cutting'!C16*'Tube Cutting'!G16/5800,"")))</f>
        <v/>
      </c>
      <c r="AB10" s="116" t="str">
        <f>IF(OR(D10="",'Tube Cutting'!C16=""),"",IF('Tube Cutting'!H16="Black Unperforated",'Tube Cutting'!G16*'Tube Cutting'!C16/5800,IF(AND(OR(Data!BN16="42mm Standard Slat",Data!BN16="42mm Unperforated Slat"),Data!BO16="Black"),('Tube Cutting'!C16*'Tube Cutting'!E16/1000)/5.8,"")))</f>
        <v/>
      </c>
      <c r="AC10" s="116" t="str">
        <f>IF(OR(D10="",'Tube Cutting'!C16=""),"",IF('Tube Cutting'!H16="Clear Beige Unperforated",'Tube Cutting'!G16*'Tube Cutting'!C16/5800,IF(AND(OR(Data!BN16="42mm Standard Slat",Data!BN16="42mm Unperforated Slat"),Data!BO16="Clear Beige"),('Tube Cutting'!C16*'Tube Cutting'!E16/1000)/5.8,"")))</f>
        <v/>
      </c>
      <c r="AD10" s="116">
        <f>IF(OR(D10="",'Tube Cutting'!C16=""),"",IF('Tube Cutting'!H16="Dune Unperforated",'Tube Cutting'!G16*'Tube Cutting'!C16/5800,IF(AND(OR(Data!BN16="42mm Standard Slat",Data!BN16="42mm Unperforated Slat"),Data!BO16="Dune"),('Tube Cutting'!C16*'Tube Cutting'!E16/1000)/5.8,"")))</f>
        <v>1.59137931034483</v>
      </c>
      <c r="AE10" s="116" t="str">
        <f>IF(OR(D10="",'Tube Cutting'!C16=""),"",IF('Tube Cutting'!H16="Mag Cream Unperforated",'Tube Cutting'!G16*'Tube Cutting'!C16/5800,IF(AND(OR(Data!BN16="42mm Standard Slat",Data!BN16="42mm Unperforated Slat"),Data!BO16="Mag Cream"),('Tube Cutting'!C16*'Tube Cutting'!E16/1000)/5.8,"")))</f>
        <v/>
      </c>
      <c r="AF10" s="116" t="str">
        <f>IF(OR(D10="",'Tube Cutting'!C16=""),"",IF('Tube Cutting'!H16="Monument Unperforated",'Tube Cutting'!G16*'Tube Cutting'!C16/5800,IF(AND(OR(Data!BN16="42mm Standard Slat",Data!BN16="42mm Unperforated Slat"),Data!BO16="Monument"),('Tube Cutting'!C16*'Tube Cutting'!E16/1000)/5.8,"")))</f>
        <v/>
      </c>
      <c r="AG10" s="116" t="str">
        <f>IF(OR(D10="",'Tube Cutting'!C16=""),"",IF('Tube Cutting'!H16="Shale Grey Unperforated",'Tube Cutting'!G16*'Tube Cutting'!C16/5800,IF(AND(OR(Data!BN16="42mm Standard Slat",Data!BN16="42mm Unperforated Slat"),Data!BO16="Shale Grey"),('Tube Cutting'!C16*'Tube Cutting'!E16/1000)/5.8,"")))</f>
        <v/>
      </c>
      <c r="AH10" s="116" t="str">
        <f>IF(OR(D10="",'Tube Cutting'!C16=""),"",IF('Tube Cutting'!H16="White Unperforated",'Tube Cutting'!G16*'Tube Cutting'!C16/5800,IF(AND(OR(Data!BN16="42mm Standard Slat",Data!BN16="42mm Unperforated Slat"),Data!BO16="White"),('Tube Cutting'!C16*'Tube Cutting'!E16/1000)/5.8,"")))</f>
        <v/>
      </c>
      <c r="AI10" s="116" t="str">
        <f>IF(OR(D10="",'Tube Cutting'!C16=""),"",IF('Tube Cutting'!H16="Woodland Grey Unperforated",'Tube Cutting'!G16*'Tube Cutting'!C16/5800,IF(AND(OR(Data!BN16="42mm Standard Slat",Data!BN16="42mm Unperforated Slat"),Data!BO16="Woodland Grey"),('Tube Cutting'!C16*'Tube Cutting'!E16/1000)/5.8,"")))</f>
        <v/>
      </c>
      <c r="AJ10" s="116" t="str">
        <f>IF(OR(D10="",'Tube Cutting'!C16=""),"",IF('Tube Cutting'!H16="Cream Unperforated",'Tube Cutting'!G16*'Tube Cutting'!C16/5800,IF(AND(OR(Data!BN16="42mm Standard Slat",Data!BN16="42mm Unperforated Slat"),Data!BO16="Cream"),('Tube Cutting'!C16*'Tube Cutting'!E16/1000)/5.8,"")))</f>
        <v/>
      </c>
      <c r="AK10" s="116" t="str">
        <f>IF(OR(D10="",'Tube Cutting'!C16=""),"",IF('Tube Cutting'!H16="Brown Unperforated",'Tube Cutting'!G16*'Tube Cutting'!C16/5800,IF(AND(OR(Data!BN16="42mm Standard Slat",Data!BN16="42mm Unperforated Slat"),Data!BO16="Brown"),('Tube Cutting'!C16*'Tube Cutting'!E16/1000)/5.8,"")))</f>
        <v/>
      </c>
      <c r="AL10" s="116" t="str">
        <f>IF(OR(D10="",'Tube Cutting'!C16=""),"",IF('Tube Cutting'!H16="Beige Unperforated",'Tube Cutting'!G16*'Tube Cutting'!C16/5800,IF(AND(OR(Data!BN16="42mm Standard Slat",Data!BN16="42mm Unperforated Slat"),Data!BO16="Beige"),('Tube Cutting'!C16*'Tube Cutting'!E16/1000)/5.8,"")))</f>
        <v/>
      </c>
      <c r="AM10" s="116" t="str">
        <f>IF(OR(D10="",'Tube Cutting'!C16=""),"",IF('Tube Cutting'!H16="Green Unperforated",'Tube Cutting'!G16*'Tube Cutting'!C16/5800,IF(AND(OR(Data!BN16="42mm Standard Slat",Data!BN16="42mm Unperforated Slat"),Data!BO16="Green"),('Tube Cutting'!C16*'Tube Cutting'!E16/1000)/5.8,"")))</f>
        <v/>
      </c>
      <c r="AN10" s="116" t="str">
        <f>IF(OR(D10="",'Tube Cutting'!C16=""),"",IF('Tube Cutting'!H16="Red Unperforated",'Tube Cutting'!G16*'Tube Cutting'!C16/5800,IF(AND(OR(Data!BN16="42mm Standard Slat",Data!BN16="42mm Unperforated Slat"),Data!BO16="Red"),('Tube Cutting'!C16*'Tube Cutting'!E16/1000)/5.8,"")))</f>
        <v/>
      </c>
      <c r="AO10" s="116" t="str">
        <f>IF(OR(D10="",'Tube Cutting'!C16=""),"",IF('Tube Cutting'!H16="Bronze Unperforated",'Tube Cutting'!G16*'Tube Cutting'!C16/5800,IF(AND(OR(Data!BN16="42mm Standard Slat",Data!BN16="42mm Unperforated Slat"),Data!BO16="Bronze"),('Tube Cutting'!C16*'Tube Cutting'!E16/1000)/5.8,"")))</f>
        <v/>
      </c>
      <c r="AP10" s="116" t="str">
        <f>IF(OR(D10="",'Tube Cutting'!C16=""),"",IF('Tube Cutting'!H16="Silver Unperforated",'Tube Cutting'!G16*'Tube Cutting'!C16/5800,IF(AND(OR(Data!BN16="42mm Standard Slat",Data!BN16="42mm Unperforated Slat"),Data!BO16="Silver"),('Tube Cutting'!C16*'Tube Cutting'!E16/1000)/5.8,"")))</f>
        <v/>
      </c>
      <c r="AQ10" s="116" t="str">
        <f>IF(OR(D10="",'Tube Cutting'!C16=""),"",IF('Tube Cutting'!H16="Deep Ocean Unperforated",'Tube Cutting'!G16*'Tube Cutting'!C16/5800,IF(AND(OR(Data!BN16="42mm Standard Slat",Data!BN16="42mm Unperforated Slat"),Data!BO16="Deep Ocean"),('Tube Cutting'!C16*'Tube Cutting'!E16/1000)/5.8,"")))</f>
        <v/>
      </c>
      <c r="AR10" s="116" t="str">
        <f>IF(OR(D10="",'Tube Cutting'!C16=""),"",IF('Tube Cutting'!H16="Jasper Unperforated",'Tube Cutting'!G16*'Tube Cutting'!C16/5800,IF(AND(OR(Data!BN16="42mm Standard Slat",Data!BN16="42mm Unperforated Slat"),Data!BO16="Jasper"),('Tube Cutting'!C16*'Tube Cutting'!E16/1000)/5.8,"")))</f>
        <v/>
      </c>
      <c r="AS10" s="116" t="str">
        <f>IF(OR(D10="",'Tube Cutting'!C16=""),"",IF('Tube Cutting'!H16="Surfmist Unperforated",'Tube Cutting'!G16*'Tube Cutting'!C16/5800,IF(AND(OR(Data!BN16="42mm Standard Slat",Data!BN16="42mm Unperforated Slat"),Data!BO16="Surfmist"),('Tube Cutting'!C16*'Tube Cutting'!E16/1000)/5.8,"")))</f>
        <v/>
      </c>
      <c r="AT10" t="str">
        <f>IF(OR(D10="",'Tube Cutting'!C16=""),"",IF(AND('Tube Cutting'!O16="Black",'Tube Cutting'!N16="180mm"),'Tube Cutting'!L16,""))</f>
        <v/>
      </c>
      <c r="AU10" t="str">
        <f>IF(OR(D10="",'Tube Cutting'!C16=""),"",IF(AND('Tube Cutting'!O16="Black",'Tube Cutting'!N16="180mm"),'Tube Cutting'!M16,""))</f>
        <v/>
      </c>
      <c r="AV10" t="str">
        <f>IF(OR(D10="",'Tube Cutting'!C16=""),"",IF(AND('Tube Cutting'!O16="Clear Beige",'Tube Cutting'!N16="180mm"),'Tube Cutting'!L16,""))</f>
        <v/>
      </c>
      <c r="AW10" t="str">
        <f>IF(OR(D10="",'Tube Cutting'!C16=""),"",IF(AND('Tube Cutting'!O16="Clear Beige",'Tube Cutting'!N16="180mm"),'Tube Cutting'!M16,""))</f>
        <v/>
      </c>
      <c r="AX10" t="str">
        <f>IF(OR(D10="",'Tube Cutting'!C16=""),"",IF(AND('Tube Cutting'!O16="Dune",'Tube Cutting'!N16="180mm"),'Tube Cutting'!L16,""))</f>
        <v/>
      </c>
      <c r="AY10" t="str">
        <f>IF(OR(D10="",'Tube Cutting'!C16=""),"",IF(AND('Tube Cutting'!O16="Dune",'Tube Cutting'!N16="180mm"),'Tube Cutting'!M16,""))</f>
        <v/>
      </c>
      <c r="AZ10" t="str">
        <f>IF(OR(D10="",'Tube Cutting'!C16=""),"",IF(AND('Tube Cutting'!O16="Mag Cream",'Tube Cutting'!N16="180mm"),'Tube Cutting'!L16,""))</f>
        <v/>
      </c>
      <c r="BA10" t="str">
        <f>IF(OR(D10="",'Tube Cutting'!C16=""),"",IF(AND('Tube Cutting'!O16="Mag Cream",'Tube Cutting'!N16="180mm"),'Tube Cutting'!M16,""))</f>
        <v/>
      </c>
      <c r="BB10">
        <f>IF(OR(D10="",'Tube Cutting'!C16=""),"",IF(AND('Tube Cutting'!O16="Monument",'Tube Cutting'!N16="180mm"),'Tube Cutting'!L16,""))</f>
        <v>1908</v>
      </c>
      <c r="BC10">
        <f>IF(OR(D10="",'Tube Cutting'!C16=""),"",IF(AND('Tube Cutting'!O16="Monument",'Tube Cutting'!N16="180mm"),'Tube Cutting'!M16,""))</f>
        <v>1908</v>
      </c>
      <c r="BD10" t="str">
        <f>IF(OR(D10="",'Tube Cutting'!C16=""),"",IF(AND('Tube Cutting'!O16="Shale Grey",'Tube Cutting'!N16="180mm"),'Tube Cutting'!L16,""))</f>
        <v/>
      </c>
      <c r="BE10" t="str">
        <f>IF(OR(D10="",'Tube Cutting'!C16=""),"",IF(AND('Tube Cutting'!O16="Shale Grey",'Tube Cutting'!N16="180mm"),'Tube Cutting'!M16,""))</f>
        <v/>
      </c>
      <c r="BF10" t="str">
        <f>IF(OR(D10="",'Tube Cutting'!C16=""),"",IF(AND('Tube Cutting'!O16="White",'Tube Cutting'!N16="180mm"),'Tube Cutting'!L16,""))</f>
        <v/>
      </c>
      <c r="BG10" t="str">
        <f>IF(OR(D10="",'Tube Cutting'!C16=""),"",IF(AND('Tube Cutting'!O16="White",'Tube Cutting'!N16="180mm"),'Tube Cutting'!M16,""))</f>
        <v/>
      </c>
      <c r="BH10" t="str">
        <f>IF(OR(D10="",'Tube Cutting'!C16=""),"",IF(AND('Tube Cutting'!O16="Woodland Grey",'Tube Cutting'!N16="180mm"),'Tube Cutting'!L16,""))</f>
        <v/>
      </c>
      <c r="BI10" t="str">
        <f>IF(OR(D10="",'Tube Cutting'!C16=""),"",IF(AND('Tube Cutting'!O16="Woodland Grey",'Tube Cutting'!N16="180mm"),'Tube Cutting'!M16,""))</f>
        <v/>
      </c>
      <c r="BJ10" t="str">
        <f>IF(OR(D10="",'Tube Cutting'!C16=""),"",IF(AND('Tube Cutting'!O16="Cream",'Tube Cutting'!N16="180mm"),'Tube Cutting'!L16,""))</f>
        <v/>
      </c>
      <c r="BK10" t="str">
        <f>IF(OR(D10="",'Tube Cutting'!C16=""),"",IF(AND('Tube Cutting'!O16="Cream",'Tube Cutting'!N16="180mm"),'Tube Cutting'!M16,""))</f>
        <v/>
      </c>
      <c r="BL10" t="str">
        <f>IF(OR(D10="",'Tube Cutting'!C16=""),"",IF(AND('Tube Cutting'!O16="Brown",'Tube Cutting'!N16="180mm"),'Tube Cutting'!L16,""))</f>
        <v/>
      </c>
      <c r="BM10" t="str">
        <f>IF(OR(D10="",'Tube Cutting'!C16=""),"",IF(AND('Tube Cutting'!O16="Brown",'Tube Cutting'!N16="180mm"),'Tube Cutting'!M16,""))</f>
        <v/>
      </c>
      <c r="BN10" t="str">
        <f>IF(OR(D10="",'Tube Cutting'!C16=""),"",IF(AND('Tube Cutting'!O16="Surfmist",'Tube Cutting'!N16="180mm"),'Tube Cutting'!L16,""))</f>
        <v/>
      </c>
      <c r="BO10" t="str">
        <f>IF(OR(D10="",'Tube Cutting'!C16=""),"",IF(AND('Tube Cutting'!O16="Surfmist",'Tube Cutting'!N16="180mm"),'Tube Cutting'!M16,""))</f>
        <v/>
      </c>
      <c r="BP10" t="str">
        <f>IF(OR(D10="",'Tube Cutting'!C16=""),"",IF(AND('Tube Cutting'!O16="Jasper",'Tube Cutting'!N16="180mm"),'Tube Cutting'!L16,""))</f>
        <v/>
      </c>
      <c r="BQ10" t="str">
        <f>IF(OR(D10="",'Tube Cutting'!C16=""),"",IF(AND('Tube Cutting'!O16="Jasper",'Tube Cutting'!N16="180mm"),'Tube Cutting'!M16,""))</f>
        <v/>
      </c>
      <c r="BR10" t="str">
        <f>IF(OR(E10="",'Tube Cutting'!D16=""),"",IF(AND('Tube Cutting'!O16="Red",'Tube Cutting'!N16="180mm"),'Tube Cutting'!L16,""))</f>
        <v/>
      </c>
      <c r="BS10" t="str">
        <f>IF(OR(E10="",'Tube Cutting'!D16=""),"",IF(AND('Tube Cutting'!O16="Red",'Tube Cutting'!N16="180mm"),'Tube Cutting'!M16,""))</f>
        <v/>
      </c>
      <c r="BT10" t="str">
        <f>IF(OR(D10="",'Tube Cutting'!C16=""),"",IF(AND('Tube Cutting'!O16="Black",'Tube Cutting'!N16="205mm"),'Tube Cutting'!L16,""))</f>
        <v/>
      </c>
      <c r="BU10" t="str">
        <f>IF(OR(D10="",'Tube Cutting'!C16=""),"",IF(AND('Tube Cutting'!O16="Black",'Tube Cutting'!N16="205mm"),'Tube Cutting'!M16,""))</f>
        <v/>
      </c>
      <c r="BV10" t="str">
        <f>IF(OR(D10="",'Tube Cutting'!C16=""),"",IF(AND('Tube Cutting'!O16="Clear Beige",'Tube Cutting'!N16="205mm"),'Tube Cutting'!L16,""))</f>
        <v/>
      </c>
      <c r="BW10" t="str">
        <f>IF(OR(D10="",'Tube Cutting'!C16=""),"",IF(AND('Tube Cutting'!O16="Clear Beige",'Tube Cutting'!N16="205mm"),'Tube Cutting'!M16,""))</f>
        <v/>
      </c>
      <c r="BX10" t="str">
        <f>IF(OR(D10="",'Tube Cutting'!C16=""),"",IF(AND('Tube Cutting'!O16="Dune",'Tube Cutting'!N16="205mm"),'Tube Cutting'!L16,""))</f>
        <v/>
      </c>
      <c r="BY10" t="str">
        <f>IF(OR(D10="",'Tube Cutting'!C16=""),"",IF(AND('Tube Cutting'!O16="Dune",'Tube Cutting'!N16="205mm"),'Tube Cutting'!M16,""))</f>
        <v/>
      </c>
      <c r="BZ10" t="str">
        <f>IF(OR(D10="",'Tube Cutting'!C16=""),"",IF(AND('Tube Cutting'!O16="Mag Cream",'Tube Cutting'!N16="205mm"),'Tube Cutting'!L16,""))</f>
        <v/>
      </c>
      <c r="CA10" t="str">
        <f>IF(OR(D10="",'Tube Cutting'!C16=""),"",IF(AND('Tube Cutting'!O16="Mag Cream",'Tube Cutting'!N16="205mm"),'Tube Cutting'!M16,""))</f>
        <v/>
      </c>
      <c r="CB10" t="str">
        <f>IF(OR(D10="",'Tube Cutting'!C16=""),"",IF(AND('Tube Cutting'!O16="Monument",'Tube Cutting'!N16="205mm"),'Tube Cutting'!L16,""))</f>
        <v/>
      </c>
      <c r="CC10" t="str">
        <f>IF(OR(D10="",'Tube Cutting'!C16=""),"",IF(AND('Tube Cutting'!O16="Monument",'Tube Cutting'!N16="205mm"),'Tube Cutting'!M16,""))</f>
        <v/>
      </c>
      <c r="CD10" t="str">
        <f>IF(OR(D10="",'Tube Cutting'!C16=""),"",IF(AND('Tube Cutting'!O16="Shale Grey",'Tube Cutting'!N16="205mm"),'Tube Cutting'!L16,""))</f>
        <v/>
      </c>
      <c r="CE10" t="str">
        <f>IF(OR(D10="",'Tube Cutting'!C16=""),"",IF(AND('Tube Cutting'!O16="Shale Grey",'Tube Cutting'!N16="205mm"),'Tube Cutting'!M16,""))</f>
        <v/>
      </c>
      <c r="CF10" t="str">
        <f>IF(OR(D10="",'Tube Cutting'!C16=""),"",IF(AND('Tube Cutting'!O16="White",'Tube Cutting'!N16="205mm"),'Tube Cutting'!L16,""))</f>
        <v/>
      </c>
      <c r="CG10" t="str">
        <f>IF(OR(D10="",'Tube Cutting'!C16=""),"",IF(AND('Tube Cutting'!O16="White",'Tube Cutting'!N16="205mm"),'Tube Cutting'!M16,""))</f>
        <v/>
      </c>
      <c r="CH10" t="str">
        <f>IF(OR(D10="",'Tube Cutting'!C16=""),"",IF(AND('Tube Cutting'!O16="Woodland Grey",'Tube Cutting'!N16="205mm"),'Tube Cutting'!L16,""))</f>
        <v/>
      </c>
      <c r="CI10" t="str">
        <f>IF(OR(D10="",'Tube Cutting'!C16=""),"",IF(AND('Tube Cutting'!O16="Woodland Grey",'Tube Cutting'!N16="205mm"),'Tube Cutting'!M16,""))</f>
        <v/>
      </c>
      <c r="CJ10" t="str">
        <f>IF(OR(D10="",'Tube Cutting'!C16=""),"",IF(AND('Tube Cutting'!O16="Cream",'Tube Cutting'!N16="205mm"),'Tube Cutting'!L16,""))</f>
        <v/>
      </c>
      <c r="CK10" t="str">
        <f>IF(OR(D10="",'Tube Cutting'!C16=""),"",IF(AND('Tube Cutting'!O16="Cream",'Tube Cutting'!N16="205mm"),'Tube Cutting'!M16,""))</f>
        <v/>
      </c>
      <c r="CL10" t="str">
        <f>IF(OR(D10="",'Tube Cutting'!C16=""),"",IF(AND('Tube Cutting'!O16="Brown",'Tube Cutting'!N16="205mm"),'Tube Cutting'!L16,""))</f>
        <v/>
      </c>
      <c r="CM10" t="str">
        <f>IF(OR(D10="",'Tube Cutting'!C16=""),"",IF(AND('Tube Cutting'!O16="Brown",'Tube Cutting'!N16="205mm"),'Tube Cutting'!M16,""))</f>
        <v/>
      </c>
      <c r="CN10" t="str">
        <f>IF(OR(D10="",'Tube Cutting'!C16=""),"",IF(AND('Tube Cutting'!O16="Surfmist",'Tube Cutting'!N16="205mm"),'Tube Cutting'!L16,""))</f>
        <v/>
      </c>
      <c r="CO10" t="str">
        <f>IF(OR(D10="",'Tube Cutting'!C16=""),"",IF(AND('Tube Cutting'!O16="Surfmist",'Tube Cutting'!N16="205mm"),'Tube Cutting'!M16,""))</f>
        <v/>
      </c>
      <c r="CP10" t="str">
        <f>IF(OR(D10="",'Tube Cutting'!C16=""),"",IF(AND('Tube Cutting'!O16="Jasper",'Tube Cutting'!N16="205mm"),'Tube Cutting'!L16,""))</f>
        <v/>
      </c>
      <c r="CQ10" t="str">
        <f>IF(OR(D10="",'Tube Cutting'!C16=""),"",IF(AND('Tube Cutting'!O16="Jasper",'Tube Cutting'!N16="205mm"),'Tube Cutting'!M16,""))</f>
        <v/>
      </c>
      <c r="CR10" t="str">
        <f>IF(OR(D10="",'Tube Cutting'!C16=""),"",IF(AND('Tube Cutting'!O16="Cream",'Tube Cutting'!N16="230mm"),'Tube Cutting'!L16,""))</f>
        <v/>
      </c>
      <c r="CS10" t="str">
        <f>IF(OR(D10="",'Tube Cutting'!C16=""),"",IF(AND('Tube Cutting'!O16="Cream",'Tube Cutting'!N16="230mm"),'Tube Cutting'!M16,""))</f>
        <v/>
      </c>
      <c r="CT10" t="str">
        <f>IF(OR(D10="",'Tube Cutting'!C16=""),"",IF(AND('Tube Cutting'!O16="Mag Cream",'Tube Cutting'!N16="230mm"),'Tube Cutting'!L16,""))</f>
        <v/>
      </c>
      <c r="CU10" t="str">
        <f>IF(OR(D10="",'Tube Cutting'!C16=""),"",IF(AND('Tube Cutting'!O16="Mag Cream",'Tube Cutting'!N16="230mm"),'Tube Cutting'!M16,""))</f>
        <v/>
      </c>
      <c r="CV10" t="str">
        <f>IF(OR(D10="",'Tube Cutting'!C16=""),"",IF(AND('Tube Cutting'!O16="Clear Beige",'Tube Cutting'!N16="230mm"),'Tube Cutting'!L16,""))</f>
        <v/>
      </c>
      <c r="CW10" t="str">
        <f>IF(OR(D10="",'Tube Cutting'!C16=""),"",IF(AND('Tube Cutting'!O16="Clear Beige",'Tube Cutting'!N16="230mm"),'Tube Cutting'!M16,""))</f>
        <v/>
      </c>
      <c r="CX10" t="str">
        <f>IF(OR(D10="",'Tube Cutting'!C16=""),"",IF(AND('Tube Cutting'!O16="White",'Tube Cutting'!N16="230mm"),'Tube Cutting'!L16,""))</f>
        <v/>
      </c>
      <c r="CY10" t="str">
        <f>IF(OR(D10="",'Tube Cutting'!C16=""),"",IF(AND('Tube Cutting'!O16="White",'Tube Cutting'!N16="230mm"),'Tube Cutting'!M16,""))</f>
        <v/>
      </c>
      <c r="CZ10" t="str">
        <f>IF(OR(D10="",'Tube Cutting'!C16=""),"",IF(AND('Tube Cutting'!O16="Shale Grey",'Tube Cutting'!N16="230mm"),'Tube Cutting'!L16,""))</f>
        <v/>
      </c>
      <c r="DA10" t="str">
        <f>IF(OR(D10="",'Tube Cutting'!C16=""),"",IF(AND('Tube Cutting'!O16="Shale Grey",'Tube Cutting'!N16="230mm"),'Tube Cutting'!M16,""))</f>
        <v/>
      </c>
      <c r="DB10" t="str">
        <f>IF(OR(D10="",'Tube Cutting'!C16=""),"",IF(AND('Tube Cutting'!O16="Black",'Tube Cutting'!N16="230mm"),'Tube Cutting'!L16,""))</f>
        <v/>
      </c>
      <c r="DC10" t="str">
        <f>IF(OR(D10="",'Tube Cutting'!C16=""),"",IF(AND('Tube Cutting'!O16="Black",'Tube Cutting'!N16="230mm"),'Tube Cutting'!M16,""))</f>
        <v/>
      </c>
      <c r="DD10" t="str">
        <f>IF(OR(D10="",'Tube Cutting'!C16=""),"",IF(AND('Tube Cutting'!O16="Monument",'Tube Cutting'!N16="230mm"),'Tube Cutting'!L16,""))</f>
        <v/>
      </c>
      <c r="DE10" t="str">
        <f>IF(OR(D10="",'Tube Cutting'!C16=""),"",IF(AND('Tube Cutting'!O16="Monument",'Tube Cutting'!N16="230mm"),'Tube Cutting'!M16,""))</f>
        <v/>
      </c>
      <c r="DF10" t="str">
        <f>IF(OR(D10="",'Tube Cutting'!C16=""),"",IF(AND('Tube Cutting'!O16="Woodland Grey",'Tube Cutting'!N16="230mm"),'Tube Cutting'!L16,""))</f>
        <v/>
      </c>
      <c r="DG10" t="str">
        <f>IF(OR(D10="",'Tube Cutting'!C16=""),"",IF(AND('Tube Cutting'!O16="Woodland Grey",'Tube Cutting'!N16="230mm"),'Tube Cutting'!M16,""))</f>
        <v/>
      </c>
      <c r="DH10" t="str">
        <f>IF(OR(D10="",'Tube Cutting'!C16=""),"",IF(AND('Tube Cutting'!O16="Surfmist",'Tube Cutting'!N16="230mm"),'Tube Cutting'!L16,""))</f>
        <v/>
      </c>
      <c r="DI10" t="str">
        <f>IF(OR(D10="",'Tube Cutting'!C16=""),"",IF(AND('Tube Cutting'!O16="Surfmist",'Tube Cutting'!N16="230mm"),'Tube Cutting'!M16,""))</f>
        <v/>
      </c>
      <c r="DJ10" t="str">
        <f>IF(OR(D10="",'Tube Cutting'!C16=""),"",IF(AND('Tube Cutting'!O16="Jasper",'Tube Cutting'!N16="230mm"),'Tube Cutting'!L16,""))</f>
        <v/>
      </c>
      <c r="DK10" t="str">
        <f>IF(OR(D10="",'Tube Cutting'!C16=""),"",IF(AND('Tube Cutting'!O16="Jasper",'Tube Cutting'!N16="230mm"),'Tube Cutting'!M16,""))</f>
        <v/>
      </c>
      <c r="DL10" t="str">
        <f>IF(OR(D10="",'Tube Cutting'!C16=""),"",IF(AND('Tube Cutting'!O16="Dune",'Tube Cutting'!N16="230mm"),'Tube Cutting'!L16,""))</f>
        <v/>
      </c>
      <c r="DM10" t="str">
        <f>IF(OR(D10="",'Tube Cutting'!C16=""),"",IF(AND('Tube Cutting'!O16="Dune",'Tube Cutting'!N16="230mm"),'Tube Cutting'!M16,""))</f>
        <v/>
      </c>
      <c r="DN10" t="str">
        <f>IF(OR(D10="",'Tube Cutting'!C16=""),"",IF(AND('Tube Cutting'!R16="Cream",'Job Sheet'!AG16="Bay Window Flashing x 1"),'Job Sheet'!BB16,IF(AND('Tube Cutting'!R16="Cream",'Job Sheet'!AG16="Bay Window Flashing x 2"),'Job Sheet'!BB16*2,"")))</f>
        <v/>
      </c>
      <c r="DO10" t="str">
        <f>IF(OR(D10="",'Tube Cutting'!C16=""),"",IF(AND('Tube Cutting'!R16="Mag",'Job Sheet'!AG16="Bay Window Flashing x 1"),'Job Sheet'!BB16,IF(AND('Tube Cutting'!R16="Mag Cream",'Job Sheet'!AG16="Bay Window Flashing x 2"),'Job Sheet'!BB16*2,"")))</f>
        <v/>
      </c>
      <c r="DP10" t="str">
        <f>IF(OR(D10="",'Tube Cutting'!C16=""),"",IF(AND('Tube Cutting'!R16="Clear Beige",'Job Sheet'!AG16="Bay Window Flashing x 1"),'Job Sheet'!BB16,IF(AND('Tube Cutting'!R16="Clear Beige",'Job Sheet'!AG16="Bay Window Flashing x 2"),'Job Sheet'!BB16*2,"")))</f>
        <v/>
      </c>
      <c r="DQ10" t="str">
        <f>IF(OR(D10="",'Tube Cutting'!C16=""),"",IF(AND('Tube Cutting'!R16="White",'Job Sheet'!AG16="Bay Window Flashing x 1"),'Job Sheet'!BB16,IF(AND('Tube Cutting'!R16="White",'Job Sheet'!AG16="Bay Window Flashing x 2"),'Job Sheet'!BB16*2,"")))</f>
        <v/>
      </c>
      <c r="DR10" t="str">
        <f>IF(OR(D10="",'Tube Cutting'!C16=""),"",IF(AND('Tube Cutting'!R16="Shale Grey",'Job Sheet'!AG16="Bay Window Flashing x 1"),'Job Sheet'!BB16,IF(AND('Tube Cutting'!R16="Shale Grey",'Job Sheet'!AG16="Bay Window Flashing x 2"),'Job Sheet'!BB16*2,"")))</f>
        <v/>
      </c>
      <c r="DS10" t="str">
        <f>IF(OR(D10="",'Tube Cutting'!C16=""),"",IF(AND('Tube Cutting'!R16="Brown",'Job Sheet'!AG16="Bay Window Flashing x 1"),'Job Sheet'!BB16,IF(AND('Tube Cutting'!R16="Brown",'Job Sheet'!AG16="Bay Window Flashing x 2"),'Job Sheet'!BB16*2,"")))</f>
        <v/>
      </c>
      <c r="DT10" t="str">
        <f>IF(OR(D10="",'Tube Cutting'!C16=""),"",IF(AND('Tube Cutting'!R16="Black",'Job Sheet'!AG16="Bay Window Flashing x 1"),'Job Sheet'!BB16,IF(AND('Tube Cutting'!R16="Black",'Job Sheet'!AG16="Bay Window Flashing x 2"),'Job Sheet'!BB16*2,"")))</f>
        <v/>
      </c>
      <c r="DU10" t="str">
        <f>IF(OR(D10="",'Tube Cutting'!C16=""),"",IF(AND('Tube Cutting'!R16="Monument",'Job Sheet'!AG16="Bay Window Flashing x 1"),'Job Sheet'!BB16,IF(AND('Tube Cutting'!R16="Monument",'Job Sheet'!AG16="Bay Window Flashing x 2"),'Job Sheet'!BB16*2,"")))</f>
        <v/>
      </c>
      <c r="DV10" t="str">
        <f>IF(OR(D10="",'Tube Cutting'!C16=""),"",IF(AND('Tube Cutting'!R16="Woodland Grey",'Job Sheet'!AG16="Bay Window Flashing x 1"),'Job Sheet'!BB16,IF(AND('Tube Cutting'!R16="Woodland Grey",'Job Sheet'!AG16="Bay Window Flashing x 2"),'Job Sheet'!BB16*2,"")))</f>
        <v/>
      </c>
      <c r="DW10" t="str">
        <f>IF(OR(D10="",'Tube Cutting'!C16=""),"",IF(AND('Tube Cutting'!R16="Surfmist",'Job Sheet'!AG16="Bay Window Flashing x 1"),'Job Sheet'!BB16,IF(AND('Tube Cutting'!R16="Surfmist",'Job Sheet'!AG16="Bay Window Flashing x 2"),'Job Sheet'!BB16*2,"")))</f>
        <v/>
      </c>
      <c r="DX10" t="str">
        <f>IF(OR(D10="",'Tube Cutting'!C16=""),"",IF(AND('Tube Cutting'!R16="Jasper",'Job Sheet'!AG16="Bay Window Flashing x 1"),'Job Sheet'!BB16,IF(AND('Tube Cutting'!R16="Jasper",'Job Sheet'!AG16="Bay Window Flashing x 2"),'Job Sheet'!BB16*2,"")))</f>
        <v/>
      </c>
      <c r="DY10" t="str">
        <f>IF(OR(D10="",'Tube Cutting'!C16=""),"",IF(AND('Tube Cutting'!R16="Dune",'Job Sheet'!AG16="Bay Window Flashing x 1"),'Job Sheet'!BB16,IF(AND('Tube Cutting'!R16="Dune",'Job Sheet'!AG16="Bay Window Flashing x 2"),'Job Sheet'!BB16*2,"")))</f>
        <v/>
      </c>
      <c r="DZ10" t="str">
        <f>IF(OR(D10="",'Tube Cutting'!C16=""),"",IF('Tube Cutting'!R16="Cream",IF(SUM('Job Sheet'!BR16:BU16)=0,"",SUM('Job Sheet'!BR16:BU16)),""))</f>
        <v/>
      </c>
      <c r="EA10" t="str">
        <f>IF(OR(D10="",'Tube Cutting'!C16=""),"",IF('Tube Cutting'!R16="Mag Cream",IF(SUM('Job Sheet'!BR16:BU16)=0,"",SUM('Job Sheet'!BR16:BU16)),""))</f>
        <v/>
      </c>
      <c r="EB10" t="str">
        <f>IF(OR(D10="",'Tube Cutting'!C16=""),"",IF('Tube Cutting'!R16="Clear Beige",IF(SUM('Job Sheet'!BR16:BU16)=0,"",SUM('Job Sheet'!BR16:BU16)),""))</f>
        <v/>
      </c>
      <c r="EC10" t="str">
        <f>IF(OR(D10="",'Tube Cutting'!C16=""),"",IF('Tube Cutting'!R16="White",IF(SUM('Job Sheet'!BR16:BU16)=0,"",SUM('Job Sheet'!BR16:BU16)),""))</f>
        <v/>
      </c>
      <c r="ED10" t="str">
        <f>IF(OR(D10="",'Tube Cutting'!C16=""),"",IF('Tube Cutting'!R16="Shale Grey",IF(SUM('Job Sheet'!BR16:BU16)=0,"",SUM('Job Sheet'!BR16:BU16)),""))</f>
        <v/>
      </c>
      <c r="EE10" t="str">
        <f>IF(OR(D10="",'Tube Cutting'!C16=""),"",IF('Tube Cutting'!R16="Brown",IF(SUM('Job Sheet'!BR16:BU16)=0,"",SUM('Job Sheet'!BR16:BU16)),""))</f>
        <v/>
      </c>
      <c r="EF10" t="str">
        <f>IF(OR(D10="",'Tube Cutting'!C16=""),"",IF('Tube Cutting'!R16="Black",IF(SUM('Job Sheet'!BR16:BU16)=0,"",SUM('Job Sheet'!BR16:BU16)),""))</f>
        <v/>
      </c>
      <c r="EG10" t="str">
        <f>IF(OR(D10="",'Tube Cutting'!C16=""),"",IF('Tube Cutting'!R16="Monument",IF(SUM('Job Sheet'!BR16:BU16)=0,"",SUM('Job Sheet'!BR16:BU16)),""))</f>
        <v/>
      </c>
      <c r="EH10" t="str">
        <f>IF(OR(D10="",'Tube Cutting'!C16=""),"",IF('Tube Cutting'!R16="Woodland Grey",IF(SUM('Job Sheet'!BR16:BU16)=0,"",SUM('Job Sheet'!BR16:BU16)),""))</f>
        <v/>
      </c>
      <c r="EI10" t="str">
        <f>IF(OR(D10="",'Tube Cutting'!C16=""),"",IF('Tube Cutting'!R16="Surfmist",IF(SUM('Job Sheet'!BR16:BU16)=0,"",SUM('Job Sheet'!BR16:BU16)),""))</f>
        <v/>
      </c>
      <c r="EJ10" t="str">
        <f>IF(OR(D10="",'Tube Cutting'!C16=""),"",IF('Tube Cutting'!R16="Jasper",IF(SUM('Job Sheet'!BR16:BU16)=0,"",SUM('Job Sheet'!BR16:BU16)),""))</f>
        <v/>
      </c>
      <c r="EK10" t="str">
        <f>IF(OR(D10="",'Tube Cutting'!C16=""),"",IF('Tube Cutting'!R16="Dune",IF(SUM('Job Sheet'!BR16:BU16)=0,"",SUM('Job Sheet'!BR16:BU16)),""))</f>
        <v/>
      </c>
      <c r="EL10" t="str">
        <f>IF(OR(D10="",'Tube Cutting'!C16=""),"",IF('Tube Cutting'!R16="Cream",IF(SUM('Job Sheet'!BV16:BY16)=0,"",SUM('Job Sheet'!BV16:BY16)),""))</f>
        <v/>
      </c>
      <c r="EM10" t="str">
        <f>IF(OR(D10="",'Tube Cutting'!C16=""),"",IF('Tube Cutting'!R16="Mag Cream",IF(SUM('Job Sheet'!BV16:BY16)=0,"",SUM('Job Sheet'!BV16:BY16)),""))</f>
        <v/>
      </c>
      <c r="EN10" t="str">
        <f>IF(OR(D10="",'Tube Cutting'!C16=""),"",IF('Tube Cutting'!R16="Clear Beige",IF(SUM('Job Sheet'!BV16:BY16)=0,"",SUM('Job Sheet'!BV16:BY16)),""))</f>
        <v/>
      </c>
      <c r="EO10" t="str">
        <f>IF(OR(D10="",'Tube Cutting'!C16=""),"",IF('Tube Cutting'!R16="White",IF(SUM('Job Sheet'!BV16:BY16)=0,"",SUM('Job Sheet'!BV16:BY16)),""))</f>
        <v/>
      </c>
      <c r="EP10" t="str">
        <f>IF(OR(D10="",'Tube Cutting'!C16=""),"",IF('Tube Cutting'!R16="Shale Grey",IF(SUM('Job Sheet'!BV16:BY16)=0,"",SUM('Job Sheet'!BV16:BY16)),""))</f>
        <v/>
      </c>
      <c r="EQ10" t="str">
        <f>IF(OR(D10="",'Tube Cutting'!C16=""),"",IF('Tube Cutting'!R16="Brown",IF(SUM('Job Sheet'!BV16:BY16)=0,"",SUM('Job Sheet'!BV16:BY16)),""))</f>
        <v/>
      </c>
      <c r="ER10" t="str">
        <f>IF(OR(D10="",'Tube Cutting'!C16=""),"",IF('Tube Cutting'!R16="Black",IF(SUM('Job Sheet'!BV16:BY16)=0,"",SUM('Job Sheet'!BV16:BY16)),""))</f>
        <v/>
      </c>
      <c r="ES10" t="str">
        <f>IF(OR(D10="",'Tube Cutting'!C16=""),"",IF('Tube Cutting'!R16="Monument",IF(SUM('Job Sheet'!BV16:BY16)=0,"",SUM('Job Sheet'!BV16:BY16)),""))</f>
        <v/>
      </c>
      <c r="ET10" t="str">
        <f>IF(OR(D10="",'Tube Cutting'!C16=""),"",IF('Tube Cutting'!R16="Woodland Grey",IF(SUM('Job Sheet'!BV16:BY16)=0,"",SUM('Job Sheet'!BV16:BY16)),""))</f>
        <v/>
      </c>
      <c r="EU10" t="str">
        <f>IF(OR(D10="",'Tube Cutting'!C16=""),"",IF('Tube Cutting'!R16="Surfmist",IF(SUM('Job Sheet'!BV16:BY16)=0,"",SUM('Job Sheet'!BV16:BY16)),""))</f>
        <v/>
      </c>
      <c r="EV10" t="str">
        <f>IF(OR(D10="",'Tube Cutting'!C16=""),"",IF('Tube Cutting'!R16="Jasper",IF(SUM('Job Sheet'!BV16:BY16)=0,"",SUM('Job Sheet'!BV16:BY16)),""))</f>
        <v/>
      </c>
      <c r="EW10" t="str">
        <f>IF(OR(D10="",'Tube Cutting'!C16=""),"",IF('Tube Cutting'!R16="Dune",IF(SUM('Job Sheet'!BV16:BY16)=0,"",SUM('Job Sheet'!BV16:BY16)),""))</f>
        <v/>
      </c>
      <c r="EX10" t="str">
        <f>IF(OR(D10="",'Tube Cutting'!C16=""),"",IF('Tube Cutting'!R16="Cream",IF(SUM('Job Sheet'!BZ16:CC16)=0,"",SUM('Job Sheet'!BZ16:CC16)),""))</f>
        <v/>
      </c>
      <c r="EY10" t="str">
        <f>IF(OR(D10="",'Tube Cutting'!C16=""),"",IF('Tube Cutting'!R16="Mag Cream",IF(SUM('Job Sheet'!BZ16:CC16)=0,"",SUM('Job Sheet'!BZ16:CC16)),""))</f>
        <v/>
      </c>
      <c r="EZ10" t="str">
        <f>IF(OR(D10="",'Tube Cutting'!C16=""),"",IF('Tube Cutting'!R16="Clear Beige",IF(SUM('Job Sheet'!BZ16:CC16)=0,"",SUM('Job Sheet'!BZ16:CC16)),""))</f>
        <v/>
      </c>
      <c r="FA10" t="str">
        <f>IF(OR(D10="",'Tube Cutting'!C16=""),"",IF('Tube Cutting'!R16="White",IF(SUM('Job Sheet'!BZ16:CC16)=0,"",SUM('Job Sheet'!BZ16:CC16)),""))</f>
        <v/>
      </c>
      <c r="FB10" t="str">
        <f>IF(OR(D10="",'Tube Cutting'!C16=""),"",IF('Tube Cutting'!R16="Shale Grey",IF(SUM('Job Sheet'!BZ16:CC16)=0,"",SUM('Job Sheet'!BZ16:CC16)),""))</f>
        <v/>
      </c>
      <c r="FC10" t="str">
        <f>IF(OR(D10="",'Tube Cutting'!C16=""),"",IF('Tube Cutting'!R16="Brown",IF(SUM('Job Sheet'!BZ16:CC16)=0,"",SUM('Job Sheet'!BZ16:CC16)),""))</f>
        <v/>
      </c>
      <c r="FD10" t="str">
        <f>IF(OR(D10="",'Tube Cutting'!C16=""),"",IF('Tube Cutting'!R16="Black",IF(SUM('Job Sheet'!BZ16:CC16)=0,"",SUM('Job Sheet'!BZ16:CC16)),""))</f>
        <v/>
      </c>
      <c r="FE10" t="str">
        <f>IF(OR(D10="",'Tube Cutting'!C16=""),"",IF('Tube Cutting'!R16="Monument",IF(SUM('Job Sheet'!BZ16:CC16)=0,"",SUM('Job Sheet'!BZ16:CC16)),""))</f>
        <v/>
      </c>
      <c r="FF10" t="str">
        <f>IF(OR(D10="",'Tube Cutting'!C16=""),"",IF('Tube Cutting'!R16="Woodland Grey",IF(SUM('Job Sheet'!BZ16:CC16)=0,"",SUM('Job Sheet'!BZ16:CC16)),""))</f>
        <v/>
      </c>
      <c r="FG10" t="str">
        <f>IF(OR(D10="",'Tube Cutting'!C16=""),"",IF('Tube Cutting'!R16="Surfmist",IF(SUM('Job Sheet'!BZ16:CC16)=0,"",SUM('Job Sheet'!BZ16:CC16)),""))</f>
        <v/>
      </c>
      <c r="FH10" t="str">
        <f>IF(OR(D10="",'Tube Cutting'!C16=""),"",IF('Tube Cutting'!R16="Jasper",IF(SUM('Job Sheet'!BZ16:CC16)=0,"",SUM('Job Sheet'!BZ16:CC16)),""))</f>
        <v/>
      </c>
      <c r="FI10" t="str">
        <f>IF(OR(D10="",'Tube Cutting'!C16=""),"",IF('Tube Cutting'!R16="Dune",IF(SUM('Job Sheet'!BZ16:CC16)=0,"",SUM('Job Sheet'!BZ16:CC16)),""))</f>
        <v/>
      </c>
      <c r="FJ10" t="str">
        <f>IF(OR(D10="",'Tube Cutting'!C16=""),"",IF('Tube Cutting'!R16="Cream",IF(SUM('Job Sheet'!BN16:BQ16)=0,"",SUM('Job Sheet'!BN16:BQ16)),""))</f>
        <v/>
      </c>
      <c r="FK10" t="str">
        <f>IF(OR(D10="",'Tube Cutting'!C16=""),"",IF('Tube Cutting'!R16="Mag Cream",IF(SUM('Job Sheet'!BN16:BQ16)=0,"",SUM('Job Sheet'!BN16:BQ16)),""))</f>
        <v/>
      </c>
      <c r="FL10" t="str">
        <f>IF(OR(D10="",'Tube Cutting'!C16=""),"",IF('Tube Cutting'!R16="Clear Beige",IF(SUM('Job Sheet'!BN16:BQ16)=0,"",SUM('Job Sheet'!BN16:BQ16)),""))</f>
        <v/>
      </c>
      <c r="FM10" t="str">
        <f>IF(OR(D10="",'Tube Cutting'!C16=""),"",IF('Tube Cutting'!R16="White",IF(SUM('Job Sheet'!BN16:BQ16)=0,"",SUM('Job Sheet'!BN16:BQ16)),""))</f>
        <v/>
      </c>
      <c r="FN10" t="str">
        <f>IF(OR(D10="",'Tube Cutting'!C16=""),"",IF('Tube Cutting'!R16="Shale Grey",IF(SUM('Job Sheet'!BN16:BQ16)=0,"",SUM('Job Sheet'!BN16:BQ16)),""))</f>
        <v/>
      </c>
      <c r="FO10" t="str">
        <f>IF(OR(D10="",'Tube Cutting'!C16=""),"",IF('Tube Cutting'!R16="Brown",IF(SUM('Job Sheet'!BN16:BQ16)=0,"",SUM('Job Sheet'!BN16:BQ16)),""))</f>
        <v/>
      </c>
      <c r="FP10" t="str">
        <f>IF(OR(D10="",'Tube Cutting'!C16=""),"",IF('Tube Cutting'!R16="Dune",IF(SUM('Job Sheet'!BN16:BQ16)=0,"",SUM('Job Sheet'!BN16:BQ16)),""))</f>
        <v/>
      </c>
      <c r="FQ10" t="str">
        <f>IF(OR(D10="",'Tube Cutting'!C16=""),"",IF('Tube Cutting'!R16="Dune",IF(SUM('Job Sheet'!BN16:BQ16)=0,"",SUM('Job Sheet'!BN16:BQ16)),""))</f>
        <v/>
      </c>
      <c r="FR10" t="str">
        <f>IF(OR(D10="",'Tube Cutting'!C16=""),"",IF('Tube Cutting'!R16="Black",IF(SUM('Job Sheet'!BN16:BQ16)=0,"",SUM('Job Sheet'!BN16:BQ16)),""))</f>
        <v/>
      </c>
      <c r="FS10" t="str">
        <f>IF(OR(D10="",'Tube Cutting'!C16=""),"",IF('Tube Cutting'!R16="Monument",IF(SUM('Job Sheet'!BN16:BQ16)=0,"",SUM('Job Sheet'!BN16:BQ16)),""))</f>
        <v/>
      </c>
      <c r="FT10" t="str">
        <f>IF(OR(D10="",'Tube Cutting'!C16=""),"",IF('Tube Cutting'!R16="Custom Powdercoat",IF(SUM('Job Sheet'!BN16:BQ16)=0,"",SUM('Job Sheet'!BN16:BQ16)),""))</f>
        <v/>
      </c>
      <c r="FU10" t="str">
        <f>IF(OR(D10="",'Tube Cutting'!C16=""),"",IF('Tube Cutting'!R16="Woodland Grey",IF(SUM('Job Sheet'!BN16:BQ16)=0,"",SUM('Job Sheet'!BN16:BQ16)),""))</f>
        <v/>
      </c>
      <c r="FV10" t="str">
        <f>IF(OR(D10="",'Tube Cutting'!C16=""),"",IF('Tube Cutting'!R16="Jasper",IF(SUM('Job Sheet'!BN16:BQ16)=0,"",SUM('Job Sheet'!BN16:BQ16)),""))</f>
        <v/>
      </c>
      <c r="FW10" t="str">
        <f>IF(OR(D10="",'Tube Cutting'!C16=""),"",IF('Tube Cutting'!R16="Surfmist",IF(SUM('Job Sheet'!BN16:BQ16)=0,"",SUM('Job Sheet'!BN16:BQ16)),""))</f>
        <v/>
      </c>
      <c r="FX10" t="str">
        <f>IF(OR(D10="",'Tube Cutting'!C16=""),"",IF('Tube Cutting'!R16="Dune",IF(SUM('Job Sheet'!BN16:BQ16)=0,"",SUM('Job Sheet'!BN16:BQ16)),""))</f>
        <v/>
      </c>
      <c r="FY10">
        <f>IF(OR(D10="",'Tube Cutting'!C16=""),"",IF(AND('Order Form'!R14="Supplied by Davidson's",'Tube Cutting'!C16&lt;&gt;""),"",'Tube Cutting'!S16))</f>
        <v>1838</v>
      </c>
      <c r="FZ10" t="str">
        <f>IF(OR(D10="",'Tube Cutting'!C16=""),"",IF(AND(Data!BN16="42mm Standard Slat",'Tube Cutting'!J16="Black"),'Tube Cutting'!I16,""))</f>
        <v/>
      </c>
      <c r="GA10" t="str">
        <f>IF(OR(D10="",'Tube Cutting'!C16=""),"",IF(AND(Data!BN16="42mm Standard Slat",'Tube Cutting'!J16="Clear Beige"),'Tube Cutting'!I16,""))</f>
        <v/>
      </c>
      <c r="GB10" t="str">
        <f>IF(OR(D10="",'Tube Cutting'!C16=""),"",IF(AND(Data!BN16="42mm Standard Slat",'Tube Cutting'!J16="Dune"),'Tube Cutting'!I16,""))</f>
        <v/>
      </c>
      <c r="GC10" t="str">
        <f>IF(OR(D10="",'Tube Cutting'!C16=""),"",IF(AND(Data!BN16="42mm Standard Slat",'Tube Cutting'!J16="Mag Cream"),'Tube Cutting'!I16,""))</f>
        <v/>
      </c>
      <c r="GD10">
        <f>IF(OR(D10="",'Tube Cutting'!C16=""),"",IF(AND(Data!BN16="42mm Standard Slat",'Tube Cutting'!J16="Monument"),'Tube Cutting'!I16,""))</f>
        <v>1846</v>
      </c>
      <c r="GE10" t="str">
        <f>IF(OR(D10="",'Tube Cutting'!C16=""),"",IF(AND(Data!BN16="42mm Standard Slat",'Tube Cutting'!J16="Shale Grey"),'Tube Cutting'!I16,""))</f>
        <v/>
      </c>
      <c r="GF10" t="str">
        <f>IF(OR(D10="",'Tube Cutting'!C16=""),"",IF(AND(Data!BN16="42mm Standard Slat",'Tube Cutting'!J16="White"),'Tube Cutting'!I16,""))</f>
        <v/>
      </c>
      <c r="GG10" t="str">
        <f>IF(OR(D10="",'Tube Cutting'!C16=""),"",IF(AND(Data!BN16="42mm Standard Slat",'Tube Cutting'!J16="Woodland Grey"),'Tube Cutting'!I16,""))</f>
        <v/>
      </c>
      <c r="GH10" t="str">
        <f>IF(OR(D10="",'Tube Cutting'!C16=""),"",IF(AND(Data!BN16="42mm Standard Slat",'Tube Cutting'!J16="Cream"),'Tube Cutting'!I16,""))</f>
        <v/>
      </c>
      <c r="GI10" t="str">
        <f>IF(OR(D10="",'Tube Cutting'!C16=""),"",IF(AND(Data!BN16="42mm Standard Slat",'Tube Cutting'!J16="Brown"),'Tube Cutting'!I16,""))</f>
        <v/>
      </c>
      <c r="GJ10" t="str">
        <f>IF(OR(D10="",'Tube Cutting'!C16=""),"",IF(AND(Data!BN16="42mm Standard Slat",'Tube Cutting'!J16="Custom Powdercoat"),'Tube Cutting'!I16,""))</f>
        <v/>
      </c>
      <c r="GK10" t="str">
        <f>IF(OR(D10="",'Tube Cutting'!C16=""),"",IF(AND(Data!BN16="42mm Standard Slat",'Tube Cutting'!J16="Surfmist"),'Tube Cutting'!I16,""))</f>
        <v/>
      </c>
      <c r="GL10" t="str">
        <f>IF(OR(D10="",'Tube Cutting'!C16=""),"",IF(AND(Data!BN16="42mm Standard Slat",'Tube Cutting'!J16="Jasper"),'Tube Cutting'!I16,""))</f>
        <v/>
      </c>
      <c r="GM10" t="str">
        <f>IF(OR(D10="",'Tube Cutting'!C16=""),"",IF('Tube Cutting'!R16="Black",('Job Sheet'!BB16*2+IF('Job Sheet'!Q16="Black",SUM('Job Sheet'!BJ16:BM16))),""))</f>
        <v/>
      </c>
      <c r="GN10" t="str">
        <f>IF(OR(D10="",'Tube Cutting'!C16=""),"",IF('Tube Cutting'!R16="Clear Beige",('Job Sheet'!BB16*2+IF('Job Sheet'!Q16="Clear Beige",SUM('Job Sheet'!BJ16:BM16))),""))</f>
        <v/>
      </c>
      <c r="GO10" t="str">
        <f>IF(OR(D10="",'Tube Cutting'!C16=""),"",IF('Tube Cutting'!R16="Dune",('Job Sheet'!BB16*2+IF('Job Sheet'!Q16="Dune",SUM('Job Sheet'!BJ16:BM16))),""))</f>
        <v/>
      </c>
      <c r="GP10" t="str">
        <f>IF(OR(D10="",'Tube Cutting'!C16=""),"",IF('Tube Cutting'!R16="Mag Cream",('Job Sheet'!BB16*2+IF('Job Sheet'!Q16="Mag Cream",SUM('Job Sheet'!BJ16:BM16))),""))</f>
        <v/>
      </c>
      <c r="GQ10">
        <f>IF(OR(D10="",'Tube Cutting'!C16=""),"",IF('Tube Cutting'!R16="Monument",('Job Sheet'!BB16*2+IF('Job Sheet'!Q16="Monument",SUM('Job Sheet'!BJ16:BM16))),""))</f>
        <v>2580</v>
      </c>
      <c r="GR10" t="str">
        <f>IF(OR(D10="",'Tube Cutting'!C16=""),"",IF('Tube Cutting'!R16="Shale Grey",('Job Sheet'!BB16*2+IF('Job Sheet'!Q16="Shale Grey",SUM('Job Sheet'!BJ16:BM16))),""))</f>
        <v/>
      </c>
      <c r="GS10" t="str">
        <f>IF(OR(D10="",'Tube Cutting'!C16=""),"",IF('Tube Cutting'!R16="White",('Job Sheet'!BB16*2+IF('Job Sheet'!Q16="White",SUM('Job Sheet'!BJ16:BM16))),""))</f>
        <v/>
      </c>
      <c r="GT10" t="str">
        <f>IF(OR(D10="",'Tube Cutting'!C16=""),"",IF('Tube Cutting'!R16="Woodland Grey",('Job Sheet'!BB16*2+IF('Job Sheet'!Q16="Woodland Grey",SUM('Job Sheet'!BJ16:BM16))),""))</f>
        <v/>
      </c>
      <c r="GU10" t="str">
        <f>IF(OR(D10="",'Tube Cutting'!C16=""),"",IF('Tube Cutting'!R16="Cream",('Job Sheet'!BB16*2+IF('Job Sheet'!Q16="Cream",SUM('Job Sheet'!BJ16:BM16))),""))</f>
        <v/>
      </c>
      <c r="GV10" t="str">
        <f>IF(OR(D10="",'Tube Cutting'!C16=""),"",IF('Tube Cutting'!R16="Brown",('Job Sheet'!BB16*2+IF('Job Sheet'!Q16="Brown",SUM('Job Sheet'!BJ16:BM16))),""))</f>
        <v/>
      </c>
      <c r="GW10" t="str">
        <f>IF(OR(D10="",'Tube Cutting'!C16=""),"",IF('Tube Cutting'!R16="Custom Powdercoat",('Job Sheet'!BB16*2+IF('Job Sheet'!Q16="Custom Powdercoat",SUM('Job Sheet'!BJ16:BM16))),""))</f>
        <v/>
      </c>
      <c r="GX10" t="str">
        <f>IF(OR(D10="",'Tube Cutting'!C16=""),"",IF('Tube Cutting'!R16="Surfmist",('Job Sheet'!BB16*2+IF('Job Sheet'!Q16="Surfmist",SUM('Job Sheet'!BJ16:BM16))),""))</f>
        <v/>
      </c>
      <c r="GY10" t="str">
        <f>IF(OR(D10="",'Tube Cutting'!C16=""),"",IF('Tube Cutting'!R16="Jasper",('Job Sheet'!BB16*2+IF('Job Sheet'!Q16="Jasper",SUM('Job Sheet'!BJ16:BM16))),""))</f>
        <v/>
      </c>
      <c r="GZ10" t="str">
        <f>IF(OR(D10="",'Tube Cutting'!C16=""),"",IF(AND('Tube Cutting'!R16="Cream",'Tube Cutting'!P16="68mm"),'Job Sheet'!BB16*2,""))</f>
        <v/>
      </c>
      <c r="HA10" t="str">
        <f>IF(OR(D10="",'Tube Cutting'!C16=""),"",IF(AND('Tube Cutting'!R16="Mag Cream",'Tube Cutting'!P16="68mm"),'Job Sheet'!BB16*2,""))</f>
        <v/>
      </c>
      <c r="HB10" t="str">
        <f>IF(OR(D10="",'Tube Cutting'!C16=""),"",IF(AND('Tube Cutting'!R16="Clear Beige",'Tube Cutting'!P16="68mm"),'Job Sheet'!BB16*2,""))</f>
        <v/>
      </c>
      <c r="HC10" t="str">
        <f>IF(OR(D10="",'Tube Cutting'!C16=""),"",IF(AND('Tube Cutting'!R16="White",'Tube Cutting'!P16="68mm"),'Job Sheet'!BB16*2,""))</f>
        <v/>
      </c>
      <c r="HD10" t="str">
        <f>IF(OR(D10="",'Tube Cutting'!C16=""),"",IF(AND('Tube Cutting'!R16="Shale Grey",'Tube Cutting'!P16="68mm"),'Job Sheet'!BB16*2,""))</f>
        <v/>
      </c>
      <c r="HE10" t="str">
        <f>IF(OR(D10="",'Tube Cutting'!C16=""),"",IF(AND('Tube Cutting'!R16="Brown",'Tube Cutting'!P16="68mm"),'Job Sheet'!BB16*2,""))</f>
        <v/>
      </c>
      <c r="HF10" t="str">
        <f>IF(OR(D10="",'Tube Cutting'!C16=""),"",IF(AND('Tube Cutting'!R16="Black",'Tube Cutting'!P16="68mm"),'Job Sheet'!BB16*2,""))</f>
        <v/>
      </c>
      <c r="HG10" t="str">
        <f>IF(OR(D10="",'Tube Cutting'!C16=""),"",IF(AND('Tube Cutting'!R16="Monument",'Tube Cutting'!P16="68mm"),'Job Sheet'!BB16*2,""))</f>
        <v/>
      </c>
      <c r="HH10" t="str">
        <f>IF(OR(D10="",'Tube Cutting'!C16=""),"",IF(AND('Tube Cutting'!R16="Custom Powdercoat",'Tube Cutting'!P16="68mm"),'Job Sheet'!BB16*2,""))</f>
        <v/>
      </c>
      <c r="HI10" t="str">
        <f>IF(OR(D10="",'Tube Cutting'!C16=""),"",IF(AND('Tube Cutting'!R16="Woodland Grey",'Tube Cutting'!P16="68mm"),'Job Sheet'!BB16*2,""))</f>
        <v/>
      </c>
      <c r="HJ10" t="str">
        <f>IF(OR(D10="",'Tube Cutting'!C16=""),"",IF(AND('Tube Cutting'!R16="Surfmist",'Tube Cutting'!P16="68mm"),'Job Sheet'!BB16*2,""))</f>
        <v/>
      </c>
      <c r="HK10" t="str">
        <f>IF(OR(D10="",'Tube Cutting'!C16=""),"",IF(AND('Tube Cutting'!R16="Jasper",'Tube Cutting'!P16="68mm"),'Job Sheet'!BB16*2,""))</f>
        <v/>
      </c>
      <c r="HL10" t="str">
        <f>IF(OR(D10="",'Tube Cutting'!C16=""),"",IF(AND('Tube Cutting'!R16="Dune",'Tube Cutting'!P16="68mm"),'Job Sheet'!BB16*2,""))</f>
        <v/>
      </c>
      <c r="HM10" t="str">
        <f>IF(OR(D10="",'Tube Cutting'!C16=""),"",IF(AND('Tube Cutting'!O16="Black",'Tube Cutting'!N16="180mm"),1,""))</f>
        <v/>
      </c>
      <c r="HN10" t="str">
        <f>IF(OR(D10="",'Tube Cutting'!C16=""),"",IF(AND('Tube Cutting'!O16="Clear Beige",'Tube Cutting'!N16="180mm"),1,""))</f>
        <v/>
      </c>
      <c r="HO10" t="str">
        <f>IF(OR(D10="",'Tube Cutting'!C16=""),"",IF(AND('Tube Cutting'!O16="Dune",'Tube Cutting'!N16="180mm"),1,""))</f>
        <v/>
      </c>
      <c r="HP10" t="str">
        <f>IF(OR(D10="",'Tube Cutting'!C16=""),"",IF(AND('Tube Cutting'!O16="Mag Cream",'Tube Cutting'!N16="180mm"),1,""))</f>
        <v/>
      </c>
      <c r="HQ10">
        <f>IF(OR(D10="",'Tube Cutting'!C16=""),"",IF(AND('Tube Cutting'!O16="Monument",'Tube Cutting'!N16="180mm"),1,""))</f>
        <v>1</v>
      </c>
      <c r="HR10" t="str">
        <f>IF(OR(D10="",'Tube Cutting'!C16=""),"",IF(AND('Tube Cutting'!O16="Shale Grey",'Tube Cutting'!N16="180mm"),1,""))</f>
        <v/>
      </c>
      <c r="HS10" t="str">
        <f>IF(OR(D10="",'Tube Cutting'!C16=""),"",IF(AND('Tube Cutting'!O16="White",'Tube Cutting'!N16="180mm"),1,""))</f>
        <v/>
      </c>
      <c r="HT10" t="str">
        <f>IF(OR(D10="",'Tube Cutting'!C16=""),"",IF(AND('Tube Cutting'!O16="Woodland Grey",'Tube Cutting'!N16="180mm"),1,""))</f>
        <v/>
      </c>
      <c r="HU10" t="str">
        <f>IF(OR(D10="",'Tube Cutting'!C16=""),"",IF(AND('Tube Cutting'!O16="Cream",'Tube Cutting'!N16="180mm"),1,""))</f>
        <v/>
      </c>
      <c r="HV10" t="str">
        <f>IF(OR(D10="",'Tube Cutting'!C16=""),"",IF(AND('Tube Cutting'!O16="Brown",'Tube Cutting'!N16="180mm"),1,""))</f>
        <v/>
      </c>
      <c r="HW10" t="str">
        <f>IF(OR(D10="",'Tube Cutting'!C16=""),"",IF(AND('Tube Cutting'!O16="Surfmist",'Tube Cutting'!N16="180mm"),1,""))</f>
        <v/>
      </c>
      <c r="HX10" t="str">
        <f>IF(OR(D10="",'Tube Cutting'!C16=""),"",IF(AND('Tube Cutting'!O16="Jasper",'Tube Cutting'!N16="180mm"),1,""))</f>
        <v/>
      </c>
      <c r="HY10" t="str">
        <f>IF(OR(E10="",'Tube Cutting'!C16=""),"",IF(AND('Tube Cutting'!O16="Red",'Tube Cutting'!N16="180mm"),1,""))</f>
        <v/>
      </c>
      <c r="HZ10" t="str">
        <f>IF(OR(D10="",'Tube Cutting'!C16=""),"",IF(AND('Tube Cutting'!O16="Black",'Tube Cutting'!N16="205mm"),1,""))</f>
        <v/>
      </c>
      <c r="IA10" t="str">
        <f>IF(OR(D10="",'Tube Cutting'!C16=""),"",IF(AND('Tube Cutting'!O16="Clear Beige",'Tube Cutting'!N16="205mm"),1,""))</f>
        <v/>
      </c>
      <c r="IB10" t="str">
        <f>IF(OR(D10="",'Tube Cutting'!C16=""),"",IF(AND('Tube Cutting'!O16="Dune",'Tube Cutting'!N16="205mm"),1,""))</f>
        <v/>
      </c>
      <c r="IC10" t="str">
        <f>IF(OR(D10="",'Tube Cutting'!C16=""),"",IF(AND('Tube Cutting'!O16="Mag Cream",'Tube Cutting'!N16="205mm"),1,""))</f>
        <v/>
      </c>
      <c r="ID10" t="str">
        <f>IF(OR(D10="",'Tube Cutting'!C16=""),"",IF(AND('Tube Cutting'!O16="Monument",'Tube Cutting'!N16="205mm"),1,""))</f>
        <v/>
      </c>
      <c r="IE10" t="str">
        <f>IF(OR(D10="",'Tube Cutting'!C16=""),"",IF(AND('Tube Cutting'!O16="Shale Grey",'Tube Cutting'!N16="205mm"),1,""))</f>
        <v/>
      </c>
      <c r="IF10" t="str">
        <f>IF(OR(D10="",'Tube Cutting'!C16=""),"",IF(AND('Tube Cutting'!O16="White",'Tube Cutting'!N16="205mm"),1,""))</f>
        <v/>
      </c>
      <c r="IG10" t="str">
        <f>IF(OR(D10="",'Tube Cutting'!C16=""),"",IF(AND('Tube Cutting'!O16="Woodland Grey",'Tube Cutting'!N16="205mm"),1,""))</f>
        <v/>
      </c>
      <c r="IH10" t="str">
        <f>IF(OR(D10="",'Tube Cutting'!C16=""),"",IF(AND('Tube Cutting'!O16="Cream",'Tube Cutting'!N16="205mm"),1,""))</f>
        <v/>
      </c>
      <c r="II10" t="str">
        <f>IF(OR(D10="",'Tube Cutting'!C16=""),"",IF(AND('Tube Cutting'!O16="Brown",'Tube Cutting'!N16="205mm"),1,""))</f>
        <v/>
      </c>
      <c r="IJ10" t="str">
        <f>IF(OR(D10="",'Tube Cutting'!C16=""),"",IF(AND('Tube Cutting'!O16="Surfmist",'Tube Cutting'!N16="205mm"),1,""))</f>
        <v/>
      </c>
      <c r="IK10" t="str">
        <f>IF(OR(D10="",'Tube Cutting'!C16=""),"",IF(AND('Tube Cutting'!O16="Jasper",'Tube Cutting'!N16="205mm"),1,""))</f>
        <v/>
      </c>
      <c r="IL10" t="str">
        <f>IF(OR(D10="",'Tube Cutting'!C16=""),"",IF(AND('Tube Cutting'!O16="Cream",'Tube Cutting'!N16="230mm"),1,""))</f>
        <v/>
      </c>
      <c r="IM10" t="str">
        <f>IF(OR(D10="",'Tube Cutting'!C16=""),"",IF(AND('Tube Cutting'!O16="Mag Cream",'Tube Cutting'!N16="230mm"),1,""))</f>
        <v/>
      </c>
      <c r="IN10" t="str">
        <f>IF(OR(D10="",'Tube Cutting'!C16=""),"",IF(AND('Tube Cutting'!O16="Clear Beige",'Tube Cutting'!N16="230mm"),1,""))</f>
        <v/>
      </c>
      <c r="IO10" t="str">
        <f>IF(OR(D10="",'Tube Cutting'!C16=""),"",IF(AND('Tube Cutting'!O16="White",'Tube Cutting'!N16="230mm"),1,""))</f>
        <v/>
      </c>
      <c r="IP10" t="str">
        <f>IF(OR(D10="",'Tube Cutting'!C16=""),"",IF(AND('Tube Cutting'!O16="Shale Grey",'Tube Cutting'!N16="230mm"),1,""))</f>
        <v/>
      </c>
      <c r="IQ10" t="str">
        <f>IF(OR(D10="",'Tube Cutting'!C16=""),"",IF(AND('Tube Cutting'!O16="Black",'Tube Cutting'!N16="230mm"),1,""))</f>
        <v/>
      </c>
      <c r="IR10" t="str">
        <f>IF(OR(D10="",'Tube Cutting'!C16=""),"",IF(AND('Tube Cutting'!O16="Monument",'Tube Cutting'!N16="230mm"),1,""))</f>
        <v/>
      </c>
      <c r="IS10" t="str">
        <f>IF(OR(D10="",'Tube Cutting'!C16=""),"",IF(AND('Tube Cutting'!O16="Woodland Grey",'Tube Cutting'!N16="230mm"),1,""))</f>
        <v/>
      </c>
      <c r="IT10" t="str">
        <f>IF(OR(D10="",'Tube Cutting'!C16=""),"",IF(AND('Tube Cutting'!O16="Surfmist",'Tube Cutting'!N16="230mm"),1,""))</f>
        <v/>
      </c>
      <c r="IU10" t="str">
        <f>IF(OR(D10="",'Tube Cutting'!C16=""),"",IF(AND('Tube Cutting'!O16="Jasper",'Tube Cutting'!N16="230mm"),1,""))</f>
        <v/>
      </c>
      <c r="IV10" t="str">
        <f>IF(OR(D10="",'Tube Cutting'!C16=""),"",IF(AND('Tube Cutting'!O16="Dune",'Tube Cutting'!N16="230mm"),1,""))</f>
        <v/>
      </c>
      <c r="IW10">
        <f>IF(OR(D10="",'Tube Cutting'!C16=""),"",IF(AND('Order Form'!R14="Supplied by Davidson's",'Tube Cutting'!C16&lt;&gt;""),"",1))</f>
        <v>1</v>
      </c>
      <c r="IX10">
        <f>IF(OR(D10="",'Tube Cutting'!C16=""),"",IF('Job Sheet'!AE16="Yes",2,""))</f>
        <v>2</v>
      </c>
      <c r="IY10" t="str">
        <f t="array" ref="IY10">IF(OR('Tube Cutting'!R16&lt;&gt;"Cream",D10=""),"",IF('Job Sheet'!J16&gt;2100,10,IF(OR(bpLOOKUP(Data!$AV16,"FIXING",CustOrdOpt,6,FALSE)="Hebel",'Job Sheet'!J16&gt;1800),8,6)))</f>
        <v/>
      </c>
      <c r="IZ10" t="str">
        <f t="array" ref="IZ10">IF(OR('Tube Cutting'!R16&lt;&gt;"Clear Beige",D10=""),"",IF('Job Sheet'!J16&gt;2100,10,IF(OR(bpLOOKUP(Data!$AV16,"FIXING",CustOrdOpt,6,FALSE)="Hebel",'Job Sheet'!J16&gt;1800),8,6)))</f>
        <v/>
      </c>
      <c r="JA10" t="str">
        <f t="array" ref="JA10">IF(OR('Tube Cutting'!R16&lt;&gt;"White",D10=""),"",IF('Job Sheet'!J16&gt;2100,10,IF(OR(bpLOOKUP(Data!$AV16,"FIXING",CustOrdOpt,6,FALSE)="Hebel",'Job Sheet'!J16&gt;1800),8,6)))</f>
        <v/>
      </c>
      <c r="JB10" t="str">
        <f t="array" ref="JB10">IF(OR('Tube Cutting'!R16&lt;&gt;"Shale Grey",D10=""),"",IF('Job Sheet'!J16&gt;2100,10,IF(OR(bpLOOKUP(Data!$AV16,"FIXING",CustOrdOpt,6,FALSE)="Hebel",'Job Sheet'!J16&gt;1800),8,6)))</f>
        <v/>
      </c>
      <c r="JC10" t="str">
        <f t="array" ref="JC10">IF(OR('Tube Cutting'!R16&lt;&gt;"Brown",D10=""),"",IF('Job Sheet'!J16&gt;2100,10,IF(OR(bpLOOKUP(Data!$AV16,"FIXING",CustOrdOpt,6,FALSE)="Hebel",'Job Sheet'!J16&gt;1800),8,6)))</f>
        <v/>
      </c>
      <c r="JD10" t="str">
        <f t="array" ref="JD10">IF(OR('Tube Cutting'!R16&lt;&gt;"Green",D10=""),"",IF('Job Sheet'!J16&gt;2100,10,IF(OR(bpLOOKUP(Data!$AV16,"FIXING",CustOrdOpt,6,FALSE)="Hebel",'Job Sheet'!J16&gt;1800),8,6)))</f>
        <v/>
      </c>
      <c r="JE10" t="str">
        <f t="array" ref="JE10">IF(OR('Tube Cutting'!R16&lt;&gt;"Red",D10=""),"",IF('Job Sheet'!J16&gt;2100,10,IF(OR(bpLOOKUP(Data!$AV16,"FIXING",CustOrdOpt,6,FALSE)="Hebel",'Job Sheet'!J16&gt;1800),8,6)))</f>
        <v/>
      </c>
      <c r="JF10" t="str">
        <f t="array" ref="JF10">IF(OR('Tube Cutting'!R16&lt;&gt;"Mag Cream",D10=""),"",IF('Job Sheet'!J16&gt;2100,10,IF(OR(bpLOOKUP(Data!$AV16,"FIXING",CustOrdOpt,6,FALSE)="Hebel",'Job Sheet'!J16&gt;1800),8,6)))</f>
        <v/>
      </c>
      <c r="JG10" t="str">
        <f t="array" ref="JG10">IF(OR('Tube Cutting'!R16&lt;&gt;"Black",D10=""),"",IF('Job Sheet'!J16&gt;2100,10,IF(OR(bpLOOKUP(Data!$AV16,"FIXING",CustOrdOpt,6,FALSE)="Hebel",'Job Sheet'!J16&gt;1800),8,6)))</f>
        <v/>
      </c>
      <c r="JH10">
        <f t="array" ref="JH10">IF(OR('Tube Cutting'!R16&lt;&gt;"Monument",D10=""),"",IF('Job Sheet'!J16&gt;2100,10,IF(OR(bpLOOKUP(Data!$AV16,"FIXING",CustOrdOpt,6,FALSE)="Hebel",'Job Sheet'!J16&gt;1800),8,6)))</f>
        <v>6</v>
      </c>
      <c r="JI10" t="str">
        <f t="array" ref="JI10">IF(OR('Tube Cutting'!R16&lt;&gt;"Deep Ocean",D10=""),"",IF('Job Sheet'!J16&gt;2100,10,IF(OR(bpLOOKUP(Data!$AV16,"FIXING",CustOrdOpt,6,FALSE)="Hebel",'Job Sheet'!J16&gt;1800),8,6)))</f>
        <v/>
      </c>
      <c r="JJ10" t="str">
        <f t="array" ref="JJ10">IF(OR('Tube Cutting'!R16&lt;&gt;"Woodland Grey",D10=""),"",IF('Job Sheet'!J16&gt;2100,10,IF(OR(bpLOOKUP(Data!$AV16,"FIXING",CustOrdOpt,6,FALSE)="Hebel",'Job Sheet'!J16&gt;1800),8,6)))</f>
        <v/>
      </c>
      <c r="JK10" t="str">
        <f t="array" ref="JK10">IF(OR('Tube Cutting'!R16&lt;&gt;"Jasper",D10=""),"",IF('Job Sheet'!J16&gt;2100,10,IF(OR(bpLOOKUP(Data!$AV16,"FIXING",CustOrdOpt,6,FALSE)="Hebel",'Job Sheet'!J16&gt;1800),8,6)))</f>
        <v/>
      </c>
      <c r="JL10" t="str">
        <f t="array" ref="JL10">IF(OR('Tube Cutting'!R16&lt;&gt;"Surfmist",D10=""),"",IF('Job Sheet'!J16&gt;2100,10,IF(OR(bpLOOKUP(Data!$AV16,"FIXING",CustOrdOpt,6,FALSE)="Hebel",'Job Sheet'!J16&gt;1800),8,6)))</f>
        <v/>
      </c>
      <c r="JM10" t="str">
        <f t="array" ref="JM10">IF(OR('Tube Cutting'!R16&lt;&gt;"Dune",D10=""),"",IF('Job Sheet'!J16&gt;2100,10,IF(OR(bpLOOKUP(Data!$AV16,"FIXING",CustOrdOpt,6,FALSE)="Hebel",'Job Sheet'!J16&gt;1800),8,6)))</f>
        <v/>
      </c>
      <c r="JN10">
        <f>IF(OR(D10="",'Tube Cutting'!C16=""),"",IF(AND('Order Form'!R14="Supplied by Davidson's",'Tube Cutting'!C16&lt;&gt;""),"",1))</f>
        <v>1</v>
      </c>
      <c r="JO10" t="str">
        <f>IF(D10="","",IF(AND('Job Sheet'!X16="Operated Outside",'Job Sheet'!Y16="Eyelot Crank Handle"),1,""))</f>
        <v/>
      </c>
      <c r="JP10" t="str">
        <f t="shared" si="1"/>
        <v/>
      </c>
      <c r="JQ10" t="str">
        <f>IF('Job Sheet'!X16="Operated Inside",1,"")</f>
        <v/>
      </c>
      <c r="JS10" t="str">
        <f>IF('Job Sheet'!X16="Operated Inside",1,"")</f>
        <v/>
      </c>
      <c r="JT10" t="str">
        <f>IF('Job Sheet'!X16="Operated Inside",1,"")</f>
        <v/>
      </c>
      <c r="JU10" t="str">
        <f>IF('Job Sheet'!X16="Operated Inside",1,"")</f>
        <v/>
      </c>
      <c r="JV10" t="str">
        <f>IF(AND('Job Sheet'!X16="Operated Outside",'Job Sheet'!Y16="Concealed Operation Crank Handle"),1,"")</f>
        <v/>
      </c>
      <c r="JW10" t="str">
        <f>IF(AND('Job Sheet'!X16="Operated Outside",'Job Sheet'!Y16="Concealed Operation Crank Handle"),1,"")</f>
        <v/>
      </c>
      <c r="JX10" t="str">
        <f>IF(AND('Job Sheet'!X16="Operated Outside",'Job Sheet'!Y16="Concealed Operation Crank Handle"),1,"")</f>
        <v/>
      </c>
      <c r="JY10" s="113">
        <f>IF(OR(D10="",'Tube Cutting'!C16=""),"",IF(AND('Order Form'!R14="Supplied by Davidson's",'Tube Cutting'!C16&lt;&gt;""),"",'Assembly(a)'!F16))</f>
        <v>32.28</v>
      </c>
      <c r="JZ10">
        <f>IF(OR(D10="",'Tube Cutting'!C16=""),"",Packing!K16)</f>
        <v>4</v>
      </c>
      <c r="KA10">
        <f>IF(OR(D10="",'Tube Cutting'!C16=""),"",IF(AND('Order Form'!R14="Supplied by Davidson's",'Tube Cutting'!C16&lt;&gt;""),"",2))</f>
        <v>2</v>
      </c>
      <c r="KB10" t="str">
        <f>IF(OR(D10="",'Tube Cutting'!C16=""),"",'Tube Cutting'!K16)</f>
        <v/>
      </c>
      <c r="KC10" t="str">
        <f>IF(Packing!T16="Corner Telescopic Bracket x 1",1,IF(Packing!T16="Corner Telescopic Bracket x 2",2,""))</f>
        <v/>
      </c>
      <c r="KD10" t="str">
        <f>IF(Packing!T16="Bay Telescopic Bracket x 1",1,IF(Packing!T16="Bay Telescopic Bracket x 2",2,""))</f>
        <v/>
      </c>
      <c r="KE10">
        <f>IF(OR(D10="",'Tube Cutting'!C16=""),"",IF('Job Sheet'!W16="Toggle Wall Switch",1,""))</f>
        <v>1</v>
      </c>
      <c r="KF10" t="str">
        <f>IF(OR(D10="",'Tube Cutting'!C16=""),"",IF(OR('Job Sheet'!Z16="UPS with No Electrician Required",'Job Sheet'!Z16="UPS with Electrician Required"),1,""))</f>
        <v/>
      </c>
      <c r="KG10" t="str">
        <f>IF(OR(Packing!C16="Too Small to be Motorised",Packing!C16="Check Motor Options"),1,"")</f>
        <v/>
      </c>
      <c r="KH10" t="str">
        <f>IF('Job Sheet'!U16="Maxim 10nm Remote Motor",1,"")</f>
        <v/>
      </c>
      <c r="KI10" t="str">
        <f>IF('Job Sheet'!U16="Maxim 20nm Remote Motor",1,"")</f>
        <v/>
      </c>
      <c r="KJ10">
        <f>IF(OR('Job Sheet'!U16="Maxim 10nm Switch Motor",'Job Sheet'!U16="Maxim 10nm Switch Motor with Inline Receiver"),1,"")</f>
        <v>1</v>
      </c>
      <c r="KK10" t="str">
        <f>IF('Job Sheet'!U16="Maxim 20nm Switch Motor",1,"")</f>
        <v/>
      </c>
      <c r="KL10" t="str">
        <f>IF(OR(D10="",'Tube Cutting'!C16=""),"",IF('Job Sheet'!W16="Maxim 1 Channel Remote",1,""))</f>
        <v/>
      </c>
      <c r="KM10" t="str">
        <f>IF(OR(D10="",'Tube Cutting'!C16=""),"",IF('Job Sheet'!W16="Maxim 6 Channel Remote",1,""))</f>
        <v/>
      </c>
      <c r="KN10" t="str">
        <f>IF(OR(D10="",'Tube Cutting'!C16=""),"",IF('Job Sheet'!W16="Maxim 16 Channel Remote",1,""))</f>
        <v/>
      </c>
      <c r="KO10" t="str">
        <f>IF(OR(D10="",'Tube Cutting'!C16=""),"",IF('Job Sheet'!W16="Maxim 1 Channel Wall Mounted Remote",1,""))</f>
        <v/>
      </c>
      <c r="KP10" t="str">
        <f>IF(OR(D10="",'Tube Cutting'!C16=""),"",IF('Job Sheet'!W16="CWP 5 Channel Wall Mounted Remote",1,""))</f>
        <v/>
      </c>
      <c r="KQ10" t="str">
        <f>IF(OR(D10="",'Tube Cutting'!C16=""),"",IF('Job Sheet'!W16="CWP 8 Channel Remote with Timer",1,""))</f>
        <v/>
      </c>
      <c r="KR10" t="str">
        <f>IF(OR(D10="",'Tube Cutting'!C16=""),"",IF('Job Sheet'!W16="CWP Key Ring Remote",1,""))</f>
        <v/>
      </c>
      <c r="KS10" t="str">
        <f>IF(OR(D10="",'Tube Cutting'!C16=""),"",IF(OR('Job Sheet'!W16="Key Switch",'Job Sheet'!W16="Key Switch &amp; Key Switch Relay"),1,""))</f>
        <v/>
      </c>
      <c r="KT10" t="str">
        <f>IF(OR(D10="",'Tube Cutting'!C16=""),"",IF(OR('Job Sheet'!W16="Key Switch Relay",'Job Sheet'!W16="Key Switch &amp; Key Switch Relay"),1,""))</f>
        <v/>
      </c>
      <c r="KU10" t="str">
        <f>IF(OR(D10="",'Tube Cutting'!C16=""),"",IF(OR('Job Sheet'!U16="CW5 10nm Short Switch Motor with Inline Receiver",'Job Sheet'!U16="Maxim 10nm Switch Motor with Inline Receiver",'Job Sheet'!U16="CWP Manual Override 30Nm Motor with Inline Receiver",'Job Sheet'!U16="CWP Manual Override 50Nm Motor with Inline Receiver"),1,""))</f>
        <v/>
      </c>
      <c r="KY10" t="str">
        <f>IF(OR('Job Sheet'!U16="CW5 10nm Short Switch Motor",'Job Sheet'!U16="CW5 10nm Short Switch Motor with Inline Receiver"),1,"")</f>
        <v/>
      </c>
      <c r="LB10" t="str">
        <f>IF(OR(D10="",'Tube Cutting'!C16=""),"",IF(OR('Job Sheet'!U16="CWP Manual Override 30Nm Motor with Inline Receiver",'Job Sheet'!U16="CWP Manual Override 30Nm Motor"),1,""))</f>
        <v/>
      </c>
      <c r="LC10" t="str">
        <f>IF(OR(D10="",'Tube Cutting'!C16=""),"",IF(OR('Job Sheet'!U16="CWP Manual Override 50Nm Motor with Inline Receiver",'Job Sheet'!U16="CWP Manual Override 50Nm Motor"),1,""))</f>
        <v/>
      </c>
      <c r="LG10" t="str">
        <f>IF('Job Sheet'!U16="L10 ODS Motor",1,"")</f>
        <v/>
      </c>
      <c r="LH10" t="str">
        <f>IF('Job Sheet'!U16="L10 ODS Motor",1,"")</f>
        <v/>
      </c>
      <c r="LI10" t="str">
        <f>IF('Job Sheet'!U16="T20 ODS Motor",1,"")</f>
        <v/>
      </c>
      <c r="LJ10" t="str">
        <f>IF(OR('Job Sheet'!U16="T20 ODS Motor",'Job Sheet'!U16="T35 ODS Motor"),1,"")</f>
        <v/>
      </c>
      <c r="LK10" t="str">
        <f>IF(OR('Job Sheet'!U16="T20 ODS Motor",'Job Sheet'!U16="T35 ODS Motor"),2,"")</f>
        <v/>
      </c>
      <c r="LL10" t="str">
        <f>IF('Job Sheet'!U16="T35 ODS Motor",1,"")</f>
        <v/>
      </c>
      <c r="LM10" t="str">
        <f>IF('Job Sheet'!W16="Controller &amp; Charger",1,"")</f>
        <v/>
      </c>
      <c r="LN10" t="str">
        <f>IF(OR('Job Sheet'!T16="12v ODS System",'Job Sheet'!T16="Firesafe 12v ODS System"),1,"")</f>
        <v/>
      </c>
      <c r="LO10" t="str">
        <f>IF(OR('Job Sheet'!W16="RF Controller &amp; Charger",'Job Sheet'!W16="RF Controller, Charger &amp; 9 Channel Remote",'Job Sheet'!W16="RF Controller, Charger &amp; Single Channel Remote",'Job Sheet'!W16="Controller &amp; Charger"),1,"")</f>
        <v/>
      </c>
      <c r="LP10" t="str">
        <f>IF(OR('Job Sheet'!W16="RF Controller &amp; Charger",'Job Sheet'!W16="RF Controller, Charger &amp; Single Channel Remote",'Job Sheet'!W16="RF Controller, Charger &amp; 9 Channel Remote"),1,"")</f>
        <v/>
      </c>
      <c r="LQ10" t="str">
        <f>IF(OR('Job Sheet'!Z16="3 Way Switch for Bay Windows",'Job Sheet'!Z16="3 Way Switch for Bay Windows with Wiring Loom"),1,"")</f>
        <v/>
      </c>
      <c r="LR10" t="str">
        <f>IF('Job Sheet'!W16="RF Controller, Charger &amp; Single Channel Remote",1,"")</f>
        <v/>
      </c>
      <c r="LS10" t="str">
        <f>IF('Job Sheet'!W16="RF Controller, Charger &amp; 9 Channel Remote",1,"")</f>
        <v/>
      </c>
      <c r="LT10" t="str">
        <f>IF(OR('Job Sheet'!Z16="Wiring Loom Extension",'Job Sheet'!Z16="3 Way Switch for Bay Windows with Wiring Loom"),1,"")</f>
        <v/>
      </c>
      <c r="LU10" t="str">
        <f>IF('Job Sheet'!U16="Acmeda External 15nm Remote Motor",1,"")</f>
        <v/>
      </c>
      <c r="LV10" t="str">
        <f>IF('Job Sheet'!U16="Acmeda External 30nm Remote Motor",1,"")</f>
        <v/>
      </c>
      <c r="LW10" t="str">
        <f>IF('Job Sheet'!U16="Acmeda External 50nm Remote Motor",1,"")</f>
        <v/>
      </c>
      <c r="LX10" t="str">
        <f>IF(OR('Job Sheet'!U16="Acmeda External 15nm Remote Motor",'Job Sheet'!U16="Acmeda External 15nm Remote Motor"),1,"")</f>
        <v/>
      </c>
      <c r="LY10" t="str">
        <f>IF(OR('Job Sheet'!U16="Acmeda External 15nm Remote Motor",'Job Sheet'!U16="Acmeda External 15nm Remote Motor"),1,"")</f>
        <v/>
      </c>
      <c r="MC10" t="str">
        <f>IF(OR('Job Sheet'!Z16="Pulse 2.0 Automation Hub",'Job Sheet'!Z16="Pulse Pro Automation Hub"),1,"")</f>
        <v/>
      </c>
      <c r="MD10" t="str">
        <f>IF('Job Sheet'!Z16="1 Channel Dry Contact Relay Module",1,"")</f>
        <v/>
      </c>
      <c r="ME10" t="str">
        <f>IF('Job Sheet'!Z16="USB Repeater",1,"")</f>
        <v/>
      </c>
      <c r="MF10" t="str">
        <f>IF('Job Sheet'!W16="Acmeda 1 Channel White Remote",1,"")</f>
        <v/>
      </c>
      <c r="MG10" t="str">
        <f>IF('Job Sheet'!W16="Acmeda 1 Channel Black Remote",1,"")</f>
        <v/>
      </c>
      <c r="MH10" t="str">
        <f>IF('Job Sheet'!W16="Acmeda 5 Channel White Remote",1,"")</f>
        <v/>
      </c>
      <c r="MI10" t="str">
        <f>IF('Job Sheet'!W16="Acmeda 5 Channel Black Remote",1,"")</f>
        <v/>
      </c>
      <c r="MJ10" t="str">
        <f>IF('Job Sheet'!W16="Acmeda 15 Channel White Remote",1,"")</f>
        <v/>
      </c>
      <c r="MK10" t="str">
        <f>IF('Job Sheet'!W16="Acmeda 15 Channel Black Remote",1,"")</f>
        <v/>
      </c>
      <c r="ML10" t="str">
        <f>IF('Job Sheet'!W16="Acmeda Wall Mounted Single Channel White Remote",1,"")</f>
        <v/>
      </c>
      <c r="MM10" t="str">
        <f>IF('Job Sheet'!W16="Acmeda Wall Mounted 5 Channel White Remote",1,"")</f>
        <v/>
      </c>
      <c r="MN10" t="str">
        <f>IF('Job Sheet'!W16="Acmeda Wall Mounted 15 Channel White Remote",1,"")</f>
        <v/>
      </c>
      <c r="MO10" t="str">
        <f>IF('Job Sheet'!W16="Acmeda Push Pro White Remote with Charger",1,"")</f>
        <v/>
      </c>
      <c r="MP10" t="str">
        <f>IF('Job Sheet'!X16="Acmeda Push Pro Black Remote with Charger",1,"")</f>
        <v/>
      </c>
      <c r="MQ10" t="str">
        <f>IF(OR('Job Sheet'!X16="Acmeda Push Pro White Remote with Charger",'Job Sheet'!X16="Acmeda Push Pro Black Remote with Charger"),"1","")</f>
        <v/>
      </c>
      <c r="MR10" t="str">
        <f t="shared" si="2"/>
        <v/>
      </c>
      <c r="NE10" t="str">
        <f>IF('Job Sheet'!U16="Somfy Altus 50 RTS 6/17",1,"")</f>
        <v/>
      </c>
      <c r="NF10" t="str">
        <f>IF('Job Sheet'!U16="Somfy Altus 50 RTS 10/17",1,"")</f>
        <v/>
      </c>
      <c r="NG10" t="str">
        <f>IF('Job Sheet'!U16="Somfy Altus 50 RTS 15/17",1,"")</f>
        <v/>
      </c>
      <c r="NH10" t="str">
        <f>IF('Job Sheet'!U16="Somfy Altus 50 RTS 25/17",1,"")</f>
        <v/>
      </c>
      <c r="NI10" t="str">
        <f>IF('Job Sheet'!U16="Somfy Orea 50 WT 40/17",1,"")</f>
        <v/>
      </c>
      <c r="NJ10" t="str">
        <f t="shared" si="3"/>
        <v/>
      </c>
      <c r="NK10" t="str">
        <f t="shared" si="4"/>
        <v/>
      </c>
      <c r="NL10" t="str">
        <f t="shared" si="5"/>
        <v/>
      </c>
      <c r="NM10" t="str">
        <f>IF('Job Sheet'!Z16="Connexoon App Connector",1,"")</f>
        <v/>
      </c>
      <c r="NN10" t="str">
        <f>IF('Job Sheet'!Z16="Tahoma Switch",1,"")</f>
        <v/>
      </c>
      <c r="NO10" t="str">
        <f>IF('Job Sheet'!W16="Somfy Single Channel Silver Remote",1,"")</f>
        <v/>
      </c>
      <c r="NP10" t="str">
        <f>IF('Job Sheet'!W16="Somfy Single Channel White Remote",1,"")</f>
        <v/>
      </c>
      <c r="NQ10" t="str">
        <f>IF('Job Sheet'!W16="Somfy 2 Channel Silver Remote",1,"")</f>
        <v/>
      </c>
      <c r="NR10" t="str">
        <f>IF('Job Sheet'!W16="Somfy 2 Channel White Remote",1,"")</f>
        <v/>
      </c>
      <c r="NS10" t="str">
        <f>IF('Job Sheet'!W16="Somfy 5 Channel Silver Remote",1,"")</f>
        <v/>
      </c>
      <c r="NT10" t="str">
        <f>IF('Job Sheet'!W16="Somfy 5 Channel White Remote",1,"")</f>
        <v/>
      </c>
      <c r="NU10" t="str">
        <f>IF('Job Sheet'!W16="Somfy 15 Channel Silver Remote",1,"")</f>
        <v/>
      </c>
      <c r="NV10" t="str">
        <f>IF('Job Sheet'!W16="Somfy 15 Channel White Remote",1,"")</f>
        <v/>
      </c>
      <c r="NW10" t="str">
        <f>IF('Job Sheet'!W16="Somfy Single Channel Wall Mounted Smoove Remote White with Black Cover Plate",1,"")</f>
        <v/>
      </c>
      <c r="NX10" t="str">
        <f>IF('Job Sheet'!W16="Somfy Single Channel Wall Mounted Smoove Remote White with Silver Cover Plate",1,"")</f>
        <v/>
      </c>
      <c r="NY10" t="str">
        <f>IF('Job Sheet'!W16="Somfy Single Channel Wall Mounted Smoove Remote White",1,"")</f>
        <v/>
      </c>
      <c r="NZ10" t="str">
        <f>IF('Job Sheet'!W16="Somfy 2 Channel Wall Mounted Smoove Remote White with Black Cover Plate",1,"")</f>
        <v/>
      </c>
      <c r="OA10" t="str">
        <f>IF('Job Sheet'!W16="Somfy 2 Channel Wall Mounted Smoove Remote White with Silver Cover Plate",1,"")</f>
        <v/>
      </c>
      <c r="OB10" t="str">
        <f>IF('Job Sheet'!W16="Somfy 2 Channel Wall Mounted Smoove Remote White",1,"")</f>
        <v/>
      </c>
      <c r="OC10" t="str">
        <f>IF('Job Sheet'!W16="Somfy 5 Channel Wall Mounted Smoove Remote White with Black Cover Plate",1,"")</f>
        <v/>
      </c>
      <c r="OD10" t="str">
        <f>IF('Job Sheet'!W16="Somfy 5 Channel Wall Mounted Smoove Remote White with Silver Cover Plate",1,"")</f>
        <v/>
      </c>
      <c r="OE10" t="str">
        <f>IF('Job Sheet'!W16="Somfy 5 Channel Wall Mounted Smoove Remote White",1,"")</f>
        <v/>
      </c>
    </row>
    <row r="11" spans="4:395" ht="13.2" customHeight="1">
      <c r="D11" t="str">
        <f>IF(Data!AV17="","",IF(OR('Order Form'!R15="Supplied by Davidson's",SUM(NE11:NI11)&lt;&gt;0),CONCATENATE(Data!BC$5,".",Data!BD$5),IF(AND('Order Form'!R15&lt;&gt;"Supplied by Davidson's",'Tube Cutting'!C17=""),"",CONCATENATE(Data!BC$5,".",Data!BD$5))))</f>
        <v>11804.C</v>
      </c>
      <c r="E11">
        <f>IF(D11="","",Data!AW17)</f>
        <v>7</v>
      </c>
      <c r="F11" t="str">
        <f>IF(D11="","",Data!AV17)</f>
        <v>294ec06b-9658-498e-9716-a0b090062aad</v>
      </c>
      <c r="G11" t="str">
        <f t="shared" si="0"/>
        <v>Roller Shutters</v>
      </c>
      <c r="H11" t="str">
        <f>IF(D11="","",Data!BF$5)</f>
        <v>Crow, Tahlia</v>
      </c>
      <c r="I11" t="str">
        <f>IF(D11="","",Data!AX$5)</f>
        <v>Roller Shutters</v>
      </c>
      <c r="J11" s="116" t="str">
        <f>IF(OR(D11="",'Tube Cutting'!C17=""),"",IF(AND(Data!BN17="42mm Standard Slat",Data!BO17="Black"),'Tube Cutting'!C17*'Tube Cutting'!D17/5800,IF(AND(Data!BN17="42mm Standard Slat",'Tube Cutting'!H17="Black"),'Tube Cutting'!C17*'Tube Cutting'!G17/5800,"")))</f>
        <v/>
      </c>
      <c r="K11" s="116" t="str">
        <f>IF(OR(D11="",'Tube Cutting'!C17=""),"",IF(AND(Data!BN17="42mm Standard Slat",Data!BO17="Clear Beige"),'Tube Cutting'!C17*'Tube Cutting'!D17/5800,IF(AND(Data!BN17="42mm Standard Slat",'Tube Cutting'!H17="Clear Beige"),'Tube Cutting'!C17*'Tube Cutting'!G17/5800,"")))</f>
        <v/>
      </c>
      <c r="L11" s="116">
        <f>IF(OR(D11="",'Tube Cutting'!C17=""),"",IF(AND(Data!BN17="42mm Standard Slat",Data!BO17="Dune"),'Tube Cutting'!C17*'Tube Cutting'!D17/5800,IF(AND(Data!BN17="42mm Standard Slat",'Tube Cutting'!H17="Dune"),'Tube Cutting'!C17*'Tube Cutting'!G17/5800,"")))</f>
        <v>8.68256551724138</v>
      </c>
      <c r="M11" s="116" t="str">
        <f>IF(OR(D11="",'Tube Cutting'!C17=""),"",IF(AND(Data!BN17="42mm Standard Slat",Data!BO17="Mag Cream"),'Tube Cutting'!C17*'Tube Cutting'!D17/5800,IF(AND(Data!BN17="42mm Standard Slat",'Tube Cutting'!H17="Mag Cream"),'Tube Cutting'!C17*'Tube Cutting'!G17/5800,"")))</f>
        <v/>
      </c>
      <c r="N11" s="116" t="str">
        <f>IF(OR(D11="",'Tube Cutting'!C17=""),"",IF(AND(Data!BN17="42mm Standard Slat",Data!BO17="Monument"),'Tube Cutting'!C17*'Tube Cutting'!D17/5800,IF(AND(Data!BN17="42mm Standard Slat",'Tube Cutting'!H17="Monument"),'Tube Cutting'!C17*'Tube Cutting'!G17/5800,"")))</f>
        <v/>
      </c>
      <c r="O11" s="116" t="str">
        <f>IF(OR(D11="",'Tube Cutting'!C17=""),"",IF(AND(Data!BN17="42mm Standard Slat",Data!BO17="Shale Grey"),'Tube Cutting'!C17*'Tube Cutting'!D17/5800,IF(AND(Data!BN17="42mm Standard Slat",'Tube Cutting'!H17="Shale Grey"),'Tube Cutting'!C17*'Tube Cutting'!G17/5800,"")))</f>
        <v/>
      </c>
      <c r="P11" s="116" t="str">
        <f>IF(OR(D11="",'Tube Cutting'!C17=""),"",IF(AND(Data!BN17="42mm Standard Slat",Data!BO17="White"),'Tube Cutting'!C17*'Tube Cutting'!D17/5800,IF(AND(Data!BN17="42mm Standard Slat",'Tube Cutting'!H17="White"),'Tube Cutting'!C17*'Tube Cutting'!G17/5800,"")))</f>
        <v/>
      </c>
      <c r="Q11" s="116" t="str">
        <f>IF(OR(D11="",'Tube Cutting'!C17=""),"",IF(AND(Data!BN17="42mm Standard Slat",Data!BO17="Woodland Grey"),'Tube Cutting'!C17*'Tube Cutting'!D17/5800,IF(AND(Data!BN17="42mm Standard Slat",'Tube Cutting'!H17="Woodland Grey"),'Tube Cutting'!C17*'Tube Cutting'!G17/5800,"")))</f>
        <v/>
      </c>
      <c r="R11" s="116" t="str">
        <f>IF(OR(D11="",'Tube Cutting'!C17=""),"",IF(AND(Data!BN17="42mm Standard Slat",Data!BO17="Cream"),'Tube Cutting'!C17*'Tube Cutting'!D17/5800,IF(AND(Data!BN17="42mm Standard Slat",'Tube Cutting'!H17="Cream"),'Tube Cutting'!C17*'Tube Cutting'!G17/5800,"")))</f>
        <v/>
      </c>
      <c r="S11" s="116" t="str">
        <f>IF(OR(D11="",'Tube Cutting'!C17=""),"",IF(AND(Data!BN17="42mm Standard Slat",Data!BO17="Brown"),'Tube Cutting'!C17*'Tube Cutting'!D17/5800,IF(AND(Data!BN17="42mm Standard Slat",'Tube Cutting'!H17="Brown"),'Tube Cutting'!C17*'Tube Cutting'!G17/5800,"")))</f>
        <v/>
      </c>
      <c r="T11" s="116" t="str">
        <f>IF(OR(D11="",'Tube Cutting'!C17=""),"",IF(AND(Data!BN17="42mm Standard Slat",Data!BO17="Beige"),'Tube Cutting'!C17*'Tube Cutting'!D17/5800,IF(AND(Data!BN17="42mm Standard Slat",'Tube Cutting'!H17="Beige"),'Tube Cutting'!C17*'Tube Cutting'!G17/5800,"")))</f>
        <v/>
      </c>
      <c r="U11" s="116" t="str">
        <f>IF(OR(D11="",'Tube Cutting'!C17=""),"",IF(AND(Data!BN17="42mm Standard Slat",Data!BO17="Green"),'Tube Cutting'!C17*'Tube Cutting'!D17/5800,IF(AND(Data!BN17="42mm Standard Slat",'Tube Cutting'!H17="Green"),'Tube Cutting'!C17*'Tube Cutting'!G17/5800,"")))</f>
        <v/>
      </c>
      <c r="V11" s="116" t="str">
        <f>IF(OR(D11="",'Tube Cutting'!C17=""),"",IF(AND(Data!BN17="42mm Standard Slat",Data!BO17="Red"),'Tube Cutting'!C17*'Tube Cutting'!D17/5800,IF(AND(Data!BN17="42mm Standard Slat",'Tube Cutting'!H17="Red"),'Tube Cutting'!C17*'Tube Cutting'!G17/5800,"")))</f>
        <v/>
      </c>
      <c r="W11" s="116" t="str">
        <f>IF(OR(D11="",'Tube Cutting'!C17=""),"",IF(AND(Data!BN17="42mm Standard Slat",Data!BO17="Bronze"),'Tube Cutting'!C17*'Tube Cutting'!D17/5800,IF(AND(Data!BN17="42mm Standard Slat",'Tube Cutting'!H17="Bronze"),'Tube Cutting'!C17*'Tube Cutting'!G17/5800,"")))</f>
        <v/>
      </c>
      <c r="X11" s="116" t="str">
        <f>IF(OR(D11="",'Tube Cutting'!C17=""),"",IF(AND(Data!BN17="42mm Standard Slat",Data!BO17="Silver"),'Tube Cutting'!C17*'Tube Cutting'!D17/5800,IF(AND(Data!BN17="42mm Standard Slat",'Tube Cutting'!H17="Silver"),'Tube Cutting'!C17*'Tube Cutting'!G17/5800,"")))</f>
        <v/>
      </c>
      <c r="Y11" s="116" t="str">
        <f>IF(OR(D11="",'Tube Cutting'!C17=""),"",IF(AND(Data!BN17="42mm Standard Slat",Data!BO17="Deep Ocean Blue"),'Tube Cutting'!C17*'Tube Cutting'!D17/5800,IF(AND(Data!BN17="42mm Standard Slat",'Tube Cutting'!H17="Deep Ocean Blue"),'Tube Cutting'!C17*'Tube Cutting'!G17/5800,"")))</f>
        <v/>
      </c>
      <c r="Z11" s="116" t="str">
        <f>IF(OR(D11="",'Tube Cutting'!C17=""),"",IF(AND(Data!BN17="42mm Standard Slat",Data!BO17="Jasper"),'Tube Cutting'!C17*'Tube Cutting'!D17/5800,IF(AND(Data!BN17="42mm Standard Slat",'Tube Cutting'!H17="Jasper"),'Tube Cutting'!C17*'Tube Cutting'!G17/5800,"")))</f>
        <v/>
      </c>
      <c r="AA11" s="116" t="str">
        <f>IF(OR(D11="",'Tube Cutting'!C17=""),"",IF(AND(Data!BN17="42mm Standard Slat",Data!BO17="Surfmist"),'Tube Cutting'!C17*'Tube Cutting'!D17/5800,IF(AND(Data!BN17="42mm Standard Slat",'Tube Cutting'!H17="Surfmist"),'Tube Cutting'!C17*'Tube Cutting'!G17/5800,"")))</f>
        <v/>
      </c>
      <c r="AB11" s="116" t="str">
        <f>IF(OR(D11="",'Tube Cutting'!C17=""),"",IF('Tube Cutting'!H17="Black Unperforated",'Tube Cutting'!G17*'Tube Cutting'!C17/5800,IF(AND(OR(Data!BN17="42mm Standard Slat",Data!BN17="42mm Unperforated Slat"),Data!BO17="Black"),('Tube Cutting'!C17*'Tube Cutting'!E17/1000)/5.8,"")))</f>
        <v/>
      </c>
      <c r="AC11" s="116" t="str">
        <f>IF(OR(D11="",'Tube Cutting'!C17=""),"",IF('Tube Cutting'!H17="Clear Beige Unperforated",'Tube Cutting'!G17*'Tube Cutting'!C17/5800,IF(AND(OR(Data!BN17="42mm Standard Slat",Data!BN17="42mm Unperforated Slat"),Data!BO17="Clear Beige"),('Tube Cutting'!C17*'Tube Cutting'!E17/1000)/5.8,"")))</f>
        <v/>
      </c>
      <c r="AD11" s="116">
        <f>IF(OR(D11="",'Tube Cutting'!C17=""),"",IF('Tube Cutting'!H17="Dune Unperforated",'Tube Cutting'!G17*'Tube Cutting'!C17/5800,IF(AND(OR(Data!BN17="42mm Standard Slat",Data!BN17="42mm Unperforated Slat"),Data!BO17="Dune"),('Tube Cutting'!C17*'Tube Cutting'!E17/1000)/5.8,"")))</f>
        <v>1.59137931034483</v>
      </c>
      <c r="AE11" s="116" t="str">
        <f>IF(OR(D11="",'Tube Cutting'!C17=""),"",IF('Tube Cutting'!H17="Mag Cream Unperforated",'Tube Cutting'!G17*'Tube Cutting'!C17/5800,IF(AND(OR(Data!BN17="42mm Standard Slat",Data!BN17="42mm Unperforated Slat"),Data!BO17="Mag Cream"),('Tube Cutting'!C17*'Tube Cutting'!E17/1000)/5.8,"")))</f>
        <v/>
      </c>
      <c r="AF11" s="116" t="str">
        <f>IF(OR(D11="",'Tube Cutting'!C17=""),"",IF('Tube Cutting'!H17="Monument Unperforated",'Tube Cutting'!G17*'Tube Cutting'!C17/5800,IF(AND(OR(Data!BN17="42mm Standard Slat",Data!BN17="42mm Unperforated Slat"),Data!BO17="Monument"),('Tube Cutting'!C17*'Tube Cutting'!E17/1000)/5.8,"")))</f>
        <v/>
      </c>
      <c r="AG11" s="116" t="str">
        <f>IF(OR(D11="",'Tube Cutting'!C17=""),"",IF('Tube Cutting'!H17="Shale Grey Unperforated",'Tube Cutting'!G17*'Tube Cutting'!C17/5800,IF(AND(OR(Data!BN17="42mm Standard Slat",Data!BN17="42mm Unperforated Slat"),Data!BO17="Shale Grey"),('Tube Cutting'!C17*'Tube Cutting'!E17/1000)/5.8,"")))</f>
        <v/>
      </c>
      <c r="AH11" s="116" t="str">
        <f>IF(OR(D11="",'Tube Cutting'!C17=""),"",IF('Tube Cutting'!H17="White Unperforated",'Tube Cutting'!G17*'Tube Cutting'!C17/5800,IF(AND(OR(Data!BN17="42mm Standard Slat",Data!BN17="42mm Unperforated Slat"),Data!BO17="White"),('Tube Cutting'!C17*'Tube Cutting'!E17/1000)/5.8,"")))</f>
        <v/>
      </c>
      <c r="AI11" s="116" t="str">
        <f>IF(OR(D11="",'Tube Cutting'!C17=""),"",IF('Tube Cutting'!H17="Woodland Grey Unperforated",'Tube Cutting'!G17*'Tube Cutting'!C17/5800,IF(AND(OR(Data!BN17="42mm Standard Slat",Data!BN17="42mm Unperforated Slat"),Data!BO17="Woodland Grey"),('Tube Cutting'!C17*'Tube Cutting'!E17/1000)/5.8,"")))</f>
        <v/>
      </c>
      <c r="AJ11" s="116" t="str">
        <f>IF(OR(D11="",'Tube Cutting'!C17=""),"",IF('Tube Cutting'!H17="Cream Unperforated",'Tube Cutting'!G17*'Tube Cutting'!C17/5800,IF(AND(OR(Data!BN17="42mm Standard Slat",Data!BN17="42mm Unperforated Slat"),Data!BO17="Cream"),('Tube Cutting'!C17*'Tube Cutting'!E17/1000)/5.8,"")))</f>
        <v/>
      </c>
      <c r="AK11" s="116" t="str">
        <f>IF(OR(D11="",'Tube Cutting'!C17=""),"",IF('Tube Cutting'!H17="Brown Unperforated",'Tube Cutting'!G17*'Tube Cutting'!C17/5800,IF(AND(OR(Data!BN17="42mm Standard Slat",Data!BN17="42mm Unperforated Slat"),Data!BO17="Brown"),('Tube Cutting'!C17*'Tube Cutting'!E17/1000)/5.8,"")))</f>
        <v/>
      </c>
      <c r="AL11" s="116" t="str">
        <f>IF(OR(D11="",'Tube Cutting'!C17=""),"",IF('Tube Cutting'!H17="Beige Unperforated",'Tube Cutting'!G17*'Tube Cutting'!C17/5800,IF(AND(OR(Data!BN17="42mm Standard Slat",Data!BN17="42mm Unperforated Slat"),Data!BO17="Beige"),('Tube Cutting'!C17*'Tube Cutting'!E17/1000)/5.8,"")))</f>
        <v/>
      </c>
      <c r="AM11" s="116" t="str">
        <f>IF(OR(D11="",'Tube Cutting'!C17=""),"",IF('Tube Cutting'!H17="Green Unperforated",'Tube Cutting'!G17*'Tube Cutting'!C17/5800,IF(AND(OR(Data!BN17="42mm Standard Slat",Data!BN17="42mm Unperforated Slat"),Data!BO17="Green"),('Tube Cutting'!C17*'Tube Cutting'!E17/1000)/5.8,"")))</f>
        <v/>
      </c>
      <c r="AN11" s="116" t="str">
        <f>IF(OR(D11="",'Tube Cutting'!C17=""),"",IF('Tube Cutting'!H17="Red Unperforated",'Tube Cutting'!G17*'Tube Cutting'!C17/5800,IF(AND(OR(Data!BN17="42mm Standard Slat",Data!BN17="42mm Unperforated Slat"),Data!BO17="Red"),('Tube Cutting'!C17*'Tube Cutting'!E17/1000)/5.8,"")))</f>
        <v/>
      </c>
      <c r="AO11" s="116" t="str">
        <f>IF(OR(D11="",'Tube Cutting'!C17=""),"",IF('Tube Cutting'!H17="Bronze Unperforated",'Tube Cutting'!G17*'Tube Cutting'!C17/5800,IF(AND(OR(Data!BN17="42mm Standard Slat",Data!BN17="42mm Unperforated Slat"),Data!BO17="Bronze"),('Tube Cutting'!C17*'Tube Cutting'!E17/1000)/5.8,"")))</f>
        <v/>
      </c>
      <c r="AP11" s="116" t="str">
        <f>IF(OR(D11="",'Tube Cutting'!C17=""),"",IF('Tube Cutting'!H17="Silver Unperforated",'Tube Cutting'!G17*'Tube Cutting'!C17/5800,IF(AND(OR(Data!BN17="42mm Standard Slat",Data!BN17="42mm Unperforated Slat"),Data!BO17="Silver"),('Tube Cutting'!C17*'Tube Cutting'!E17/1000)/5.8,"")))</f>
        <v/>
      </c>
      <c r="AQ11" s="116" t="str">
        <f>IF(OR(D11="",'Tube Cutting'!C17=""),"",IF('Tube Cutting'!H17="Deep Ocean Unperforated",'Tube Cutting'!G17*'Tube Cutting'!C17/5800,IF(AND(OR(Data!BN17="42mm Standard Slat",Data!BN17="42mm Unperforated Slat"),Data!BO17="Deep Ocean"),('Tube Cutting'!C17*'Tube Cutting'!E17/1000)/5.8,"")))</f>
        <v/>
      </c>
      <c r="AR11" s="116" t="str">
        <f>IF(OR(D11="",'Tube Cutting'!C17=""),"",IF('Tube Cutting'!H17="Jasper Unperforated",'Tube Cutting'!G17*'Tube Cutting'!C17/5800,IF(AND(OR(Data!BN17="42mm Standard Slat",Data!BN17="42mm Unperforated Slat"),Data!BO17="Jasper"),('Tube Cutting'!C17*'Tube Cutting'!E17/1000)/5.8,"")))</f>
        <v/>
      </c>
      <c r="AS11" s="116" t="str">
        <f>IF(OR(D11="",'Tube Cutting'!C17=""),"",IF('Tube Cutting'!H17="Surfmist Unperforated",'Tube Cutting'!G17*'Tube Cutting'!C17/5800,IF(AND(OR(Data!BN17="42mm Standard Slat",Data!BN17="42mm Unperforated Slat"),Data!BO17="Surfmist"),('Tube Cutting'!C17*'Tube Cutting'!E17/1000)/5.8,"")))</f>
        <v/>
      </c>
      <c r="AT11" t="str">
        <f>IF(OR(D11="",'Tube Cutting'!C17=""),"",IF(AND('Tube Cutting'!O17="Black",'Tube Cutting'!N17="180mm"),'Tube Cutting'!L17,""))</f>
        <v/>
      </c>
      <c r="AU11" t="str">
        <f>IF(OR(D11="",'Tube Cutting'!C17=""),"",IF(AND('Tube Cutting'!O17="Black",'Tube Cutting'!N17="180mm"),'Tube Cutting'!M17,""))</f>
        <v/>
      </c>
      <c r="AV11" t="str">
        <f>IF(OR(D11="",'Tube Cutting'!C17=""),"",IF(AND('Tube Cutting'!O17="Clear Beige",'Tube Cutting'!N17="180mm"),'Tube Cutting'!L17,""))</f>
        <v/>
      </c>
      <c r="AW11" t="str">
        <f>IF(OR(D11="",'Tube Cutting'!C17=""),"",IF(AND('Tube Cutting'!O17="Clear Beige",'Tube Cutting'!N17="180mm"),'Tube Cutting'!M17,""))</f>
        <v/>
      </c>
      <c r="AX11" t="str">
        <f>IF(OR(D11="",'Tube Cutting'!C17=""),"",IF(AND('Tube Cutting'!O17="Dune",'Tube Cutting'!N17="180mm"),'Tube Cutting'!L17,""))</f>
        <v/>
      </c>
      <c r="AY11" t="str">
        <f>IF(OR(D11="",'Tube Cutting'!C17=""),"",IF(AND('Tube Cutting'!O17="Dune",'Tube Cutting'!N17="180mm"),'Tube Cutting'!M17,""))</f>
        <v/>
      </c>
      <c r="AZ11" t="str">
        <f>IF(OR(D11="",'Tube Cutting'!C17=""),"",IF(AND('Tube Cutting'!O17="Mag Cream",'Tube Cutting'!N17="180mm"),'Tube Cutting'!L17,""))</f>
        <v/>
      </c>
      <c r="BA11" t="str">
        <f>IF(OR(D11="",'Tube Cutting'!C17=""),"",IF(AND('Tube Cutting'!O17="Mag Cream",'Tube Cutting'!N17="180mm"),'Tube Cutting'!M17,""))</f>
        <v/>
      </c>
      <c r="BB11">
        <f>IF(OR(D11="",'Tube Cutting'!C17=""),"",IF(AND('Tube Cutting'!O17="Monument",'Tube Cutting'!N17="180mm"),'Tube Cutting'!L17,""))</f>
        <v>1908</v>
      </c>
      <c r="BC11">
        <f>IF(OR(D11="",'Tube Cutting'!C17=""),"",IF(AND('Tube Cutting'!O17="Monument",'Tube Cutting'!N17="180mm"),'Tube Cutting'!M17,""))</f>
        <v>1908</v>
      </c>
      <c r="BD11" t="str">
        <f>IF(OR(D11="",'Tube Cutting'!C17=""),"",IF(AND('Tube Cutting'!O17="Shale Grey",'Tube Cutting'!N17="180mm"),'Tube Cutting'!L17,""))</f>
        <v/>
      </c>
      <c r="BE11" t="str">
        <f>IF(OR(D11="",'Tube Cutting'!C17=""),"",IF(AND('Tube Cutting'!O17="Shale Grey",'Tube Cutting'!N17="180mm"),'Tube Cutting'!M17,""))</f>
        <v/>
      </c>
      <c r="BF11" t="str">
        <f>IF(OR(D11="",'Tube Cutting'!C17=""),"",IF(AND('Tube Cutting'!O17="White",'Tube Cutting'!N17="180mm"),'Tube Cutting'!L17,""))</f>
        <v/>
      </c>
      <c r="BG11" t="str">
        <f>IF(OR(D11="",'Tube Cutting'!C17=""),"",IF(AND('Tube Cutting'!O17="White",'Tube Cutting'!N17="180mm"),'Tube Cutting'!M17,""))</f>
        <v/>
      </c>
      <c r="BH11" t="str">
        <f>IF(OR(D11="",'Tube Cutting'!C17=""),"",IF(AND('Tube Cutting'!O17="Woodland Grey",'Tube Cutting'!N17="180mm"),'Tube Cutting'!L17,""))</f>
        <v/>
      </c>
      <c r="BI11" t="str">
        <f>IF(OR(D11="",'Tube Cutting'!C17=""),"",IF(AND('Tube Cutting'!O17="Woodland Grey",'Tube Cutting'!N17="180mm"),'Tube Cutting'!M17,""))</f>
        <v/>
      </c>
      <c r="BJ11" t="str">
        <f>IF(OR(D11="",'Tube Cutting'!C17=""),"",IF(AND('Tube Cutting'!O17="Cream",'Tube Cutting'!N17="180mm"),'Tube Cutting'!L17,""))</f>
        <v/>
      </c>
      <c r="BK11" t="str">
        <f>IF(OR(D11="",'Tube Cutting'!C17=""),"",IF(AND('Tube Cutting'!O17="Cream",'Tube Cutting'!N17="180mm"),'Tube Cutting'!M17,""))</f>
        <v/>
      </c>
      <c r="BL11" t="str">
        <f>IF(OR(D11="",'Tube Cutting'!C17=""),"",IF(AND('Tube Cutting'!O17="Brown",'Tube Cutting'!N17="180mm"),'Tube Cutting'!L17,""))</f>
        <v/>
      </c>
      <c r="BM11" t="str">
        <f>IF(OR(D11="",'Tube Cutting'!C17=""),"",IF(AND('Tube Cutting'!O17="Brown",'Tube Cutting'!N17="180mm"),'Tube Cutting'!M17,""))</f>
        <v/>
      </c>
      <c r="BN11" t="str">
        <f>IF(OR(D11="",'Tube Cutting'!C17=""),"",IF(AND('Tube Cutting'!O17="Surfmist",'Tube Cutting'!N17="180mm"),'Tube Cutting'!L17,""))</f>
        <v/>
      </c>
      <c r="BO11" t="str">
        <f>IF(OR(D11="",'Tube Cutting'!C17=""),"",IF(AND('Tube Cutting'!O17="Surfmist",'Tube Cutting'!N17="180mm"),'Tube Cutting'!M17,""))</f>
        <v/>
      </c>
      <c r="BP11" t="str">
        <f>IF(OR(D11="",'Tube Cutting'!C17=""),"",IF(AND('Tube Cutting'!O17="Jasper",'Tube Cutting'!N17="180mm"),'Tube Cutting'!L17,""))</f>
        <v/>
      </c>
      <c r="BQ11" t="str">
        <f>IF(OR(D11="",'Tube Cutting'!C17=""),"",IF(AND('Tube Cutting'!O17="Jasper",'Tube Cutting'!N17="180mm"),'Tube Cutting'!M17,""))</f>
        <v/>
      </c>
      <c r="BR11" t="str">
        <f>IF(OR(E11="",'Tube Cutting'!D17=""),"",IF(AND('Tube Cutting'!O17="Red",'Tube Cutting'!N17="180mm"),'Tube Cutting'!L17,""))</f>
        <v/>
      </c>
      <c r="BS11" t="str">
        <f>IF(OR(E11="",'Tube Cutting'!D17=""),"",IF(AND('Tube Cutting'!O17="Red",'Tube Cutting'!N17="180mm"),'Tube Cutting'!M17,""))</f>
        <v/>
      </c>
      <c r="BT11" t="str">
        <f>IF(OR(D11="",'Tube Cutting'!C17=""),"",IF(AND('Tube Cutting'!O17="Black",'Tube Cutting'!N17="205mm"),'Tube Cutting'!L17,""))</f>
        <v/>
      </c>
      <c r="BU11" t="str">
        <f>IF(OR(D11="",'Tube Cutting'!C17=""),"",IF(AND('Tube Cutting'!O17="Black",'Tube Cutting'!N17="205mm"),'Tube Cutting'!M17,""))</f>
        <v/>
      </c>
      <c r="BV11" t="str">
        <f>IF(OR(D11="",'Tube Cutting'!C17=""),"",IF(AND('Tube Cutting'!O17="Clear Beige",'Tube Cutting'!N17="205mm"),'Tube Cutting'!L17,""))</f>
        <v/>
      </c>
      <c r="BW11" t="str">
        <f>IF(OR(D11="",'Tube Cutting'!C17=""),"",IF(AND('Tube Cutting'!O17="Clear Beige",'Tube Cutting'!N17="205mm"),'Tube Cutting'!M17,""))</f>
        <v/>
      </c>
      <c r="BX11" t="str">
        <f>IF(OR(D11="",'Tube Cutting'!C17=""),"",IF(AND('Tube Cutting'!O17="Dune",'Tube Cutting'!N17="205mm"),'Tube Cutting'!L17,""))</f>
        <v/>
      </c>
      <c r="BY11" t="str">
        <f>IF(OR(D11="",'Tube Cutting'!C17=""),"",IF(AND('Tube Cutting'!O17="Dune",'Tube Cutting'!N17="205mm"),'Tube Cutting'!M17,""))</f>
        <v/>
      </c>
      <c r="BZ11" t="str">
        <f>IF(OR(D11="",'Tube Cutting'!C17=""),"",IF(AND('Tube Cutting'!O17="Mag Cream",'Tube Cutting'!N17="205mm"),'Tube Cutting'!L17,""))</f>
        <v/>
      </c>
      <c r="CA11" t="str">
        <f>IF(OR(D11="",'Tube Cutting'!C17=""),"",IF(AND('Tube Cutting'!O17="Mag Cream",'Tube Cutting'!N17="205mm"),'Tube Cutting'!M17,""))</f>
        <v/>
      </c>
      <c r="CB11" t="str">
        <f>IF(OR(D11="",'Tube Cutting'!C17=""),"",IF(AND('Tube Cutting'!O17="Monument",'Tube Cutting'!N17="205mm"),'Tube Cutting'!L17,""))</f>
        <v/>
      </c>
      <c r="CC11" t="str">
        <f>IF(OR(D11="",'Tube Cutting'!C17=""),"",IF(AND('Tube Cutting'!O17="Monument",'Tube Cutting'!N17="205mm"),'Tube Cutting'!M17,""))</f>
        <v/>
      </c>
      <c r="CD11" t="str">
        <f>IF(OR(D11="",'Tube Cutting'!C17=""),"",IF(AND('Tube Cutting'!O17="Shale Grey",'Tube Cutting'!N17="205mm"),'Tube Cutting'!L17,""))</f>
        <v/>
      </c>
      <c r="CE11" t="str">
        <f>IF(OR(D11="",'Tube Cutting'!C17=""),"",IF(AND('Tube Cutting'!O17="Shale Grey",'Tube Cutting'!N17="205mm"),'Tube Cutting'!M17,""))</f>
        <v/>
      </c>
      <c r="CF11" t="str">
        <f>IF(OR(D11="",'Tube Cutting'!C17=""),"",IF(AND('Tube Cutting'!O17="White",'Tube Cutting'!N17="205mm"),'Tube Cutting'!L17,""))</f>
        <v/>
      </c>
      <c r="CG11" t="str">
        <f>IF(OR(D11="",'Tube Cutting'!C17=""),"",IF(AND('Tube Cutting'!O17="White",'Tube Cutting'!N17="205mm"),'Tube Cutting'!M17,""))</f>
        <v/>
      </c>
      <c r="CH11" t="str">
        <f>IF(OR(D11="",'Tube Cutting'!C17=""),"",IF(AND('Tube Cutting'!O17="Woodland Grey",'Tube Cutting'!N17="205mm"),'Tube Cutting'!L17,""))</f>
        <v/>
      </c>
      <c r="CI11" t="str">
        <f>IF(OR(D11="",'Tube Cutting'!C17=""),"",IF(AND('Tube Cutting'!O17="Woodland Grey",'Tube Cutting'!N17="205mm"),'Tube Cutting'!M17,""))</f>
        <v/>
      </c>
      <c r="CJ11" t="str">
        <f>IF(OR(D11="",'Tube Cutting'!C17=""),"",IF(AND('Tube Cutting'!O17="Cream",'Tube Cutting'!N17="205mm"),'Tube Cutting'!L17,""))</f>
        <v/>
      </c>
      <c r="CK11" t="str">
        <f>IF(OR(D11="",'Tube Cutting'!C17=""),"",IF(AND('Tube Cutting'!O17="Cream",'Tube Cutting'!N17="205mm"),'Tube Cutting'!M17,""))</f>
        <v/>
      </c>
      <c r="CL11" t="str">
        <f>IF(OR(D11="",'Tube Cutting'!C17=""),"",IF(AND('Tube Cutting'!O17="Brown",'Tube Cutting'!N17="205mm"),'Tube Cutting'!L17,""))</f>
        <v/>
      </c>
      <c r="CM11" t="str">
        <f>IF(OR(D11="",'Tube Cutting'!C17=""),"",IF(AND('Tube Cutting'!O17="Brown",'Tube Cutting'!N17="205mm"),'Tube Cutting'!M17,""))</f>
        <v/>
      </c>
      <c r="CN11" t="str">
        <f>IF(OR(D11="",'Tube Cutting'!C17=""),"",IF(AND('Tube Cutting'!O17="Surfmist",'Tube Cutting'!N17="205mm"),'Tube Cutting'!L17,""))</f>
        <v/>
      </c>
      <c r="CO11" t="str">
        <f>IF(OR(D11="",'Tube Cutting'!C17=""),"",IF(AND('Tube Cutting'!O17="Surfmist",'Tube Cutting'!N17="205mm"),'Tube Cutting'!M17,""))</f>
        <v/>
      </c>
      <c r="CP11" t="str">
        <f>IF(OR(D11="",'Tube Cutting'!C17=""),"",IF(AND('Tube Cutting'!O17="Jasper",'Tube Cutting'!N17="205mm"),'Tube Cutting'!L17,""))</f>
        <v/>
      </c>
      <c r="CQ11" t="str">
        <f>IF(OR(D11="",'Tube Cutting'!C17=""),"",IF(AND('Tube Cutting'!O17="Jasper",'Tube Cutting'!N17="205mm"),'Tube Cutting'!M17,""))</f>
        <v/>
      </c>
      <c r="CR11" t="str">
        <f>IF(OR(D11="",'Tube Cutting'!C17=""),"",IF(AND('Tube Cutting'!O17="Cream",'Tube Cutting'!N17="230mm"),'Tube Cutting'!L17,""))</f>
        <v/>
      </c>
      <c r="CS11" t="str">
        <f>IF(OR(D11="",'Tube Cutting'!C17=""),"",IF(AND('Tube Cutting'!O17="Cream",'Tube Cutting'!N17="230mm"),'Tube Cutting'!M17,""))</f>
        <v/>
      </c>
      <c r="CT11" t="str">
        <f>IF(OR(D11="",'Tube Cutting'!C17=""),"",IF(AND('Tube Cutting'!O17="Mag Cream",'Tube Cutting'!N17="230mm"),'Tube Cutting'!L17,""))</f>
        <v/>
      </c>
      <c r="CU11" t="str">
        <f>IF(OR(D11="",'Tube Cutting'!C17=""),"",IF(AND('Tube Cutting'!O17="Mag Cream",'Tube Cutting'!N17="230mm"),'Tube Cutting'!M17,""))</f>
        <v/>
      </c>
      <c r="CV11" t="str">
        <f>IF(OR(D11="",'Tube Cutting'!C17=""),"",IF(AND('Tube Cutting'!O17="Clear Beige",'Tube Cutting'!N17="230mm"),'Tube Cutting'!L17,""))</f>
        <v/>
      </c>
      <c r="CW11" t="str">
        <f>IF(OR(D11="",'Tube Cutting'!C17=""),"",IF(AND('Tube Cutting'!O17="Clear Beige",'Tube Cutting'!N17="230mm"),'Tube Cutting'!M17,""))</f>
        <v/>
      </c>
      <c r="CX11" t="str">
        <f>IF(OR(D11="",'Tube Cutting'!C17=""),"",IF(AND('Tube Cutting'!O17="White",'Tube Cutting'!N17="230mm"),'Tube Cutting'!L17,""))</f>
        <v/>
      </c>
      <c r="CY11" t="str">
        <f>IF(OR(D11="",'Tube Cutting'!C17=""),"",IF(AND('Tube Cutting'!O17="White",'Tube Cutting'!N17="230mm"),'Tube Cutting'!M17,""))</f>
        <v/>
      </c>
      <c r="CZ11" t="str">
        <f>IF(OR(D11="",'Tube Cutting'!C17=""),"",IF(AND('Tube Cutting'!O17="Shale Grey",'Tube Cutting'!N17="230mm"),'Tube Cutting'!L17,""))</f>
        <v/>
      </c>
      <c r="DA11" t="str">
        <f>IF(OR(D11="",'Tube Cutting'!C17=""),"",IF(AND('Tube Cutting'!O17="Shale Grey",'Tube Cutting'!N17="230mm"),'Tube Cutting'!M17,""))</f>
        <v/>
      </c>
      <c r="DB11" t="str">
        <f>IF(OR(D11="",'Tube Cutting'!C17=""),"",IF(AND('Tube Cutting'!O17="Black",'Tube Cutting'!N17="230mm"),'Tube Cutting'!L17,""))</f>
        <v/>
      </c>
      <c r="DC11" t="str">
        <f>IF(OR(D11="",'Tube Cutting'!C17=""),"",IF(AND('Tube Cutting'!O17="Black",'Tube Cutting'!N17="230mm"),'Tube Cutting'!M17,""))</f>
        <v/>
      </c>
      <c r="DD11" t="str">
        <f>IF(OR(D11="",'Tube Cutting'!C17=""),"",IF(AND('Tube Cutting'!O17="Monument",'Tube Cutting'!N17="230mm"),'Tube Cutting'!L17,""))</f>
        <v/>
      </c>
      <c r="DE11" t="str">
        <f>IF(OR(D11="",'Tube Cutting'!C17=""),"",IF(AND('Tube Cutting'!O17="Monument",'Tube Cutting'!N17="230mm"),'Tube Cutting'!M17,""))</f>
        <v/>
      </c>
      <c r="DF11" t="str">
        <f>IF(OR(D11="",'Tube Cutting'!C17=""),"",IF(AND('Tube Cutting'!O17="Woodland Grey",'Tube Cutting'!N17="230mm"),'Tube Cutting'!L17,""))</f>
        <v/>
      </c>
      <c r="DG11" t="str">
        <f>IF(OR(D11="",'Tube Cutting'!C17=""),"",IF(AND('Tube Cutting'!O17="Woodland Grey",'Tube Cutting'!N17="230mm"),'Tube Cutting'!M17,""))</f>
        <v/>
      </c>
      <c r="DH11" t="str">
        <f>IF(OR(D11="",'Tube Cutting'!C17=""),"",IF(AND('Tube Cutting'!O17="Surfmist",'Tube Cutting'!N17="230mm"),'Tube Cutting'!L17,""))</f>
        <v/>
      </c>
      <c r="DI11" t="str">
        <f>IF(OR(D11="",'Tube Cutting'!C17=""),"",IF(AND('Tube Cutting'!O17="Surfmist",'Tube Cutting'!N17="230mm"),'Tube Cutting'!M17,""))</f>
        <v/>
      </c>
      <c r="DJ11" t="str">
        <f>IF(OR(D11="",'Tube Cutting'!C17=""),"",IF(AND('Tube Cutting'!O17="Jasper",'Tube Cutting'!N17="230mm"),'Tube Cutting'!L17,""))</f>
        <v/>
      </c>
      <c r="DK11" t="str">
        <f>IF(OR(D11="",'Tube Cutting'!C17=""),"",IF(AND('Tube Cutting'!O17="Jasper",'Tube Cutting'!N17="230mm"),'Tube Cutting'!M17,""))</f>
        <v/>
      </c>
      <c r="DL11" t="str">
        <f>IF(OR(D11="",'Tube Cutting'!C17=""),"",IF(AND('Tube Cutting'!O17="Dune",'Tube Cutting'!N17="230mm"),'Tube Cutting'!L17,""))</f>
        <v/>
      </c>
      <c r="DM11" t="str">
        <f>IF(OR(D11="",'Tube Cutting'!C17=""),"",IF(AND('Tube Cutting'!O17="Dune",'Tube Cutting'!N17="230mm"),'Tube Cutting'!M17,""))</f>
        <v/>
      </c>
      <c r="DN11" t="str">
        <f>IF(OR(D11="",'Tube Cutting'!C17=""),"",IF(AND('Tube Cutting'!R17="Cream",'Job Sheet'!AG17="Bay Window Flashing x 1"),'Job Sheet'!BB17,IF(AND('Tube Cutting'!R17="Cream",'Job Sheet'!AG17="Bay Window Flashing x 2"),'Job Sheet'!BB17*2,"")))</f>
        <v/>
      </c>
      <c r="DO11" t="str">
        <f>IF(OR(D11="",'Tube Cutting'!C17=""),"",IF(AND('Tube Cutting'!R17="Mag",'Job Sheet'!AG17="Bay Window Flashing x 1"),'Job Sheet'!BB17,IF(AND('Tube Cutting'!R17="Mag Cream",'Job Sheet'!AG17="Bay Window Flashing x 2"),'Job Sheet'!BB17*2,"")))</f>
        <v/>
      </c>
      <c r="DP11" t="str">
        <f>IF(OR(D11="",'Tube Cutting'!C17=""),"",IF(AND('Tube Cutting'!R17="Clear Beige",'Job Sheet'!AG17="Bay Window Flashing x 1"),'Job Sheet'!BB17,IF(AND('Tube Cutting'!R17="Clear Beige",'Job Sheet'!AG17="Bay Window Flashing x 2"),'Job Sheet'!BB17*2,"")))</f>
        <v/>
      </c>
      <c r="DQ11" t="str">
        <f>IF(OR(D11="",'Tube Cutting'!C17=""),"",IF(AND('Tube Cutting'!R17="White",'Job Sheet'!AG17="Bay Window Flashing x 1"),'Job Sheet'!BB17,IF(AND('Tube Cutting'!R17="White",'Job Sheet'!AG17="Bay Window Flashing x 2"),'Job Sheet'!BB17*2,"")))</f>
        <v/>
      </c>
      <c r="DR11" t="str">
        <f>IF(OR(D11="",'Tube Cutting'!C17=""),"",IF(AND('Tube Cutting'!R17="Shale Grey",'Job Sheet'!AG17="Bay Window Flashing x 1"),'Job Sheet'!BB17,IF(AND('Tube Cutting'!R17="Shale Grey",'Job Sheet'!AG17="Bay Window Flashing x 2"),'Job Sheet'!BB17*2,"")))</f>
        <v/>
      </c>
      <c r="DS11" t="str">
        <f>IF(OR(D11="",'Tube Cutting'!C17=""),"",IF(AND('Tube Cutting'!R17="Brown",'Job Sheet'!AG17="Bay Window Flashing x 1"),'Job Sheet'!BB17,IF(AND('Tube Cutting'!R17="Brown",'Job Sheet'!AG17="Bay Window Flashing x 2"),'Job Sheet'!BB17*2,"")))</f>
        <v/>
      </c>
      <c r="DT11" t="str">
        <f>IF(OR(D11="",'Tube Cutting'!C17=""),"",IF(AND('Tube Cutting'!R17="Black",'Job Sheet'!AG17="Bay Window Flashing x 1"),'Job Sheet'!BB17,IF(AND('Tube Cutting'!R17="Black",'Job Sheet'!AG17="Bay Window Flashing x 2"),'Job Sheet'!BB17*2,"")))</f>
        <v/>
      </c>
      <c r="DU11" t="str">
        <f>IF(OR(D11="",'Tube Cutting'!C17=""),"",IF(AND('Tube Cutting'!R17="Monument",'Job Sheet'!AG17="Bay Window Flashing x 1"),'Job Sheet'!BB17,IF(AND('Tube Cutting'!R17="Monument",'Job Sheet'!AG17="Bay Window Flashing x 2"),'Job Sheet'!BB17*2,"")))</f>
        <v/>
      </c>
      <c r="DV11" t="str">
        <f>IF(OR(D11="",'Tube Cutting'!C17=""),"",IF(AND('Tube Cutting'!R17="Woodland Grey",'Job Sheet'!AG17="Bay Window Flashing x 1"),'Job Sheet'!BB17,IF(AND('Tube Cutting'!R17="Woodland Grey",'Job Sheet'!AG17="Bay Window Flashing x 2"),'Job Sheet'!BB17*2,"")))</f>
        <v/>
      </c>
      <c r="DW11" t="str">
        <f>IF(OR(D11="",'Tube Cutting'!C17=""),"",IF(AND('Tube Cutting'!R17="Surfmist",'Job Sheet'!AG17="Bay Window Flashing x 1"),'Job Sheet'!BB17,IF(AND('Tube Cutting'!R17="Surfmist",'Job Sheet'!AG17="Bay Window Flashing x 2"),'Job Sheet'!BB17*2,"")))</f>
        <v/>
      </c>
      <c r="DX11" t="str">
        <f>IF(OR(D11="",'Tube Cutting'!C17=""),"",IF(AND('Tube Cutting'!R17="Jasper",'Job Sheet'!AG17="Bay Window Flashing x 1"),'Job Sheet'!BB17,IF(AND('Tube Cutting'!R17="Jasper",'Job Sheet'!AG17="Bay Window Flashing x 2"),'Job Sheet'!BB17*2,"")))</f>
        <v/>
      </c>
      <c r="DY11" t="str">
        <f>IF(OR(D11="",'Tube Cutting'!C17=""),"",IF(AND('Tube Cutting'!R17="Dune",'Job Sheet'!AG17="Bay Window Flashing x 1"),'Job Sheet'!BB17,IF(AND('Tube Cutting'!R17="Dune",'Job Sheet'!AG17="Bay Window Flashing x 2"),'Job Sheet'!BB17*2,"")))</f>
        <v/>
      </c>
      <c r="DZ11" t="str">
        <f>IF(OR(D11="",'Tube Cutting'!C17=""),"",IF('Tube Cutting'!R17="Cream",IF(SUM('Job Sheet'!BR17:BU17)=0,"",SUM('Job Sheet'!BR17:BU17)),""))</f>
        <v/>
      </c>
      <c r="EA11" t="str">
        <f>IF(OR(D11="",'Tube Cutting'!C17=""),"",IF('Tube Cutting'!R17="Mag Cream",IF(SUM('Job Sheet'!BR17:BU17)=0,"",SUM('Job Sheet'!BR17:BU17)),""))</f>
        <v/>
      </c>
      <c r="EB11" t="str">
        <f>IF(OR(D11="",'Tube Cutting'!C17=""),"",IF('Tube Cutting'!R17="Clear Beige",IF(SUM('Job Sheet'!BR17:BU17)=0,"",SUM('Job Sheet'!BR17:BU17)),""))</f>
        <v/>
      </c>
      <c r="EC11" t="str">
        <f>IF(OR(D11="",'Tube Cutting'!C17=""),"",IF('Tube Cutting'!R17="White",IF(SUM('Job Sheet'!BR17:BU17)=0,"",SUM('Job Sheet'!BR17:BU17)),""))</f>
        <v/>
      </c>
      <c r="ED11" t="str">
        <f>IF(OR(D11="",'Tube Cutting'!C17=""),"",IF('Tube Cutting'!R17="Shale Grey",IF(SUM('Job Sheet'!BR17:BU17)=0,"",SUM('Job Sheet'!BR17:BU17)),""))</f>
        <v/>
      </c>
      <c r="EE11" t="str">
        <f>IF(OR(D11="",'Tube Cutting'!C17=""),"",IF('Tube Cutting'!R17="Brown",IF(SUM('Job Sheet'!BR17:BU17)=0,"",SUM('Job Sheet'!BR17:BU17)),""))</f>
        <v/>
      </c>
      <c r="EF11" t="str">
        <f>IF(OR(D11="",'Tube Cutting'!C17=""),"",IF('Tube Cutting'!R17="Black",IF(SUM('Job Sheet'!BR17:BU17)=0,"",SUM('Job Sheet'!BR17:BU17)),""))</f>
        <v/>
      </c>
      <c r="EG11" t="str">
        <f>IF(OR(D11="",'Tube Cutting'!C17=""),"",IF('Tube Cutting'!R17="Monument",IF(SUM('Job Sheet'!BR17:BU17)=0,"",SUM('Job Sheet'!BR17:BU17)),""))</f>
        <v/>
      </c>
      <c r="EH11" t="str">
        <f>IF(OR(D11="",'Tube Cutting'!C17=""),"",IF('Tube Cutting'!R17="Woodland Grey",IF(SUM('Job Sheet'!BR17:BU17)=0,"",SUM('Job Sheet'!BR17:BU17)),""))</f>
        <v/>
      </c>
      <c r="EI11" t="str">
        <f>IF(OR(D11="",'Tube Cutting'!C17=""),"",IF('Tube Cutting'!R17="Surfmist",IF(SUM('Job Sheet'!BR17:BU17)=0,"",SUM('Job Sheet'!BR17:BU17)),""))</f>
        <v/>
      </c>
      <c r="EJ11" t="str">
        <f>IF(OR(D11="",'Tube Cutting'!C17=""),"",IF('Tube Cutting'!R17="Jasper",IF(SUM('Job Sheet'!BR17:BU17)=0,"",SUM('Job Sheet'!BR17:BU17)),""))</f>
        <v/>
      </c>
      <c r="EK11" t="str">
        <f>IF(OR(D11="",'Tube Cutting'!C17=""),"",IF('Tube Cutting'!R17="Dune",IF(SUM('Job Sheet'!BR17:BU17)=0,"",SUM('Job Sheet'!BR17:BU17)),""))</f>
        <v/>
      </c>
      <c r="EL11" t="str">
        <f>IF(OR(D11="",'Tube Cutting'!C17=""),"",IF('Tube Cutting'!R17="Cream",IF(SUM('Job Sheet'!BV17:BY17)=0,"",SUM('Job Sheet'!BV17:BY17)),""))</f>
        <v/>
      </c>
      <c r="EM11" t="str">
        <f>IF(OR(D11="",'Tube Cutting'!C17=""),"",IF('Tube Cutting'!R17="Mag Cream",IF(SUM('Job Sheet'!BV17:BY17)=0,"",SUM('Job Sheet'!BV17:BY17)),""))</f>
        <v/>
      </c>
      <c r="EN11" t="str">
        <f>IF(OR(D11="",'Tube Cutting'!C17=""),"",IF('Tube Cutting'!R17="Clear Beige",IF(SUM('Job Sheet'!BV17:BY17)=0,"",SUM('Job Sheet'!BV17:BY17)),""))</f>
        <v/>
      </c>
      <c r="EO11" t="str">
        <f>IF(OR(D11="",'Tube Cutting'!C17=""),"",IF('Tube Cutting'!R17="White",IF(SUM('Job Sheet'!BV17:BY17)=0,"",SUM('Job Sheet'!BV17:BY17)),""))</f>
        <v/>
      </c>
      <c r="EP11" t="str">
        <f>IF(OR(D11="",'Tube Cutting'!C17=""),"",IF('Tube Cutting'!R17="Shale Grey",IF(SUM('Job Sheet'!BV17:BY17)=0,"",SUM('Job Sheet'!BV17:BY17)),""))</f>
        <v/>
      </c>
      <c r="EQ11" t="str">
        <f>IF(OR(D11="",'Tube Cutting'!C17=""),"",IF('Tube Cutting'!R17="Brown",IF(SUM('Job Sheet'!BV17:BY17)=0,"",SUM('Job Sheet'!BV17:BY17)),""))</f>
        <v/>
      </c>
      <c r="ER11" t="str">
        <f>IF(OR(D11="",'Tube Cutting'!C17=""),"",IF('Tube Cutting'!R17="Black",IF(SUM('Job Sheet'!BV17:BY17)=0,"",SUM('Job Sheet'!BV17:BY17)),""))</f>
        <v/>
      </c>
      <c r="ES11" t="str">
        <f>IF(OR(D11="",'Tube Cutting'!C17=""),"",IF('Tube Cutting'!R17="Monument",IF(SUM('Job Sheet'!BV17:BY17)=0,"",SUM('Job Sheet'!BV17:BY17)),""))</f>
        <v/>
      </c>
      <c r="ET11" t="str">
        <f>IF(OR(D11="",'Tube Cutting'!C17=""),"",IF('Tube Cutting'!R17="Woodland Grey",IF(SUM('Job Sheet'!BV17:BY17)=0,"",SUM('Job Sheet'!BV17:BY17)),""))</f>
        <v/>
      </c>
      <c r="EU11" t="str">
        <f>IF(OR(D11="",'Tube Cutting'!C17=""),"",IF('Tube Cutting'!R17="Surfmist",IF(SUM('Job Sheet'!BV17:BY17)=0,"",SUM('Job Sheet'!BV17:BY17)),""))</f>
        <v/>
      </c>
      <c r="EV11" t="str">
        <f>IF(OR(D11="",'Tube Cutting'!C17=""),"",IF('Tube Cutting'!R17="Jasper",IF(SUM('Job Sheet'!BV17:BY17)=0,"",SUM('Job Sheet'!BV17:BY17)),""))</f>
        <v/>
      </c>
      <c r="EW11" t="str">
        <f>IF(OR(D11="",'Tube Cutting'!C17=""),"",IF('Tube Cutting'!R17="Dune",IF(SUM('Job Sheet'!BV17:BY17)=0,"",SUM('Job Sheet'!BV17:BY17)),""))</f>
        <v/>
      </c>
      <c r="EX11" t="str">
        <f>IF(OR(D11="",'Tube Cutting'!C17=""),"",IF('Tube Cutting'!R17="Cream",IF(SUM('Job Sheet'!BZ17:CC17)=0,"",SUM('Job Sheet'!BZ17:CC17)),""))</f>
        <v/>
      </c>
      <c r="EY11" t="str">
        <f>IF(OR(D11="",'Tube Cutting'!C17=""),"",IF('Tube Cutting'!R17="Mag Cream",IF(SUM('Job Sheet'!BZ17:CC17)=0,"",SUM('Job Sheet'!BZ17:CC17)),""))</f>
        <v/>
      </c>
      <c r="EZ11" t="str">
        <f>IF(OR(D11="",'Tube Cutting'!C17=""),"",IF('Tube Cutting'!R17="Clear Beige",IF(SUM('Job Sheet'!BZ17:CC17)=0,"",SUM('Job Sheet'!BZ17:CC17)),""))</f>
        <v/>
      </c>
      <c r="FA11" t="str">
        <f>IF(OR(D11="",'Tube Cutting'!C17=""),"",IF('Tube Cutting'!R17="White",IF(SUM('Job Sheet'!BZ17:CC17)=0,"",SUM('Job Sheet'!BZ17:CC17)),""))</f>
        <v/>
      </c>
      <c r="FB11" t="str">
        <f>IF(OR(D11="",'Tube Cutting'!C17=""),"",IF('Tube Cutting'!R17="Shale Grey",IF(SUM('Job Sheet'!BZ17:CC17)=0,"",SUM('Job Sheet'!BZ17:CC17)),""))</f>
        <v/>
      </c>
      <c r="FC11" t="str">
        <f>IF(OR(D11="",'Tube Cutting'!C17=""),"",IF('Tube Cutting'!R17="Brown",IF(SUM('Job Sheet'!BZ17:CC17)=0,"",SUM('Job Sheet'!BZ17:CC17)),""))</f>
        <v/>
      </c>
      <c r="FD11" t="str">
        <f>IF(OR(D11="",'Tube Cutting'!C17=""),"",IF('Tube Cutting'!R17="Black",IF(SUM('Job Sheet'!BZ17:CC17)=0,"",SUM('Job Sheet'!BZ17:CC17)),""))</f>
        <v/>
      </c>
      <c r="FE11" t="str">
        <f>IF(OR(D11="",'Tube Cutting'!C17=""),"",IF('Tube Cutting'!R17="Monument",IF(SUM('Job Sheet'!BZ17:CC17)=0,"",SUM('Job Sheet'!BZ17:CC17)),""))</f>
        <v/>
      </c>
      <c r="FF11" t="str">
        <f>IF(OR(D11="",'Tube Cutting'!C17=""),"",IF('Tube Cutting'!R17="Woodland Grey",IF(SUM('Job Sheet'!BZ17:CC17)=0,"",SUM('Job Sheet'!BZ17:CC17)),""))</f>
        <v/>
      </c>
      <c r="FG11" t="str">
        <f>IF(OR(D11="",'Tube Cutting'!C17=""),"",IF('Tube Cutting'!R17="Surfmist",IF(SUM('Job Sheet'!BZ17:CC17)=0,"",SUM('Job Sheet'!BZ17:CC17)),""))</f>
        <v/>
      </c>
      <c r="FH11" t="str">
        <f>IF(OR(D11="",'Tube Cutting'!C17=""),"",IF('Tube Cutting'!R17="Jasper",IF(SUM('Job Sheet'!BZ17:CC17)=0,"",SUM('Job Sheet'!BZ17:CC17)),""))</f>
        <v/>
      </c>
      <c r="FI11" t="str">
        <f>IF(OR(D11="",'Tube Cutting'!C17=""),"",IF('Tube Cutting'!R17="Dune",IF(SUM('Job Sheet'!BZ17:CC17)=0,"",SUM('Job Sheet'!BZ17:CC17)),""))</f>
        <v/>
      </c>
      <c r="FJ11" t="str">
        <f>IF(OR(D11="",'Tube Cutting'!C17=""),"",IF('Tube Cutting'!R17="Cream",IF(SUM('Job Sheet'!BN17:BQ17)=0,"",SUM('Job Sheet'!BN17:BQ17)),""))</f>
        <v/>
      </c>
      <c r="FK11" t="str">
        <f>IF(OR(D11="",'Tube Cutting'!C17=""),"",IF('Tube Cutting'!R17="Mag Cream",IF(SUM('Job Sheet'!BN17:BQ17)=0,"",SUM('Job Sheet'!BN17:BQ17)),""))</f>
        <v/>
      </c>
      <c r="FL11" t="str">
        <f>IF(OR(D11="",'Tube Cutting'!C17=""),"",IF('Tube Cutting'!R17="Clear Beige",IF(SUM('Job Sheet'!BN17:BQ17)=0,"",SUM('Job Sheet'!BN17:BQ17)),""))</f>
        <v/>
      </c>
      <c r="FM11" t="str">
        <f>IF(OR(D11="",'Tube Cutting'!C17=""),"",IF('Tube Cutting'!R17="White",IF(SUM('Job Sheet'!BN17:BQ17)=0,"",SUM('Job Sheet'!BN17:BQ17)),""))</f>
        <v/>
      </c>
      <c r="FN11" t="str">
        <f>IF(OR(D11="",'Tube Cutting'!C17=""),"",IF('Tube Cutting'!R17="Shale Grey",IF(SUM('Job Sheet'!BN17:BQ17)=0,"",SUM('Job Sheet'!BN17:BQ17)),""))</f>
        <v/>
      </c>
      <c r="FO11" t="str">
        <f>IF(OR(D11="",'Tube Cutting'!C17=""),"",IF('Tube Cutting'!R17="Brown",IF(SUM('Job Sheet'!BN17:BQ17)=0,"",SUM('Job Sheet'!BN17:BQ17)),""))</f>
        <v/>
      </c>
      <c r="FP11" t="str">
        <f>IF(OR(D11="",'Tube Cutting'!C17=""),"",IF('Tube Cutting'!R17="Dune",IF(SUM('Job Sheet'!BN17:BQ17)=0,"",SUM('Job Sheet'!BN17:BQ17)),""))</f>
        <v/>
      </c>
      <c r="FQ11" t="str">
        <f>IF(OR(D11="",'Tube Cutting'!C17=""),"",IF('Tube Cutting'!R17="Dune",IF(SUM('Job Sheet'!BN17:BQ17)=0,"",SUM('Job Sheet'!BN17:BQ17)),""))</f>
        <v/>
      </c>
      <c r="FR11" t="str">
        <f>IF(OR(D11="",'Tube Cutting'!C17=""),"",IF('Tube Cutting'!R17="Black",IF(SUM('Job Sheet'!BN17:BQ17)=0,"",SUM('Job Sheet'!BN17:BQ17)),""))</f>
        <v/>
      </c>
      <c r="FS11" t="str">
        <f>IF(OR(D11="",'Tube Cutting'!C17=""),"",IF('Tube Cutting'!R17="Monument",IF(SUM('Job Sheet'!BN17:BQ17)=0,"",SUM('Job Sheet'!BN17:BQ17)),""))</f>
        <v/>
      </c>
      <c r="FT11" t="str">
        <f>IF(OR(D11="",'Tube Cutting'!C17=""),"",IF('Tube Cutting'!R17="Custom Powdercoat",IF(SUM('Job Sheet'!BN17:BQ17)=0,"",SUM('Job Sheet'!BN17:BQ17)),""))</f>
        <v/>
      </c>
      <c r="FU11" t="str">
        <f>IF(OR(D11="",'Tube Cutting'!C17=""),"",IF('Tube Cutting'!R17="Woodland Grey",IF(SUM('Job Sheet'!BN17:BQ17)=0,"",SUM('Job Sheet'!BN17:BQ17)),""))</f>
        <v/>
      </c>
      <c r="FV11" t="str">
        <f>IF(OR(D11="",'Tube Cutting'!C17=""),"",IF('Tube Cutting'!R17="Jasper",IF(SUM('Job Sheet'!BN17:BQ17)=0,"",SUM('Job Sheet'!BN17:BQ17)),""))</f>
        <v/>
      </c>
      <c r="FW11" t="str">
        <f>IF(OR(D11="",'Tube Cutting'!C17=""),"",IF('Tube Cutting'!R17="Surfmist",IF(SUM('Job Sheet'!BN17:BQ17)=0,"",SUM('Job Sheet'!BN17:BQ17)),""))</f>
        <v/>
      </c>
      <c r="FX11" t="str">
        <f>IF(OR(D11="",'Tube Cutting'!C17=""),"",IF('Tube Cutting'!R17="Dune",IF(SUM('Job Sheet'!BN17:BQ17)=0,"",SUM('Job Sheet'!BN17:BQ17)),""))</f>
        <v/>
      </c>
      <c r="FY11">
        <f>IF(OR(D11="",'Tube Cutting'!C17=""),"",IF(AND('Order Form'!R15="Supplied by Davidson's",'Tube Cutting'!C17&lt;&gt;""),"",'Tube Cutting'!S17))</f>
        <v>1838</v>
      </c>
      <c r="FZ11" t="str">
        <f>IF(OR(D11="",'Tube Cutting'!C17=""),"",IF(AND(Data!BN17="42mm Standard Slat",'Tube Cutting'!J17="Black"),'Tube Cutting'!I17,""))</f>
        <v/>
      </c>
      <c r="GA11" t="str">
        <f>IF(OR(D11="",'Tube Cutting'!C17=""),"",IF(AND(Data!BN17="42mm Standard Slat",'Tube Cutting'!J17="Clear Beige"),'Tube Cutting'!I17,""))</f>
        <v/>
      </c>
      <c r="GB11" t="str">
        <f>IF(OR(D11="",'Tube Cutting'!C17=""),"",IF(AND(Data!BN17="42mm Standard Slat",'Tube Cutting'!J17="Dune"),'Tube Cutting'!I17,""))</f>
        <v/>
      </c>
      <c r="GC11" t="str">
        <f>IF(OR(D11="",'Tube Cutting'!C17=""),"",IF(AND(Data!BN17="42mm Standard Slat",'Tube Cutting'!J17="Mag Cream"),'Tube Cutting'!I17,""))</f>
        <v/>
      </c>
      <c r="GD11">
        <f>IF(OR(D11="",'Tube Cutting'!C17=""),"",IF(AND(Data!BN17="42mm Standard Slat",'Tube Cutting'!J17="Monument"),'Tube Cutting'!I17,""))</f>
        <v>1846</v>
      </c>
      <c r="GE11" t="str">
        <f>IF(OR(D11="",'Tube Cutting'!C17=""),"",IF(AND(Data!BN17="42mm Standard Slat",'Tube Cutting'!J17="Shale Grey"),'Tube Cutting'!I17,""))</f>
        <v/>
      </c>
      <c r="GF11" t="str">
        <f>IF(OR(D11="",'Tube Cutting'!C17=""),"",IF(AND(Data!BN17="42mm Standard Slat",'Tube Cutting'!J17="White"),'Tube Cutting'!I17,""))</f>
        <v/>
      </c>
      <c r="GG11" t="str">
        <f>IF(OR(D11="",'Tube Cutting'!C17=""),"",IF(AND(Data!BN17="42mm Standard Slat",'Tube Cutting'!J17="Woodland Grey"),'Tube Cutting'!I17,""))</f>
        <v/>
      </c>
      <c r="GH11" t="str">
        <f>IF(OR(D11="",'Tube Cutting'!C17=""),"",IF(AND(Data!BN17="42mm Standard Slat",'Tube Cutting'!J17="Cream"),'Tube Cutting'!I17,""))</f>
        <v/>
      </c>
      <c r="GI11" t="str">
        <f>IF(OR(D11="",'Tube Cutting'!C17=""),"",IF(AND(Data!BN17="42mm Standard Slat",'Tube Cutting'!J17="Brown"),'Tube Cutting'!I17,""))</f>
        <v/>
      </c>
      <c r="GJ11" t="str">
        <f>IF(OR(D11="",'Tube Cutting'!C17=""),"",IF(AND(Data!BN17="42mm Standard Slat",'Tube Cutting'!J17="Custom Powdercoat"),'Tube Cutting'!I17,""))</f>
        <v/>
      </c>
      <c r="GK11" t="str">
        <f>IF(OR(D11="",'Tube Cutting'!C17=""),"",IF(AND(Data!BN17="42mm Standard Slat",'Tube Cutting'!J17="Surfmist"),'Tube Cutting'!I17,""))</f>
        <v/>
      </c>
      <c r="GL11" t="str">
        <f>IF(OR(D11="",'Tube Cutting'!C17=""),"",IF(AND(Data!BN17="42mm Standard Slat",'Tube Cutting'!J17="Jasper"),'Tube Cutting'!I17,""))</f>
        <v/>
      </c>
      <c r="GM11" t="str">
        <f>IF(OR(D11="",'Tube Cutting'!C17=""),"",IF('Tube Cutting'!R17="Black",('Job Sheet'!BB17*2+IF('Job Sheet'!Q17="Black",SUM('Job Sheet'!BJ17:BM17))),""))</f>
        <v/>
      </c>
      <c r="GN11" t="str">
        <f>IF(OR(D11="",'Tube Cutting'!C17=""),"",IF('Tube Cutting'!R17="Clear Beige",('Job Sheet'!BB17*2+IF('Job Sheet'!Q17="Clear Beige",SUM('Job Sheet'!BJ17:BM17))),""))</f>
        <v/>
      </c>
      <c r="GO11" t="str">
        <f>IF(OR(D11="",'Tube Cutting'!C17=""),"",IF('Tube Cutting'!R17="Dune",('Job Sheet'!BB17*2+IF('Job Sheet'!Q17="Dune",SUM('Job Sheet'!BJ17:BM17))),""))</f>
        <v/>
      </c>
      <c r="GP11" t="str">
        <f>IF(OR(D11="",'Tube Cutting'!C17=""),"",IF('Tube Cutting'!R17="Mag Cream",('Job Sheet'!BB17*2+IF('Job Sheet'!Q17="Mag Cream",SUM('Job Sheet'!BJ17:BM17))),""))</f>
        <v/>
      </c>
      <c r="GQ11">
        <f>IF(OR(D11="",'Tube Cutting'!C17=""),"",IF('Tube Cutting'!R17="Monument",('Job Sheet'!BB17*2+IF('Job Sheet'!Q17="Monument",SUM('Job Sheet'!BJ17:BM17))),""))</f>
        <v>2580</v>
      </c>
      <c r="GR11" t="str">
        <f>IF(OR(D11="",'Tube Cutting'!C17=""),"",IF('Tube Cutting'!R17="Shale Grey",('Job Sheet'!BB17*2+IF('Job Sheet'!Q17="Shale Grey",SUM('Job Sheet'!BJ17:BM17))),""))</f>
        <v/>
      </c>
      <c r="GS11" t="str">
        <f>IF(OR(D11="",'Tube Cutting'!C17=""),"",IF('Tube Cutting'!R17="White",('Job Sheet'!BB17*2+IF('Job Sheet'!Q17="White",SUM('Job Sheet'!BJ17:BM17))),""))</f>
        <v/>
      </c>
      <c r="GT11" t="str">
        <f>IF(OR(D11="",'Tube Cutting'!C17=""),"",IF('Tube Cutting'!R17="Woodland Grey",('Job Sheet'!BB17*2+IF('Job Sheet'!Q17="Woodland Grey",SUM('Job Sheet'!BJ17:BM17))),""))</f>
        <v/>
      </c>
      <c r="GU11" t="str">
        <f>IF(OR(D11="",'Tube Cutting'!C17=""),"",IF('Tube Cutting'!R17="Cream",('Job Sheet'!BB17*2+IF('Job Sheet'!Q17="Cream",SUM('Job Sheet'!BJ17:BM17))),""))</f>
        <v/>
      </c>
      <c r="GV11" t="str">
        <f>IF(OR(D11="",'Tube Cutting'!C17=""),"",IF('Tube Cutting'!R17="Brown",('Job Sheet'!BB17*2+IF('Job Sheet'!Q17="Brown",SUM('Job Sheet'!BJ17:BM17))),""))</f>
        <v/>
      </c>
      <c r="GW11" t="str">
        <f>IF(OR(D11="",'Tube Cutting'!C17=""),"",IF('Tube Cutting'!R17="Custom Powdercoat",('Job Sheet'!BB17*2+IF('Job Sheet'!Q17="Custom Powdercoat",SUM('Job Sheet'!BJ17:BM17))),""))</f>
        <v/>
      </c>
      <c r="GX11" t="str">
        <f>IF(OR(D11="",'Tube Cutting'!C17=""),"",IF('Tube Cutting'!R17="Surfmist",('Job Sheet'!BB17*2+IF('Job Sheet'!Q17="Surfmist",SUM('Job Sheet'!BJ17:BM17))),""))</f>
        <v/>
      </c>
      <c r="GY11" t="str">
        <f>IF(OR(D11="",'Tube Cutting'!C17=""),"",IF('Tube Cutting'!R17="Jasper",('Job Sheet'!BB17*2+IF('Job Sheet'!Q17="Jasper",SUM('Job Sheet'!BJ17:BM17))),""))</f>
        <v/>
      </c>
      <c r="GZ11" t="str">
        <f>IF(OR(D11="",'Tube Cutting'!C17=""),"",IF(AND('Tube Cutting'!R17="Cream",'Tube Cutting'!P17="68mm"),'Job Sheet'!BB17*2,""))</f>
        <v/>
      </c>
      <c r="HA11" t="str">
        <f>IF(OR(D11="",'Tube Cutting'!C17=""),"",IF(AND('Tube Cutting'!R17="Mag Cream",'Tube Cutting'!P17="68mm"),'Job Sheet'!BB17*2,""))</f>
        <v/>
      </c>
      <c r="HB11" t="str">
        <f>IF(OR(D11="",'Tube Cutting'!C17=""),"",IF(AND('Tube Cutting'!R17="Clear Beige",'Tube Cutting'!P17="68mm"),'Job Sheet'!BB17*2,""))</f>
        <v/>
      </c>
      <c r="HC11" t="str">
        <f>IF(OR(D11="",'Tube Cutting'!C17=""),"",IF(AND('Tube Cutting'!R17="White",'Tube Cutting'!P17="68mm"),'Job Sheet'!BB17*2,""))</f>
        <v/>
      </c>
      <c r="HD11" t="str">
        <f>IF(OR(D11="",'Tube Cutting'!C17=""),"",IF(AND('Tube Cutting'!R17="Shale Grey",'Tube Cutting'!P17="68mm"),'Job Sheet'!BB17*2,""))</f>
        <v/>
      </c>
      <c r="HE11" t="str">
        <f>IF(OR(D11="",'Tube Cutting'!C17=""),"",IF(AND('Tube Cutting'!R17="Brown",'Tube Cutting'!P17="68mm"),'Job Sheet'!BB17*2,""))</f>
        <v/>
      </c>
      <c r="HF11" t="str">
        <f>IF(OR(D11="",'Tube Cutting'!C17=""),"",IF(AND('Tube Cutting'!R17="Black",'Tube Cutting'!P17="68mm"),'Job Sheet'!BB17*2,""))</f>
        <v/>
      </c>
      <c r="HG11" t="str">
        <f>IF(OR(D11="",'Tube Cutting'!C17=""),"",IF(AND('Tube Cutting'!R17="Monument",'Tube Cutting'!P17="68mm"),'Job Sheet'!BB17*2,""))</f>
        <v/>
      </c>
      <c r="HH11" t="str">
        <f>IF(OR(D11="",'Tube Cutting'!C17=""),"",IF(AND('Tube Cutting'!R17="Custom Powdercoat",'Tube Cutting'!P17="68mm"),'Job Sheet'!BB17*2,""))</f>
        <v/>
      </c>
      <c r="HI11" t="str">
        <f>IF(OR(D11="",'Tube Cutting'!C17=""),"",IF(AND('Tube Cutting'!R17="Woodland Grey",'Tube Cutting'!P17="68mm"),'Job Sheet'!BB17*2,""))</f>
        <v/>
      </c>
      <c r="HJ11" t="str">
        <f>IF(OR(D11="",'Tube Cutting'!C17=""),"",IF(AND('Tube Cutting'!R17="Surfmist",'Tube Cutting'!P17="68mm"),'Job Sheet'!BB17*2,""))</f>
        <v/>
      </c>
      <c r="HK11" t="str">
        <f>IF(OR(D11="",'Tube Cutting'!C17=""),"",IF(AND('Tube Cutting'!R17="Jasper",'Tube Cutting'!P17="68mm"),'Job Sheet'!BB17*2,""))</f>
        <v/>
      </c>
      <c r="HL11" t="str">
        <f>IF(OR(D11="",'Tube Cutting'!C17=""),"",IF(AND('Tube Cutting'!R17="Dune",'Tube Cutting'!P17="68mm"),'Job Sheet'!BB17*2,""))</f>
        <v/>
      </c>
      <c r="HM11" t="str">
        <f>IF(OR(D11="",'Tube Cutting'!C17=""),"",IF(AND('Tube Cutting'!O17="Black",'Tube Cutting'!N17="180mm"),1,""))</f>
        <v/>
      </c>
      <c r="HN11" t="str">
        <f>IF(OR(D11="",'Tube Cutting'!C17=""),"",IF(AND('Tube Cutting'!O17="Clear Beige",'Tube Cutting'!N17="180mm"),1,""))</f>
        <v/>
      </c>
      <c r="HO11" t="str">
        <f>IF(OR(D11="",'Tube Cutting'!C17=""),"",IF(AND('Tube Cutting'!O17="Dune",'Tube Cutting'!N17="180mm"),1,""))</f>
        <v/>
      </c>
      <c r="HP11" t="str">
        <f>IF(OR(D11="",'Tube Cutting'!C17=""),"",IF(AND('Tube Cutting'!O17="Mag Cream",'Tube Cutting'!N17="180mm"),1,""))</f>
        <v/>
      </c>
      <c r="HQ11">
        <f>IF(OR(D11="",'Tube Cutting'!C17=""),"",IF(AND('Tube Cutting'!O17="Monument",'Tube Cutting'!N17="180mm"),1,""))</f>
        <v>1</v>
      </c>
      <c r="HR11" t="str">
        <f>IF(OR(D11="",'Tube Cutting'!C17=""),"",IF(AND('Tube Cutting'!O17="Shale Grey",'Tube Cutting'!N17="180mm"),1,""))</f>
        <v/>
      </c>
      <c r="HS11" t="str">
        <f>IF(OR(D11="",'Tube Cutting'!C17=""),"",IF(AND('Tube Cutting'!O17="White",'Tube Cutting'!N17="180mm"),1,""))</f>
        <v/>
      </c>
      <c r="HT11" t="str">
        <f>IF(OR(D11="",'Tube Cutting'!C17=""),"",IF(AND('Tube Cutting'!O17="Woodland Grey",'Tube Cutting'!N17="180mm"),1,""))</f>
        <v/>
      </c>
      <c r="HU11" t="str">
        <f>IF(OR(D11="",'Tube Cutting'!C17=""),"",IF(AND('Tube Cutting'!O17="Cream",'Tube Cutting'!N17="180mm"),1,""))</f>
        <v/>
      </c>
      <c r="HV11" t="str">
        <f>IF(OR(D11="",'Tube Cutting'!C17=""),"",IF(AND('Tube Cutting'!O17="Brown",'Tube Cutting'!N17="180mm"),1,""))</f>
        <v/>
      </c>
      <c r="HW11" t="str">
        <f>IF(OR(D11="",'Tube Cutting'!C17=""),"",IF(AND('Tube Cutting'!O17="Surfmist",'Tube Cutting'!N17="180mm"),1,""))</f>
        <v/>
      </c>
      <c r="HX11" t="str">
        <f>IF(OR(D11="",'Tube Cutting'!C17=""),"",IF(AND('Tube Cutting'!O17="Jasper",'Tube Cutting'!N17="180mm"),1,""))</f>
        <v/>
      </c>
      <c r="HY11" t="str">
        <f>IF(OR(E11="",'Tube Cutting'!C17=""),"",IF(AND('Tube Cutting'!O17="Red",'Tube Cutting'!N17="180mm"),1,""))</f>
        <v/>
      </c>
      <c r="HZ11" t="str">
        <f>IF(OR(D11="",'Tube Cutting'!C17=""),"",IF(AND('Tube Cutting'!O17="Black",'Tube Cutting'!N17="205mm"),1,""))</f>
        <v/>
      </c>
      <c r="IA11" t="str">
        <f>IF(OR(D11="",'Tube Cutting'!C17=""),"",IF(AND('Tube Cutting'!O17="Clear Beige",'Tube Cutting'!N17="205mm"),1,""))</f>
        <v/>
      </c>
      <c r="IB11" t="str">
        <f>IF(OR(D11="",'Tube Cutting'!C17=""),"",IF(AND('Tube Cutting'!O17="Dune",'Tube Cutting'!N17="205mm"),1,""))</f>
        <v/>
      </c>
      <c r="IC11" t="str">
        <f>IF(OR(D11="",'Tube Cutting'!C17=""),"",IF(AND('Tube Cutting'!O17="Mag Cream",'Tube Cutting'!N17="205mm"),1,""))</f>
        <v/>
      </c>
      <c r="ID11" t="str">
        <f>IF(OR(D11="",'Tube Cutting'!C17=""),"",IF(AND('Tube Cutting'!O17="Monument",'Tube Cutting'!N17="205mm"),1,""))</f>
        <v/>
      </c>
      <c r="IE11" t="str">
        <f>IF(OR(D11="",'Tube Cutting'!C17=""),"",IF(AND('Tube Cutting'!O17="Shale Grey",'Tube Cutting'!N17="205mm"),1,""))</f>
        <v/>
      </c>
      <c r="IF11" t="str">
        <f>IF(OR(D11="",'Tube Cutting'!C17=""),"",IF(AND('Tube Cutting'!O17="White",'Tube Cutting'!N17="205mm"),1,""))</f>
        <v/>
      </c>
      <c r="IG11" t="str">
        <f>IF(OR(D11="",'Tube Cutting'!C17=""),"",IF(AND('Tube Cutting'!O17="Woodland Grey",'Tube Cutting'!N17="205mm"),1,""))</f>
        <v/>
      </c>
      <c r="IH11" t="str">
        <f>IF(OR(D11="",'Tube Cutting'!C17=""),"",IF(AND('Tube Cutting'!O17="Cream",'Tube Cutting'!N17="205mm"),1,""))</f>
        <v/>
      </c>
      <c r="II11" t="str">
        <f>IF(OR(D11="",'Tube Cutting'!C17=""),"",IF(AND('Tube Cutting'!O17="Brown",'Tube Cutting'!N17="205mm"),1,""))</f>
        <v/>
      </c>
      <c r="IJ11" t="str">
        <f>IF(OR(D11="",'Tube Cutting'!C17=""),"",IF(AND('Tube Cutting'!O17="Surfmist",'Tube Cutting'!N17="205mm"),1,""))</f>
        <v/>
      </c>
      <c r="IK11" t="str">
        <f>IF(OR(D11="",'Tube Cutting'!C17=""),"",IF(AND('Tube Cutting'!O17="Jasper",'Tube Cutting'!N17="205mm"),1,""))</f>
        <v/>
      </c>
      <c r="IL11" t="str">
        <f>IF(OR(D11="",'Tube Cutting'!C17=""),"",IF(AND('Tube Cutting'!O17="Cream",'Tube Cutting'!N17="230mm"),1,""))</f>
        <v/>
      </c>
      <c r="IM11" t="str">
        <f>IF(OR(D11="",'Tube Cutting'!C17=""),"",IF(AND('Tube Cutting'!O17="Mag Cream",'Tube Cutting'!N17="230mm"),1,""))</f>
        <v/>
      </c>
      <c r="IN11" t="str">
        <f>IF(OR(D11="",'Tube Cutting'!C17=""),"",IF(AND('Tube Cutting'!O17="Clear Beige",'Tube Cutting'!N17="230mm"),1,""))</f>
        <v/>
      </c>
      <c r="IO11" t="str">
        <f>IF(OR(D11="",'Tube Cutting'!C17=""),"",IF(AND('Tube Cutting'!O17="White",'Tube Cutting'!N17="230mm"),1,""))</f>
        <v/>
      </c>
      <c r="IP11" t="str">
        <f>IF(OR(D11="",'Tube Cutting'!C17=""),"",IF(AND('Tube Cutting'!O17="Shale Grey",'Tube Cutting'!N17="230mm"),1,""))</f>
        <v/>
      </c>
      <c r="IQ11" t="str">
        <f>IF(OR(D11="",'Tube Cutting'!C17=""),"",IF(AND('Tube Cutting'!O17="Black",'Tube Cutting'!N17="230mm"),1,""))</f>
        <v/>
      </c>
      <c r="IR11" t="str">
        <f>IF(OR(D11="",'Tube Cutting'!C17=""),"",IF(AND('Tube Cutting'!O17="Monument",'Tube Cutting'!N17="230mm"),1,""))</f>
        <v/>
      </c>
      <c r="IS11" t="str">
        <f>IF(OR(D11="",'Tube Cutting'!C17=""),"",IF(AND('Tube Cutting'!O17="Woodland Grey",'Tube Cutting'!N17="230mm"),1,""))</f>
        <v/>
      </c>
      <c r="IT11" t="str">
        <f>IF(OR(D11="",'Tube Cutting'!C17=""),"",IF(AND('Tube Cutting'!O17="Surfmist",'Tube Cutting'!N17="230mm"),1,""))</f>
        <v/>
      </c>
      <c r="IU11" t="str">
        <f>IF(OR(D11="",'Tube Cutting'!C17=""),"",IF(AND('Tube Cutting'!O17="Jasper",'Tube Cutting'!N17="230mm"),1,""))</f>
        <v/>
      </c>
      <c r="IV11" t="str">
        <f>IF(OR(D11="",'Tube Cutting'!C17=""),"",IF(AND('Tube Cutting'!O17="Dune",'Tube Cutting'!N17="230mm"),1,""))</f>
        <v/>
      </c>
      <c r="IW11">
        <f>IF(OR(D11="",'Tube Cutting'!C17=""),"",IF(AND('Order Form'!R15="Supplied by Davidson's",'Tube Cutting'!C17&lt;&gt;""),"",1))</f>
        <v>1</v>
      </c>
      <c r="IX11">
        <f>IF(OR(D11="",'Tube Cutting'!C17=""),"",IF('Job Sheet'!AE17="Yes",2,""))</f>
        <v>2</v>
      </c>
      <c r="IY11" t="str">
        <f t="array" ref="IY11">IF(OR('Tube Cutting'!R17&lt;&gt;"Cream",D11=""),"",IF('Job Sheet'!J17&gt;2100,10,IF(OR(bpLOOKUP(Data!$AV17,"FIXING",CustOrdOpt,6,FALSE)="Hebel",'Job Sheet'!J17&gt;1800),8,6)))</f>
        <v/>
      </c>
      <c r="IZ11" t="str">
        <f t="array" ref="IZ11">IF(OR('Tube Cutting'!R17&lt;&gt;"Clear Beige",D11=""),"",IF('Job Sheet'!J17&gt;2100,10,IF(OR(bpLOOKUP(Data!$AV17,"FIXING",CustOrdOpt,6,FALSE)="Hebel",'Job Sheet'!J17&gt;1800),8,6)))</f>
        <v/>
      </c>
      <c r="JA11" t="str">
        <f t="array" ref="JA11">IF(OR('Tube Cutting'!R17&lt;&gt;"White",D11=""),"",IF('Job Sheet'!J17&gt;2100,10,IF(OR(bpLOOKUP(Data!$AV17,"FIXING",CustOrdOpt,6,FALSE)="Hebel",'Job Sheet'!J17&gt;1800),8,6)))</f>
        <v/>
      </c>
      <c r="JB11" t="str">
        <f t="array" ref="JB11">IF(OR('Tube Cutting'!R17&lt;&gt;"Shale Grey",D11=""),"",IF('Job Sheet'!J17&gt;2100,10,IF(OR(bpLOOKUP(Data!$AV17,"FIXING",CustOrdOpt,6,FALSE)="Hebel",'Job Sheet'!J17&gt;1800),8,6)))</f>
        <v/>
      </c>
      <c r="JC11" t="str">
        <f t="array" ref="JC11">IF(OR('Tube Cutting'!R17&lt;&gt;"Brown",D11=""),"",IF('Job Sheet'!J17&gt;2100,10,IF(OR(bpLOOKUP(Data!$AV17,"FIXING",CustOrdOpt,6,FALSE)="Hebel",'Job Sheet'!J17&gt;1800),8,6)))</f>
        <v/>
      </c>
      <c r="JD11" t="str">
        <f t="array" ref="JD11">IF(OR('Tube Cutting'!R17&lt;&gt;"Green",D11=""),"",IF('Job Sheet'!J17&gt;2100,10,IF(OR(bpLOOKUP(Data!$AV17,"FIXING",CustOrdOpt,6,FALSE)="Hebel",'Job Sheet'!J17&gt;1800),8,6)))</f>
        <v/>
      </c>
      <c r="JE11" t="str">
        <f t="array" ref="JE11">IF(OR('Tube Cutting'!R17&lt;&gt;"Red",D11=""),"",IF('Job Sheet'!J17&gt;2100,10,IF(OR(bpLOOKUP(Data!$AV17,"FIXING",CustOrdOpt,6,FALSE)="Hebel",'Job Sheet'!J17&gt;1800),8,6)))</f>
        <v/>
      </c>
      <c r="JF11" t="str">
        <f t="array" ref="JF11">IF(OR('Tube Cutting'!R17&lt;&gt;"Mag Cream",D11=""),"",IF('Job Sheet'!J17&gt;2100,10,IF(OR(bpLOOKUP(Data!$AV17,"FIXING",CustOrdOpt,6,FALSE)="Hebel",'Job Sheet'!J17&gt;1800),8,6)))</f>
        <v/>
      </c>
      <c r="JG11" t="str">
        <f t="array" ref="JG11">IF(OR('Tube Cutting'!R17&lt;&gt;"Black",D11=""),"",IF('Job Sheet'!J17&gt;2100,10,IF(OR(bpLOOKUP(Data!$AV17,"FIXING",CustOrdOpt,6,FALSE)="Hebel",'Job Sheet'!J17&gt;1800),8,6)))</f>
        <v/>
      </c>
      <c r="JH11">
        <f t="array" ref="JH11">IF(OR('Tube Cutting'!R17&lt;&gt;"Monument",D11=""),"",IF('Job Sheet'!J17&gt;2100,10,IF(OR(bpLOOKUP(Data!$AV17,"FIXING",CustOrdOpt,6,FALSE)="Hebel",'Job Sheet'!J17&gt;1800),8,6)))</f>
        <v>6</v>
      </c>
      <c r="JI11" t="str">
        <f t="array" ref="JI11">IF(OR('Tube Cutting'!R17&lt;&gt;"Deep Ocean",D11=""),"",IF('Job Sheet'!J17&gt;2100,10,IF(OR(bpLOOKUP(Data!$AV17,"FIXING",CustOrdOpt,6,FALSE)="Hebel",'Job Sheet'!J17&gt;1800),8,6)))</f>
        <v/>
      </c>
      <c r="JJ11" t="str">
        <f t="array" ref="JJ11">IF(OR('Tube Cutting'!R17&lt;&gt;"Woodland Grey",D11=""),"",IF('Job Sheet'!J17&gt;2100,10,IF(OR(bpLOOKUP(Data!$AV17,"FIXING",CustOrdOpt,6,FALSE)="Hebel",'Job Sheet'!J17&gt;1800),8,6)))</f>
        <v/>
      </c>
      <c r="JK11" t="str">
        <f t="array" ref="JK11">IF(OR('Tube Cutting'!R17&lt;&gt;"Jasper",D11=""),"",IF('Job Sheet'!J17&gt;2100,10,IF(OR(bpLOOKUP(Data!$AV17,"FIXING",CustOrdOpt,6,FALSE)="Hebel",'Job Sheet'!J17&gt;1800),8,6)))</f>
        <v/>
      </c>
      <c r="JL11" t="str">
        <f t="array" ref="JL11">IF(OR('Tube Cutting'!R17&lt;&gt;"Surfmist",D11=""),"",IF('Job Sheet'!J17&gt;2100,10,IF(OR(bpLOOKUP(Data!$AV17,"FIXING",CustOrdOpt,6,FALSE)="Hebel",'Job Sheet'!J17&gt;1800),8,6)))</f>
        <v/>
      </c>
      <c r="JM11" t="str">
        <f t="array" ref="JM11">IF(OR('Tube Cutting'!R17&lt;&gt;"Dune",D11=""),"",IF('Job Sheet'!J17&gt;2100,10,IF(OR(bpLOOKUP(Data!$AV17,"FIXING",CustOrdOpt,6,FALSE)="Hebel",'Job Sheet'!J17&gt;1800),8,6)))</f>
        <v/>
      </c>
      <c r="JN11">
        <f>IF(OR(D11="",'Tube Cutting'!C17=""),"",IF(AND('Order Form'!R15="Supplied by Davidson's",'Tube Cutting'!C17&lt;&gt;""),"",1))</f>
        <v>1</v>
      </c>
      <c r="JO11" t="str">
        <f>IF(D11="","",IF(AND('Job Sheet'!X17="Operated Outside",'Job Sheet'!Y17="Eyelot Crank Handle"),1,""))</f>
        <v/>
      </c>
      <c r="JP11" t="str">
        <f t="shared" si="1"/>
        <v/>
      </c>
      <c r="JQ11" t="str">
        <f>IF('Job Sheet'!X17="Operated Inside",1,"")</f>
        <v/>
      </c>
      <c r="JS11" t="str">
        <f>IF('Job Sheet'!X17="Operated Inside",1,"")</f>
        <v/>
      </c>
      <c r="JT11" t="str">
        <f>IF('Job Sheet'!X17="Operated Inside",1,"")</f>
        <v/>
      </c>
      <c r="JU11" t="str">
        <f>IF('Job Sheet'!X17="Operated Inside",1,"")</f>
        <v/>
      </c>
      <c r="JV11" t="str">
        <f>IF(AND('Job Sheet'!X17="Operated Outside",'Job Sheet'!Y17="Concealed Operation Crank Handle"),1,"")</f>
        <v/>
      </c>
      <c r="JW11" t="str">
        <f>IF(AND('Job Sheet'!X17="Operated Outside",'Job Sheet'!Y17="Concealed Operation Crank Handle"),1,"")</f>
        <v/>
      </c>
      <c r="JX11" t="str">
        <f>IF(AND('Job Sheet'!X17="Operated Outside",'Job Sheet'!Y17="Concealed Operation Crank Handle"),1,"")</f>
        <v/>
      </c>
      <c r="JY11" s="113">
        <f>IF(OR(D11="",'Tube Cutting'!C17=""),"",IF(AND('Order Form'!R15="Supplied by Davidson's",'Tube Cutting'!C17&lt;&gt;""),"",'Assembly(a)'!F17))</f>
        <v>32.28</v>
      </c>
      <c r="JZ11">
        <f>IF(OR(D11="",'Tube Cutting'!C17=""),"",Packing!K17)</f>
        <v>4</v>
      </c>
      <c r="KA11">
        <f>IF(OR(D11="",'Tube Cutting'!C17=""),"",IF(AND('Order Form'!R15="Supplied by Davidson's",'Tube Cutting'!C17&lt;&gt;""),"",2))</f>
        <v>2</v>
      </c>
      <c r="KB11" t="str">
        <f>IF(OR(D11="",'Tube Cutting'!C17=""),"",'Tube Cutting'!K17)</f>
        <v/>
      </c>
      <c r="KC11" t="str">
        <f>IF(Packing!T17="Corner Telescopic Bracket x 1",1,IF(Packing!T17="Corner Telescopic Bracket x 2",2,""))</f>
        <v/>
      </c>
      <c r="KD11" t="str">
        <f>IF(Packing!T17="Bay Telescopic Bracket x 1",1,IF(Packing!T17="Bay Telescopic Bracket x 2",2,""))</f>
        <v/>
      </c>
      <c r="KE11">
        <f>IF(OR(D11="",'Tube Cutting'!C17=""),"",IF('Job Sheet'!W17="Toggle Wall Switch",1,""))</f>
        <v>1</v>
      </c>
      <c r="KF11" t="str">
        <f>IF(OR(D11="",'Tube Cutting'!C17=""),"",IF(OR('Job Sheet'!Z17="UPS with No Electrician Required",'Job Sheet'!Z17="UPS with Electrician Required"),1,""))</f>
        <v/>
      </c>
      <c r="KG11" t="str">
        <f>IF(OR(Packing!C17="Too Small to be Motorised",Packing!C17="Check Motor Options"),1,"")</f>
        <v/>
      </c>
      <c r="KH11" t="str">
        <f>IF('Job Sheet'!U17="Maxim 10nm Remote Motor",1,"")</f>
        <v/>
      </c>
      <c r="KI11" t="str">
        <f>IF('Job Sheet'!U17="Maxim 20nm Remote Motor",1,"")</f>
        <v/>
      </c>
      <c r="KJ11">
        <f>IF(OR('Job Sheet'!U17="Maxim 10nm Switch Motor",'Job Sheet'!U17="Maxim 10nm Switch Motor with Inline Receiver"),1,"")</f>
        <v>1</v>
      </c>
      <c r="KK11" t="str">
        <f>IF('Job Sheet'!U17="Maxim 20nm Switch Motor",1,"")</f>
        <v/>
      </c>
      <c r="KL11" t="str">
        <f>IF(OR(D11="",'Tube Cutting'!C17=""),"",IF('Job Sheet'!W17="Maxim 1 Channel Remote",1,""))</f>
        <v/>
      </c>
      <c r="KM11" t="str">
        <f>IF(OR(D11="",'Tube Cutting'!C17=""),"",IF('Job Sheet'!W17="Maxim 6 Channel Remote",1,""))</f>
        <v/>
      </c>
      <c r="KN11" t="str">
        <f>IF(OR(D11="",'Tube Cutting'!C17=""),"",IF('Job Sheet'!W17="Maxim 16 Channel Remote",1,""))</f>
        <v/>
      </c>
      <c r="KO11" t="str">
        <f>IF(OR(D11="",'Tube Cutting'!C17=""),"",IF('Job Sheet'!W17="Maxim 1 Channel Wall Mounted Remote",1,""))</f>
        <v/>
      </c>
      <c r="KP11" t="str">
        <f>IF(OR(D11="",'Tube Cutting'!C17=""),"",IF('Job Sheet'!W17="CWP 5 Channel Wall Mounted Remote",1,""))</f>
        <v/>
      </c>
      <c r="KQ11" t="str">
        <f>IF(OR(D11="",'Tube Cutting'!C17=""),"",IF('Job Sheet'!W17="CWP 8 Channel Remote with Timer",1,""))</f>
        <v/>
      </c>
      <c r="KR11" t="str">
        <f>IF(OR(D11="",'Tube Cutting'!C17=""),"",IF('Job Sheet'!W17="CWP Key Ring Remote",1,""))</f>
        <v/>
      </c>
      <c r="KS11" t="str">
        <f>IF(OR(D11="",'Tube Cutting'!C17=""),"",IF(OR('Job Sheet'!W17="Key Switch",'Job Sheet'!W17="Key Switch &amp; Key Switch Relay"),1,""))</f>
        <v/>
      </c>
      <c r="KT11" t="str">
        <f>IF(OR(D11="",'Tube Cutting'!C17=""),"",IF(OR('Job Sheet'!W17="Key Switch Relay",'Job Sheet'!W17="Key Switch &amp; Key Switch Relay"),1,""))</f>
        <v/>
      </c>
      <c r="KU11" t="str">
        <f>IF(OR(D11="",'Tube Cutting'!C17=""),"",IF(OR('Job Sheet'!U17="CW5 10nm Short Switch Motor with Inline Receiver",'Job Sheet'!U17="Maxim 10nm Switch Motor with Inline Receiver",'Job Sheet'!U17="CWP Manual Override 30Nm Motor with Inline Receiver",'Job Sheet'!U17="CWP Manual Override 50Nm Motor with Inline Receiver"),1,""))</f>
        <v/>
      </c>
      <c r="KY11" t="str">
        <f>IF(OR('Job Sheet'!U17="CW5 10nm Short Switch Motor",'Job Sheet'!U17="CW5 10nm Short Switch Motor with Inline Receiver"),1,"")</f>
        <v/>
      </c>
      <c r="LB11" t="str">
        <f>IF(OR(D11="",'Tube Cutting'!C17=""),"",IF(OR('Job Sheet'!U17="CWP Manual Override 30Nm Motor with Inline Receiver",'Job Sheet'!U17="CWP Manual Override 30Nm Motor"),1,""))</f>
        <v/>
      </c>
      <c r="LC11" t="str">
        <f>IF(OR(D11="",'Tube Cutting'!C17=""),"",IF(OR('Job Sheet'!U17="CWP Manual Override 50Nm Motor with Inline Receiver",'Job Sheet'!U17="CWP Manual Override 50Nm Motor"),1,""))</f>
        <v/>
      </c>
      <c r="LG11" t="str">
        <f>IF('Job Sheet'!U17="L10 ODS Motor",1,"")</f>
        <v/>
      </c>
      <c r="LH11" t="str">
        <f>IF('Job Sheet'!U17="L10 ODS Motor",1,"")</f>
        <v/>
      </c>
      <c r="LI11" t="str">
        <f>IF('Job Sheet'!U17="T20 ODS Motor",1,"")</f>
        <v/>
      </c>
      <c r="LJ11" t="str">
        <f>IF(OR('Job Sheet'!U17="T20 ODS Motor",'Job Sheet'!U17="T35 ODS Motor"),1,"")</f>
        <v/>
      </c>
      <c r="LK11" t="str">
        <f>IF(OR('Job Sheet'!U17="T20 ODS Motor",'Job Sheet'!U17="T35 ODS Motor"),2,"")</f>
        <v/>
      </c>
      <c r="LL11" t="str">
        <f>IF('Job Sheet'!U17="T35 ODS Motor",1,"")</f>
        <v/>
      </c>
      <c r="LM11" t="str">
        <f>IF('Job Sheet'!W17="Controller &amp; Charger",1,"")</f>
        <v/>
      </c>
      <c r="LN11" t="str">
        <f>IF(OR('Job Sheet'!T17="12v ODS System",'Job Sheet'!T17="Firesafe 12v ODS System"),1,"")</f>
        <v/>
      </c>
      <c r="LO11" t="str">
        <f>IF(OR('Job Sheet'!W17="RF Controller &amp; Charger",'Job Sheet'!W17="RF Controller, Charger &amp; 9 Channel Remote",'Job Sheet'!W17="RF Controller, Charger &amp; Single Channel Remote",'Job Sheet'!W17="Controller &amp; Charger"),1,"")</f>
        <v/>
      </c>
      <c r="LP11" t="str">
        <f>IF(OR('Job Sheet'!W17="RF Controller &amp; Charger",'Job Sheet'!W17="RF Controller, Charger &amp; Single Channel Remote",'Job Sheet'!W17="RF Controller, Charger &amp; 9 Channel Remote"),1,"")</f>
        <v/>
      </c>
      <c r="LQ11" t="str">
        <f>IF(OR('Job Sheet'!Z17="3 Way Switch for Bay Windows",'Job Sheet'!Z17="3 Way Switch for Bay Windows with Wiring Loom"),1,"")</f>
        <v/>
      </c>
      <c r="LR11" t="str">
        <f>IF('Job Sheet'!W17="RF Controller, Charger &amp; Single Channel Remote",1,"")</f>
        <v/>
      </c>
      <c r="LS11" t="str">
        <f>IF('Job Sheet'!W17="RF Controller, Charger &amp; 9 Channel Remote",1,"")</f>
        <v/>
      </c>
      <c r="LT11" t="str">
        <f>IF(OR('Job Sheet'!Z17="Wiring Loom Extension",'Job Sheet'!Z17="3 Way Switch for Bay Windows with Wiring Loom"),1,"")</f>
        <v/>
      </c>
      <c r="LU11" t="str">
        <f>IF('Job Sheet'!U17="Acmeda External 15nm Remote Motor",1,"")</f>
        <v/>
      </c>
      <c r="LV11" t="str">
        <f>IF('Job Sheet'!U17="Acmeda External 30nm Remote Motor",1,"")</f>
        <v/>
      </c>
      <c r="LW11" t="str">
        <f>IF('Job Sheet'!U17="Acmeda External 50nm Remote Motor",1,"")</f>
        <v/>
      </c>
      <c r="LX11" t="str">
        <f>IF(OR('Job Sheet'!U17="Acmeda External 15nm Remote Motor",'Job Sheet'!U17="Acmeda External 15nm Remote Motor"),1,"")</f>
        <v/>
      </c>
      <c r="LY11" t="str">
        <f>IF(OR('Job Sheet'!U17="Acmeda External 15nm Remote Motor",'Job Sheet'!U17="Acmeda External 15nm Remote Motor"),1,"")</f>
        <v/>
      </c>
      <c r="MC11" t="str">
        <f>IF(OR('Job Sheet'!Z17="Pulse 2.0 Automation Hub",'Job Sheet'!Z17="Pulse Pro Automation Hub"),1,"")</f>
        <v/>
      </c>
      <c r="MD11" t="str">
        <f>IF('Job Sheet'!Z17="1 Channel Dry Contact Relay Module",1,"")</f>
        <v/>
      </c>
      <c r="ME11" t="str">
        <f>IF('Job Sheet'!Z17="USB Repeater",1,"")</f>
        <v/>
      </c>
      <c r="MF11" t="str">
        <f>IF('Job Sheet'!W17="Acmeda 1 Channel White Remote",1,"")</f>
        <v/>
      </c>
      <c r="MG11" t="str">
        <f>IF('Job Sheet'!W17="Acmeda 1 Channel Black Remote",1,"")</f>
        <v/>
      </c>
      <c r="MH11" t="str">
        <f>IF('Job Sheet'!W17="Acmeda 5 Channel White Remote",1,"")</f>
        <v/>
      </c>
      <c r="MI11" t="str">
        <f>IF('Job Sheet'!W17="Acmeda 5 Channel Black Remote",1,"")</f>
        <v/>
      </c>
      <c r="MJ11" t="str">
        <f>IF('Job Sheet'!W17="Acmeda 15 Channel White Remote",1,"")</f>
        <v/>
      </c>
      <c r="MK11" t="str">
        <f>IF('Job Sheet'!W17="Acmeda 15 Channel Black Remote",1,"")</f>
        <v/>
      </c>
      <c r="ML11" t="str">
        <f>IF('Job Sheet'!W17="Acmeda Wall Mounted Single Channel White Remote",1,"")</f>
        <v/>
      </c>
      <c r="MM11" t="str">
        <f>IF('Job Sheet'!W17="Acmeda Wall Mounted 5 Channel White Remote",1,"")</f>
        <v/>
      </c>
      <c r="MN11" t="str">
        <f>IF('Job Sheet'!W17="Acmeda Wall Mounted 15 Channel White Remote",1,"")</f>
        <v/>
      </c>
      <c r="MO11" t="str">
        <f>IF('Job Sheet'!W17="Acmeda Push Pro White Remote with Charger",1,"")</f>
        <v/>
      </c>
      <c r="MP11" t="str">
        <f>IF('Job Sheet'!X17="Acmeda Push Pro Black Remote with Charger",1,"")</f>
        <v/>
      </c>
      <c r="MQ11" t="str">
        <f>IF(OR('Job Sheet'!X17="Acmeda Push Pro White Remote with Charger",'Job Sheet'!X17="Acmeda Push Pro Black Remote with Charger"),"1","")</f>
        <v/>
      </c>
      <c r="MR11" t="str">
        <f t="shared" si="2"/>
        <v/>
      </c>
      <c r="NE11" t="str">
        <f>IF('Job Sheet'!U17="Somfy Altus 50 RTS 6/17",1,"")</f>
        <v/>
      </c>
      <c r="NF11" t="str">
        <f>IF('Job Sheet'!U17="Somfy Altus 50 RTS 10/17",1,"")</f>
        <v/>
      </c>
      <c r="NG11" t="str">
        <f>IF('Job Sheet'!U17="Somfy Altus 50 RTS 15/17",1,"")</f>
        <v/>
      </c>
      <c r="NH11" t="str">
        <f>IF('Job Sheet'!U17="Somfy Altus 50 RTS 25/17",1,"")</f>
        <v/>
      </c>
      <c r="NI11" t="str">
        <f>IF('Job Sheet'!U17="Somfy Orea 50 WT 40/17",1,"")</f>
        <v/>
      </c>
      <c r="NJ11" t="str">
        <f t="shared" si="3"/>
        <v/>
      </c>
      <c r="NK11" t="str">
        <f t="shared" si="4"/>
        <v/>
      </c>
      <c r="NL11" t="str">
        <f t="shared" si="5"/>
        <v/>
      </c>
      <c r="NM11" t="str">
        <f>IF('Job Sheet'!Z17="Connexoon App Connector",1,"")</f>
        <v/>
      </c>
      <c r="NN11" t="str">
        <f>IF('Job Sheet'!Z17="Tahoma Switch",1,"")</f>
        <v/>
      </c>
      <c r="NO11" t="str">
        <f>IF('Job Sheet'!W17="Somfy Single Channel Silver Remote",1,"")</f>
        <v/>
      </c>
      <c r="NP11" t="str">
        <f>IF('Job Sheet'!W17="Somfy Single Channel White Remote",1,"")</f>
        <v/>
      </c>
      <c r="NQ11" t="str">
        <f>IF('Job Sheet'!W17="Somfy 2 Channel Silver Remote",1,"")</f>
        <v/>
      </c>
      <c r="NR11" t="str">
        <f>IF('Job Sheet'!W17="Somfy 2 Channel White Remote",1,"")</f>
        <v/>
      </c>
      <c r="NS11" t="str">
        <f>IF('Job Sheet'!W17="Somfy 5 Channel Silver Remote",1,"")</f>
        <v/>
      </c>
      <c r="NT11" t="str">
        <f>IF('Job Sheet'!W17="Somfy 5 Channel White Remote",1,"")</f>
        <v/>
      </c>
      <c r="NU11" t="str">
        <f>IF('Job Sheet'!W17="Somfy 15 Channel Silver Remote",1,"")</f>
        <v/>
      </c>
      <c r="NV11" t="str">
        <f>IF('Job Sheet'!W17="Somfy 15 Channel White Remote",1,"")</f>
        <v/>
      </c>
      <c r="NW11" t="str">
        <f>IF('Job Sheet'!W17="Somfy Single Channel Wall Mounted Smoove Remote White with Black Cover Plate",1,"")</f>
        <v/>
      </c>
      <c r="NX11" t="str">
        <f>IF('Job Sheet'!W17="Somfy Single Channel Wall Mounted Smoove Remote White with Silver Cover Plate",1,"")</f>
        <v/>
      </c>
      <c r="NY11" t="str">
        <f>IF('Job Sheet'!W17="Somfy Single Channel Wall Mounted Smoove Remote White",1,"")</f>
        <v/>
      </c>
      <c r="NZ11" t="str">
        <f>IF('Job Sheet'!W17="Somfy 2 Channel Wall Mounted Smoove Remote White with Black Cover Plate",1,"")</f>
        <v/>
      </c>
      <c r="OA11" t="str">
        <f>IF('Job Sheet'!W17="Somfy 2 Channel Wall Mounted Smoove Remote White with Silver Cover Plate",1,"")</f>
        <v/>
      </c>
      <c r="OB11" t="str">
        <f>IF('Job Sheet'!W17="Somfy 2 Channel Wall Mounted Smoove Remote White",1,"")</f>
        <v/>
      </c>
      <c r="OC11" t="str">
        <f>IF('Job Sheet'!W17="Somfy 5 Channel Wall Mounted Smoove Remote White with Black Cover Plate",1,"")</f>
        <v/>
      </c>
      <c r="OD11" t="str">
        <f>IF('Job Sheet'!W17="Somfy 5 Channel Wall Mounted Smoove Remote White with Silver Cover Plate",1,"")</f>
        <v/>
      </c>
      <c r="OE11" t="str">
        <f>IF('Job Sheet'!W17="Somfy 5 Channel Wall Mounted Smoove Remote White",1,"")</f>
        <v/>
      </c>
    </row>
    <row r="12" spans="4:395" ht="13.2" customHeight="1">
      <c r="D12" t="str">
        <f>IF(Data!AV18="","",IF(OR('Order Form'!R16="Supplied by Davidson's",SUM(NE12:NI12)&lt;&gt;0),CONCATENATE(Data!BC$5,".",Data!BD$5),IF(AND('Order Form'!R16&lt;&gt;"Supplied by Davidson's",'Tube Cutting'!C18=""),"",CONCATENATE(Data!BC$5,".",Data!BD$5))))</f>
        <v>11804.C</v>
      </c>
      <c r="E12">
        <f>IF(D12="","",Data!AW18)</f>
        <v>8</v>
      </c>
      <c r="F12" t="str">
        <f>IF(D12="","",Data!AV18)</f>
        <v>436134e2-773b-457f-bfe9-dd08f3b7ed4b</v>
      </c>
      <c r="G12" t="str">
        <f t="shared" si="0"/>
        <v>Roller Shutters</v>
      </c>
      <c r="H12" t="str">
        <f>IF(D12="","",Data!BF$5)</f>
        <v>Crow, Tahlia</v>
      </c>
      <c r="I12" t="str">
        <f>IF(D12="","",Data!AX$5)</f>
        <v>Roller Shutters</v>
      </c>
      <c r="J12" s="116" t="str">
        <f>IF(OR(D12="",'Tube Cutting'!C18=""),"",IF(AND(Data!BN18="42mm Standard Slat",Data!BO18="Black"),'Tube Cutting'!C18*'Tube Cutting'!D18/5800,IF(AND(Data!BN18="42mm Standard Slat",'Tube Cutting'!H18="Black"),'Tube Cutting'!C18*'Tube Cutting'!G18/5800,"")))</f>
        <v/>
      </c>
      <c r="K12" s="116" t="str">
        <f>IF(OR(D12="",'Tube Cutting'!C18=""),"",IF(AND(Data!BN18="42mm Standard Slat",Data!BO18="Clear Beige"),'Tube Cutting'!C18*'Tube Cutting'!D18/5800,IF(AND(Data!BN18="42mm Standard Slat",'Tube Cutting'!H18="Clear Beige"),'Tube Cutting'!C18*'Tube Cutting'!G18/5800,"")))</f>
        <v/>
      </c>
      <c r="L12" s="116">
        <f>IF(OR(D12="",'Tube Cutting'!C18=""),"",IF(AND(Data!BN18="42mm Standard Slat",Data!BO18="Dune"),'Tube Cutting'!C18*'Tube Cutting'!D18/5800,IF(AND(Data!BN18="42mm Standard Slat",'Tube Cutting'!H18="Dune"),'Tube Cutting'!C18*'Tube Cutting'!G18/5800,"")))</f>
        <v>8.67786206896552</v>
      </c>
      <c r="M12" s="116" t="str">
        <f>IF(OR(D12="",'Tube Cutting'!C18=""),"",IF(AND(Data!BN18="42mm Standard Slat",Data!BO18="Mag Cream"),'Tube Cutting'!C18*'Tube Cutting'!D18/5800,IF(AND(Data!BN18="42mm Standard Slat",'Tube Cutting'!H18="Mag Cream"),'Tube Cutting'!C18*'Tube Cutting'!G18/5800,"")))</f>
        <v/>
      </c>
      <c r="N12" s="116" t="str">
        <f>IF(OR(D12="",'Tube Cutting'!C18=""),"",IF(AND(Data!BN18="42mm Standard Slat",Data!BO18="Monument"),'Tube Cutting'!C18*'Tube Cutting'!D18/5800,IF(AND(Data!BN18="42mm Standard Slat",'Tube Cutting'!H18="Monument"),'Tube Cutting'!C18*'Tube Cutting'!G18/5800,"")))</f>
        <v/>
      </c>
      <c r="O12" s="116" t="str">
        <f>IF(OR(D12="",'Tube Cutting'!C18=""),"",IF(AND(Data!BN18="42mm Standard Slat",Data!BO18="Shale Grey"),'Tube Cutting'!C18*'Tube Cutting'!D18/5800,IF(AND(Data!BN18="42mm Standard Slat",'Tube Cutting'!H18="Shale Grey"),'Tube Cutting'!C18*'Tube Cutting'!G18/5800,"")))</f>
        <v/>
      </c>
      <c r="P12" s="116" t="str">
        <f>IF(OR(D12="",'Tube Cutting'!C18=""),"",IF(AND(Data!BN18="42mm Standard Slat",Data!BO18="White"),'Tube Cutting'!C18*'Tube Cutting'!D18/5800,IF(AND(Data!BN18="42mm Standard Slat",'Tube Cutting'!H18="White"),'Tube Cutting'!C18*'Tube Cutting'!G18/5800,"")))</f>
        <v/>
      </c>
      <c r="Q12" s="116" t="str">
        <f>IF(OR(D12="",'Tube Cutting'!C18=""),"",IF(AND(Data!BN18="42mm Standard Slat",Data!BO18="Woodland Grey"),'Tube Cutting'!C18*'Tube Cutting'!D18/5800,IF(AND(Data!BN18="42mm Standard Slat",'Tube Cutting'!H18="Woodland Grey"),'Tube Cutting'!C18*'Tube Cutting'!G18/5800,"")))</f>
        <v/>
      </c>
      <c r="R12" s="116" t="str">
        <f>IF(OR(D12="",'Tube Cutting'!C18=""),"",IF(AND(Data!BN18="42mm Standard Slat",Data!BO18="Cream"),'Tube Cutting'!C18*'Tube Cutting'!D18/5800,IF(AND(Data!BN18="42mm Standard Slat",'Tube Cutting'!H18="Cream"),'Tube Cutting'!C18*'Tube Cutting'!G18/5800,"")))</f>
        <v/>
      </c>
      <c r="S12" s="116" t="str">
        <f>IF(OR(D12="",'Tube Cutting'!C18=""),"",IF(AND(Data!BN18="42mm Standard Slat",Data!BO18="Brown"),'Tube Cutting'!C18*'Tube Cutting'!D18/5800,IF(AND(Data!BN18="42mm Standard Slat",'Tube Cutting'!H18="Brown"),'Tube Cutting'!C18*'Tube Cutting'!G18/5800,"")))</f>
        <v/>
      </c>
      <c r="T12" s="116" t="str">
        <f>IF(OR(D12="",'Tube Cutting'!C18=""),"",IF(AND(Data!BN18="42mm Standard Slat",Data!BO18="Beige"),'Tube Cutting'!C18*'Tube Cutting'!D18/5800,IF(AND(Data!BN18="42mm Standard Slat",'Tube Cutting'!H18="Beige"),'Tube Cutting'!C18*'Tube Cutting'!G18/5800,"")))</f>
        <v/>
      </c>
      <c r="U12" s="116" t="str">
        <f>IF(OR(D12="",'Tube Cutting'!C18=""),"",IF(AND(Data!BN18="42mm Standard Slat",Data!BO18="Green"),'Tube Cutting'!C18*'Tube Cutting'!D18/5800,IF(AND(Data!BN18="42mm Standard Slat",'Tube Cutting'!H18="Green"),'Tube Cutting'!C18*'Tube Cutting'!G18/5800,"")))</f>
        <v/>
      </c>
      <c r="V12" s="116" t="str">
        <f>IF(OR(D12="",'Tube Cutting'!C18=""),"",IF(AND(Data!BN18="42mm Standard Slat",Data!BO18="Red"),'Tube Cutting'!C18*'Tube Cutting'!D18/5800,IF(AND(Data!BN18="42mm Standard Slat",'Tube Cutting'!H18="Red"),'Tube Cutting'!C18*'Tube Cutting'!G18/5800,"")))</f>
        <v/>
      </c>
      <c r="W12" s="116" t="str">
        <f>IF(OR(D12="",'Tube Cutting'!C18=""),"",IF(AND(Data!BN18="42mm Standard Slat",Data!BO18="Bronze"),'Tube Cutting'!C18*'Tube Cutting'!D18/5800,IF(AND(Data!BN18="42mm Standard Slat",'Tube Cutting'!H18="Bronze"),'Tube Cutting'!C18*'Tube Cutting'!G18/5800,"")))</f>
        <v/>
      </c>
      <c r="X12" s="116" t="str">
        <f>IF(OR(D12="",'Tube Cutting'!C18=""),"",IF(AND(Data!BN18="42mm Standard Slat",Data!BO18="Silver"),'Tube Cutting'!C18*'Tube Cutting'!D18/5800,IF(AND(Data!BN18="42mm Standard Slat",'Tube Cutting'!H18="Silver"),'Tube Cutting'!C18*'Tube Cutting'!G18/5800,"")))</f>
        <v/>
      </c>
      <c r="Y12" s="116" t="str">
        <f>IF(OR(D12="",'Tube Cutting'!C18=""),"",IF(AND(Data!BN18="42mm Standard Slat",Data!BO18="Deep Ocean Blue"),'Tube Cutting'!C18*'Tube Cutting'!D18/5800,IF(AND(Data!BN18="42mm Standard Slat",'Tube Cutting'!H18="Deep Ocean Blue"),'Tube Cutting'!C18*'Tube Cutting'!G18/5800,"")))</f>
        <v/>
      </c>
      <c r="Z12" s="116" t="str">
        <f>IF(OR(D12="",'Tube Cutting'!C18=""),"",IF(AND(Data!BN18="42mm Standard Slat",Data!BO18="Jasper"),'Tube Cutting'!C18*'Tube Cutting'!D18/5800,IF(AND(Data!BN18="42mm Standard Slat",'Tube Cutting'!H18="Jasper"),'Tube Cutting'!C18*'Tube Cutting'!G18/5800,"")))</f>
        <v/>
      </c>
      <c r="AA12" s="116" t="str">
        <f>IF(OR(D12="",'Tube Cutting'!C18=""),"",IF(AND(Data!BN18="42mm Standard Slat",Data!BO18="Surfmist"),'Tube Cutting'!C18*'Tube Cutting'!D18/5800,IF(AND(Data!BN18="42mm Standard Slat",'Tube Cutting'!H18="Surfmist"),'Tube Cutting'!C18*'Tube Cutting'!G18/5800,"")))</f>
        <v/>
      </c>
      <c r="AB12" s="116" t="str">
        <f>IF(OR(D12="",'Tube Cutting'!C18=""),"",IF('Tube Cutting'!H18="Black Unperforated",'Tube Cutting'!G18*'Tube Cutting'!C18/5800,IF(AND(OR(Data!BN18="42mm Standard Slat",Data!BN18="42mm Unperforated Slat"),Data!BO18="Black"),('Tube Cutting'!C18*'Tube Cutting'!E18/1000)/5.8,"")))</f>
        <v/>
      </c>
      <c r="AC12" s="116" t="str">
        <f>IF(OR(D12="",'Tube Cutting'!C18=""),"",IF('Tube Cutting'!H18="Clear Beige Unperforated",'Tube Cutting'!G18*'Tube Cutting'!C18/5800,IF(AND(OR(Data!BN18="42mm Standard Slat",Data!BN18="42mm Unperforated Slat"),Data!BO18="Clear Beige"),('Tube Cutting'!C18*'Tube Cutting'!E18/1000)/5.8,"")))</f>
        <v/>
      </c>
      <c r="AD12" s="116">
        <f>IF(OR(D12="",'Tube Cutting'!C18=""),"",IF('Tube Cutting'!H18="Dune Unperforated",'Tube Cutting'!G18*'Tube Cutting'!C18/5800,IF(AND(OR(Data!BN18="42mm Standard Slat",Data!BN18="42mm Unperforated Slat"),Data!BO18="Dune"),('Tube Cutting'!C18*'Tube Cutting'!E18/1000)/5.8,"")))</f>
        <v>1.59051724137931</v>
      </c>
      <c r="AE12" s="116" t="str">
        <f>IF(OR(D12="",'Tube Cutting'!C18=""),"",IF('Tube Cutting'!H18="Mag Cream Unperforated",'Tube Cutting'!G18*'Tube Cutting'!C18/5800,IF(AND(OR(Data!BN18="42mm Standard Slat",Data!BN18="42mm Unperforated Slat"),Data!BO18="Mag Cream"),('Tube Cutting'!C18*'Tube Cutting'!E18/1000)/5.8,"")))</f>
        <v/>
      </c>
      <c r="AF12" s="116" t="str">
        <f>IF(OR(D12="",'Tube Cutting'!C18=""),"",IF('Tube Cutting'!H18="Monument Unperforated",'Tube Cutting'!G18*'Tube Cutting'!C18/5800,IF(AND(OR(Data!BN18="42mm Standard Slat",Data!BN18="42mm Unperforated Slat"),Data!BO18="Monument"),('Tube Cutting'!C18*'Tube Cutting'!E18/1000)/5.8,"")))</f>
        <v/>
      </c>
      <c r="AG12" s="116" t="str">
        <f>IF(OR(D12="",'Tube Cutting'!C18=""),"",IF('Tube Cutting'!H18="Shale Grey Unperforated",'Tube Cutting'!G18*'Tube Cutting'!C18/5800,IF(AND(OR(Data!BN18="42mm Standard Slat",Data!BN18="42mm Unperforated Slat"),Data!BO18="Shale Grey"),('Tube Cutting'!C18*'Tube Cutting'!E18/1000)/5.8,"")))</f>
        <v/>
      </c>
      <c r="AH12" s="116" t="str">
        <f>IF(OR(D12="",'Tube Cutting'!C18=""),"",IF('Tube Cutting'!H18="White Unperforated",'Tube Cutting'!G18*'Tube Cutting'!C18/5800,IF(AND(OR(Data!BN18="42mm Standard Slat",Data!BN18="42mm Unperforated Slat"),Data!BO18="White"),('Tube Cutting'!C18*'Tube Cutting'!E18/1000)/5.8,"")))</f>
        <v/>
      </c>
      <c r="AI12" s="116" t="str">
        <f>IF(OR(D12="",'Tube Cutting'!C18=""),"",IF('Tube Cutting'!H18="Woodland Grey Unperforated",'Tube Cutting'!G18*'Tube Cutting'!C18/5800,IF(AND(OR(Data!BN18="42mm Standard Slat",Data!BN18="42mm Unperforated Slat"),Data!BO18="Woodland Grey"),('Tube Cutting'!C18*'Tube Cutting'!E18/1000)/5.8,"")))</f>
        <v/>
      </c>
      <c r="AJ12" s="116" t="str">
        <f>IF(OR(D12="",'Tube Cutting'!C18=""),"",IF('Tube Cutting'!H18="Cream Unperforated",'Tube Cutting'!G18*'Tube Cutting'!C18/5800,IF(AND(OR(Data!BN18="42mm Standard Slat",Data!BN18="42mm Unperforated Slat"),Data!BO18="Cream"),('Tube Cutting'!C18*'Tube Cutting'!E18/1000)/5.8,"")))</f>
        <v/>
      </c>
      <c r="AK12" s="116" t="str">
        <f>IF(OR(D12="",'Tube Cutting'!C18=""),"",IF('Tube Cutting'!H18="Brown Unperforated",'Tube Cutting'!G18*'Tube Cutting'!C18/5800,IF(AND(OR(Data!BN18="42mm Standard Slat",Data!BN18="42mm Unperforated Slat"),Data!BO18="Brown"),('Tube Cutting'!C18*'Tube Cutting'!E18/1000)/5.8,"")))</f>
        <v/>
      </c>
      <c r="AL12" s="116" t="str">
        <f>IF(OR(D12="",'Tube Cutting'!C18=""),"",IF('Tube Cutting'!H18="Beige Unperforated",'Tube Cutting'!G18*'Tube Cutting'!C18/5800,IF(AND(OR(Data!BN18="42mm Standard Slat",Data!BN18="42mm Unperforated Slat"),Data!BO18="Beige"),('Tube Cutting'!C18*'Tube Cutting'!E18/1000)/5.8,"")))</f>
        <v/>
      </c>
      <c r="AM12" s="116" t="str">
        <f>IF(OR(D12="",'Tube Cutting'!C18=""),"",IF('Tube Cutting'!H18="Green Unperforated",'Tube Cutting'!G18*'Tube Cutting'!C18/5800,IF(AND(OR(Data!BN18="42mm Standard Slat",Data!BN18="42mm Unperforated Slat"),Data!BO18="Green"),('Tube Cutting'!C18*'Tube Cutting'!E18/1000)/5.8,"")))</f>
        <v/>
      </c>
      <c r="AN12" s="116" t="str">
        <f>IF(OR(D12="",'Tube Cutting'!C18=""),"",IF('Tube Cutting'!H18="Red Unperforated",'Tube Cutting'!G18*'Tube Cutting'!C18/5800,IF(AND(OR(Data!BN18="42mm Standard Slat",Data!BN18="42mm Unperforated Slat"),Data!BO18="Red"),('Tube Cutting'!C18*'Tube Cutting'!E18/1000)/5.8,"")))</f>
        <v/>
      </c>
      <c r="AO12" s="116" t="str">
        <f>IF(OR(D12="",'Tube Cutting'!C18=""),"",IF('Tube Cutting'!H18="Bronze Unperforated",'Tube Cutting'!G18*'Tube Cutting'!C18/5800,IF(AND(OR(Data!BN18="42mm Standard Slat",Data!BN18="42mm Unperforated Slat"),Data!BO18="Bronze"),('Tube Cutting'!C18*'Tube Cutting'!E18/1000)/5.8,"")))</f>
        <v/>
      </c>
      <c r="AP12" s="116" t="str">
        <f>IF(OR(D12="",'Tube Cutting'!C18=""),"",IF('Tube Cutting'!H18="Silver Unperforated",'Tube Cutting'!G18*'Tube Cutting'!C18/5800,IF(AND(OR(Data!BN18="42mm Standard Slat",Data!BN18="42mm Unperforated Slat"),Data!BO18="Silver"),('Tube Cutting'!C18*'Tube Cutting'!E18/1000)/5.8,"")))</f>
        <v/>
      </c>
      <c r="AQ12" s="116" t="str">
        <f>IF(OR(D12="",'Tube Cutting'!C18=""),"",IF('Tube Cutting'!H18="Deep Ocean Unperforated",'Tube Cutting'!G18*'Tube Cutting'!C18/5800,IF(AND(OR(Data!BN18="42mm Standard Slat",Data!BN18="42mm Unperforated Slat"),Data!BO18="Deep Ocean"),('Tube Cutting'!C18*'Tube Cutting'!E18/1000)/5.8,"")))</f>
        <v/>
      </c>
      <c r="AR12" s="116" t="str">
        <f>IF(OR(D12="",'Tube Cutting'!C18=""),"",IF('Tube Cutting'!H18="Jasper Unperforated",'Tube Cutting'!G18*'Tube Cutting'!C18/5800,IF(AND(OR(Data!BN18="42mm Standard Slat",Data!BN18="42mm Unperforated Slat"),Data!BO18="Jasper"),('Tube Cutting'!C18*'Tube Cutting'!E18/1000)/5.8,"")))</f>
        <v/>
      </c>
      <c r="AS12" s="116" t="str">
        <f>IF(OR(D12="",'Tube Cutting'!C18=""),"",IF('Tube Cutting'!H18="Surfmist Unperforated",'Tube Cutting'!G18*'Tube Cutting'!C18/5800,IF(AND(OR(Data!BN18="42mm Standard Slat",Data!BN18="42mm Unperforated Slat"),Data!BO18="Surfmist"),('Tube Cutting'!C18*'Tube Cutting'!E18/1000)/5.8,"")))</f>
        <v/>
      </c>
      <c r="AT12" t="str">
        <f>IF(OR(D12="",'Tube Cutting'!C18=""),"",IF(AND('Tube Cutting'!O18="Black",'Tube Cutting'!N18="180mm"),'Tube Cutting'!L18,""))</f>
        <v/>
      </c>
      <c r="AU12" t="str">
        <f>IF(OR(D12="",'Tube Cutting'!C18=""),"",IF(AND('Tube Cutting'!O18="Black",'Tube Cutting'!N18="180mm"),'Tube Cutting'!M18,""))</f>
        <v/>
      </c>
      <c r="AV12" t="str">
        <f>IF(OR(D12="",'Tube Cutting'!C18=""),"",IF(AND('Tube Cutting'!O18="Clear Beige",'Tube Cutting'!N18="180mm"),'Tube Cutting'!L18,""))</f>
        <v/>
      </c>
      <c r="AW12" t="str">
        <f>IF(OR(D12="",'Tube Cutting'!C18=""),"",IF(AND('Tube Cutting'!O18="Clear Beige",'Tube Cutting'!N18="180mm"),'Tube Cutting'!M18,""))</f>
        <v/>
      </c>
      <c r="AX12" t="str">
        <f>IF(OR(D12="",'Tube Cutting'!C18=""),"",IF(AND('Tube Cutting'!O18="Dune",'Tube Cutting'!N18="180mm"),'Tube Cutting'!L18,""))</f>
        <v/>
      </c>
      <c r="AY12" t="str">
        <f>IF(OR(D12="",'Tube Cutting'!C18=""),"",IF(AND('Tube Cutting'!O18="Dune",'Tube Cutting'!N18="180mm"),'Tube Cutting'!M18,""))</f>
        <v/>
      </c>
      <c r="AZ12" t="str">
        <f>IF(OR(D12="",'Tube Cutting'!C18=""),"",IF(AND('Tube Cutting'!O18="Mag Cream",'Tube Cutting'!N18="180mm"),'Tube Cutting'!L18,""))</f>
        <v/>
      </c>
      <c r="BA12" t="str">
        <f>IF(OR(D12="",'Tube Cutting'!C18=""),"",IF(AND('Tube Cutting'!O18="Mag Cream",'Tube Cutting'!N18="180mm"),'Tube Cutting'!M18,""))</f>
        <v/>
      </c>
      <c r="BB12">
        <f>IF(OR(D12="",'Tube Cutting'!C18=""),"",IF(AND('Tube Cutting'!O18="Monument",'Tube Cutting'!N18="180mm"),'Tube Cutting'!L18,""))</f>
        <v>1907</v>
      </c>
      <c r="BC12">
        <f>IF(OR(D12="",'Tube Cutting'!C18=""),"",IF(AND('Tube Cutting'!O18="Monument",'Tube Cutting'!N18="180mm"),'Tube Cutting'!M18,""))</f>
        <v>1907</v>
      </c>
      <c r="BD12" t="str">
        <f>IF(OR(D12="",'Tube Cutting'!C18=""),"",IF(AND('Tube Cutting'!O18="Shale Grey",'Tube Cutting'!N18="180mm"),'Tube Cutting'!L18,""))</f>
        <v/>
      </c>
      <c r="BE12" t="str">
        <f>IF(OR(D12="",'Tube Cutting'!C18=""),"",IF(AND('Tube Cutting'!O18="Shale Grey",'Tube Cutting'!N18="180mm"),'Tube Cutting'!M18,""))</f>
        <v/>
      </c>
      <c r="BF12" t="str">
        <f>IF(OR(D12="",'Tube Cutting'!C18=""),"",IF(AND('Tube Cutting'!O18="White",'Tube Cutting'!N18="180mm"),'Tube Cutting'!L18,""))</f>
        <v/>
      </c>
      <c r="BG12" t="str">
        <f>IF(OR(D12="",'Tube Cutting'!C18=""),"",IF(AND('Tube Cutting'!O18="White",'Tube Cutting'!N18="180mm"),'Tube Cutting'!M18,""))</f>
        <v/>
      </c>
      <c r="BH12" t="str">
        <f>IF(OR(D12="",'Tube Cutting'!C18=""),"",IF(AND('Tube Cutting'!O18="Woodland Grey",'Tube Cutting'!N18="180mm"),'Tube Cutting'!L18,""))</f>
        <v/>
      </c>
      <c r="BI12" t="str">
        <f>IF(OR(D12="",'Tube Cutting'!C18=""),"",IF(AND('Tube Cutting'!O18="Woodland Grey",'Tube Cutting'!N18="180mm"),'Tube Cutting'!M18,""))</f>
        <v/>
      </c>
      <c r="BJ12" t="str">
        <f>IF(OR(D12="",'Tube Cutting'!C18=""),"",IF(AND('Tube Cutting'!O18="Cream",'Tube Cutting'!N18="180mm"),'Tube Cutting'!L18,""))</f>
        <v/>
      </c>
      <c r="BK12" t="str">
        <f>IF(OR(D12="",'Tube Cutting'!C18=""),"",IF(AND('Tube Cutting'!O18="Cream",'Tube Cutting'!N18="180mm"),'Tube Cutting'!M18,""))</f>
        <v/>
      </c>
      <c r="BL12" t="str">
        <f>IF(OR(D12="",'Tube Cutting'!C18=""),"",IF(AND('Tube Cutting'!O18="Brown",'Tube Cutting'!N18="180mm"),'Tube Cutting'!L18,""))</f>
        <v/>
      </c>
      <c r="BM12" t="str">
        <f>IF(OR(D12="",'Tube Cutting'!C18=""),"",IF(AND('Tube Cutting'!O18="Brown",'Tube Cutting'!N18="180mm"),'Tube Cutting'!M18,""))</f>
        <v/>
      </c>
      <c r="BN12" t="str">
        <f>IF(OR(D12="",'Tube Cutting'!C18=""),"",IF(AND('Tube Cutting'!O18="Surfmist",'Tube Cutting'!N18="180mm"),'Tube Cutting'!L18,""))</f>
        <v/>
      </c>
      <c r="BO12" t="str">
        <f>IF(OR(D12="",'Tube Cutting'!C18=""),"",IF(AND('Tube Cutting'!O18="Surfmist",'Tube Cutting'!N18="180mm"),'Tube Cutting'!M18,""))</f>
        <v/>
      </c>
      <c r="BP12" t="str">
        <f>IF(OR(D12="",'Tube Cutting'!C18=""),"",IF(AND('Tube Cutting'!O18="Jasper",'Tube Cutting'!N18="180mm"),'Tube Cutting'!L18,""))</f>
        <v/>
      </c>
      <c r="BQ12" t="str">
        <f>IF(OR(D12="",'Tube Cutting'!C18=""),"",IF(AND('Tube Cutting'!O18="Jasper",'Tube Cutting'!N18="180mm"),'Tube Cutting'!M18,""))</f>
        <v/>
      </c>
      <c r="BR12" t="str">
        <f>IF(OR(E12="",'Tube Cutting'!D18=""),"",IF(AND('Tube Cutting'!O18="Red",'Tube Cutting'!N18="180mm"),'Tube Cutting'!L18,""))</f>
        <v/>
      </c>
      <c r="BS12" t="str">
        <f>IF(OR(E12="",'Tube Cutting'!D18=""),"",IF(AND('Tube Cutting'!O18="Red",'Tube Cutting'!N18="180mm"),'Tube Cutting'!M18,""))</f>
        <v/>
      </c>
      <c r="BT12" t="str">
        <f>IF(OR(D12="",'Tube Cutting'!C18=""),"",IF(AND('Tube Cutting'!O18="Black",'Tube Cutting'!N18="205mm"),'Tube Cutting'!L18,""))</f>
        <v/>
      </c>
      <c r="BU12" t="str">
        <f>IF(OR(D12="",'Tube Cutting'!C18=""),"",IF(AND('Tube Cutting'!O18="Black",'Tube Cutting'!N18="205mm"),'Tube Cutting'!M18,""))</f>
        <v/>
      </c>
      <c r="BV12" t="str">
        <f>IF(OR(D12="",'Tube Cutting'!C18=""),"",IF(AND('Tube Cutting'!O18="Clear Beige",'Tube Cutting'!N18="205mm"),'Tube Cutting'!L18,""))</f>
        <v/>
      </c>
      <c r="BW12" t="str">
        <f>IF(OR(D12="",'Tube Cutting'!C18=""),"",IF(AND('Tube Cutting'!O18="Clear Beige",'Tube Cutting'!N18="205mm"),'Tube Cutting'!M18,""))</f>
        <v/>
      </c>
      <c r="BX12" t="str">
        <f>IF(OR(D12="",'Tube Cutting'!C18=""),"",IF(AND('Tube Cutting'!O18="Dune",'Tube Cutting'!N18="205mm"),'Tube Cutting'!L18,""))</f>
        <v/>
      </c>
      <c r="BY12" t="str">
        <f>IF(OR(D12="",'Tube Cutting'!C18=""),"",IF(AND('Tube Cutting'!O18="Dune",'Tube Cutting'!N18="205mm"),'Tube Cutting'!M18,""))</f>
        <v/>
      </c>
      <c r="BZ12" t="str">
        <f>IF(OR(D12="",'Tube Cutting'!C18=""),"",IF(AND('Tube Cutting'!O18="Mag Cream",'Tube Cutting'!N18="205mm"),'Tube Cutting'!L18,""))</f>
        <v/>
      </c>
      <c r="CA12" t="str">
        <f>IF(OR(D12="",'Tube Cutting'!C18=""),"",IF(AND('Tube Cutting'!O18="Mag Cream",'Tube Cutting'!N18="205mm"),'Tube Cutting'!M18,""))</f>
        <v/>
      </c>
      <c r="CB12" t="str">
        <f>IF(OR(D12="",'Tube Cutting'!C18=""),"",IF(AND('Tube Cutting'!O18="Monument",'Tube Cutting'!N18="205mm"),'Tube Cutting'!L18,""))</f>
        <v/>
      </c>
      <c r="CC12" t="str">
        <f>IF(OR(D12="",'Tube Cutting'!C18=""),"",IF(AND('Tube Cutting'!O18="Monument",'Tube Cutting'!N18="205mm"),'Tube Cutting'!M18,""))</f>
        <v/>
      </c>
      <c r="CD12" t="str">
        <f>IF(OR(D12="",'Tube Cutting'!C18=""),"",IF(AND('Tube Cutting'!O18="Shale Grey",'Tube Cutting'!N18="205mm"),'Tube Cutting'!L18,""))</f>
        <v/>
      </c>
      <c r="CE12" t="str">
        <f>IF(OR(D12="",'Tube Cutting'!C18=""),"",IF(AND('Tube Cutting'!O18="Shale Grey",'Tube Cutting'!N18="205mm"),'Tube Cutting'!M18,""))</f>
        <v/>
      </c>
      <c r="CF12" t="str">
        <f>IF(OR(D12="",'Tube Cutting'!C18=""),"",IF(AND('Tube Cutting'!O18="White",'Tube Cutting'!N18="205mm"),'Tube Cutting'!L18,""))</f>
        <v/>
      </c>
      <c r="CG12" t="str">
        <f>IF(OR(D12="",'Tube Cutting'!C18=""),"",IF(AND('Tube Cutting'!O18="White",'Tube Cutting'!N18="205mm"),'Tube Cutting'!M18,""))</f>
        <v/>
      </c>
      <c r="CH12" t="str">
        <f>IF(OR(D12="",'Tube Cutting'!C18=""),"",IF(AND('Tube Cutting'!O18="Woodland Grey",'Tube Cutting'!N18="205mm"),'Tube Cutting'!L18,""))</f>
        <v/>
      </c>
      <c r="CI12" t="str">
        <f>IF(OR(D12="",'Tube Cutting'!C18=""),"",IF(AND('Tube Cutting'!O18="Woodland Grey",'Tube Cutting'!N18="205mm"),'Tube Cutting'!M18,""))</f>
        <v/>
      </c>
      <c r="CJ12" t="str">
        <f>IF(OR(D12="",'Tube Cutting'!C18=""),"",IF(AND('Tube Cutting'!O18="Cream",'Tube Cutting'!N18="205mm"),'Tube Cutting'!L18,""))</f>
        <v/>
      </c>
      <c r="CK12" t="str">
        <f>IF(OR(D12="",'Tube Cutting'!C18=""),"",IF(AND('Tube Cutting'!O18="Cream",'Tube Cutting'!N18="205mm"),'Tube Cutting'!M18,""))</f>
        <v/>
      </c>
      <c r="CL12" t="str">
        <f>IF(OR(D12="",'Tube Cutting'!C18=""),"",IF(AND('Tube Cutting'!O18="Brown",'Tube Cutting'!N18="205mm"),'Tube Cutting'!L18,""))</f>
        <v/>
      </c>
      <c r="CM12" t="str">
        <f>IF(OR(D12="",'Tube Cutting'!C18=""),"",IF(AND('Tube Cutting'!O18="Brown",'Tube Cutting'!N18="205mm"),'Tube Cutting'!M18,""))</f>
        <v/>
      </c>
      <c r="CN12" t="str">
        <f>IF(OR(D12="",'Tube Cutting'!C18=""),"",IF(AND('Tube Cutting'!O18="Surfmist",'Tube Cutting'!N18="205mm"),'Tube Cutting'!L18,""))</f>
        <v/>
      </c>
      <c r="CO12" t="str">
        <f>IF(OR(D12="",'Tube Cutting'!C18=""),"",IF(AND('Tube Cutting'!O18="Surfmist",'Tube Cutting'!N18="205mm"),'Tube Cutting'!M18,""))</f>
        <v/>
      </c>
      <c r="CP12" t="str">
        <f>IF(OR(D12="",'Tube Cutting'!C18=""),"",IF(AND('Tube Cutting'!O18="Jasper",'Tube Cutting'!N18="205mm"),'Tube Cutting'!L18,""))</f>
        <v/>
      </c>
      <c r="CQ12" t="str">
        <f>IF(OR(D12="",'Tube Cutting'!C18=""),"",IF(AND('Tube Cutting'!O18="Jasper",'Tube Cutting'!N18="205mm"),'Tube Cutting'!M18,""))</f>
        <v/>
      </c>
      <c r="CR12" t="str">
        <f>IF(OR(D12="",'Tube Cutting'!C18=""),"",IF(AND('Tube Cutting'!O18="Cream",'Tube Cutting'!N18="230mm"),'Tube Cutting'!L18,""))</f>
        <v/>
      </c>
      <c r="CS12" t="str">
        <f>IF(OR(D12="",'Tube Cutting'!C18=""),"",IF(AND('Tube Cutting'!O18="Cream",'Tube Cutting'!N18="230mm"),'Tube Cutting'!M18,""))</f>
        <v/>
      </c>
      <c r="CT12" t="str">
        <f>IF(OR(D12="",'Tube Cutting'!C18=""),"",IF(AND('Tube Cutting'!O18="Mag Cream",'Tube Cutting'!N18="230mm"),'Tube Cutting'!L18,""))</f>
        <v/>
      </c>
      <c r="CU12" t="str">
        <f>IF(OR(D12="",'Tube Cutting'!C18=""),"",IF(AND('Tube Cutting'!O18="Mag Cream",'Tube Cutting'!N18="230mm"),'Tube Cutting'!M18,""))</f>
        <v/>
      </c>
      <c r="CV12" t="str">
        <f>IF(OR(D12="",'Tube Cutting'!C18=""),"",IF(AND('Tube Cutting'!O18="Clear Beige",'Tube Cutting'!N18="230mm"),'Tube Cutting'!L18,""))</f>
        <v/>
      </c>
      <c r="CW12" t="str">
        <f>IF(OR(D12="",'Tube Cutting'!C18=""),"",IF(AND('Tube Cutting'!O18="Clear Beige",'Tube Cutting'!N18="230mm"),'Tube Cutting'!M18,""))</f>
        <v/>
      </c>
      <c r="CX12" t="str">
        <f>IF(OR(D12="",'Tube Cutting'!C18=""),"",IF(AND('Tube Cutting'!O18="White",'Tube Cutting'!N18="230mm"),'Tube Cutting'!L18,""))</f>
        <v/>
      </c>
      <c r="CY12" t="str">
        <f>IF(OR(D12="",'Tube Cutting'!C18=""),"",IF(AND('Tube Cutting'!O18="White",'Tube Cutting'!N18="230mm"),'Tube Cutting'!M18,""))</f>
        <v/>
      </c>
      <c r="CZ12" t="str">
        <f>IF(OR(D12="",'Tube Cutting'!C18=""),"",IF(AND('Tube Cutting'!O18="Shale Grey",'Tube Cutting'!N18="230mm"),'Tube Cutting'!L18,""))</f>
        <v/>
      </c>
      <c r="DA12" t="str">
        <f>IF(OR(D12="",'Tube Cutting'!C18=""),"",IF(AND('Tube Cutting'!O18="Shale Grey",'Tube Cutting'!N18="230mm"),'Tube Cutting'!M18,""))</f>
        <v/>
      </c>
      <c r="DB12" t="str">
        <f>IF(OR(D12="",'Tube Cutting'!C18=""),"",IF(AND('Tube Cutting'!O18="Black",'Tube Cutting'!N18="230mm"),'Tube Cutting'!L18,""))</f>
        <v/>
      </c>
      <c r="DC12" t="str">
        <f>IF(OR(D12="",'Tube Cutting'!C18=""),"",IF(AND('Tube Cutting'!O18="Black",'Tube Cutting'!N18="230mm"),'Tube Cutting'!M18,""))</f>
        <v/>
      </c>
      <c r="DD12" t="str">
        <f>IF(OR(D12="",'Tube Cutting'!C18=""),"",IF(AND('Tube Cutting'!O18="Monument",'Tube Cutting'!N18="230mm"),'Tube Cutting'!L18,""))</f>
        <v/>
      </c>
      <c r="DE12" t="str">
        <f>IF(OR(D12="",'Tube Cutting'!C18=""),"",IF(AND('Tube Cutting'!O18="Monument",'Tube Cutting'!N18="230mm"),'Tube Cutting'!M18,""))</f>
        <v/>
      </c>
      <c r="DF12" t="str">
        <f>IF(OR(D12="",'Tube Cutting'!C18=""),"",IF(AND('Tube Cutting'!O18="Woodland Grey",'Tube Cutting'!N18="230mm"),'Tube Cutting'!L18,""))</f>
        <v/>
      </c>
      <c r="DG12" t="str">
        <f>IF(OR(D12="",'Tube Cutting'!C18=""),"",IF(AND('Tube Cutting'!O18="Woodland Grey",'Tube Cutting'!N18="230mm"),'Tube Cutting'!M18,""))</f>
        <v/>
      </c>
      <c r="DH12" t="str">
        <f>IF(OR(D12="",'Tube Cutting'!C18=""),"",IF(AND('Tube Cutting'!O18="Surfmist",'Tube Cutting'!N18="230mm"),'Tube Cutting'!L18,""))</f>
        <v/>
      </c>
      <c r="DI12" t="str">
        <f>IF(OR(D12="",'Tube Cutting'!C18=""),"",IF(AND('Tube Cutting'!O18="Surfmist",'Tube Cutting'!N18="230mm"),'Tube Cutting'!M18,""))</f>
        <v/>
      </c>
      <c r="DJ12" t="str">
        <f>IF(OR(D12="",'Tube Cutting'!C18=""),"",IF(AND('Tube Cutting'!O18="Jasper",'Tube Cutting'!N18="230mm"),'Tube Cutting'!L18,""))</f>
        <v/>
      </c>
      <c r="DK12" t="str">
        <f>IF(OR(D12="",'Tube Cutting'!C18=""),"",IF(AND('Tube Cutting'!O18="Jasper",'Tube Cutting'!N18="230mm"),'Tube Cutting'!M18,""))</f>
        <v/>
      </c>
      <c r="DL12" t="str">
        <f>IF(OR(D12="",'Tube Cutting'!C18=""),"",IF(AND('Tube Cutting'!O18="Dune",'Tube Cutting'!N18="230mm"),'Tube Cutting'!L18,""))</f>
        <v/>
      </c>
      <c r="DM12" t="str">
        <f>IF(OR(D12="",'Tube Cutting'!C18=""),"",IF(AND('Tube Cutting'!O18="Dune",'Tube Cutting'!N18="230mm"),'Tube Cutting'!M18,""))</f>
        <v/>
      </c>
      <c r="DN12" t="str">
        <f>IF(OR(D12="",'Tube Cutting'!C18=""),"",IF(AND('Tube Cutting'!R18="Cream",'Job Sheet'!AG18="Bay Window Flashing x 1"),'Job Sheet'!BB18,IF(AND('Tube Cutting'!R18="Cream",'Job Sheet'!AG18="Bay Window Flashing x 2"),'Job Sheet'!BB18*2,"")))</f>
        <v/>
      </c>
      <c r="DO12" t="str">
        <f>IF(OR(D12="",'Tube Cutting'!C18=""),"",IF(AND('Tube Cutting'!R18="Mag",'Job Sheet'!AG18="Bay Window Flashing x 1"),'Job Sheet'!BB18,IF(AND('Tube Cutting'!R18="Mag Cream",'Job Sheet'!AG18="Bay Window Flashing x 2"),'Job Sheet'!BB18*2,"")))</f>
        <v/>
      </c>
      <c r="DP12" t="str">
        <f>IF(OR(D12="",'Tube Cutting'!C18=""),"",IF(AND('Tube Cutting'!R18="Clear Beige",'Job Sheet'!AG18="Bay Window Flashing x 1"),'Job Sheet'!BB18,IF(AND('Tube Cutting'!R18="Clear Beige",'Job Sheet'!AG18="Bay Window Flashing x 2"),'Job Sheet'!BB18*2,"")))</f>
        <v/>
      </c>
      <c r="DQ12" t="str">
        <f>IF(OR(D12="",'Tube Cutting'!C18=""),"",IF(AND('Tube Cutting'!R18="White",'Job Sheet'!AG18="Bay Window Flashing x 1"),'Job Sheet'!BB18,IF(AND('Tube Cutting'!R18="White",'Job Sheet'!AG18="Bay Window Flashing x 2"),'Job Sheet'!BB18*2,"")))</f>
        <v/>
      </c>
      <c r="DR12" t="str">
        <f>IF(OR(D12="",'Tube Cutting'!C18=""),"",IF(AND('Tube Cutting'!R18="Shale Grey",'Job Sheet'!AG18="Bay Window Flashing x 1"),'Job Sheet'!BB18,IF(AND('Tube Cutting'!R18="Shale Grey",'Job Sheet'!AG18="Bay Window Flashing x 2"),'Job Sheet'!BB18*2,"")))</f>
        <v/>
      </c>
      <c r="DS12" t="str">
        <f>IF(OR(D12="",'Tube Cutting'!C18=""),"",IF(AND('Tube Cutting'!R18="Brown",'Job Sheet'!AG18="Bay Window Flashing x 1"),'Job Sheet'!BB18,IF(AND('Tube Cutting'!R18="Brown",'Job Sheet'!AG18="Bay Window Flashing x 2"),'Job Sheet'!BB18*2,"")))</f>
        <v/>
      </c>
      <c r="DT12" t="str">
        <f>IF(OR(D12="",'Tube Cutting'!C18=""),"",IF(AND('Tube Cutting'!R18="Black",'Job Sheet'!AG18="Bay Window Flashing x 1"),'Job Sheet'!BB18,IF(AND('Tube Cutting'!R18="Black",'Job Sheet'!AG18="Bay Window Flashing x 2"),'Job Sheet'!BB18*2,"")))</f>
        <v/>
      </c>
      <c r="DU12" t="str">
        <f>IF(OR(D12="",'Tube Cutting'!C18=""),"",IF(AND('Tube Cutting'!R18="Monument",'Job Sheet'!AG18="Bay Window Flashing x 1"),'Job Sheet'!BB18,IF(AND('Tube Cutting'!R18="Monument",'Job Sheet'!AG18="Bay Window Flashing x 2"),'Job Sheet'!BB18*2,"")))</f>
        <v/>
      </c>
      <c r="DV12" t="str">
        <f>IF(OR(D12="",'Tube Cutting'!C18=""),"",IF(AND('Tube Cutting'!R18="Woodland Grey",'Job Sheet'!AG18="Bay Window Flashing x 1"),'Job Sheet'!BB18,IF(AND('Tube Cutting'!R18="Woodland Grey",'Job Sheet'!AG18="Bay Window Flashing x 2"),'Job Sheet'!BB18*2,"")))</f>
        <v/>
      </c>
      <c r="DW12" t="str">
        <f>IF(OR(D12="",'Tube Cutting'!C18=""),"",IF(AND('Tube Cutting'!R18="Surfmist",'Job Sheet'!AG18="Bay Window Flashing x 1"),'Job Sheet'!BB18,IF(AND('Tube Cutting'!R18="Surfmist",'Job Sheet'!AG18="Bay Window Flashing x 2"),'Job Sheet'!BB18*2,"")))</f>
        <v/>
      </c>
      <c r="DX12" t="str">
        <f>IF(OR(D12="",'Tube Cutting'!C18=""),"",IF(AND('Tube Cutting'!R18="Jasper",'Job Sheet'!AG18="Bay Window Flashing x 1"),'Job Sheet'!BB18,IF(AND('Tube Cutting'!R18="Jasper",'Job Sheet'!AG18="Bay Window Flashing x 2"),'Job Sheet'!BB18*2,"")))</f>
        <v/>
      </c>
      <c r="DY12" t="str">
        <f>IF(OR(D12="",'Tube Cutting'!C18=""),"",IF(AND('Tube Cutting'!R18="Dune",'Job Sheet'!AG18="Bay Window Flashing x 1"),'Job Sheet'!BB18,IF(AND('Tube Cutting'!R18="Dune",'Job Sheet'!AG18="Bay Window Flashing x 2"),'Job Sheet'!BB18*2,"")))</f>
        <v/>
      </c>
      <c r="DZ12" t="str">
        <f>IF(OR(D12="",'Tube Cutting'!C18=""),"",IF('Tube Cutting'!R18="Cream",IF(SUM('Job Sheet'!BR18:BU18)=0,"",SUM('Job Sheet'!BR18:BU18)),""))</f>
        <v/>
      </c>
      <c r="EA12" t="str">
        <f>IF(OR(D12="",'Tube Cutting'!C18=""),"",IF('Tube Cutting'!R18="Mag Cream",IF(SUM('Job Sheet'!BR18:BU18)=0,"",SUM('Job Sheet'!BR18:BU18)),""))</f>
        <v/>
      </c>
      <c r="EB12" t="str">
        <f>IF(OR(D12="",'Tube Cutting'!C18=""),"",IF('Tube Cutting'!R18="Clear Beige",IF(SUM('Job Sheet'!BR18:BU18)=0,"",SUM('Job Sheet'!BR18:BU18)),""))</f>
        <v/>
      </c>
      <c r="EC12" t="str">
        <f>IF(OR(D12="",'Tube Cutting'!C18=""),"",IF('Tube Cutting'!R18="White",IF(SUM('Job Sheet'!BR18:BU18)=0,"",SUM('Job Sheet'!BR18:BU18)),""))</f>
        <v/>
      </c>
      <c r="ED12" t="str">
        <f>IF(OR(D12="",'Tube Cutting'!C18=""),"",IF('Tube Cutting'!R18="Shale Grey",IF(SUM('Job Sheet'!BR18:BU18)=0,"",SUM('Job Sheet'!BR18:BU18)),""))</f>
        <v/>
      </c>
      <c r="EE12" t="str">
        <f>IF(OR(D12="",'Tube Cutting'!C18=""),"",IF('Tube Cutting'!R18="Brown",IF(SUM('Job Sheet'!BR18:BU18)=0,"",SUM('Job Sheet'!BR18:BU18)),""))</f>
        <v/>
      </c>
      <c r="EF12" t="str">
        <f>IF(OR(D12="",'Tube Cutting'!C18=""),"",IF('Tube Cutting'!R18="Black",IF(SUM('Job Sheet'!BR18:BU18)=0,"",SUM('Job Sheet'!BR18:BU18)),""))</f>
        <v/>
      </c>
      <c r="EG12" t="str">
        <f>IF(OR(D12="",'Tube Cutting'!C18=""),"",IF('Tube Cutting'!R18="Monument",IF(SUM('Job Sheet'!BR18:BU18)=0,"",SUM('Job Sheet'!BR18:BU18)),""))</f>
        <v/>
      </c>
      <c r="EH12" t="str">
        <f>IF(OR(D12="",'Tube Cutting'!C18=""),"",IF('Tube Cutting'!R18="Woodland Grey",IF(SUM('Job Sheet'!BR18:BU18)=0,"",SUM('Job Sheet'!BR18:BU18)),""))</f>
        <v/>
      </c>
      <c r="EI12" t="str">
        <f>IF(OR(D12="",'Tube Cutting'!C18=""),"",IF('Tube Cutting'!R18="Surfmist",IF(SUM('Job Sheet'!BR18:BU18)=0,"",SUM('Job Sheet'!BR18:BU18)),""))</f>
        <v/>
      </c>
      <c r="EJ12" t="str">
        <f>IF(OR(D12="",'Tube Cutting'!C18=""),"",IF('Tube Cutting'!R18="Jasper",IF(SUM('Job Sheet'!BR18:BU18)=0,"",SUM('Job Sheet'!BR18:BU18)),""))</f>
        <v/>
      </c>
      <c r="EK12" t="str">
        <f>IF(OR(D12="",'Tube Cutting'!C18=""),"",IF('Tube Cutting'!R18="Dune",IF(SUM('Job Sheet'!BR18:BU18)=0,"",SUM('Job Sheet'!BR18:BU18)),""))</f>
        <v/>
      </c>
      <c r="EL12" t="str">
        <f>IF(OR(D12="",'Tube Cutting'!C18=""),"",IF('Tube Cutting'!R18="Cream",IF(SUM('Job Sheet'!BV18:BY18)=0,"",SUM('Job Sheet'!BV18:BY18)),""))</f>
        <v/>
      </c>
      <c r="EM12" t="str">
        <f>IF(OR(D12="",'Tube Cutting'!C18=""),"",IF('Tube Cutting'!R18="Mag Cream",IF(SUM('Job Sheet'!BV18:BY18)=0,"",SUM('Job Sheet'!BV18:BY18)),""))</f>
        <v/>
      </c>
      <c r="EN12" t="str">
        <f>IF(OR(D12="",'Tube Cutting'!C18=""),"",IF('Tube Cutting'!R18="Clear Beige",IF(SUM('Job Sheet'!BV18:BY18)=0,"",SUM('Job Sheet'!BV18:BY18)),""))</f>
        <v/>
      </c>
      <c r="EO12" t="str">
        <f>IF(OR(D12="",'Tube Cutting'!C18=""),"",IF('Tube Cutting'!R18="White",IF(SUM('Job Sheet'!BV18:BY18)=0,"",SUM('Job Sheet'!BV18:BY18)),""))</f>
        <v/>
      </c>
      <c r="EP12" t="str">
        <f>IF(OR(D12="",'Tube Cutting'!C18=""),"",IF('Tube Cutting'!R18="Shale Grey",IF(SUM('Job Sheet'!BV18:BY18)=0,"",SUM('Job Sheet'!BV18:BY18)),""))</f>
        <v/>
      </c>
      <c r="EQ12" t="str">
        <f>IF(OR(D12="",'Tube Cutting'!C18=""),"",IF('Tube Cutting'!R18="Brown",IF(SUM('Job Sheet'!BV18:BY18)=0,"",SUM('Job Sheet'!BV18:BY18)),""))</f>
        <v/>
      </c>
      <c r="ER12" t="str">
        <f>IF(OR(D12="",'Tube Cutting'!C18=""),"",IF('Tube Cutting'!R18="Black",IF(SUM('Job Sheet'!BV18:BY18)=0,"",SUM('Job Sheet'!BV18:BY18)),""))</f>
        <v/>
      </c>
      <c r="ES12" t="str">
        <f>IF(OR(D12="",'Tube Cutting'!C18=""),"",IF('Tube Cutting'!R18="Monument",IF(SUM('Job Sheet'!BV18:BY18)=0,"",SUM('Job Sheet'!BV18:BY18)),""))</f>
        <v/>
      </c>
      <c r="ET12" t="str">
        <f>IF(OR(D12="",'Tube Cutting'!C18=""),"",IF('Tube Cutting'!R18="Woodland Grey",IF(SUM('Job Sheet'!BV18:BY18)=0,"",SUM('Job Sheet'!BV18:BY18)),""))</f>
        <v/>
      </c>
      <c r="EU12" t="str">
        <f>IF(OR(D12="",'Tube Cutting'!C18=""),"",IF('Tube Cutting'!R18="Surfmist",IF(SUM('Job Sheet'!BV18:BY18)=0,"",SUM('Job Sheet'!BV18:BY18)),""))</f>
        <v/>
      </c>
      <c r="EV12" t="str">
        <f>IF(OR(D12="",'Tube Cutting'!C18=""),"",IF('Tube Cutting'!R18="Jasper",IF(SUM('Job Sheet'!BV18:BY18)=0,"",SUM('Job Sheet'!BV18:BY18)),""))</f>
        <v/>
      </c>
      <c r="EW12" t="str">
        <f>IF(OR(D12="",'Tube Cutting'!C18=""),"",IF('Tube Cutting'!R18="Dune",IF(SUM('Job Sheet'!BV18:BY18)=0,"",SUM('Job Sheet'!BV18:BY18)),""))</f>
        <v/>
      </c>
      <c r="EX12" t="str">
        <f>IF(OR(D12="",'Tube Cutting'!C18=""),"",IF('Tube Cutting'!R18="Cream",IF(SUM('Job Sheet'!BZ18:CC18)=0,"",SUM('Job Sheet'!BZ18:CC18)),""))</f>
        <v/>
      </c>
      <c r="EY12" t="str">
        <f>IF(OR(D12="",'Tube Cutting'!C18=""),"",IF('Tube Cutting'!R18="Mag Cream",IF(SUM('Job Sheet'!BZ18:CC18)=0,"",SUM('Job Sheet'!BZ18:CC18)),""))</f>
        <v/>
      </c>
      <c r="EZ12" t="str">
        <f>IF(OR(D12="",'Tube Cutting'!C18=""),"",IF('Tube Cutting'!R18="Clear Beige",IF(SUM('Job Sheet'!BZ18:CC18)=0,"",SUM('Job Sheet'!BZ18:CC18)),""))</f>
        <v/>
      </c>
      <c r="FA12" t="str">
        <f>IF(OR(D12="",'Tube Cutting'!C18=""),"",IF('Tube Cutting'!R18="White",IF(SUM('Job Sheet'!BZ18:CC18)=0,"",SUM('Job Sheet'!BZ18:CC18)),""))</f>
        <v/>
      </c>
      <c r="FB12" t="str">
        <f>IF(OR(D12="",'Tube Cutting'!C18=""),"",IF('Tube Cutting'!R18="Shale Grey",IF(SUM('Job Sheet'!BZ18:CC18)=0,"",SUM('Job Sheet'!BZ18:CC18)),""))</f>
        <v/>
      </c>
      <c r="FC12" t="str">
        <f>IF(OR(D12="",'Tube Cutting'!C18=""),"",IF('Tube Cutting'!R18="Brown",IF(SUM('Job Sheet'!BZ18:CC18)=0,"",SUM('Job Sheet'!BZ18:CC18)),""))</f>
        <v/>
      </c>
      <c r="FD12" t="str">
        <f>IF(OR(D12="",'Tube Cutting'!C18=""),"",IF('Tube Cutting'!R18="Black",IF(SUM('Job Sheet'!BZ18:CC18)=0,"",SUM('Job Sheet'!BZ18:CC18)),""))</f>
        <v/>
      </c>
      <c r="FE12" t="str">
        <f>IF(OR(D12="",'Tube Cutting'!C18=""),"",IF('Tube Cutting'!R18="Monument",IF(SUM('Job Sheet'!BZ18:CC18)=0,"",SUM('Job Sheet'!BZ18:CC18)),""))</f>
        <v/>
      </c>
      <c r="FF12" t="str">
        <f>IF(OR(D12="",'Tube Cutting'!C18=""),"",IF('Tube Cutting'!R18="Woodland Grey",IF(SUM('Job Sheet'!BZ18:CC18)=0,"",SUM('Job Sheet'!BZ18:CC18)),""))</f>
        <v/>
      </c>
      <c r="FG12" t="str">
        <f>IF(OR(D12="",'Tube Cutting'!C18=""),"",IF('Tube Cutting'!R18="Surfmist",IF(SUM('Job Sheet'!BZ18:CC18)=0,"",SUM('Job Sheet'!BZ18:CC18)),""))</f>
        <v/>
      </c>
      <c r="FH12" t="str">
        <f>IF(OR(D12="",'Tube Cutting'!C18=""),"",IF('Tube Cutting'!R18="Jasper",IF(SUM('Job Sheet'!BZ18:CC18)=0,"",SUM('Job Sheet'!BZ18:CC18)),""))</f>
        <v/>
      </c>
      <c r="FI12" t="str">
        <f>IF(OR(D12="",'Tube Cutting'!C18=""),"",IF('Tube Cutting'!R18="Dune",IF(SUM('Job Sheet'!BZ18:CC18)=0,"",SUM('Job Sheet'!BZ18:CC18)),""))</f>
        <v/>
      </c>
      <c r="FJ12" t="str">
        <f>IF(OR(D12="",'Tube Cutting'!C18=""),"",IF('Tube Cutting'!R18="Cream",IF(SUM('Job Sheet'!BN18:BQ18)=0,"",SUM('Job Sheet'!BN18:BQ18)),""))</f>
        <v/>
      </c>
      <c r="FK12" t="str">
        <f>IF(OR(D12="",'Tube Cutting'!C18=""),"",IF('Tube Cutting'!R18="Mag Cream",IF(SUM('Job Sheet'!BN18:BQ18)=0,"",SUM('Job Sheet'!BN18:BQ18)),""))</f>
        <v/>
      </c>
      <c r="FL12" t="str">
        <f>IF(OR(D12="",'Tube Cutting'!C18=""),"",IF('Tube Cutting'!R18="Clear Beige",IF(SUM('Job Sheet'!BN18:BQ18)=0,"",SUM('Job Sheet'!BN18:BQ18)),""))</f>
        <v/>
      </c>
      <c r="FM12" t="str">
        <f>IF(OR(D12="",'Tube Cutting'!C18=""),"",IF('Tube Cutting'!R18="White",IF(SUM('Job Sheet'!BN18:BQ18)=0,"",SUM('Job Sheet'!BN18:BQ18)),""))</f>
        <v/>
      </c>
      <c r="FN12" t="str">
        <f>IF(OR(D12="",'Tube Cutting'!C18=""),"",IF('Tube Cutting'!R18="Shale Grey",IF(SUM('Job Sheet'!BN18:BQ18)=0,"",SUM('Job Sheet'!BN18:BQ18)),""))</f>
        <v/>
      </c>
      <c r="FO12" t="str">
        <f>IF(OR(D12="",'Tube Cutting'!C18=""),"",IF('Tube Cutting'!R18="Brown",IF(SUM('Job Sheet'!BN18:BQ18)=0,"",SUM('Job Sheet'!BN18:BQ18)),""))</f>
        <v/>
      </c>
      <c r="FP12" t="str">
        <f>IF(OR(D12="",'Tube Cutting'!C18=""),"",IF('Tube Cutting'!R18="Dune",IF(SUM('Job Sheet'!BN18:BQ18)=0,"",SUM('Job Sheet'!BN18:BQ18)),""))</f>
        <v/>
      </c>
      <c r="FQ12" t="str">
        <f>IF(OR(D12="",'Tube Cutting'!C18=""),"",IF('Tube Cutting'!R18="Dune",IF(SUM('Job Sheet'!BN18:BQ18)=0,"",SUM('Job Sheet'!BN18:BQ18)),""))</f>
        <v/>
      </c>
      <c r="FR12" t="str">
        <f>IF(OR(D12="",'Tube Cutting'!C18=""),"",IF('Tube Cutting'!R18="Black",IF(SUM('Job Sheet'!BN18:BQ18)=0,"",SUM('Job Sheet'!BN18:BQ18)),""))</f>
        <v/>
      </c>
      <c r="FS12" t="str">
        <f>IF(OR(D12="",'Tube Cutting'!C18=""),"",IF('Tube Cutting'!R18="Monument",IF(SUM('Job Sheet'!BN18:BQ18)=0,"",SUM('Job Sheet'!BN18:BQ18)),""))</f>
        <v/>
      </c>
      <c r="FT12" t="str">
        <f>IF(OR(D12="",'Tube Cutting'!C18=""),"",IF('Tube Cutting'!R18="Custom Powdercoat",IF(SUM('Job Sheet'!BN18:BQ18)=0,"",SUM('Job Sheet'!BN18:BQ18)),""))</f>
        <v/>
      </c>
      <c r="FU12" t="str">
        <f>IF(OR(D12="",'Tube Cutting'!C18=""),"",IF('Tube Cutting'!R18="Woodland Grey",IF(SUM('Job Sheet'!BN18:BQ18)=0,"",SUM('Job Sheet'!BN18:BQ18)),""))</f>
        <v/>
      </c>
      <c r="FV12" t="str">
        <f>IF(OR(D12="",'Tube Cutting'!C18=""),"",IF('Tube Cutting'!R18="Jasper",IF(SUM('Job Sheet'!BN18:BQ18)=0,"",SUM('Job Sheet'!BN18:BQ18)),""))</f>
        <v/>
      </c>
      <c r="FW12" t="str">
        <f>IF(OR(D12="",'Tube Cutting'!C18=""),"",IF('Tube Cutting'!R18="Surfmist",IF(SUM('Job Sheet'!BN18:BQ18)=0,"",SUM('Job Sheet'!BN18:BQ18)),""))</f>
        <v/>
      </c>
      <c r="FX12" t="str">
        <f>IF(OR(D12="",'Tube Cutting'!C18=""),"",IF('Tube Cutting'!R18="Dune",IF(SUM('Job Sheet'!BN18:BQ18)=0,"",SUM('Job Sheet'!BN18:BQ18)),""))</f>
        <v/>
      </c>
      <c r="FY12">
        <f>IF(OR(D12="",'Tube Cutting'!C18=""),"",IF(AND('Order Form'!R16="Supplied by Davidson's",'Tube Cutting'!C18&lt;&gt;""),"",'Tube Cutting'!S18))</f>
        <v>1837</v>
      </c>
      <c r="FZ12" t="str">
        <f>IF(OR(D12="",'Tube Cutting'!C18=""),"",IF(AND(Data!BN18="42mm Standard Slat",'Tube Cutting'!J18="Black"),'Tube Cutting'!I18,""))</f>
        <v/>
      </c>
      <c r="GA12" t="str">
        <f>IF(OR(D12="",'Tube Cutting'!C18=""),"",IF(AND(Data!BN18="42mm Standard Slat",'Tube Cutting'!J18="Clear Beige"),'Tube Cutting'!I18,""))</f>
        <v/>
      </c>
      <c r="GB12" t="str">
        <f>IF(OR(D12="",'Tube Cutting'!C18=""),"",IF(AND(Data!BN18="42mm Standard Slat",'Tube Cutting'!J18="Dune"),'Tube Cutting'!I18,""))</f>
        <v/>
      </c>
      <c r="GC12" t="str">
        <f>IF(OR(D12="",'Tube Cutting'!C18=""),"",IF(AND(Data!BN18="42mm Standard Slat",'Tube Cutting'!J18="Mag Cream"),'Tube Cutting'!I18,""))</f>
        <v/>
      </c>
      <c r="GD12">
        <f>IF(OR(D12="",'Tube Cutting'!C18=""),"",IF(AND(Data!BN18="42mm Standard Slat",'Tube Cutting'!J18="Monument"),'Tube Cutting'!I18,""))</f>
        <v>1845</v>
      </c>
      <c r="GE12" t="str">
        <f>IF(OR(D12="",'Tube Cutting'!C18=""),"",IF(AND(Data!BN18="42mm Standard Slat",'Tube Cutting'!J18="Shale Grey"),'Tube Cutting'!I18,""))</f>
        <v/>
      </c>
      <c r="GF12" t="str">
        <f>IF(OR(D12="",'Tube Cutting'!C18=""),"",IF(AND(Data!BN18="42mm Standard Slat",'Tube Cutting'!J18="White"),'Tube Cutting'!I18,""))</f>
        <v/>
      </c>
      <c r="GG12" t="str">
        <f>IF(OR(D12="",'Tube Cutting'!C18=""),"",IF(AND(Data!BN18="42mm Standard Slat",'Tube Cutting'!J18="Woodland Grey"),'Tube Cutting'!I18,""))</f>
        <v/>
      </c>
      <c r="GH12" t="str">
        <f>IF(OR(D12="",'Tube Cutting'!C18=""),"",IF(AND(Data!BN18="42mm Standard Slat",'Tube Cutting'!J18="Cream"),'Tube Cutting'!I18,""))</f>
        <v/>
      </c>
      <c r="GI12" t="str">
        <f>IF(OR(D12="",'Tube Cutting'!C18=""),"",IF(AND(Data!BN18="42mm Standard Slat",'Tube Cutting'!J18="Brown"),'Tube Cutting'!I18,""))</f>
        <v/>
      </c>
      <c r="GJ12" t="str">
        <f>IF(OR(D12="",'Tube Cutting'!C18=""),"",IF(AND(Data!BN18="42mm Standard Slat",'Tube Cutting'!J18="Custom Powdercoat"),'Tube Cutting'!I18,""))</f>
        <v/>
      </c>
      <c r="GK12" t="str">
        <f>IF(OR(D12="",'Tube Cutting'!C18=""),"",IF(AND(Data!BN18="42mm Standard Slat",'Tube Cutting'!J18="Surfmist"),'Tube Cutting'!I18,""))</f>
        <v/>
      </c>
      <c r="GL12" t="str">
        <f>IF(OR(D12="",'Tube Cutting'!C18=""),"",IF(AND(Data!BN18="42mm Standard Slat",'Tube Cutting'!J18="Jasper"),'Tube Cutting'!I18,""))</f>
        <v/>
      </c>
      <c r="GM12" t="str">
        <f>IF(OR(D12="",'Tube Cutting'!C18=""),"",IF('Tube Cutting'!R18="Black",('Job Sheet'!BB18*2+IF('Job Sheet'!Q18="Black",SUM('Job Sheet'!BJ18:BM18))),""))</f>
        <v/>
      </c>
      <c r="GN12" t="str">
        <f>IF(OR(D12="",'Tube Cutting'!C18=""),"",IF('Tube Cutting'!R18="Clear Beige",('Job Sheet'!BB18*2+IF('Job Sheet'!Q18="Clear Beige",SUM('Job Sheet'!BJ18:BM18))),""))</f>
        <v/>
      </c>
      <c r="GO12" t="str">
        <f>IF(OR(D12="",'Tube Cutting'!C18=""),"",IF('Tube Cutting'!R18="Dune",('Job Sheet'!BB18*2+IF('Job Sheet'!Q18="Dune",SUM('Job Sheet'!BJ18:BM18))),""))</f>
        <v/>
      </c>
      <c r="GP12" t="str">
        <f>IF(OR(D12="",'Tube Cutting'!C18=""),"",IF('Tube Cutting'!R18="Mag Cream",('Job Sheet'!BB18*2+IF('Job Sheet'!Q18="Mag Cream",SUM('Job Sheet'!BJ18:BM18))),""))</f>
        <v/>
      </c>
      <c r="GQ12">
        <f>IF(OR(D12="",'Tube Cutting'!C18=""),"",IF('Tube Cutting'!R18="Monument",('Job Sheet'!BB18*2+IF('Job Sheet'!Q18="Monument",SUM('Job Sheet'!BJ18:BM18))),""))</f>
        <v>2580</v>
      </c>
      <c r="GR12" t="str">
        <f>IF(OR(D12="",'Tube Cutting'!C18=""),"",IF('Tube Cutting'!R18="Shale Grey",('Job Sheet'!BB18*2+IF('Job Sheet'!Q18="Shale Grey",SUM('Job Sheet'!BJ18:BM18))),""))</f>
        <v/>
      </c>
      <c r="GS12" t="str">
        <f>IF(OR(D12="",'Tube Cutting'!C18=""),"",IF('Tube Cutting'!R18="White",('Job Sheet'!BB18*2+IF('Job Sheet'!Q18="White",SUM('Job Sheet'!BJ18:BM18))),""))</f>
        <v/>
      </c>
      <c r="GT12" t="str">
        <f>IF(OR(D12="",'Tube Cutting'!C18=""),"",IF('Tube Cutting'!R18="Woodland Grey",('Job Sheet'!BB18*2+IF('Job Sheet'!Q18="Woodland Grey",SUM('Job Sheet'!BJ18:BM18))),""))</f>
        <v/>
      </c>
      <c r="GU12" t="str">
        <f>IF(OR(D12="",'Tube Cutting'!C18=""),"",IF('Tube Cutting'!R18="Cream",('Job Sheet'!BB18*2+IF('Job Sheet'!Q18="Cream",SUM('Job Sheet'!BJ18:BM18))),""))</f>
        <v/>
      </c>
      <c r="GV12" t="str">
        <f>IF(OR(D12="",'Tube Cutting'!C18=""),"",IF('Tube Cutting'!R18="Brown",('Job Sheet'!BB18*2+IF('Job Sheet'!Q18="Brown",SUM('Job Sheet'!BJ18:BM18))),""))</f>
        <v/>
      </c>
      <c r="GW12" t="str">
        <f>IF(OR(D12="",'Tube Cutting'!C18=""),"",IF('Tube Cutting'!R18="Custom Powdercoat",('Job Sheet'!BB18*2+IF('Job Sheet'!Q18="Custom Powdercoat",SUM('Job Sheet'!BJ18:BM18))),""))</f>
        <v/>
      </c>
      <c r="GX12" t="str">
        <f>IF(OR(D12="",'Tube Cutting'!C18=""),"",IF('Tube Cutting'!R18="Surfmist",('Job Sheet'!BB18*2+IF('Job Sheet'!Q18="Surfmist",SUM('Job Sheet'!BJ18:BM18))),""))</f>
        <v/>
      </c>
      <c r="GY12" t="str">
        <f>IF(OR(D12="",'Tube Cutting'!C18=""),"",IF('Tube Cutting'!R18="Jasper",('Job Sheet'!BB18*2+IF('Job Sheet'!Q18="Jasper",SUM('Job Sheet'!BJ18:BM18))),""))</f>
        <v/>
      </c>
      <c r="GZ12" t="str">
        <f>IF(OR(D12="",'Tube Cutting'!C18=""),"",IF(AND('Tube Cutting'!R18="Cream",'Tube Cutting'!P18="68mm"),'Job Sheet'!BB18*2,""))</f>
        <v/>
      </c>
      <c r="HA12" t="str">
        <f>IF(OR(D12="",'Tube Cutting'!C18=""),"",IF(AND('Tube Cutting'!R18="Mag Cream",'Tube Cutting'!P18="68mm"),'Job Sheet'!BB18*2,""))</f>
        <v/>
      </c>
      <c r="HB12" t="str">
        <f>IF(OR(D12="",'Tube Cutting'!C18=""),"",IF(AND('Tube Cutting'!R18="Clear Beige",'Tube Cutting'!P18="68mm"),'Job Sheet'!BB18*2,""))</f>
        <v/>
      </c>
      <c r="HC12" t="str">
        <f>IF(OR(D12="",'Tube Cutting'!C18=""),"",IF(AND('Tube Cutting'!R18="White",'Tube Cutting'!P18="68mm"),'Job Sheet'!BB18*2,""))</f>
        <v/>
      </c>
      <c r="HD12" t="str">
        <f>IF(OR(D12="",'Tube Cutting'!C18=""),"",IF(AND('Tube Cutting'!R18="Shale Grey",'Tube Cutting'!P18="68mm"),'Job Sheet'!BB18*2,""))</f>
        <v/>
      </c>
      <c r="HE12" t="str">
        <f>IF(OR(D12="",'Tube Cutting'!C18=""),"",IF(AND('Tube Cutting'!R18="Brown",'Tube Cutting'!P18="68mm"),'Job Sheet'!BB18*2,""))</f>
        <v/>
      </c>
      <c r="HF12" t="str">
        <f>IF(OR(D12="",'Tube Cutting'!C18=""),"",IF(AND('Tube Cutting'!R18="Black",'Tube Cutting'!P18="68mm"),'Job Sheet'!BB18*2,""))</f>
        <v/>
      </c>
      <c r="HG12" t="str">
        <f>IF(OR(D12="",'Tube Cutting'!C18=""),"",IF(AND('Tube Cutting'!R18="Monument",'Tube Cutting'!P18="68mm"),'Job Sheet'!BB18*2,""))</f>
        <v/>
      </c>
      <c r="HH12" t="str">
        <f>IF(OR(D12="",'Tube Cutting'!C18=""),"",IF(AND('Tube Cutting'!R18="Custom Powdercoat",'Tube Cutting'!P18="68mm"),'Job Sheet'!BB18*2,""))</f>
        <v/>
      </c>
      <c r="HI12" t="str">
        <f>IF(OR(D12="",'Tube Cutting'!C18=""),"",IF(AND('Tube Cutting'!R18="Woodland Grey",'Tube Cutting'!P18="68mm"),'Job Sheet'!BB18*2,""))</f>
        <v/>
      </c>
      <c r="HJ12" t="str">
        <f>IF(OR(D12="",'Tube Cutting'!C18=""),"",IF(AND('Tube Cutting'!R18="Surfmist",'Tube Cutting'!P18="68mm"),'Job Sheet'!BB18*2,""))</f>
        <v/>
      </c>
      <c r="HK12" t="str">
        <f>IF(OR(D12="",'Tube Cutting'!C18=""),"",IF(AND('Tube Cutting'!R18="Jasper",'Tube Cutting'!P18="68mm"),'Job Sheet'!BB18*2,""))</f>
        <v/>
      </c>
      <c r="HL12" t="str">
        <f>IF(OR(D12="",'Tube Cutting'!C18=""),"",IF(AND('Tube Cutting'!R18="Dune",'Tube Cutting'!P18="68mm"),'Job Sheet'!BB18*2,""))</f>
        <v/>
      </c>
      <c r="HM12" t="str">
        <f>IF(OR(D12="",'Tube Cutting'!C18=""),"",IF(AND('Tube Cutting'!O18="Black",'Tube Cutting'!N18="180mm"),1,""))</f>
        <v/>
      </c>
      <c r="HN12" t="str">
        <f>IF(OR(D12="",'Tube Cutting'!C18=""),"",IF(AND('Tube Cutting'!O18="Clear Beige",'Tube Cutting'!N18="180mm"),1,""))</f>
        <v/>
      </c>
      <c r="HO12" t="str">
        <f>IF(OR(D12="",'Tube Cutting'!C18=""),"",IF(AND('Tube Cutting'!O18="Dune",'Tube Cutting'!N18="180mm"),1,""))</f>
        <v/>
      </c>
      <c r="HP12" t="str">
        <f>IF(OR(D12="",'Tube Cutting'!C18=""),"",IF(AND('Tube Cutting'!O18="Mag Cream",'Tube Cutting'!N18="180mm"),1,""))</f>
        <v/>
      </c>
      <c r="HQ12">
        <f>IF(OR(D12="",'Tube Cutting'!C18=""),"",IF(AND('Tube Cutting'!O18="Monument",'Tube Cutting'!N18="180mm"),1,""))</f>
        <v>1</v>
      </c>
      <c r="HR12" t="str">
        <f>IF(OR(D12="",'Tube Cutting'!C18=""),"",IF(AND('Tube Cutting'!O18="Shale Grey",'Tube Cutting'!N18="180mm"),1,""))</f>
        <v/>
      </c>
      <c r="HS12" t="str">
        <f>IF(OR(D12="",'Tube Cutting'!C18=""),"",IF(AND('Tube Cutting'!O18="White",'Tube Cutting'!N18="180mm"),1,""))</f>
        <v/>
      </c>
      <c r="HT12" t="str">
        <f>IF(OR(D12="",'Tube Cutting'!C18=""),"",IF(AND('Tube Cutting'!O18="Woodland Grey",'Tube Cutting'!N18="180mm"),1,""))</f>
        <v/>
      </c>
      <c r="HU12" t="str">
        <f>IF(OR(D12="",'Tube Cutting'!C18=""),"",IF(AND('Tube Cutting'!O18="Cream",'Tube Cutting'!N18="180mm"),1,""))</f>
        <v/>
      </c>
      <c r="HV12" t="str">
        <f>IF(OR(D12="",'Tube Cutting'!C18=""),"",IF(AND('Tube Cutting'!O18="Brown",'Tube Cutting'!N18="180mm"),1,""))</f>
        <v/>
      </c>
      <c r="HW12" t="str">
        <f>IF(OR(D12="",'Tube Cutting'!C18=""),"",IF(AND('Tube Cutting'!O18="Surfmist",'Tube Cutting'!N18="180mm"),1,""))</f>
        <v/>
      </c>
      <c r="HX12" t="str">
        <f>IF(OR(D12="",'Tube Cutting'!C18=""),"",IF(AND('Tube Cutting'!O18="Jasper",'Tube Cutting'!N18="180mm"),1,""))</f>
        <v/>
      </c>
      <c r="HY12" t="str">
        <f>IF(OR(E12="",'Tube Cutting'!C18=""),"",IF(AND('Tube Cutting'!O18="Red",'Tube Cutting'!N18="180mm"),1,""))</f>
        <v/>
      </c>
      <c r="HZ12" t="str">
        <f>IF(OR(D12="",'Tube Cutting'!C18=""),"",IF(AND('Tube Cutting'!O18="Black",'Tube Cutting'!N18="205mm"),1,""))</f>
        <v/>
      </c>
      <c r="IA12" t="str">
        <f>IF(OR(D12="",'Tube Cutting'!C18=""),"",IF(AND('Tube Cutting'!O18="Clear Beige",'Tube Cutting'!N18="205mm"),1,""))</f>
        <v/>
      </c>
      <c r="IB12" t="str">
        <f>IF(OR(D12="",'Tube Cutting'!C18=""),"",IF(AND('Tube Cutting'!O18="Dune",'Tube Cutting'!N18="205mm"),1,""))</f>
        <v/>
      </c>
      <c r="IC12" t="str">
        <f>IF(OR(D12="",'Tube Cutting'!C18=""),"",IF(AND('Tube Cutting'!O18="Mag Cream",'Tube Cutting'!N18="205mm"),1,""))</f>
        <v/>
      </c>
      <c r="ID12" t="str">
        <f>IF(OR(D12="",'Tube Cutting'!C18=""),"",IF(AND('Tube Cutting'!O18="Monument",'Tube Cutting'!N18="205mm"),1,""))</f>
        <v/>
      </c>
      <c r="IE12" t="str">
        <f>IF(OR(D12="",'Tube Cutting'!C18=""),"",IF(AND('Tube Cutting'!O18="Shale Grey",'Tube Cutting'!N18="205mm"),1,""))</f>
        <v/>
      </c>
      <c r="IF12" t="str">
        <f>IF(OR(D12="",'Tube Cutting'!C18=""),"",IF(AND('Tube Cutting'!O18="White",'Tube Cutting'!N18="205mm"),1,""))</f>
        <v/>
      </c>
      <c r="IG12" t="str">
        <f>IF(OR(D12="",'Tube Cutting'!C18=""),"",IF(AND('Tube Cutting'!O18="Woodland Grey",'Tube Cutting'!N18="205mm"),1,""))</f>
        <v/>
      </c>
      <c r="IH12" t="str">
        <f>IF(OR(D12="",'Tube Cutting'!C18=""),"",IF(AND('Tube Cutting'!O18="Cream",'Tube Cutting'!N18="205mm"),1,""))</f>
        <v/>
      </c>
      <c r="II12" t="str">
        <f>IF(OR(D12="",'Tube Cutting'!C18=""),"",IF(AND('Tube Cutting'!O18="Brown",'Tube Cutting'!N18="205mm"),1,""))</f>
        <v/>
      </c>
      <c r="IJ12" t="str">
        <f>IF(OR(D12="",'Tube Cutting'!C18=""),"",IF(AND('Tube Cutting'!O18="Surfmist",'Tube Cutting'!N18="205mm"),1,""))</f>
        <v/>
      </c>
      <c r="IK12" t="str">
        <f>IF(OR(D12="",'Tube Cutting'!C18=""),"",IF(AND('Tube Cutting'!O18="Jasper",'Tube Cutting'!N18="205mm"),1,""))</f>
        <v/>
      </c>
      <c r="IL12" t="str">
        <f>IF(OR(D12="",'Tube Cutting'!C18=""),"",IF(AND('Tube Cutting'!O18="Cream",'Tube Cutting'!N18="230mm"),1,""))</f>
        <v/>
      </c>
      <c r="IM12" t="str">
        <f>IF(OR(D12="",'Tube Cutting'!C18=""),"",IF(AND('Tube Cutting'!O18="Mag Cream",'Tube Cutting'!N18="230mm"),1,""))</f>
        <v/>
      </c>
      <c r="IN12" t="str">
        <f>IF(OR(D12="",'Tube Cutting'!C18=""),"",IF(AND('Tube Cutting'!O18="Clear Beige",'Tube Cutting'!N18="230mm"),1,""))</f>
        <v/>
      </c>
      <c r="IO12" t="str">
        <f>IF(OR(D12="",'Tube Cutting'!C18=""),"",IF(AND('Tube Cutting'!O18="White",'Tube Cutting'!N18="230mm"),1,""))</f>
        <v/>
      </c>
      <c r="IP12" t="str">
        <f>IF(OR(D12="",'Tube Cutting'!C18=""),"",IF(AND('Tube Cutting'!O18="Shale Grey",'Tube Cutting'!N18="230mm"),1,""))</f>
        <v/>
      </c>
      <c r="IQ12" t="str">
        <f>IF(OR(D12="",'Tube Cutting'!C18=""),"",IF(AND('Tube Cutting'!O18="Black",'Tube Cutting'!N18="230mm"),1,""))</f>
        <v/>
      </c>
      <c r="IR12" t="str">
        <f>IF(OR(D12="",'Tube Cutting'!C18=""),"",IF(AND('Tube Cutting'!O18="Monument",'Tube Cutting'!N18="230mm"),1,""))</f>
        <v/>
      </c>
      <c r="IS12" t="str">
        <f>IF(OR(D12="",'Tube Cutting'!C18=""),"",IF(AND('Tube Cutting'!O18="Woodland Grey",'Tube Cutting'!N18="230mm"),1,""))</f>
        <v/>
      </c>
      <c r="IT12" t="str">
        <f>IF(OR(D12="",'Tube Cutting'!C18=""),"",IF(AND('Tube Cutting'!O18="Surfmist",'Tube Cutting'!N18="230mm"),1,""))</f>
        <v/>
      </c>
      <c r="IU12" t="str">
        <f>IF(OR(D12="",'Tube Cutting'!C18=""),"",IF(AND('Tube Cutting'!O18="Jasper",'Tube Cutting'!N18="230mm"),1,""))</f>
        <v/>
      </c>
      <c r="IV12" t="str">
        <f>IF(OR(D12="",'Tube Cutting'!C18=""),"",IF(AND('Tube Cutting'!O18="Dune",'Tube Cutting'!N18="230mm"),1,""))</f>
        <v/>
      </c>
      <c r="IW12">
        <f>IF(OR(D12="",'Tube Cutting'!C18=""),"",IF(AND('Order Form'!R16="Supplied by Davidson's",'Tube Cutting'!C18&lt;&gt;""),"",1))</f>
        <v>1</v>
      </c>
      <c r="IX12">
        <f>IF(OR(D12="",'Tube Cutting'!C18=""),"",IF('Job Sheet'!AE18="Yes",2,""))</f>
        <v>2</v>
      </c>
      <c r="IY12" t="str">
        <f t="array" ref="IY12">IF(OR('Tube Cutting'!R18&lt;&gt;"Cream",D12=""),"",IF('Job Sheet'!J18&gt;2100,10,IF(OR(bpLOOKUP(Data!$AV18,"FIXING",CustOrdOpt,6,FALSE)="Hebel",'Job Sheet'!J18&gt;1800),8,6)))</f>
        <v/>
      </c>
      <c r="IZ12" t="str">
        <f t="array" ref="IZ12">IF(OR('Tube Cutting'!R18&lt;&gt;"Clear Beige",D12=""),"",IF('Job Sheet'!J18&gt;2100,10,IF(OR(bpLOOKUP(Data!$AV18,"FIXING",CustOrdOpt,6,FALSE)="Hebel",'Job Sheet'!J18&gt;1800),8,6)))</f>
        <v/>
      </c>
      <c r="JA12" t="str">
        <f t="array" ref="JA12">IF(OR('Tube Cutting'!R18&lt;&gt;"White",D12=""),"",IF('Job Sheet'!J18&gt;2100,10,IF(OR(bpLOOKUP(Data!$AV18,"FIXING",CustOrdOpt,6,FALSE)="Hebel",'Job Sheet'!J18&gt;1800),8,6)))</f>
        <v/>
      </c>
      <c r="JB12" t="str">
        <f t="array" ref="JB12">IF(OR('Tube Cutting'!R18&lt;&gt;"Shale Grey",D12=""),"",IF('Job Sheet'!J18&gt;2100,10,IF(OR(bpLOOKUP(Data!$AV18,"FIXING",CustOrdOpt,6,FALSE)="Hebel",'Job Sheet'!J18&gt;1800),8,6)))</f>
        <v/>
      </c>
      <c r="JC12" t="str">
        <f t="array" ref="JC12">IF(OR('Tube Cutting'!R18&lt;&gt;"Brown",D12=""),"",IF('Job Sheet'!J18&gt;2100,10,IF(OR(bpLOOKUP(Data!$AV18,"FIXING",CustOrdOpt,6,FALSE)="Hebel",'Job Sheet'!J18&gt;1800),8,6)))</f>
        <v/>
      </c>
      <c r="JD12" t="str">
        <f t="array" ref="JD12">IF(OR('Tube Cutting'!R18&lt;&gt;"Green",D12=""),"",IF('Job Sheet'!J18&gt;2100,10,IF(OR(bpLOOKUP(Data!$AV18,"FIXING",CustOrdOpt,6,FALSE)="Hebel",'Job Sheet'!J18&gt;1800),8,6)))</f>
        <v/>
      </c>
      <c r="JE12" t="str">
        <f t="array" ref="JE12">IF(OR('Tube Cutting'!R18&lt;&gt;"Red",D12=""),"",IF('Job Sheet'!J18&gt;2100,10,IF(OR(bpLOOKUP(Data!$AV18,"FIXING",CustOrdOpt,6,FALSE)="Hebel",'Job Sheet'!J18&gt;1800),8,6)))</f>
        <v/>
      </c>
      <c r="JF12" t="str">
        <f t="array" ref="JF12">IF(OR('Tube Cutting'!R18&lt;&gt;"Mag Cream",D12=""),"",IF('Job Sheet'!J18&gt;2100,10,IF(OR(bpLOOKUP(Data!$AV18,"FIXING",CustOrdOpt,6,FALSE)="Hebel",'Job Sheet'!J18&gt;1800),8,6)))</f>
        <v/>
      </c>
      <c r="JG12" t="str">
        <f t="array" ref="JG12">IF(OR('Tube Cutting'!R18&lt;&gt;"Black",D12=""),"",IF('Job Sheet'!J18&gt;2100,10,IF(OR(bpLOOKUP(Data!$AV18,"FIXING",CustOrdOpt,6,FALSE)="Hebel",'Job Sheet'!J18&gt;1800),8,6)))</f>
        <v/>
      </c>
      <c r="JH12">
        <f t="array" ref="JH12">IF(OR('Tube Cutting'!R18&lt;&gt;"Monument",D12=""),"",IF('Job Sheet'!J18&gt;2100,10,IF(OR(bpLOOKUP(Data!$AV18,"FIXING",CustOrdOpt,6,FALSE)="Hebel",'Job Sheet'!J18&gt;1800),8,6)))</f>
        <v>6</v>
      </c>
      <c r="JI12" t="str">
        <f t="array" ref="JI12">IF(OR('Tube Cutting'!R18&lt;&gt;"Deep Ocean",D12=""),"",IF('Job Sheet'!J18&gt;2100,10,IF(OR(bpLOOKUP(Data!$AV18,"FIXING",CustOrdOpt,6,FALSE)="Hebel",'Job Sheet'!J18&gt;1800),8,6)))</f>
        <v/>
      </c>
      <c r="JJ12" t="str">
        <f t="array" ref="JJ12">IF(OR('Tube Cutting'!R18&lt;&gt;"Woodland Grey",D12=""),"",IF('Job Sheet'!J18&gt;2100,10,IF(OR(bpLOOKUP(Data!$AV18,"FIXING",CustOrdOpt,6,FALSE)="Hebel",'Job Sheet'!J18&gt;1800),8,6)))</f>
        <v/>
      </c>
      <c r="JK12" t="str">
        <f t="array" ref="JK12">IF(OR('Tube Cutting'!R18&lt;&gt;"Jasper",D12=""),"",IF('Job Sheet'!J18&gt;2100,10,IF(OR(bpLOOKUP(Data!$AV18,"FIXING",CustOrdOpt,6,FALSE)="Hebel",'Job Sheet'!J18&gt;1800),8,6)))</f>
        <v/>
      </c>
      <c r="JL12" t="str">
        <f t="array" ref="JL12">IF(OR('Tube Cutting'!R18&lt;&gt;"Surfmist",D12=""),"",IF('Job Sheet'!J18&gt;2100,10,IF(OR(bpLOOKUP(Data!$AV18,"FIXING",CustOrdOpt,6,FALSE)="Hebel",'Job Sheet'!J18&gt;1800),8,6)))</f>
        <v/>
      </c>
      <c r="JM12" t="str">
        <f t="array" ref="JM12">IF(OR('Tube Cutting'!R18&lt;&gt;"Dune",D12=""),"",IF('Job Sheet'!J18&gt;2100,10,IF(OR(bpLOOKUP(Data!$AV18,"FIXING",CustOrdOpt,6,FALSE)="Hebel",'Job Sheet'!J18&gt;1800),8,6)))</f>
        <v/>
      </c>
      <c r="JN12">
        <f>IF(OR(D12="",'Tube Cutting'!C18=""),"",IF(AND('Order Form'!R16="Supplied by Davidson's",'Tube Cutting'!C18&lt;&gt;""),"",1))</f>
        <v>1</v>
      </c>
      <c r="JO12" t="str">
        <f>IF(D12="","",IF(AND('Job Sheet'!X18="Operated Outside",'Job Sheet'!Y18="Eyelot Crank Handle"),1,""))</f>
        <v/>
      </c>
      <c r="JP12" t="str">
        <f t="shared" si="1"/>
        <v/>
      </c>
      <c r="JQ12" t="str">
        <f>IF('Job Sheet'!X18="Operated Inside",1,"")</f>
        <v/>
      </c>
      <c r="JS12" t="str">
        <f>IF('Job Sheet'!X18="Operated Inside",1,"")</f>
        <v/>
      </c>
      <c r="JT12" t="str">
        <f>IF('Job Sheet'!X18="Operated Inside",1,"")</f>
        <v/>
      </c>
      <c r="JU12" t="str">
        <f>IF('Job Sheet'!X18="Operated Inside",1,"")</f>
        <v/>
      </c>
      <c r="JV12" t="str">
        <f>IF(AND('Job Sheet'!X18="Operated Outside",'Job Sheet'!Y18="Concealed Operation Crank Handle"),1,"")</f>
        <v/>
      </c>
      <c r="JW12" t="str">
        <f>IF(AND('Job Sheet'!X18="Operated Outside",'Job Sheet'!Y18="Concealed Operation Crank Handle"),1,"")</f>
        <v/>
      </c>
      <c r="JX12" t="str">
        <f>IF(AND('Job Sheet'!X18="Operated Outside",'Job Sheet'!Y18="Concealed Operation Crank Handle"),1,"")</f>
        <v/>
      </c>
      <c r="JY12" s="113">
        <f>IF(OR(D12="",'Tube Cutting'!C18=""),"",IF(AND('Order Form'!R16="Supplied by Davidson's",'Tube Cutting'!C18&lt;&gt;""),"",'Assembly(a)'!F18))</f>
        <v>32.28</v>
      </c>
      <c r="JZ12">
        <f>IF(OR(D12="",'Tube Cutting'!C18=""),"",Packing!K18)</f>
        <v>4</v>
      </c>
      <c r="KA12">
        <f>IF(OR(D12="",'Tube Cutting'!C18=""),"",IF(AND('Order Form'!R16="Supplied by Davidson's",'Tube Cutting'!C18&lt;&gt;""),"",2))</f>
        <v>2</v>
      </c>
      <c r="KB12" t="str">
        <f>IF(OR(D12="",'Tube Cutting'!C18=""),"",'Tube Cutting'!K18)</f>
        <v/>
      </c>
      <c r="KC12" t="str">
        <f>IF(Packing!T18="Corner Telescopic Bracket x 1",1,IF(Packing!T18="Corner Telescopic Bracket x 2",2,""))</f>
        <v/>
      </c>
      <c r="KD12" t="str">
        <f>IF(Packing!T18="Bay Telescopic Bracket x 1",1,IF(Packing!T18="Bay Telescopic Bracket x 2",2,""))</f>
        <v/>
      </c>
      <c r="KE12">
        <f>IF(OR(D12="",'Tube Cutting'!C18=""),"",IF('Job Sheet'!W18="Toggle Wall Switch",1,""))</f>
        <v>1</v>
      </c>
      <c r="KF12" t="str">
        <f>IF(OR(D12="",'Tube Cutting'!C18=""),"",IF(OR('Job Sheet'!Z18="UPS with No Electrician Required",'Job Sheet'!Z18="UPS with Electrician Required"),1,""))</f>
        <v/>
      </c>
      <c r="KG12" t="str">
        <f>IF(OR(Packing!C18="Too Small to be Motorised",Packing!C18="Check Motor Options"),1,"")</f>
        <v/>
      </c>
      <c r="KH12" t="str">
        <f>IF('Job Sheet'!U18="Maxim 10nm Remote Motor",1,"")</f>
        <v/>
      </c>
      <c r="KI12" t="str">
        <f>IF('Job Sheet'!U18="Maxim 20nm Remote Motor",1,"")</f>
        <v/>
      </c>
      <c r="KJ12">
        <f>IF(OR('Job Sheet'!U18="Maxim 10nm Switch Motor",'Job Sheet'!U18="Maxim 10nm Switch Motor with Inline Receiver"),1,"")</f>
        <v>1</v>
      </c>
      <c r="KK12" t="str">
        <f>IF('Job Sheet'!U18="Maxim 20nm Switch Motor",1,"")</f>
        <v/>
      </c>
      <c r="KL12" t="str">
        <f>IF(OR(D12="",'Tube Cutting'!C18=""),"",IF('Job Sheet'!W18="Maxim 1 Channel Remote",1,""))</f>
        <v/>
      </c>
      <c r="KM12" t="str">
        <f>IF(OR(D12="",'Tube Cutting'!C18=""),"",IF('Job Sheet'!W18="Maxim 6 Channel Remote",1,""))</f>
        <v/>
      </c>
      <c r="KN12" t="str">
        <f>IF(OR(D12="",'Tube Cutting'!C18=""),"",IF('Job Sheet'!W18="Maxim 16 Channel Remote",1,""))</f>
        <v/>
      </c>
      <c r="KO12" t="str">
        <f>IF(OR(D12="",'Tube Cutting'!C18=""),"",IF('Job Sheet'!W18="Maxim 1 Channel Wall Mounted Remote",1,""))</f>
        <v/>
      </c>
      <c r="KP12" t="str">
        <f>IF(OR(D12="",'Tube Cutting'!C18=""),"",IF('Job Sheet'!W18="CWP 5 Channel Wall Mounted Remote",1,""))</f>
        <v/>
      </c>
      <c r="KQ12" t="str">
        <f>IF(OR(D12="",'Tube Cutting'!C18=""),"",IF('Job Sheet'!W18="CWP 8 Channel Remote with Timer",1,""))</f>
        <v/>
      </c>
      <c r="KR12" t="str">
        <f>IF(OR(D12="",'Tube Cutting'!C18=""),"",IF('Job Sheet'!W18="CWP Key Ring Remote",1,""))</f>
        <v/>
      </c>
      <c r="KS12" t="str">
        <f>IF(OR(D12="",'Tube Cutting'!C18=""),"",IF(OR('Job Sheet'!W18="Key Switch",'Job Sheet'!W18="Key Switch &amp; Key Switch Relay"),1,""))</f>
        <v/>
      </c>
      <c r="KT12" t="str">
        <f>IF(OR(D12="",'Tube Cutting'!C18=""),"",IF(OR('Job Sheet'!W18="Key Switch Relay",'Job Sheet'!W18="Key Switch &amp; Key Switch Relay"),1,""))</f>
        <v/>
      </c>
      <c r="KU12" t="str">
        <f>IF(OR(D12="",'Tube Cutting'!C18=""),"",IF(OR('Job Sheet'!U18="CW5 10nm Short Switch Motor with Inline Receiver",'Job Sheet'!U18="Maxim 10nm Switch Motor with Inline Receiver",'Job Sheet'!U18="CWP Manual Override 30Nm Motor with Inline Receiver",'Job Sheet'!U18="CWP Manual Override 50Nm Motor with Inline Receiver"),1,""))</f>
        <v/>
      </c>
      <c r="KY12" t="str">
        <f>IF(OR('Job Sheet'!U18="CW5 10nm Short Switch Motor",'Job Sheet'!U18="CW5 10nm Short Switch Motor with Inline Receiver"),1,"")</f>
        <v/>
      </c>
      <c r="LB12" t="str">
        <f>IF(OR(D12="",'Tube Cutting'!C18=""),"",IF(OR('Job Sheet'!U18="CWP Manual Override 30Nm Motor with Inline Receiver",'Job Sheet'!U18="CWP Manual Override 30Nm Motor"),1,""))</f>
        <v/>
      </c>
      <c r="LC12" t="str">
        <f>IF(OR(D12="",'Tube Cutting'!C18=""),"",IF(OR('Job Sheet'!U18="CWP Manual Override 50Nm Motor with Inline Receiver",'Job Sheet'!U18="CWP Manual Override 50Nm Motor"),1,""))</f>
        <v/>
      </c>
      <c r="LG12" t="str">
        <f>IF('Job Sheet'!U18="L10 ODS Motor",1,"")</f>
        <v/>
      </c>
      <c r="LH12" t="str">
        <f>IF('Job Sheet'!U18="L10 ODS Motor",1,"")</f>
        <v/>
      </c>
      <c r="LI12" t="str">
        <f>IF('Job Sheet'!U18="T20 ODS Motor",1,"")</f>
        <v/>
      </c>
      <c r="LJ12" t="str">
        <f>IF(OR('Job Sheet'!U18="T20 ODS Motor",'Job Sheet'!U18="T35 ODS Motor"),1,"")</f>
        <v/>
      </c>
      <c r="LK12" t="str">
        <f>IF(OR('Job Sheet'!U18="T20 ODS Motor",'Job Sheet'!U18="T35 ODS Motor"),2,"")</f>
        <v/>
      </c>
      <c r="LL12" t="str">
        <f>IF('Job Sheet'!U18="T35 ODS Motor",1,"")</f>
        <v/>
      </c>
      <c r="LM12" t="str">
        <f>IF('Job Sheet'!W18="Controller &amp; Charger",1,"")</f>
        <v/>
      </c>
      <c r="LN12" t="str">
        <f>IF(OR('Job Sheet'!T18="12v ODS System",'Job Sheet'!T18="Firesafe 12v ODS System"),1,"")</f>
        <v/>
      </c>
      <c r="LO12" t="str">
        <f>IF(OR('Job Sheet'!W18="RF Controller &amp; Charger",'Job Sheet'!W18="RF Controller, Charger &amp; 9 Channel Remote",'Job Sheet'!W18="RF Controller, Charger &amp; Single Channel Remote",'Job Sheet'!W18="Controller &amp; Charger"),1,"")</f>
        <v/>
      </c>
      <c r="LP12" t="str">
        <f>IF(OR('Job Sheet'!W18="RF Controller &amp; Charger",'Job Sheet'!W18="RF Controller, Charger &amp; Single Channel Remote",'Job Sheet'!W18="RF Controller, Charger &amp; 9 Channel Remote"),1,"")</f>
        <v/>
      </c>
      <c r="LQ12" t="str">
        <f>IF(OR('Job Sheet'!Z18="3 Way Switch for Bay Windows",'Job Sheet'!Z18="3 Way Switch for Bay Windows with Wiring Loom"),1,"")</f>
        <v/>
      </c>
      <c r="LR12" t="str">
        <f>IF('Job Sheet'!W18="RF Controller, Charger &amp; Single Channel Remote",1,"")</f>
        <v/>
      </c>
      <c r="LS12" t="str">
        <f>IF('Job Sheet'!W18="RF Controller, Charger &amp; 9 Channel Remote",1,"")</f>
        <v/>
      </c>
      <c r="LT12" t="str">
        <f>IF(OR('Job Sheet'!Z18="Wiring Loom Extension",'Job Sheet'!Z18="3 Way Switch for Bay Windows with Wiring Loom"),1,"")</f>
        <v/>
      </c>
      <c r="LU12" t="str">
        <f>IF('Job Sheet'!U18="Acmeda External 15nm Remote Motor",1,"")</f>
        <v/>
      </c>
      <c r="LV12" t="str">
        <f>IF('Job Sheet'!U18="Acmeda External 30nm Remote Motor",1,"")</f>
        <v/>
      </c>
      <c r="LW12" t="str">
        <f>IF('Job Sheet'!U18="Acmeda External 50nm Remote Motor",1,"")</f>
        <v/>
      </c>
      <c r="LX12" t="str">
        <f>IF(OR('Job Sheet'!U18="Acmeda External 15nm Remote Motor",'Job Sheet'!U18="Acmeda External 15nm Remote Motor"),1,"")</f>
        <v/>
      </c>
      <c r="LY12" t="str">
        <f>IF(OR('Job Sheet'!U18="Acmeda External 15nm Remote Motor",'Job Sheet'!U18="Acmeda External 15nm Remote Motor"),1,"")</f>
        <v/>
      </c>
      <c r="MC12" t="str">
        <f>IF(OR('Job Sheet'!Z18="Pulse 2.0 Automation Hub",'Job Sheet'!Z18="Pulse Pro Automation Hub"),1,"")</f>
        <v/>
      </c>
      <c r="MD12" t="str">
        <f>IF('Job Sheet'!Z18="1 Channel Dry Contact Relay Module",1,"")</f>
        <v/>
      </c>
      <c r="ME12" t="str">
        <f>IF('Job Sheet'!Z18="USB Repeater",1,"")</f>
        <v/>
      </c>
      <c r="MF12" t="str">
        <f>IF('Job Sheet'!W18="Acmeda 1 Channel White Remote",1,"")</f>
        <v/>
      </c>
      <c r="MG12" t="str">
        <f>IF('Job Sheet'!W18="Acmeda 1 Channel Black Remote",1,"")</f>
        <v/>
      </c>
      <c r="MH12" t="str">
        <f>IF('Job Sheet'!W18="Acmeda 5 Channel White Remote",1,"")</f>
        <v/>
      </c>
      <c r="MI12" t="str">
        <f>IF('Job Sheet'!W18="Acmeda 5 Channel Black Remote",1,"")</f>
        <v/>
      </c>
      <c r="MJ12" t="str">
        <f>IF('Job Sheet'!W18="Acmeda 15 Channel White Remote",1,"")</f>
        <v/>
      </c>
      <c r="MK12" t="str">
        <f>IF('Job Sheet'!W18="Acmeda 15 Channel Black Remote",1,"")</f>
        <v/>
      </c>
      <c r="ML12" t="str">
        <f>IF('Job Sheet'!W18="Acmeda Wall Mounted Single Channel White Remote",1,"")</f>
        <v/>
      </c>
      <c r="MM12" t="str">
        <f>IF('Job Sheet'!W18="Acmeda Wall Mounted 5 Channel White Remote",1,"")</f>
        <v/>
      </c>
      <c r="MN12" t="str">
        <f>IF('Job Sheet'!W18="Acmeda Wall Mounted 15 Channel White Remote",1,"")</f>
        <v/>
      </c>
      <c r="MO12" t="str">
        <f>IF('Job Sheet'!W18="Acmeda Push Pro White Remote with Charger",1,"")</f>
        <v/>
      </c>
      <c r="MP12" t="str">
        <f>IF('Job Sheet'!X18="Acmeda Push Pro Black Remote with Charger",1,"")</f>
        <v/>
      </c>
      <c r="MQ12" t="str">
        <f>IF(OR('Job Sheet'!X18="Acmeda Push Pro White Remote with Charger",'Job Sheet'!X18="Acmeda Push Pro Black Remote with Charger"),"1","")</f>
        <v/>
      </c>
      <c r="MR12" t="str">
        <f t="shared" si="2"/>
        <v/>
      </c>
      <c r="NE12" t="str">
        <f>IF('Job Sheet'!U18="Somfy Altus 50 RTS 6/17",1,"")</f>
        <v/>
      </c>
      <c r="NF12" t="str">
        <f>IF('Job Sheet'!U18="Somfy Altus 50 RTS 10/17",1,"")</f>
        <v/>
      </c>
      <c r="NG12" t="str">
        <f>IF('Job Sheet'!U18="Somfy Altus 50 RTS 15/17",1,"")</f>
        <v/>
      </c>
      <c r="NH12" t="str">
        <f>IF('Job Sheet'!U18="Somfy Altus 50 RTS 25/17",1,"")</f>
        <v/>
      </c>
      <c r="NI12" t="str">
        <f>IF('Job Sheet'!U18="Somfy Orea 50 WT 40/17",1,"")</f>
        <v/>
      </c>
      <c r="NJ12" t="str">
        <f t="shared" si="3"/>
        <v/>
      </c>
      <c r="NK12" t="str">
        <f t="shared" si="4"/>
        <v/>
      </c>
      <c r="NL12" t="str">
        <f t="shared" si="5"/>
        <v/>
      </c>
      <c r="NM12" t="str">
        <f>IF('Job Sheet'!Z18="Connexoon App Connector",1,"")</f>
        <v/>
      </c>
      <c r="NN12" t="str">
        <f>IF('Job Sheet'!Z18="Tahoma Switch",1,"")</f>
        <v/>
      </c>
      <c r="NO12" t="str">
        <f>IF('Job Sheet'!W18="Somfy Single Channel Silver Remote",1,"")</f>
        <v/>
      </c>
      <c r="NP12" t="str">
        <f>IF('Job Sheet'!W18="Somfy Single Channel White Remote",1,"")</f>
        <v/>
      </c>
      <c r="NQ12" t="str">
        <f>IF('Job Sheet'!W18="Somfy 2 Channel Silver Remote",1,"")</f>
        <v/>
      </c>
      <c r="NR12" t="str">
        <f>IF('Job Sheet'!W18="Somfy 2 Channel White Remote",1,"")</f>
        <v/>
      </c>
      <c r="NS12" t="str">
        <f>IF('Job Sheet'!W18="Somfy 5 Channel Silver Remote",1,"")</f>
        <v/>
      </c>
      <c r="NT12" t="str">
        <f>IF('Job Sheet'!W18="Somfy 5 Channel White Remote",1,"")</f>
        <v/>
      </c>
      <c r="NU12" t="str">
        <f>IF('Job Sheet'!W18="Somfy 15 Channel Silver Remote",1,"")</f>
        <v/>
      </c>
      <c r="NV12" t="str">
        <f>IF('Job Sheet'!W18="Somfy 15 Channel White Remote",1,"")</f>
        <v/>
      </c>
      <c r="NW12" t="str">
        <f>IF('Job Sheet'!W18="Somfy Single Channel Wall Mounted Smoove Remote White with Black Cover Plate",1,"")</f>
        <v/>
      </c>
      <c r="NX12" t="str">
        <f>IF('Job Sheet'!W18="Somfy Single Channel Wall Mounted Smoove Remote White with Silver Cover Plate",1,"")</f>
        <v/>
      </c>
      <c r="NY12" t="str">
        <f>IF('Job Sheet'!W18="Somfy Single Channel Wall Mounted Smoove Remote White",1,"")</f>
        <v/>
      </c>
      <c r="NZ12" t="str">
        <f>IF('Job Sheet'!W18="Somfy 2 Channel Wall Mounted Smoove Remote White with Black Cover Plate",1,"")</f>
        <v/>
      </c>
      <c r="OA12" t="str">
        <f>IF('Job Sheet'!W18="Somfy 2 Channel Wall Mounted Smoove Remote White with Silver Cover Plate",1,"")</f>
        <v/>
      </c>
      <c r="OB12" t="str">
        <f>IF('Job Sheet'!W18="Somfy 2 Channel Wall Mounted Smoove Remote White",1,"")</f>
        <v/>
      </c>
      <c r="OC12" t="str">
        <f>IF('Job Sheet'!W18="Somfy 5 Channel Wall Mounted Smoove Remote White with Black Cover Plate",1,"")</f>
        <v/>
      </c>
      <c r="OD12" t="str">
        <f>IF('Job Sheet'!W18="Somfy 5 Channel Wall Mounted Smoove Remote White with Silver Cover Plate",1,"")</f>
        <v/>
      </c>
      <c r="OE12" t="str">
        <f>IF('Job Sheet'!W18="Somfy 5 Channel Wall Mounted Smoove Remote White",1,"")</f>
        <v/>
      </c>
    </row>
    <row r="13" spans="4:395" ht="13.2" customHeight="1">
      <c r="D13" t="str">
        <f>IF(Data!AV19="","",IF(OR('Order Form'!R17="Supplied by Davidson's",SUM(NE13:NI13)&lt;&gt;0),CONCATENATE(Data!BC$5,".",Data!BD$5),IF(AND('Order Form'!R17&lt;&gt;"Supplied by Davidson's",'Tube Cutting'!C19=""),"",CONCATENATE(Data!BC$5,".",Data!BD$5))))</f>
        <v>11804.C</v>
      </c>
      <c r="E13">
        <f>IF(D13="","",Data!AW19)</f>
        <v>9</v>
      </c>
      <c r="F13" t="str">
        <f>IF(D13="","",Data!AV19)</f>
        <v>27178a26-cd4b-4d00-a4f3-d10fce9b32e5</v>
      </c>
      <c r="G13" t="str">
        <f t="shared" si="0"/>
        <v>Roller Shutters</v>
      </c>
      <c r="H13" t="str">
        <f>IF(D13="","",Data!BF$5)</f>
        <v>Crow, Tahlia</v>
      </c>
      <c r="I13" t="str">
        <f>IF(D13="","",Data!AX$5)</f>
        <v>Roller Shutters</v>
      </c>
      <c r="J13" s="116" t="str">
        <f>IF(OR(D13="",'Tube Cutting'!C19=""),"",IF(AND(Data!BN19="42mm Standard Slat",Data!BO19="Black"),'Tube Cutting'!C19*'Tube Cutting'!D19/5800,IF(AND(Data!BN19="42mm Standard Slat",'Tube Cutting'!H19="Black"),'Tube Cutting'!C19*'Tube Cutting'!G19/5800,"")))</f>
        <v/>
      </c>
      <c r="K13" s="116" t="str">
        <f>IF(OR(D13="",'Tube Cutting'!C19=""),"",IF(AND(Data!BN19="42mm Standard Slat",Data!BO19="Clear Beige"),'Tube Cutting'!C19*'Tube Cutting'!D19/5800,IF(AND(Data!BN19="42mm Standard Slat",'Tube Cutting'!H19="Clear Beige"),'Tube Cutting'!C19*'Tube Cutting'!G19/5800,"")))</f>
        <v/>
      </c>
      <c r="L13" s="116">
        <f>IF(OR(D13="",'Tube Cutting'!C19=""),"",IF(AND(Data!BN19="42mm Standard Slat",Data!BO19="Dune"),'Tube Cutting'!C19*'Tube Cutting'!D19/5800,IF(AND(Data!BN19="42mm Standard Slat",'Tube Cutting'!H19="Dune"),'Tube Cutting'!C19*'Tube Cutting'!G19/5800,"")))</f>
        <v>17.9509931034483</v>
      </c>
      <c r="M13" s="116" t="str">
        <f>IF(OR(D13="",'Tube Cutting'!C19=""),"",IF(AND(Data!BN19="42mm Standard Slat",Data!BO19="Mag Cream"),'Tube Cutting'!C19*'Tube Cutting'!D19/5800,IF(AND(Data!BN19="42mm Standard Slat",'Tube Cutting'!H19="Mag Cream"),'Tube Cutting'!C19*'Tube Cutting'!G19/5800,"")))</f>
        <v/>
      </c>
      <c r="N13" s="116" t="str">
        <f>IF(OR(D13="",'Tube Cutting'!C19=""),"",IF(AND(Data!BN19="42mm Standard Slat",Data!BO19="Monument"),'Tube Cutting'!C19*'Tube Cutting'!D19/5800,IF(AND(Data!BN19="42mm Standard Slat",'Tube Cutting'!H19="Monument"),'Tube Cutting'!C19*'Tube Cutting'!G19/5800,"")))</f>
        <v/>
      </c>
      <c r="O13" s="116" t="str">
        <f>IF(OR(D13="",'Tube Cutting'!C19=""),"",IF(AND(Data!BN19="42mm Standard Slat",Data!BO19="Shale Grey"),'Tube Cutting'!C19*'Tube Cutting'!D19/5800,IF(AND(Data!BN19="42mm Standard Slat",'Tube Cutting'!H19="Shale Grey"),'Tube Cutting'!C19*'Tube Cutting'!G19/5800,"")))</f>
        <v/>
      </c>
      <c r="P13" s="116" t="str">
        <f>IF(OR(D13="",'Tube Cutting'!C19=""),"",IF(AND(Data!BN19="42mm Standard Slat",Data!BO19="White"),'Tube Cutting'!C19*'Tube Cutting'!D19/5800,IF(AND(Data!BN19="42mm Standard Slat",'Tube Cutting'!H19="White"),'Tube Cutting'!C19*'Tube Cutting'!G19/5800,"")))</f>
        <v/>
      </c>
      <c r="Q13" s="116" t="str">
        <f>IF(OR(D13="",'Tube Cutting'!C19=""),"",IF(AND(Data!BN19="42mm Standard Slat",Data!BO19="Woodland Grey"),'Tube Cutting'!C19*'Tube Cutting'!D19/5800,IF(AND(Data!BN19="42mm Standard Slat",'Tube Cutting'!H19="Woodland Grey"),'Tube Cutting'!C19*'Tube Cutting'!G19/5800,"")))</f>
        <v/>
      </c>
      <c r="R13" s="116" t="str">
        <f>IF(OR(D13="",'Tube Cutting'!C19=""),"",IF(AND(Data!BN19="42mm Standard Slat",Data!BO19="Cream"),'Tube Cutting'!C19*'Tube Cutting'!D19/5800,IF(AND(Data!BN19="42mm Standard Slat",'Tube Cutting'!H19="Cream"),'Tube Cutting'!C19*'Tube Cutting'!G19/5800,"")))</f>
        <v/>
      </c>
      <c r="S13" s="116" t="str">
        <f>IF(OR(D13="",'Tube Cutting'!C19=""),"",IF(AND(Data!BN19="42mm Standard Slat",Data!BO19="Brown"),'Tube Cutting'!C19*'Tube Cutting'!D19/5800,IF(AND(Data!BN19="42mm Standard Slat",'Tube Cutting'!H19="Brown"),'Tube Cutting'!C19*'Tube Cutting'!G19/5800,"")))</f>
        <v/>
      </c>
      <c r="T13" s="116" t="str">
        <f>IF(OR(D13="",'Tube Cutting'!C19=""),"",IF(AND(Data!BN19="42mm Standard Slat",Data!BO19="Beige"),'Tube Cutting'!C19*'Tube Cutting'!D19/5800,IF(AND(Data!BN19="42mm Standard Slat",'Tube Cutting'!H19="Beige"),'Tube Cutting'!C19*'Tube Cutting'!G19/5800,"")))</f>
        <v/>
      </c>
      <c r="U13" s="116" t="str">
        <f>IF(OR(D13="",'Tube Cutting'!C19=""),"",IF(AND(Data!BN19="42mm Standard Slat",Data!BO19="Green"),'Tube Cutting'!C19*'Tube Cutting'!D19/5800,IF(AND(Data!BN19="42mm Standard Slat",'Tube Cutting'!H19="Green"),'Tube Cutting'!C19*'Tube Cutting'!G19/5800,"")))</f>
        <v/>
      </c>
      <c r="V13" s="116" t="str">
        <f>IF(OR(D13="",'Tube Cutting'!C19=""),"",IF(AND(Data!BN19="42mm Standard Slat",Data!BO19="Red"),'Tube Cutting'!C19*'Tube Cutting'!D19/5800,IF(AND(Data!BN19="42mm Standard Slat",'Tube Cutting'!H19="Red"),'Tube Cutting'!C19*'Tube Cutting'!G19/5800,"")))</f>
        <v/>
      </c>
      <c r="W13" s="116" t="str">
        <f>IF(OR(D13="",'Tube Cutting'!C19=""),"",IF(AND(Data!BN19="42mm Standard Slat",Data!BO19="Bronze"),'Tube Cutting'!C19*'Tube Cutting'!D19/5800,IF(AND(Data!BN19="42mm Standard Slat",'Tube Cutting'!H19="Bronze"),'Tube Cutting'!C19*'Tube Cutting'!G19/5800,"")))</f>
        <v/>
      </c>
      <c r="X13" s="116" t="str">
        <f>IF(OR(D13="",'Tube Cutting'!C19=""),"",IF(AND(Data!BN19="42mm Standard Slat",Data!BO19="Silver"),'Tube Cutting'!C19*'Tube Cutting'!D19/5800,IF(AND(Data!BN19="42mm Standard Slat",'Tube Cutting'!H19="Silver"),'Tube Cutting'!C19*'Tube Cutting'!G19/5800,"")))</f>
        <v/>
      </c>
      <c r="Y13" s="116" t="str">
        <f>IF(OR(D13="",'Tube Cutting'!C19=""),"",IF(AND(Data!BN19="42mm Standard Slat",Data!BO19="Deep Ocean Blue"),'Tube Cutting'!C19*'Tube Cutting'!D19/5800,IF(AND(Data!BN19="42mm Standard Slat",'Tube Cutting'!H19="Deep Ocean Blue"),'Tube Cutting'!C19*'Tube Cutting'!G19/5800,"")))</f>
        <v/>
      </c>
      <c r="Z13" s="116" t="str">
        <f>IF(OR(D13="",'Tube Cutting'!C19=""),"",IF(AND(Data!BN19="42mm Standard Slat",Data!BO19="Jasper"),'Tube Cutting'!C19*'Tube Cutting'!D19/5800,IF(AND(Data!BN19="42mm Standard Slat",'Tube Cutting'!H19="Jasper"),'Tube Cutting'!C19*'Tube Cutting'!G19/5800,"")))</f>
        <v/>
      </c>
      <c r="AA13" s="116" t="str">
        <f>IF(OR(D13="",'Tube Cutting'!C19=""),"",IF(AND(Data!BN19="42mm Standard Slat",Data!BO19="Surfmist"),'Tube Cutting'!C19*'Tube Cutting'!D19/5800,IF(AND(Data!BN19="42mm Standard Slat",'Tube Cutting'!H19="Surfmist"),'Tube Cutting'!C19*'Tube Cutting'!G19/5800,"")))</f>
        <v/>
      </c>
      <c r="AB13" s="116" t="str">
        <f>IF(OR(D13="",'Tube Cutting'!C19=""),"",IF('Tube Cutting'!H19="Black Unperforated",'Tube Cutting'!G19*'Tube Cutting'!C19/5800,IF(AND(OR(Data!BN19="42mm Standard Slat",Data!BN19="42mm Unperforated Slat"),Data!BO19="Black"),('Tube Cutting'!C19*'Tube Cutting'!E19/1000)/5.8,"")))</f>
        <v/>
      </c>
      <c r="AC13" s="116" t="str">
        <f>IF(OR(D13="",'Tube Cutting'!C19=""),"",IF('Tube Cutting'!H19="Clear Beige Unperforated",'Tube Cutting'!G19*'Tube Cutting'!C19/5800,IF(AND(OR(Data!BN19="42mm Standard Slat",Data!BN19="42mm Unperforated Slat"),Data!BO19="Clear Beige"),('Tube Cutting'!C19*'Tube Cutting'!E19/1000)/5.8,"")))</f>
        <v/>
      </c>
      <c r="AD13" s="116">
        <f>IF(OR(D13="",'Tube Cutting'!C19=""),"",IF('Tube Cutting'!H19="Dune Unperforated",'Tube Cutting'!G19*'Tube Cutting'!C19/5800,IF(AND(OR(Data!BN19="42mm Standard Slat",Data!BN19="42mm Unperforated Slat"),Data!BO19="Dune"),('Tube Cutting'!C19*'Tube Cutting'!E19/1000)/5.8,"")))</f>
        <v>1.80086206896552</v>
      </c>
      <c r="AE13" s="116" t="str">
        <f>IF(OR(D13="",'Tube Cutting'!C19=""),"",IF('Tube Cutting'!H19="Mag Cream Unperforated",'Tube Cutting'!G19*'Tube Cutting'!C19/5800,IF(AND(OR(Data!BN19="42mm Standard Slat",Data!BN19="42mm Unperforated Slat"),Data!BO19="Mag Cream"),('Tube Cutting'!C19*'Tube Cutting'!E19/1000)/5.8,"")))</f>
        <v/>
      </c>
      <c r="AF13" s="116" t="str">
        <f>IF(OR(D13="",'Tube Cutting'!C19=""),"",IF('Tube Cutting'!H19="Monument Unperforated",'Tube Cutting'!G19*'Tube Cutting'!C19/5800,IF(AND(OR(Data!BN19="42mm Standard Slat",Data!BN19="42mm Unperforated Slat"),Data!BO19="Monument"),('Tube Cutting'!C19*'Tube Cutting'!E19/1000)/5.8,"")))</f>
        <v/>
      </c>
      <c r="AG13" s="116" t="str">
        <f>IF(OR(D13="",'Tube Cutting'!C19=""),"",IF('Tube Cutting'!H19="Shale Grey Unperforated",'Tube Cutting'!G19*'Tube Cutting'!C19/5800,IF(AND(OR(Data!BN19="42mm Standard Slat",Data!BN19="42mm Unperforated Slat"),Data!BO19="Shale Grey"),('Tube Cutting'!C19*'Tube Cutting'!E19/1000)/5.8,"")))</f>
        <v/>
      </c>
      <c r="AH13" s="116" t="str">
        <f>IF(OR(D13="",'Tube Cutting'!C19=""),"",IF('Tube Cutting'!H19="White Unperforated",'Tube Cutting'!G19*'Tube Cutting'!C19/5800,IF(AND(OR(Data!BN19="42mm Standard Slat",Data!BN19="42mm Unperforated Slat"),Data!BO19="White"),('Tube Cutting'!C19*'Tube Cutting'!E19/1000)/5.8,"")))</f>
        <v/>
      </c>
      <c r="AI13" s="116" t="str">
        <f>IF(OR(D13="",'Tube Cutting'!C19=""),"",IF('Tube Cutting'!H19="Woodland Grey Unperforated",'Tube Cutting'!G19*'Tube Cutting'!C19/5800,IF(AND(OR(Data!BN19="42mm Standard Slat",Data!BN19="42mm Unperforated Slat"),Data!BO19="Woodland Grey"),('Tube Cutting'!C19*'Tube Cutting'!E19/1000)/5.8,"")))</f>
        <v/>
      </c>
      <c r="AJ13" s="116" t="str">
        <f>IF(OR(D13="",'Tube Cutting'!C19=""),"",IF('Tube Cutting'!H19="Cream Unperforated",'Tube Cutting'!G19*'Tube Cutting'!C19/5800,IF(AND(OR(Data!BN19="42mm Standard Slat",Data!BN19="42mm Unperforated Slat"),Data!BO19="Cream"),('Tube Cutting'!C19*'Tube Cutting'!E19/1000)/5.8,"")))</f>
        <v/>
      </c>
      <c r="AK13" s="116" t="str">
        <f>IF(OR(D13="",'Tube Cutting'!C19=""),"",IF('Tube Cutting'!H19="Brown Unperforated",'Tube Cutting'!G19*'Tube Cutting'!C19/5800,IF(AND(OR(Data!BN19="42mm Standard Slat",Data!BN19="42mm Unperforated Slat"),Data!BO19="Brown"),('Tube Cutting'!C19*'Tube Cutting'!E19/1000)/5.8,"")))</f>
        <v/>
      </c>
      <c r="AL13" s="116" t="str">
        <f>IF(OR(D13="",'Tube Cutting'!C19=""),"",IF('Tube Cutting'!H19="Beige Unperforated",'Tube Cutting'!G19*'Tube Cutting'!C19/5800,IF(AND(OR(Data!BN19="42mm Standard Slat",Data!BN19="42mm Unperforated Slat"),Data!BO19="Beige"),('Tube Cutting'!C19*'Tube Cutting'!E19/1000)/5.8,"")))</f>
        <v/>
      </c>
      <c r="AM13" s="116" t="str">
        <f>IF(OR(D13="",'Tube Cutting'!C19=""),"",IF('Tube Cutting'!H19="Green Unperforated",'Tube Cutting'!G19*'Tube Cutting'!C19/5800,IF(AND(OR(Data!BN19="42mm Standard Slat",Data!BN19="42mm Unperforated Slat"),Data!BO19="Green"),('Tube Cutting'!C19*'Tube Cutting'!E19/1000)/5.8,"")))</f>
        <v/>
      </c>
      <c r="AN13" s="116" t="str">
        <f>IF(OR(D13="",'Tube Cutting'!C19=""),"",IF('Tube Cutting'!H19="Red Unperforated",'Tube Cutting'!G19*'Tube Cutting'!C19/5800,IF(AND(OR(Data!BN19="42mm Standard Slat",Data!BN19="42mm Unperforated Slat"),Data!BO19="Red"),('Tube Cutting'!C19*'Tube Cutting'!E19/1000)/5.8,"")))</f>
        <v/>
      </c>
      <c r="AO13" s="116" t="str">
        <f>IF(OR(D13="",'Tube Cutting'!C19=""),"",IF('Tube Cutting'!H19="Bronze Unperforated",'Tube Cutting'!G19*'Tube Cutting'!C19/5800,IF(AND(OR(Data!BN19="42mm Standard Slat",Data!BN19="42mm Unperforated Slat"),Data!BO19="Bronze"),('Tube Cutting'!C19*'Tube Cutting'!E19/1000)/5.8,"")))</f>
        <v/>
      </c>
      <c r="AP13" s="116" t="str">
        <f>IF(OR(D13="",'Tube Cutting'!C19=""),"",IF('Tube Cutting'!H19="Silver Unperforated",'Tube Cutting'!G19*'Tube Cutting'!C19/5800,IF(AND(OR(Data!BN19="42mm Standard Slat",Data!BN19="42mm Unperforated Slat"),Data!BO19="Silver"),('Tube Cutting'!C19*'Tube Cutting'!E19/1000)/5.8,"")))</f>
        <v/>
      </c>
      <c r="AQ13" s="116" t="str">
        <f>IF(OR(D13="",'Tube Cutting'!C19=""),"",IF('Tube Cutting'!H19="Deep Ocean Unperforated",'Tube Cutting'!G19*'Tube Cutting'!C19/5800,IF(AND(OR(Data!BN19="42mm Standard Slat",Data!BN19="42mm Unperforated Slat"),Data!BO19="Deep Ocean"),('Tube Cutting'!C19*'Tube Cutting'!E19/1000)/5.8,"")))</f>
        <v/>
      </c>
      <c r="AR13" s="116" t="str">
        <f>IF(OR(D13="",'Tube Cutting'!C19=""),"",IF('Tube Cutting'!H19="Jasper Unperforated",'Tube Cutting'!G19*'Tube Cutting'!C19/5800,IF(AND(OR(Data!BN19="42mm Standard Slat",Data!BN19="42mm Unperforated Slat"),Data!BO19="Jasper"),('Tube Cutting'!C19*'Tube Cutting'!E19/1000)/5.8,"")))</f>
        <v/>
      </c>
      <c r="AS13" s="116" t="str">
        <f>IF(OR(D13="",'Tube Cutting'!C19=""),"",IF('Tube Cutting'!H19="Surfmist Unperforated",'Tube Cutting'!G19*'Tube Cutting'!C19/5800,IF(AND(OR(Data!BN19="42mm Standard Slat",Data!BN19="42mm Unperforated Slat"),Data!BO19="Surfmist"),('Tube Cutting'!C19*'Tube Cutting'!E19/1000)/5.8,"")))</f>
        <v/>
      </c>
      <c r="AT13" t="str">
        <f>IF(OR(D13="",'Tube Cutting'!C19=""),"",IF(AND('Tube Cutting'!O19="Black",'Tube Cutting'!N19="180mm"),'Tube Cutting'!L19,""))</f>
        <v/>
      </c>
      <c r="AU13" t="str">
        <f>IF(OR(D13="",'Tube Cutting'!C19=""),"",IF(AND('Tube Cutting'!O19="Black",'Tube Cutting'!N19="180mm"),'Tube Cutting'!M19,""))</f>
        <v/>
      </c>
      <c r="AV13" t="str">
        <f>IF(OR(D13="",'Tube Cutting'!C19=""),"",IF(AND('Tube Cutting'!O19="Clear Beige",'Tube Cutting'!N19="180mm"),'Tube Cutting'!L19,""))</f>
        <v/>
      </c>
      <c r="AW13" t="str">
        <f>IF(OR(D13="",'Tube Cutting'!C19=""),"",IF(AND('Tube Cutting'!O19="Clear Beige",'Tube Cutting'!N19="180mm"),'Tube Cutting'!M19,""))</f>
        <v/>
      </c>
      <c r="AX13" t="str">
        <f>IF(OR(D13="",'Tube Cutting'!C19=""),"",IF(AND('Tube Cutting'!O19="Dune",'Tube Cutting'!N19="180mm"),'Tube Cutting'!L19,""))</f>
        <v/>
      </c>
      <c r="AY13" t="str">
        <f>IF(OR(D13="",'Tube Cutting'!C19=""),"",IF(AND('Tube Cutting'!O19="Dune",'Tube Cutting'!N19="180mm"),'Tube Cutting'!M19,""))</f>
        <v/>
      </c>
      <c r="AZ13" t="str">
        <f>IF(OR(D13="",'Tube Cutting'!C19=""),"",IF(AND('Tube Cutting'!O19="Mag Cream",'Tube Cutting'!N19="180mm"),'Tube Cutting'!L19,""))</f>
        <v/>
      </c>
      <c r="BA13" t="str">
        <f>IF(OR(D13="",'Tube Cutting'!C19=""),"",IF(AND('Tube Cutting'!O19="Mag Cream",'Tube Cutting'!N19="180mm"),'Tube Cutting'!M19,""))</f>
        <v/>
      </c>
      <c r="BB13" t="str">
        <f>IF(OR(D13="",'Tube Cutting'!C19=""),"",IF(AND('Tube Cutting'!O19="Monument",'Tube Cutting'!N19="180mm"),'Tube Cutting'!L19,""))</f>
        <v/>
      </c>
      <c r="BC13" t="str">
        <f>IF(OR(D13="",'Tube Cutting'!C19=""),"",IF(AND('Tube Cutting'!O19="Monument",'Tube Cutting'!N19="180mm"),'Tube Cutting'!M19,""))</f>
        <v/>
      </c>
      <c r="BD13" t="str">
        <f>IF(OR(D13="",'Tube Cutting'!C19=""),"",IF(AND('Tube Cutting'!O19="Shale Grey",'Tube Cutting'!N19="180mm"),'Tube Cutting'!L19,""))</f>
        <v/>
      </c>
      <c r="BE13" t="str">
        <f>IF(OR(D13="",'Tube Cutting'!C19=""),"",IF(AND('Tube Cutting'!O19="Shale Grey",'Tube Cutting'!N19="180mm"),'Tube Cutting'!M19,""))</f>
        <v/>
      </c>
      <c r="BF13" t="str">
        <f>IF(OR(D13="",'Tube Cutting'!C19=""),"",IF(AND('Tube Cutting'!O19="White",'Tube Cutting'!N19="180mm"),'Tube Cutting'!L19,""))</f>
        <v/>
      </c>
      <c r="BG13" t="str">
        <f>IF(OR(D13="",'Tube Cutting'!C19=""),"",IF(AND('Tube Cutting'!O19="White",'Tube Cutting'!N19="180mm"),'Tube Cutting'!M19,""))</f>
        <v/>
      </c>
      <c r="BH13" t="str">
        <f>IF(OR(D13="",'Tube Cutting'!C19=""),"",IF(AND('Tube Cutting'!O19="Woodland Grey",'Tube Cutting'!N19="180mm"),'Tube Cutting'!L19,""))</f>
        <v/>
      </c>
      <c r="BI13" t="str">
        <f>IF(OR(D13="",'Tube Cutting'!C19=""),"",IF(AND('Tube Cutting'!O19="Woodland Grey",'Tube Cutting'!N19="180mm"),'Tube Cutting'!M19,""))</f>
        <v/>
      </c>
      <c r="BJ13" t="str">
        <f>IF(OR(D13="",'Tube Cutting'!C19=""),"",IF(AND('Tube Cutting'!O19="Cream",'Tube Cutting'!N19="180mm"),'Tube Cutting'!L19,""))</f>
        <v/>
      </c>
      <c r="BK13" t="str">
        <f>IF(OR(D13="",'Tube Cutting'!C19=""),"",IF(AND('Tube Cutting'!O19="Cream",'Tube Cutting'!N19="180mm"),'Tube Cutting'!M19,""))</f>
        <v/>
      </c>
      <c r="BL13" t="str">
        <f>IF(OR(D13="",'Tube Cutting'!C19=""),"",IF(AND('Tube Cutting'!O19="Brown",'Tube Cutting'!N19="180mm"),'Tube Cutting'!L19,""))</f>
        <v/>
      </c>
      <c r="BM13" t="str">
        <f>IF(OR(D13="",'Tube Cutting'!C19=""),"",IF(AND('Tube Cutting'!O19="Brown",'Tube Cutting'!N19="180mm"),'Tube Cutting'!M19,""))</f>
        <v/>
      </c>
      <c r="BN13" t="str">
        <f>IF(OR(D13="",'Tube Cutting'!C19=""),"",IF(AND('Tube Cutting'!O19="Surfmist",'Tube Cutting'!N19="180mm"),'Tube Cutting'!L19,""))</f>
        <v/>
      </c>
      <c r="BO13" t="str">
        <f>IF(OR(D13="",'Tube Cutting'!C19=""),"",IF(AND('Tube Cutting'!O19="Surfmist",'Tube Cutting'!N19="180mm"),'Tube Cutting'!M19,""))</f>
        <v/>
      </c>
      <c r="BP13" t="str">
        <f>IF(OR(D13="",'Tube Cutting'!C19=""),"",IF(AND('Tube Cutting'!O19="Jasper",'Tube Cutting'!N19="180mm"),'Tube Cutting'!L19,""))</f>
        <v/>
      </c>
      <c r="BQ13" t="str">
        <f>IF(OR(D13="",'Tube Cutting'!C19=""),"",IF(AND('Tube Cutting'!O19="Jasper",'Tube Cutting'!N19="180mm"),'Tube Cutting'!M19,""))</f>
        <v/>
      </c>
      <c r="BR13" t="str">
        <f>IF(OR(E13="",'Tube Cutting'!D19=""),"",IF(AND('Tube Cutting'!O19="Red",'Tube Cutting'!N19="180mm"),'Tube Cutting'!L19,""))</f>
        <v/>
      </c>
      <c r="BS13" t="str">
        <f>IF(OR(E13="",'Tube Cutting'!D19=""),"",IF(AND('Tube Cutting'!O19="Red",'Tube Cutting'!N19="180mm"),'Tube Cutting'!M19,""))</f>
        <v/>
      </c>
      <c r="BT13" t="str">
        <f>IF(OR(D13="",'Tube Cutting'!C19=""),"",IF(AND('Tube Cutting'!O19="Black",'Tube Cutting'!N19="205mm"),'Tube Cutting'!L19,""))</f>
        <v/>
      </c>
      <c r="BU13" t="str">
        <f>IF(OR(D13="",'Tube Cutting'!C19=""),"",IF(AND('Tube Cutting'!O19="Black",'Tube Cutting'!N19="205mm"),'Tube Cutting'!M19,""))</f>
        <v/>
      </c>
      <c r="BV13" t="str">
        <f>IF(OR(D13="",'Tube Cutting'!C19=""),"",IF(AND('Tube Cutting'!O19="Clear Beige",'Tube Cutting'!N19="205mm"),'Tube Cutting'!L19,""))</f>
        <v/>
      </c>
      <c r="BW13" t="str">
        <f>IF(OR(D13="",'Tube Cutting'!C19=""),"",IF(AND('Tube Cutting'!O19="Clear Beige",'Tube Cutting'!N19="205mm"),'Tube Cutting'!M19,""))</f>
        <v/>
      </c>
      <c r="BX13" t="str">
        <f>IF(OR(D13="",'Tube Cutting'!C19=""),"",IF(AND('Tube Cutting'!O19="Dune",'Tube Cutting'!N19="205mm"),'Tube Cutting'!L19,""))</f>
        <v/>
      </c>
      <c r="BY13" t="str">
        <f>IF(OR(D13="",'Tube Cutting'!C19=""),"",IF(AND('Tube Cutting'!O19="Dune",'Tube Cutting'!N19="205mm"),'Tube Cutting'!M19,""))</f>
        <v/>
      </c>
      <c r="BZ13" t="str">
        <f>IF(OR(D13="",'Tube Cutting'!C19=""),"",IF(AND('Tube Cutting'!O19="Mag Cream",'Tube Cutting'!N19="205mm"),'Tube Cutting'!L19,""))</f>
        <v/>
      </c>
      <c r="CA13" t="str">
        <f>IF(OR(D13="",'Tube Cutting'!C19=""),"",IF(AND('Tube Cutting'!O19="Mag Cream",'Tube Cutting'!N19="205mm"),'Tube Cutting'!M19,""))</f>
        <v/>
      </c>
      <c r="CB13">
        <f>IF(OR(D13="",'Tube Cutting'!C19=""),"",IF(AND('Tube Cutting'!O19="Monument",'Tube Cutting'!N19="205mm"),'Tube Cutting'!L19,""))</f>
        <v>2151</v>
      </c>
      <c r="CC13">
        <f>IF(OR(D13="",'Tube Cutting'!C19=""),"",IF(AND('Tube Cutting'!O19="Monument",'Tube Cutting'!N19="205mm"),'Tube Cutting'!M19,""))</f>
        <v>2151</v>
      </c>
      <c r="CD13" t="str">
        <f>IF(OR(D13="",'Tube Cutting'!C19=""),"",IF(AND('Tube Cutting'!O19="Shale Grey",'Tube Cutting'!N19="205mm"),'Tube Cutting'!L19,""))</f>
        <v/>
      </c>
      <c r="CE13" t="str">
        <f>IF(OR(D13="",'Tube Cutting'!C19=""),"",IF(AND('Tube Cutting'!O19="Shale Grey",'Tube Cutting'!N19="205mm"),'Tube Cutting'!M19,""))</f>
        <v/>
      </c>
      <c r="CF13" t="str">
        <f>IF(OR(D13="",'Tube Cutting'!C19=""),"",IF(AND('Tube Cutting'!O19="White",'Tube Cutting'!N19="205mm"),'Tube Cutting'!L19,""))</f>
        <v/>
      </c>
      <c r="CG13" t="str">
        <f>IF(OR(D13="",'Tube Cutting'!C19=""),"",IF(AND('Tube Cutting'!O19="White",'Tube Cutting'!N19="205mm"),'Tube Cutting'!M19,""))</f>
        <v/>
      </c>
      <c r="CH13" t="str">
        <f>IF(OR(D13="",'Tube Cutting'!C19=""),"",IF(AND('Tube Cutting'!O19="Woodland Grey",'Tube Cutting'!N19="205mm"),'Tube Cutting'!L19,""))</f>
        <v/>
      </c>
      <c r="CI13" t="str">
        <f>IF(OR(D13="",'Tube Cutting'!C19=""),"",IF(AND('Tube Cutting'!O19="Woodland Grey",'Tube Cutting'!N19="205mm"),'Tube Cutting'!M19,""))</f>
        <v/>
      </c>
      <c r="CJ13" t="str">
        <f>IF(OR(D13="",'Tube Cutting'!C19=""),"",IF(AND('Tube Cutting'!O19="Cream",'Tube Cutting'!N19="205mm"),'Tube Cutting'!L19,""))</f>
        <v/>
      </c>
      <c r="CK13" t="str">
        <f>IF(OR(D13="",'Tube Cutting'!C19=""),"",IF(AND('Tube Cutting'!O19="Cream",'Tube Cutting'!N19="205mm"),'Tube Cutting'!M19,""))</f>
        <v/>
      </c>
      <c r="CL13" t="str">
        <f>IF(OR(D13="",'Tube Cutting'!C19=""),"",IF(AND('Tube Cutting'!O19="Brown",'Tube Cutting'!N19="205mm"),'Tube Cutting'!L19,""))</f>
        <v/>
      </c>
      <c r="CM13" t="str">
        <f>IF(OR(D13="",'Tube Cutting'!C19=""),"",IF(AND('Tube Cutting'!O19="Brown",'Tube Cutting'!N19="205mm"),'Tube Cutting'!M19,""))</f>
        <v/>
      </c>
      <c r="CN13" t="str">
        <f>IF(OR(D13="",'Tube Cutting'!C19=""),"",IF(AND('Tube Cutting'!O19="Surfmist",'Tube Cutting'!N19="205mm"),'Tube Cutting'!L19,""))</f>
        <v/>
      </c>
      <c r="CO13" t="str">
        <f>IF(OR(D13="",'Tube Cutting'!C19=""),"",IF(AND('Tube Cutting'!O19="Surfmist",'Tube Cutting'!N19="205mm"),'Tube Cutting'!M19,""))</f>
        <v/>
      </c>
      <c r="CP13" t="str">
        <f>IF(OR(D13="",'Tube Cutting'!C19=""),"",IF(AND('Tube Cutting'!O19="Jasper",'Tube Cutting'!N19="205mm"),'Tube Cutting'!L19,""))</f>
        <v/>
      </c>
      <c r="CQ13" t="str">
        <f>IF(OR(D13="",'Tube Cutting'!C19=""),"",IF(AND('Tube Cutting'!O19="Jasper",'Tube Cutting'!N19="205mm"),'Tube Cutting'!M19,""))</f>
        <v/>
      </c>
      <c r="CR13" t="str">
        <f>IF(OR(D13="",'Tube Cutting'!C19=""),"",IF(AND('Tube Cutting'!O19="Cream",'Tube Cutting'!N19="230mm"),'Tube Cutting'!L19,""))</f>
        <v/>
      </c>
      <c r="CS13" t="str">
        <f>IF(OR(D13="",'Tube Cutting'!C19=""),"",IF(AND('Tube Cutting'!O19="Cream",'Tube Cutting'!N19="230mm"),'Tube Cutting'!M19,""))</f>
        <v/>
      </c>
      <c r="CT13" t="str">
        <f>IF(OR(D13="",'Tube Cutting'!C19=""),"",IF(AND('Tube Cutting'!O19="Mag Cream",'Tube Cutting'!N19="230mm"),'Tube Cutting'!L19,""))</f>
        <v/>
      </c>
      <c r="CU13" t="str">
        <f>IF(OR(D13="",'Tube Cutting'!C19=""),"",IF(AND('Tube Cutting'!O19="Mag Cream",'Tube Cutting'!N19="230mm"),'Tube Cutting'!M19,""))</f>
        <v/>
      </c>
      <c r="CV13" t="str">
        <f>IF(OR(D13="",'Tube Cutting'!C19=""),"",IF(AND('Tube Cutting'!O19="Clear Beige",'Tube Cutting'!N19="230mm"),'Tube Cutting'!L19,""))</f>
        <v/>
      </c>
      <c r="CW13" t="str">
        <f>IF(OR(D13="",'Tube Cutting'!C19=""),"",IF(AND('Tube Cutting'!O19="Clear Beige",'Tube Cutting'!N19="230mm"),'Tube Cutting'!M19,""))</f>
        <v/>
      </c>
      <c r="CX13" t="str">
        <f>IF(OR(D13="",'Tube Cutting'!C19=""),"",IF(AND('Tube Cutting'!O19="White",'Tube Cutting'!N19="230mm"),'Tube Cutting'!L19,""))</f>
        <v/>
      </c>
      <c r="CY13" t="str">
        <f>IF(OR(D13="",'Tube Cutting'!C19=""),"",IF(AND('Tube Cutting'!O19="White",'Tube Cutting'!N19="230mm"),'Tube Cutting'!M19,""))</f>
        <v/>
      </c>
      <c r="CZ13" t="str">
        <f>IF(OR(D13="",'Tube Cutting'!C19=""),"",IF(AND('Tube Cutting'!O19="Shale Grey",'Tube Cutting'!N19="230mm"),'Tube Cutting'!L19,""))</f>
        <v/>
      </c>
      <c r="DA13" t="str">
        <f>IF(OR(D13="",'Tube Cutting'!C19=""),"",IF(AND('Tube Cutting'!O19="Shale Grey",'Tube Cutting'!N19="230mm"),'Tube Cutting'!M19,""))</f>
        <v/>
      </c>
      <c r="DB13" t="str">
        <f>IF(OR(D13="",'Tube Cutting'!C19=""),"",IF(AND('Tube Cutting'!O19="Black",'Tube Cutting'!N19="230mm"),'Tube Cutting'!L19,""))</f>
        <v/>
      </c>
      <c r="DC13" t="str">
        <f>IF(OR(D13="",'Tube Cutting'!C19=""),"",IF(AND('Tube Cutting'!O19="Black",'Tube Cutting'!N19="230mm"),'Tube Cutting'!M19,""))</f>
        <v/>
      </c>
      <c r="DD13" t="str">
        <f>IF(OR(D13="",'Tube Cutting'!C19=""),"",IF(AND('Tube Cutting'!O19="Monument",'Tube Cutting'!N19="230mm"),'Tube Cutting'!L19,""))</f>
        <v/>
      </c>
      <c r="DE13" t="str">
        <f>IF(OR(D13="",'Tube Cutting'!C19=""),"",IF(AND('Tube Cutting'!O19="Monument",'Tube Cutting'!N19="230mm"),'Tube Cutting'!M19,""))</f>
        <v/>
      </c>
      <c r="DF13" t="str">
        <f>IF(OR(D13="",'Tube Cutting'!C19=""),"",IF(AND('Tube Cutting'!O19="Woodland Grey",'Tube Cutting'!N19="230mm"),'Tube Cutting'!L19,""))</f>
        <v/>
      </c>
      <c r="DG13" t="str">
        <f>IF(OR(D13="",'Tube Cutting'!C19=""),"",IF(AND('Tube Cutting'!O19="Woodland Grey",'Tube Cutting'!N19="230mm"),'Tube Cutting'!M19,""))</f>
        <v/>
      </c>
      <c r="DH13" t="str">
        <f>IF(OR(D13="",'Tube Cutting'!C19=""),"",IF(AND('Tube Cutting'!O19="Surfmist",'Tube Cutting'!N19="230mm"),'Tube Cutting'!L19,""))</f>
        <v/>
      </c>
      <c r="DI13" t="str">
        <f>IF(OR(D13="",'Tube Cutting'!C19=""),"",IF(AND('Tube Cutting'!O19="Surfmist",'Tube Cutting'!N19="230mm"),'Tube Cutting'!M19,""))</f>
        <v/>
      </c>
      <c r="DJ13" t="str">
        <f>IF(OR(D13="",'Tube Cutting'!C19=""),"",IF(AND('Tube Cutting'!O19="Jasper",'Tube Cutting'!N19="230mm"),'Tube Cutting'!L19,""))</f>
        <v/>
      </c>
      <c r="DK13" t="str">
        <f>IF(OR(D13="",'Tube Cutting'!C19=""),"",IF(AND('Tube Cutting'!O19="Jasper",'Tube Cutting'!N19="230mm"),'Tube Cutting'!M19,""))</f>
        <v/>
      </c>
      <c r="DL13" t="str">
        <f>IF(OR(D13="",'Tube Cutting'!C19=""),"",IF(AND('Tube Cutting'!O19="Dune",'Tube Cutting'!N19="230mm"),'Tube Cutting'!L19,""))</f>
        <v/>
      </c>
      <c r="DM13" t="str">
        <f>IF(OR(D13="",'Tube Cutting'!C19=""),"",IF(AND('Tube Cutting'!O19="Dune",'Tube Cutting'!N19="230mm"),'Tube Cutting'!M19,""))</f>
        <v/>
      </c>
      <c r="DN13" t="str">
        <f>IF(OR(D13="",'Tube Cutting'!C19=""),"",IF(AND('Tube Cutting'!R19="Cream",'Job Sheet'!AG19="Bay Window Flashing x 1"),'Job Sheet'!BB19,IF(AND('Tube Cutting'!R19="Cream",'Job Sheet'!AG19="Bay Window Flashing x 2"),'Job Sheet'!BB19*2,"")))</f>
        <v/>
      </c>
      <c r="DO13" t="str">
        <f>IF(OR(D13="",'Tube Cutting'!C19=""),"",IF(AND('Tube Cutting'!R19="Mag",'Job Sheet'!AG19="Bay Window Flashing x 1"),'Job Sheet'!BB19,IF(AND('Tube Cutting'!R19="Mag Cream",'Job Sheet'!AG19="Bay Window Flashing x 2"),'Job Sheet'!BB19*2,"")))</f>
        <v/>
      </c>
      <c r="DP13" t="str">
        <f>IF(OR(D13="",'Tube Cutting'!C19=""),"",IF(AND('Tube Cutting'!R19="Clear Beige",'Job Sheet'!AG19="Bay Window Flashing x 1"),'Job Sheet'!BB19,IF(AND('Tube Cutting'!R19="Clear Beige",'Job Sheet'!AG19="Bay Window Flashing x 2"),'Job Sheet'!BB19*2,"")))</f>
        <v/>
      </c>
      <c r="DQ13" t="str">
        <f>IF(OR(D13="",'Tube Cutting'!C19=""),"",IF(AND('Tube Cutting'!R19="White",'Job Sheet'!AG19="Bay Window Flashing x 1"),'Job Sheet'!BB19,IF(AND('Tube Cutting'!R19="White",'Job Sheet'!AG19="Bay Window Flashing x 2"),'Job Sheet'!BB19*2,"")))</f>
        <v/>
      </c>
      <c r="DR13" t="str">
        <f>IF(OR(D13="",'Tube Cutting'!C19=""),"",IF(AND('Tube Cutting'!R19="Shale Grey",'Job Sheet'!AG19="Bay Window Flashing x 1"),'Job Sheet'!BB19,IF(AND('Tube Cutting'!R19="Shale Grey",'Job Sheet'!AG19="Bay Window Flashing x 2"),'Job Sheet'!BB19*2,"")))</f>
        <v/>
      </c>
      <c r="DS13" t="str">
        <f>IF(OR(D13="",'Tube Cutting'!C19=""),"",IF(AND('Tube Cutting'!R19="Brown",'Job Sheet'!AG19="Bay Window Flashing x 1"),'Job Sheet'!BB19,IF(AND('Tube Cutting'!R19="Brown",'Job Sheet'!AG19="Bay Window Flashing x 2"),'Job Sheet'!BB19*2,"")))</f>
        <v/>
      </c>
      <c r="DT13" t="str">
        <f>IF(OR(D13="",'Tube Cutting'!C19=""),"",IF(AND('Tube Cutting'!R19="Black",'Job Sheet'!AG19="Bay Window Flashing x 1"),'Job Sheet'!BB19,IF(AND('Tube Cutting'!R19="Black",'Job Sheet'!AG19="Bay Window Flashing x 2"),'Job Sheet'!BB19*2,"")))</f>
        <v/>
      </c>
      <c r="DU13" t="str">
        <f>IF(OR(D13="",'Tube Cutting'!C19=""),"",IF(AND('Tube Cutting'!R19="Monument",'Job Sheet'!AG19="Bay Window Flashing x 1"),'Job Sheet'!BB19,IF(AND('Tube Cutting'!R19="Monument",'Job Sheet'!AG19="Bay Window Flashing x 2"),'Job Sheet'!BB19*2,"")))</f>
        <v/>
      </c>
      <c r="DV13" t="str">
        <f>IF(OR(D13="",'Tube Cutting'!C19=""),"",IF(AND('Tube Cutting'!R19="Woodland Grey",'Job Sheet'!AG19="Bay Window Flashing x 1"),'Job Sheet'!BB19,IF(AND('Tube Cutting'!R19="Woodland Grey",'Job Sheet'!AG19="Bay Window Flashing x 2"),'Job Sheet'!BB19*2,"")))</f>
        <v/>
      </c>
      <c r="DW13" t="str">
        <f>IF(OR(D13="",'Tube Cutting'!C19=""),"",IF(AND('Tube Cutting'!R19="Surfmist",'Job Sheet'!AG19="Bay Window Flashing x 1"),'Job Sheet'!BB19,IF(AND('Tube Cutting'!R19="Surfmist",'Job Sheet'!AG19="Bay Window Flashing x 2"),'Job Sheet'!BB19*2,"")))</f>
        <v/>
      </c>
      <c r="DX13" t="str">
        <f>IF(OR(D13="",'Tube Cutting'!C19=""),"",IF(AND('Tube Cutting'!R19="Jasper",'Job Sheet'!AG19="Bay Window Flashing x 1"),'Job Sheet'!BB19,IF(AND('Tube Cutting'!R19="Jasper",'Job Sheet'!AG19="Bay Window Flashing x 2"),'Job Sheet'!BB19*2,"")))</f>
        <v/>
      </c>
      <c r="DY13" t="str">
        <f>IF(OR(D13="",'Tube Cutting'!C19=""),"",IF(AND('Tube Cutting'!R19="Dune",'Job Sheet'!AG19="Bay Window Flashing x 1"),'Job Sheet'!BB19,IF(AND('Tube Cutting'!R19="Dune",'Job Sheet'!AG19="Bay Window Flashing x 2"),'Job Sheet'!BB19*2,"")))</f>
        <v/>
      </c>
      <c r="DZ13" t="str">
        <f>IF(OR(D13="",'Tube Cutting'!C19=""),"",IF('Tube Cutting'!R19="Cream",IF(SUM('Job Sheet'!BR19:BU19)=0,"",SUM('Job Sheet'!BR19:BU19)),""))</f>
        <v/>
      </c>
      <c r="EA13" t="str">
        <f>IF(OR(D13="",'Tube Cutting'!C19=""),"",IF('Tube Cutting'!R19="Mag Cream",IF(SUM('Job Sheet'!BR19:BU19)=0,"",SUM('Job Sheet'!BR19:BU19)),""))</f>
        <v/>
      </c>
      <c r="EB13" t="str">
        <f>IF(OR(D13="",'Tube Cutting'!C19=""),"",IF('Tube Cutting'!R19="Clear Beige",IF(SUM('Job Sheet'!BR19:BU19)=0,"",SUM('Job Sheet'!BR19:BU19)),""))</f>
        <v/>
      </c>
      <c r="EC13" t="str">
        <f>IF(OR(D13="",'Tube Cutting'!C19=""),"",IF('Tube Cutting'!R19="White",IF(SUM('Job Sheet'!BR19:BU19)=0,"",SUM('Job Sheet'!BR19:BU19)),""))</f>
        <v/>
      </c>
      <c r="ED13" t="str">
        <f>IF(OR(D13="",'Tube Cutting'!C19=""),"",IF('Tube Cutting'!R19="Shale Grey",IF(SUM('Job Sheet'!BR19:BU19)=0,"",SUM('Job Sheet'!BR19:BU19)),""))</f>
        <v/>
      </c>
      <c r="EE13" t="str">
        <f>IF(OR(D13="",'Tube Cutting'!C19=""),"",IF('Tube Cutting'!R19="Brown",IF(SUM('Job Sheet'!BR19:BU19)=0,"",SUM('Job Sheet'!BR19:BU19)),""))</f>
        <v/>
      </c>
      <c r="EF13" t="str">
        <f>IF(OR(D13="",'Tube Cutting'!C19=""),"",IF('Tube Cutting'!R19="Black",IF(SUM('Job Sheet'!BR19:BU19)=0,"",SUM('Job Sheet'!BR19:BU19)),""))</f>
        <v/>
      </c>
      <c r="EG13" t="str">
        <f>IF(OR(D13="",'Tube Cutting'!C19=""),"",IF('Tube Cutting'!R19="Monument",IF(SUM('Job Sheet'!BR19:BU19)=0,"",SUM('Job Sheet'!BR19:BU19)),""))</f>
        <v/>
      </c>
      <c r="EH13" t="str">
        <f>IF(OR(D13="",'Tube Cutting'!C19=""),"",IF('Tube Cutting'!R19="Woodland Grey",IF(SUM('Job Sheet'!BR19:BU19)=0,"",SUM('Job Sheet'!BR19:BU19)),""))</f>
        <v/>
      </c>
      <c r="EI13" t="str">
        <f>IF(OR(D13="",'Tube Cutting'!C19=""),"",IF('Tube Cutting'!R19="Surfmist",IF(SUM('Job Sheet'!BR19:BU19)=0,"",SUM('Job Sheet'!BR19:BU19)),""))</f>
        <v/>
      </c>
      <c r="EJ13" t="str">
        <f>IF(OR(D13="",'Tube Cutting'!C19=""),"",IF('Tube Cutting'!R19="Jasper",IF(SUM('Job Sheet'!BR19:BU19)=0,"",SUM('Job Sheet'!BR19:BU19)),""))</f>
        <v/>
      </c>
      <c r="EK13" t="str">
        <f>IF(OR(D13="",'Tube Cutting'!C19=""),"",IF('Tube Cutting'!R19="Dune",IF(SUM('Job Sheet'!BR19:BU19)=0,"",SUM('Job Sheet'!BR19:BU19)),""))</f>
        <v/>
      </c>
      <c r="EL13" t="str">
        <f>IF(OR(D13="",'Tube Cutting'!C19=""),"",IF('Tube Cutting'!R19="Cream",IF(SUM('Job Sheet'!BV19:BY19)=0,"",SUM('Job Sheet'!BV19:BY19)),""))</f>
        <v/>
      </c>
      <c r="EM13" t="str">
        <f>IF(OR(D13="",'Tube Cutting'!C19=""),"",IF('Tube Cutting'!R19="Mag Cream",IF(SUM('Job Sheet'!BV19:BY19)=0,"",SUM('Job Sheet'!BV19:BY19)),""))</f>
        <v/>
      </c>
      <c r="EN13" t="str">
        <f>IF(OR(D13="",'Tube Cutting'!C19=""),"",IF('Tube Cutting'!R19="Clear Beige",IF(SUM('Job Sheet'!BV19:BY19)=0,"",SUM('Job Sheet'!BV19:BY19)),""))</f>
        <v/>
      </c>
      <c r="EO13" t="str">
        <f>IF(OR(D13="",'Tube Cutting'!C19=""),"",IF('Tube Cutting'!R19="White",IF(SUM('Job Sheet'!BV19:BY19)=0,"",SUM('Job Sheet'!BV19:BY19)),""))</f>
        <v/>
      </c>
      <c r="EP13" t="str">
        <f>IF(OR(D13="",'Tube Cutting'!C19=""),"",IF('Tube Cutting'!R19="Shale Grey",IF(SUM('Job Sheet'!BV19:BY19)=0,"",SUM('Job Sheet'!BV19:BY19)),""))</f>
        <v/>
      </c>
      <c r="EQ13" t="str">
        <f>IF(OR(D13="",'Tube Cutting'!C19=""),"",IF('Tube Cutting'!R19="Brown",IF(SUM('Job Sheet'!BV19:BY19)=0,"",SUM('Job Sheet'!BV19:BY19)),""))</f>
        <v/>
      </c>
      <c r="ER13" t="str">
        <f>IF(OR(D13="",'Tube Cutting'!C19=""),"",IF('Tube Cutting'!R19="Black",IF(SUM('Job Sheet'!BV19:BY19)=0,"",SUM('Job Sheet'!BV19:BY19)),""))</f>
        <v/>
      </c>
      <c r="ES13" t="str">
        <f>IF(OR(D13="",'Tube Cutting'!C19=""),"",IF('Tube Cutting'!R19="Monument",IF(SUM('Job Sheet'!BV19:BY19)=0,"",SUM('Job Sheet'!BV19:BY19)),""))</f>
        <v/>
      </c>
      <c r="ET13" t="str">
        <f>IF(OR(D13="",'Tube Cutting'!C19=""),"",IF('Tube Cutting'!R19="Woodland Grey",IF(SUM('Job Sheet'!BV19:BY19)=0,"",SUM('Job Sheet'!BV19:BY19)),""))</f>
        <v/>
      </c>
      <c r="EU13" t="str">
        <f>IF(OR(D13="",'Tube Cutting'!C19=""),"",IF('Tube Cutting'!R19="Surfmist",IF(SUM('Job Sheet'!BV19:BY19)=0,"",SUM('Job Sheet'!BV19:BY19)),""))</f>
        <v/>
      </c>
      <c r="EV13" t="str">
        <f>IF(OR(D13="",'Tube Cutting'!C19=""),"",IF('Tube Cutting'!R19="Jasper",IF(SUM('Job Sheet'!BV19:BY19)=0,"",SUM('Job Sheet'!BV19:BY19)),""))</f>
        <v/>
      </c>
      <c r="EW13" t="str">
        <f>IF(OR(D13="",'Tube Cutting'!C19=""),"",IF('Tube Cutting'!R19="Dune",IF(SUM('Job Sheet'!BV19:BY19)=0,"",SUM('Job Sheet'!BV19:BY19)),""))</f>
        <v/>
      </c>
      <c r="EX13" t="str">
        <f>IF(OR(D13="",'Tube Cutting'!C19=""),"",IF('Tube Cutting'!R19="Cream",IF(SUM('Job Sheet'!BZ19:CC19)=0,"",SUM('Job Sheet'!BZ19:CC19)),""))</f>
        <v/>
      </c>
      <c r="EY13" t="str">
        <f>IF(OR(D13="",'Tube Cutting'!C19=""),"",IF('Tube Cutting'!R19="Mag Cream",IF(SUM('Job Sheet'!BZ19:CC19)=0,"",SUM('Job Sheet'!BZ19:CC19)),""))</f>
        <v/>
      </c>
      <c r="EZ13" t="str">
        <f>IF(OR(D13="",'Tube Cutting'!C19=""),"",IF('Tube Cutting'!R19="Clear Beige",IF(SUM('Job Sheet'!BZ19:CC19)=0,"",SUM('Job Sheet'!BZ19:CC19)),""))</f>
        <v/>
      </c>
      <c r="FA13" t="str">
        <f>IF(OR(D13="",'Tube Cutting'!C19=""),"",IF('Tube Cutting'!R19="White",IF(SUM('Job Sheet'!BZ19:CC19)=0,"",SUM('Job Sheet'!BZ19:CC19)),""))</f>
        <v/>
      </c>
      <c r="FB13" t="str">
        <f>IF(OR(D13="",'Tube Cutting'!C19=""),"",IF('Tube Cutting'!R19="Shale Grey",IF(SUM('Job Sheet'!BZ19:CC19)=0,"",SUM('Job Sheet'!BZ19:CC19)),""))</f>
        <v/>
      </c>
      <c r="FC13" t="str">
        <f>IF(OR(D13="",'Tube Cutting'!C19=""),"",IF('Tube Cutting'!R19="Brown",IF(SUM('Job Sheet'!BZ19:CC19)=0,"",SUM('Job Sheet'!BZ19:CC19)),""))</f>
        <v/>
      </c>
      <c r="FD13" t="str">
        <f>IF(OR(D13="",'Tube Cutting'!C19=""),"",IF('Tube Cutting'!R19="Black",IF(SUM('Job Sheet'!BZ19:CC19)=0,"",SUM('Job Sheet'!BZ19:CC19)),""))</f>
        <v/>
      </c>
      <c r="FE13" t="str">
        <f>IF(OR(D13="",'Tube Cutting'!C19=""),"",IF('Tube Cutting'!R19="Monument",IF(SUM('Job Sheet'!BZ19:CC19)=0,"",SUM('Job Sheet'!BZ19:CC19)),""))</f>
        <v/>
      </c>
      <c r="FF13" t="str">
        <f>IF(OR(D13="",'Tube Cutting'!C19=""),"",IF('Tube Cutting'!R19="Woodland Grey",IF(SUM('Job Sheet'!BZ19:CC19)=0,"",SUM('Job Sheet'!BZ19:CC19)),""))</f>
        <v/>
      </c>
      <c r="FG13" t="str">
        <f>IF(OR(D13="",'Tube Cutting'!C19=""),"",IF('Tube Cutting'!R19="Surfmist",IF(SUM('Job Sheet'!BZ19:CC19)=0,"",SUM('Job Sheet'!BZ19:CC19)),""))</f>
        <v/>
      </c>
      <c r="FH13" t="str">
        <f>IF(OR(D13="",'Tube Cutting'!C19=""),"",IF('Tube Cutting'!R19="Jasper",IF(SUM('Job Sheet'!BZ19:CC19)=0,"",SUM('Job Sheet'!BZ19:CC19)),""))</f>
        <v/>
      </c>
      <c r="FI13" t="str">
        <f>IF(OR(D13="",'Tube Cutting'!C19=""),"",IF('Tube Cutting'!R19="Dune",IF(SUM('Job Sheet'!BZ19:CC19)=0,"",SUM('Job Sheet'!BZ19:CC19)),""))</f>
        <v/>
      </c>
      <c r="FJ13" t="str">
        <f>IF(OR(D13="",'Tube Cutting'!C19=""),"",IF('Tube Cutting'!R19="Cream",IF(SUM('Job Sheet'!BN19:BQ19)=0,"",SUM('Job Sheet'!BN19:BQ19)),""))</f>
        <v/>
      </c>
      <c r="FK13" t="str">
        <f>IF(OR(D13="",'Tube Cutting'!C19=""),"",IF('Tube Cutting'!R19="Mag Cream",IF(SUM('Job Sheet'!BN19:BQ19)=0,"",SUM('Job Sheet'!BN19:BQ19)),""))</f>
        <v/>
      </c>
      <c r="FL13" t="str">
        <f>IF(OR(D13="",'Tube Cutting'!C19=""),"",IF('Tube Cutting'!R19="Clear Beige",IF(SUM('Job Sheet'!BN19:BQ19)=0,"",SUM('Job Sheet'!BN19:BQ19)),""))</f>
        <v/>
      </c>
      <c r="FM13" t="str">
        <f>IF(OR(D13="",'Tube Cutting'!C19=""),"",IF('Tube Cutting'!R19="White",IF(SUM('Job Sheet'!BN19:BQ19)=0,"",SUM('Job Sheet'!BN19:BQ19)),""))</f>
        <v/>
      </c>
      <c r="FN13" t="str">
        <f>IF(OR(D13="",'Tube Cutting'!C19=""),"",IF('Tube Cutting'!R19="Shale Grey",IF(SUM('Job Sheet'!BN19:BQ19)=0,"",SUM('Job Sheet'!BN19:BQ19)),""))</f>
        <v/>
      </c>
      <c r="FO13" t="str">
        <f>IF(OR(D13="",'Tube Cutting'!C19=""),"",IF('Tube Cutting'!R19="Brown",IF(SUM('Job Sheet'!BN19:BQ19)=0,"",SUM('Job Sheet'!BN19:BQ19)),""))</f>
        <v/>
      </c>
      <c r="FP13" t="str">
        <f>IF(OR(D13="",'Tube Cutting'!C19=""),"",IF('Tube Cutting'!R19="Dune",IF(SUM('Job Sheet'!BN19:BQ19)=0,"",SUM('Job Sheet'!BN19:BQ19)),""))</f>
        <v/>
      </c>
      <c r="FQ13" t="str">
        <f>IF(OR(D13="",'Tube Cutting'!C19=""),"",IF('Tube Cutting'!R19="Dune",IF(SUM('Job Sheet'!BN19:BQ19)=0,"",SUM('Job Sheet'!BN19:BQ19)),""))</f>
        <v/>
      </c>
      <c r="FR13" t="str">
        <f>IF(OR(D13="",'Tube Cutting'!C19=""),"",IF('Tube Cutting'!R19="Black",IF(SUM('Job Sheet'!BN19:BQ19)=0,"",SUM('Job Sheet'!BN19:BQ19)),""))</f>
        <v/>
      </c>
      <c r="FS13" t="str">
        <f>IF(OR(D13="",'Tube Cutting'!C19=""),"",IF('Tube Cutting'!R19="Monument",IF(SUM('Job Sheet'!BN19:BQ19)=0,"",SUM('Job Sheet'!BN19:BQ19)),""))</f>
        <v/>
      </c>
      <c r="FT13" t="str">
        <f>IF(OR(D13="",'Tube Cutting'!C19=""),"",IF('Tube Cutting'!R19="Custom Powdercoat",IF(SUM('Job Sheet'!BN19:BQ19)=0,"",SUM('Job Sheet'!BN19:BQ19)),""))</f>
        <v/>
      </c>
      <c r="FU13" t="str">
        <f>IF(OR(D13="",'Tube Cutting'!C19=""),"",IF('Tube Cutting'!R19="Woodland Grey",IF(SUM('Job Sheet'!BN19:BQ19)=0,"",SUM('Job Sheet'!BN19:BQ19)),""))</f>
        <v/>
      </c>
      <c r="FV13" t="str">
        <f>IF(OR(D13="",'Tube Cutting'!C19=""),"",IF('Tube Cutting'!R19="Jasper",IF(SUM('Job Sheet'!BN19:BQ19)=0,"",SUM('Job Sheet'!BN19:BQ19)),""))</f>
        <v/>
      </c>
      <c r="FW13" t="str">
        <f>IF(OR(D13="",'Tube Cutting'!C19=""),"",IF('Tube Cutting'!R19="Surfmist",IF(SUM('Job Sheet'!BN19:BQ19)=0,"",SUM('Job Sheet'!BN19:BQ19)),""))</f>
        <v/>
      </c>
      <c r="FX13" t="str">
        <f>IF(OR(D13="",'Tube Cutting'!C19=""),"",IF('Tube Cutting'!R19="Dune",IF(SUM('Job Sheet'!BN19:BQ19)=0,"",SUM('Job Sheet'!BN19:BQ19)),""))</f>
        <v/>
      </c>
      <c r="FY13">
        <f>IF(OR(D13="",'Tube Cutting'!C19=""),"",IF(AND('Order Form'!R17="Supplied by Davidson's",'Tube Cutting'!C19&lt;&gt;""),"",'Tube Cutting'!S19))</f>
        <v>2081</v>
      </c>
      <c r="FZ13" t="str">
        <f>IF(OR(D13="",'Tube Cutting'!C19=""),"",IF(AND(Data!BN19="42mm Standard Slat",'Tube Cutting'!J19="Black"),'Tube Cutting'!I19,""))</f>
        <v/>
      </c>
      <c r="GA13" t="str">
        <f>IF(OR(D13="",'Tube Cutting'!C19=""),"",IF(AND(Data!BN19="42mm Standard Slat",'Tube Cutting'!J19="Clear Beige"),'Tube Cutting'!I19,""))</f>
        <v/>
      </c>
      <c r="GB13" t="str">
        <f>IF(OR(D13="",'Tube Cutting'!C19=""),"",IF(AND(Data!BN19="42mm Standard Slat",'Tube Cutting'!J19="Dune"),'Tube Cutting'!I19,""))</f>
        <v/>
      </c>
      <c r="GC13" t="str">
        <f>IF(OR(D13="",'Tube Cutting'!C19=""),"",IF(AND(Data!BN19="42mm Standard Slat",'Tube Cutting'!J19="Mag Cream"),'Tube Cutting'!I19,""))</f>
        <v/>
      </c>
      <c r="GD13">
        <f>IF(OR(D13="",'Tube Cutting'!C19=""),"",IF(AND(Data!BN19="42mm Standard Slat",'Tube Cutting'!J19="Monument"),'Tube Cutting'!I19,""))</f>
        <v>2089</v>
      </c>
      <c r="GE13" t="str">
        <f>IF(OR(D13="",'Tube Cutting'!C19=""),"",IF(AND(Data!BN19="42mm Standard Slat",'Tube Cutting'!J19="Shale Grey"),'Tube Cutting'!I19,""))</f>
        <v/>
      </c>
      <c r="GF13" t="str">
        <f>IF(OR(D13="",'Tube Cutting'!C19=""),"",IF(AND(Data!BN19="42mm Standard Slat",'Tube Cutting'!J19="White"),'Tube Cutting'!I19,""))</f>
        <v/>
      </c>
      <c r="GG13" t="str">
        <f>IF(OR(D13="",'Tube Cutting'!C19=""),"",IF(AND(Data!BN19="42mm Standard Slat",'Tube Cutting'!J19="Woodland Grey"),'Tube Cutting'!I19,""))</f>
        <v/>
      </c>
      <c r="GH13" t="str">
        <f>IF(OR(D13="",'Tube Cutting'!C19=""),"",IF(AND(Data!BN19="42mm Standard Slat",'Tube Cutting'!J19="Cream"),'Tube Cutting'!I19,""))</f>
        <v/>
      </c>
      <c r="GI13" t="str">
        <f>IF(OR(D13="",'Tube Cutting'!C19=""),"",IF(AND(Data!BN19="42mm Standard Slat",'Tube Cutting'!J19="Brown"),'Tube Cutting'!I19,""))</f>
        <v/>
      </c>
      <c r="GJ13" t="str">
        <f>IF(OR(D13="",'Tube Cutting'!C19=""),"",IF(AND(Data!BN19="42mm Standard Slat",'Tube Cutting'!J19="Custom Powdercoat"),'Tube Cutting'!I19,""))</f>
        <v/>
      </c>
      <c r="GK13" t="str">
        <f>IF(OR(D13="",'Tube Cutting'!C19=""),"",IF(AND(Data!BN19="42mm Standard Slat",'Tube Cutting'!J19="Surfmist"),'Tube Cutting'!I19,""))</f>
        <v/>
      </c>
      <c r="GL13" t="str">
        <f>IF(OR(D13="",'Tube Cutting'!C19=""),"",IF(AND(Data!BN19="42mm Standard Slat",'Tube Cutting'!J19="Jasper"),'Tube Cutting'!I19,""))</f>
        <v/>
      </c>
      <c r="GM13" t="str">
        <f>IF(OR(D13="",'Tube Cutting'!C19=""),"",IF('Tube Cutting'!R19="Black",('Job Sheet'!BB19*2+IF('Job Sheet'!Q19="Black",SUM('Job Sheet'!BJ19:BM19))),""))</f>
        <v/>
      </c>
      <c r="GN13" t="str">
        <f>IF(OR(D13="",'Tube Cutting'!C19=""),"",IF('Tube Cutting'!R19="Clear Beige",('Job Sheet'!BB19*2+IF('Job Sheet'!Q19="Clear Beige",SUM('Job Sheet'!BJ19:BM19))),""))</f>
        <v/>
      </c>
      <c r="GO13" t="str">
        <f>IF(OR(D13="",'Tube Cutting'!C19=""),"",IF('Tube Cutting'!R19="Dune",('Job Sheet'!BB19*2+IF('Job Sheet'!Q19="Dune",SUM('Job Sheet'!BJ19:BM19))),""))</f>
        <v/>
      </c>
      <c r="GP13" t="str">
        <f>IF(OR(D13="",'Tube Cutting'!C19=""),"",IF('Tube Cutting'!R19="Mag Cream",('Job Sheet'!BB19*2+IF('Job Sheet'!Q19="Mag Cream",SUM('Job Sheet'!BJ19:BM19))),""))</f>
        <v/>
      </c>
      <c r="GQ13">
        <f>IF(OR(D13="",'Tube Cutting'!C19=""),"",IF('Tube Cutting'!R19="Monument",('Job Sheet'!BB19*2+IF('Job Sheet'!Q19="Monument",SUM('Job Sheet'!BJ19:BM19))),""))</f>
        <v>4410</v>
      </c>
      <c r="GR13" t="str">
        <f>IF(OR(D13="",'Tube Cutting'!C19=""),"",IF('Tube Cutting'!R19="Shale Grey",('Job Sheet'!BB19*2+IF('Job Sheet'!Q19="Shale Grey",SUM('Job Sheet'!BJ19:BM19))),""))</f>
        <v/>
      </c>
      <c r="GS13" t="str">
        <f>IF(OR(D13="",'Tube Cutting'!C19=""),"",IF('Tube Cutting'!R19="White",('Job Sheet'!BB19*2+IF('Job Sheet'!Q19="White",SUM('Job Sheet'!BJ19:BM19))),""))</f>
        <v/>
      </c>
      <c r="GT13" t="str">
        <f>IF(OR(D13="",'Tube Cutting'!C19=""),"",IF('Tube Cutting'!R19="Woodland Grey",('Job Sheet'!BB19*2+IF('Job Sheet'!Q19="Woodland Grey",SUM('Job Sheet'!BJ19:BM19))),""))</f>
        <v/>
      </c>
      <c r="GU13" t="str">
        <f>IF(OR(D13="",'Tube Cutting'!C19=""),"",IF('Tube Cutting'!R19="Cream",('Job Sheet'!BB19*2+IF('Job Sheet'!Q19="Cream",SUM('Job Sheet'!BJ19:BM19))),""))</f>
        <v/>
      </c>
      <c r="GV13" t="str">
        <f>IF(OR(D13="",'Tube Cutting'!C19=""),"",IF('Tube Cutting'!R19="Brown",('Job Sheet'!BB19*2+IF('Job Sheet'!Q19="Brown",SUM('Job Sheet'!BJ19:BM19))),""))</f>
        <v/>
      </c>
      <c r="GW13" t="str">
        <f>IF(OR(D13="",'Tube Cutting'!C19=""),"",IF('Tube Cutting'!R19="Custom Powdercoat",('Job Sheet'!BB19*2+IF('Job Sheet'!Q19="Custom Powdercoat",SUM('Job Sheet'!BJ19:BM19))),""))</f>
        <v/>
      </c>
      <c r="GX13" t="str">
        <f>IF(OR(D13="",'Tube Cutting'!C19=""),"",IF('Tube Cutting'!R19="Surfmist",('Job Sheet'!BB19*2+IF('Job Sheet'!Q19="Surfmist",SUM('Job Sheet'!BJ19:BM19))),""))</f>
        <v/>
      </c>
      <c r="GY13" t="str">
        <f>IF(OR(D13="",'Tube Cutting'!C19=""),"",IF('Tube Cutting'!R19="Jasper",('Job Sheet'!BB19*2+IF('Job Sheet'!Q19="Jasper",SUM('Job Sheet'!BJ19:BM19))),""))</f>
        <v/>
      </c>
      <c r="GZ13" t="str">
        <f>IF(OR(D13="",'Tube Cutting'!C19=""),"",IF(AND('Tube Cutting'!R19="Cream",'Tube Cutting'!P19="68mm"),'Job Sheet'!BB19*2,""))</f>
        <v/>
      </c>
      <c r="HA13" t="str">
        <f>IF(OR(D13="",'Tube Cutting'!C19=""),"",IF(AND('Tube Cutting'!R19="Mag Cream",'Tube Cutting'!P19="68mm"),'Job Sheet'!BB19*2,""))</f>
        <v/>
      </c>
      <c r="HB13" t="str">
        <f>IF(OR(D13="",'Tube Cutting'!C19=""),"",IF(AND('Tube Cutting'!R19="Clear Beige",'Tube Cutting'!P19="68mm"),'Job Sheet'!BB19*2,""))</f>
        <v/>
      </c>
      <c r="HC13" t="str">
        <f>IF(OR(D13="",'Tube Cutting'!C19=""),"",IF(AND('Tube Cutting'!R19="White",'Tube Cutting'!P19="68mm"),'Job Sheet'!BB19*2,""))</f>
        <v/>
      </c>
      <c r="HD13" t="str">
        <f>IF(OR(D13="",'Tube Cutting'!C19=""),"",IF(AND('Tube Cutting'!R19="Shale Grey",'Tube Cutting'!P19="68mm"),'Job Sheet'!BB19*2,""))</f>
        <v/>
      </c>
      <c r="HE13" t="str">
        <f>IF(OR(D13="",'Tube Cutting'!C19=""),"",IF(AND('Tube Cutting'!R19="Brown",'Tube Cutting'!P19="68mm"),'Job Sheet'!BB19*2,""))</f>
        <v/>
      </c>
      <c r="HF13" t="str">
        <f>IF(OR(D13="",'Tube Cutting'!C19=""),"",IF(AND('Tube Cutting'!R19="Black",'Tube Cutting'!P19="68mm"),'Job Sheet'!BB19*2,""))</f>
        <v/>
      </c>
      <c r="HG13" t="str">
        <f>IF(OR(D13="",'Tube Cutting'!C19=""),"",IF(AND('Tube Cutting'!R19="Monument",'Tube Cutting'!P19="68mm"),'Job Sheet'!BB19*2,""))</f>
        <v/>
      </c>
      <c r="HH13" t="str">
        <f>IF(OR(D13="",'Tube Cutting'!C19=""),"",IF(AND('Tube Cutting'!R19="Custom Powdercoat",'Tube Cutting'!P19="68mm"),'Job Sheet'!BB19*2,""))</f>
        <v/>
      </c>
      <c r="HI13" t="str">
        <f>IF(OR(D13="",'Tube Cutting'!C19=""),"",IF(AND('Tube Cutting'!R19="Woodland Grey",'Tube Cutting'!P19="68mm"),'Job Sheet'!BB19*2,""))</f>
        <v/>
      </c>
      <c r="HJ13" t="str">
        <f>IF(OR(D13="",'Tube Cutting'!C19=""),"",IF(AND('Tube Cutting'!R19="Surfmist",'Tube Cutting'!P19="68mm"),'Job Sheet'!BB19*2,""))</f>
        <v/>
      </c>
      <c r="HK13" t="str">
        <f>IF(OR(D13="",'Tube Cutting'!C19=""),"",IF(AND('Tube Cutting'!R19="Jasper",'Tube Cutting'!P19="68mm"),'Job Sheet'!BB19*2,""))</f>
        <v/>
      </c>
      <c r="HL13" t="str">
        <f>IF(OR(D13="",'Tube Cutting'!C19=""),"",IF(AND('Tube Cutting'!R19="Dune",'Tube Cutting'!P19="68mm"),'Job Sheet'!BB19*2,""))</f>
        <v/>
      </c>
      <c r="HM13" t="str">
        <f>IF(OR(D13="",'Tube Cutting'!C19=""),"",IF(AND('Tube Cutting'!O19="Black",'Tube Cutting'!N19="180mm"),1,""))</f>
        <v/>
      </c>
      <c r="HN13" t="str">
        <f>IF(OR(D13="",'Tube Cutting'!C19=""),"",IF(AND('Tube Cutting'!O19="Clear Beige",'Tube Cutting'!N19="180mm"),1,""))</f>
        <v/>
      </c>
      <c r="HO13" t="str">
        <f>IF(OR(D13="",'Tube Cutting'!C19=""),"",IF(AND('Tube Cutting'!O19="Dune",'Tube Cutting'!N19="180mm"),1,""))</f>
        <v/>
      </c>
      <c r="HP13" t="str">
        <f>IF(OR(D13="",'Tube Cutting'!C19=""),"",IF(AND('Tube Cutting'!O19="Mag Cream",'Tube Cutting'!N19="180mm"),1,""))</f>
        <v/>
      </c>
      <c r="HQ13" t="str">
        <f>IF(OR(D13="",'Tube Cutting'!C19=""),"",IF(AND('Tube Cutting'!O19="Monument",'Tube Cutting'!N19="180mm"),1,""))</f>
        <v/>
      </c>
      <c r="HR13" t="str">
        <f>IF(OR(D13="",'Tube Cutting'!C19=""),"",IF(AND('Tube Cutting'!O19="Shale Grey",'Tube Cutting'!N19="180mm"),1,""))</f>
        <v/>
      </c>
      <c r="HS13" t="str">
        <f>IF(OR(D13="",'Tube Cutting'!C19=""),"",IF(AND('Tube Cutting'!O19="White",'Tube Cutting'!N19="180mm"),1,""))</f>
        <v/>
      </c>
      <c r="HT13" t="str">
        <f>IF(OR(D13="",'Tube Cutting'!C19=""),"",IF(AND('Tube Cutting'!O19="Woodland Grey",'Tube Cutting'!N19="180mm"),1,""))</f>
        <v/>
      </c>
      <c r="HU13" t="str">
        <f>IF(OR(D13="",'Tube Cutting'!C19=""),"",IF(AND('Tube Cutting'!O19="Cream",'Tube Cutting'!N19="180mm"),1,""))</f>
        <v/>
      </c>
      <c r="HV13" t="str">
        <f>IF(OR(D13="",'Tube Cutting'!C19=""),"",IF(AND('Tube Cutting'!O19="Brown",'Tube Cutting'!N19="180mm"),1,""))</f>
        <v/>
      </c>
      <c r="HW13" t="str">
        <f>IF(OR(D13="",'Tube Cutting'!C19=""),"",IF(AND('Tube Cutting'!O19="Surfmist",'Tube Cutting'!N19="180mm"),1,""))</f>
        <v/>
      </c>
      <c r="HX13" t="str">
        <f>IF(OR(D13="",'Tube Cutting'!C19=""),"",IF(AND('Tube Cutting'!O19="Jasper",'Tube Cutting'!N19="180mm"),1,""))</f>
        <v/>
      </c>
      <c r="HY13" t="str">
        <f>IF(OR(E13="",'Tube Cutting'!C19=""),"",IF(AND('Tube Cutting'!O19="Red",'Tube Cutting'!N19="180mm"),1,""))</f>
        <v/>
      </c>
      <c r="HZ13" t="str">
        <f>IF(OR(D13="",'Tube Cutting'!C19=""),"",IF(AND('Tube Cutting'!O19="Black",'Tube Cutting'!N19="205mm"),1,""))</f>
        <v/>
      </c>
      <c r="IA13" t="str">
        <f>IF(OR(D13="",'Tube Cutting'!C19=""),"",IF(AND('Tube Cutting'!O19="Clear Beige",'Tube Cutting'!N19="205mm"),1,""))</f>
        <v/>
      </c>
      <c r="IB13" t="str">
        <f>IF(OR(D13="",'Tube Cutting'!C19=""),"",IF(AND('Tube Cutting'!O19="Dune",'Tube Cutting'!N19="205mm"),1,""))</f>
        <v/>
      </c>
      <c r="IC13" t="str">
        <f>IF(OR(D13="",'Tube Cutting'!C19=""),"",IF(AND('Tube Cutting'!O19="Mag Cream",'Tube Cutting'!N19="205mm"),1,""))</f>
        <v/>
      </c>
      <c r="ID13">
        <f>IF(OR(D13="",'Tube Cutting'!C19=""),"",IF(AND('Tube Cutting'!O19="Monument",'Tube Cutting'!N19="205mm"),1,""))</f>
        <v>1</v>
      </c>
      <c r="IE13" t="str">
        <f>IF(OR(D13="",'Tube Cutting'!C19=""),"",IF(AND('Tube Cutting'!O19="Shale Grey",'Tube Cutting'!N19="205mm"),1,""))</f>
        <v/>
      </c>
      <c r="IF13" t="str">
        <f>IF(OR(D13="",'Tube Cutting'!C19=""),"",IF(AND('Tube Cutting'!O19="White",'Tube Cutting'!N19="205mm"),1,""))</f>
        <v/>
      </c>
      <c r="IG13" t="str">
        <f>IF(OR(D13="",'Tube Cutting'!C19=""),"",IF(AND('Tube Cutting'!O19="Woodland Grey",'Tube Cutting'!N19="205mm"),1,""))</f>
        <v/>
      </c>
      <c r="IH13" t="str">
        <f>IF(OR(D13="",'Tube Cutting'!C19=""),"",IF(AND('Tube Cutting'!O19="Cream",'Tube Cutting'!N19="205mm"),1,""))</f>
        <v/>
      </c>
      <c r="II13" t="str">
        <f>IF(OR(D13="",'Tube Cutting'!C19=""),"",IF(AND('Tube Cutting'!O19="Brown",'Tube Cutting'!N19="205mm"),1,""))</f>
        <v/>
      </c>
      <c r="IJ13" t="str">
        <f>IF(OR(D13="",'Tube Cutting'!C19=""),"",IF(AND('Tube Cutting'!O19="Surfmist",'Tube Cutting'!N19="205mm"),1,""))</f>
        <v/>
      </c>
      <c r="IK13" t="str">
        <f>IF(OR(D13="",'Tube Cutting'!C19=""),"",IF(AND('Tube Cutting'!O19="Jasper",'Tube Cutting'!N19="205mm"),1,""))</f>
        <v/>
      </c>
      <c r="IL13" t="str">
        <f>IF(OR(D13="",'Tube Cutting'!C19=""),"",IF(AND('Tube Cutting'!O19="Cream",'Tube Cutting'!N19="230mm"),1,""))</f>
        <v/>
      </c>
      <c r="IM13" t="str">
        <f>IF(OR(D13="",'Tube Cutting'!C19=""),"",IF(AND('Tube Cutting'!O19="Mag Cream",'Tube Cutting'!N19="230mm"),1,""))</f>
        <v/>
      </c>
      <c r="IN13" t="str">
        <f>IF(OR(D13="",'Tube Cutting'!C19=""),"",IF(AND('Tube Cutting'!O19="Clear Beige",'Tube Cutting'!N19="230mm"),1,""))</f>
        <v/>
      </c>
      <c r="IO13" t="str">
        <f>IF(OR(D13="",'Tube Cutting'!C19=""),"",IF(AND('Tube Cutting'!O19="White",'Tube Cutting'!N19="230mm"),1,""))</f>
        <v/>
      </c>
      <c r="IP13" t="str">
        <f>IF(OR(D13="",'Tube Cutting'!C19=""),"",IF(AND('Tube Cutting'!O19="Shale Grey",'Tube Cutting'!N19="230mm"),1,""))</f>
        <v/>
      </c>
      <c r="IQ13" t="str">
        <f>IF(OR(D13="",'Tube Cutting'!C19=""),"",IF(AND('Tube Cutting'!O19="Black",'Tube Cutting'!N19="230mm"),1,""))</f>
        <v/>
      </c>
      <c r="IR13" t="str">
        <f>IF(OR(D13="",'Tube Cutting'!C19=""),"",IF(AND('Tube Cutting'!O19="Monument",'Tube Cutting'!N19="230mm"),1,""))</f>
        <v/>
      </c>
      <c r="IS13" t="str">
        <f>IF(OR(D13="",'Tube Cutting'!C19=""),"",IF(AND('Tube Cutting'!O19="Woodland Grey",'Tube Cutting'!N19="230mm"),1,""))</f>
        <v/>
      </c>
      <c r="IT13" t="str">
        <f>IF(OR(D13="",'Tube Cutting'!C19=""),"",IF(AND('Tube Cutting'!O19="Surfmist",'Tube Cutting'!N19="230mm"),1,""))</f>
        <v/>
      </c>
      <c r="IU13" t="str">
        <f>IF(OR(D13="",'Tube Cutting'!C19=""),"",IF(AND('Tube Cutting'!O19="Jasper",'Tube Cutting'!N19="230mm"),1,""))</f>
        <v/>
      </c>
      <c r="IV13" t="str">
        <f>IF(OR(D13="",'Tube Cutting'!C19=""),"",IF(AND('Tube Cutting'!O19="Dune",'Tube Cutting'!N19="230mm"),1,""))</f>
        <v/>
      </c>
      <c r="IW13">
        <f>IF(OR(D13="",'Tube Cutting'!C19=""),"",IF(AND('Order Form'!R17="Supplied by Davidson's",'Tube Cutting'!C19&lt;&gt;""),"",1))</f>
        <v>1</v>
      </c>
      <c r="IX13" t="str">
        <f>IF(OR(D13="",'Tube Cutting'!C19=""),"",IF('Job Sheet'!AE19="Yes",2,""))</f>
        <v/>
      </c>
      <c r="IY13" t="str">
        <f t="array" ref="IY13">IF(OR('Tube Cutting'!R19&lt;&gt;"Cream",D13=""),"",IF('Job Sheet'!J19&gt;2100,10,IF(OR(bpLOOKUP(Data!$AV19,"FIXING",CustOrdOpt,6,FALSE)="Hebel",'Job Sheet'!J19&gt;1800),8,6)))</f>
        <v/>
      </c>
      <c r="IZ13" t="str">
        <f t="array" ref="IZ13">IF(OR('Tube Cutting'!R19&lt;&gt;"Clear Beige",D13=""),"",IF('Job Sheet'!J19&gt;2100,10,IF(OR(bpLOOKUP(Data!$AV19,"FIXING",CustOrdOpt,6,FALSE)="Hebel",'Job Sheet'!J19&gt;1800),8,6)))</f>
        <v/>
      </c>
      <c r="JA13" t="str">
        <f t="array" ref="JA13">IF(OR('Tube Cutting'!R19&lt;&gt;"White",D13=""),"",IF('Job Sheet'!J19&gt;2100,10,IF(OR(bpLOOKUP(Data!$AV19,"FIXING",CustOrdOpt,6,FALSE)="Hebel",'Job Sheet'!J19&gt;1800),8,6)))</f>
        <v/>
      </c>
      <c r="JB13" t="str">
        <f t="array" ref="JB13">IF(OR('Tube Cutting'!R19&lt;&gt;"Shale Grey",D13=""),"",IF('Job Sheet'!J19&gt;2100,10,IF(OR(bpLOOKUP(Data!$AV19,"FIXING",CustOrdOpt,6,FALSE)="Hebel",'Job Sheet'!J19&gt;1800),8,6)))</f>
        <v/>
      </c>
      <c r="JC13" t="str">
        <f t="array" ref="JC13">IF(OR('Tube Cutting'!R19&lt;&gt;"Brown",D13=""),"",IF('Job Sheet'!J19&gt;2100,10,IF(OR(bpLOOKUP(Data!$AV19,"FIXING",CustOrdOpt,6,FALSE)="Hebel",'Job Sheet'!J19&gt;1800),8,6)))</f>
        <v/>
      </c>
      <c r="JD13" t="str">
        <f t="array" ref="JD13">IF(OR('Tube Cutting'!R19&lt;&gt;"Green",D13=""),"",IF('Job Sheet'!J19&gt;2100,10,IF(OR(bpLOOKUP(Data!$AV19,"FIXING",CustOrdOpt,6,FALSE)="Hebel",'Job Sheet'!J19&gt;1800),8,6)))</f>
        <v/>
      </c>
      <c r="JE13" t="str">
        <f t="array" ref="JE13">IF(OR('Tube Cutting'!R19&lt;&gt;"Red",D13=""),"",IF('Job Sheet'!J19&gt;2100,10,IF(OR(bpLOOKUP(Data!$AV19,"FIXING",CustOrdOpt,6,FALSE)="Hebel",'Job Sheet'!J19&gt;1800),8,6)))</f>
        <v/>
      </c>
      <c r="JF13" t="str">
        <f t="array" ref="JF13">IF(OR('Tube Cutting'!R19&lt;&gt;"Mag Cream",D13=""),"",IF('Job Sheet'!J19&gt;2100,10,IF(OR(bpLOOKUP(Data!$AV19,"FIXING",CustOrdOpt,6,FALSE)="Hebel",'Job Sheet'!J19&gt;1800),8,6)))</f>
        <v/>
      </c>
      <c r="JG13" t="str">
        <f t="array" ref="JG13">IF(OR('Tube Cutting'!R19&lt;&gt;"Black",D13=""),"",IF('Job Sheet'!J19&gt;2100,10,IF(OR(bpLOOKUP(Data!$AV19,"FIXING",CustOrdOpt,6,FALSE)="Hebel",'Job Sheet'!J19&gt;1800),8,6)))</f>
        <v/>
      </c>
      <c r="JH13">
        <f t="array" ref="JH13">IF(OR('Tube Cutting'!R19&lt;&gt;"Monument",D13=""),"",IF('Job Sheet'!J19&gt;2100,10,IF(OR(bpLOOKUP(Data!$AV19,"FIXING",CustOrdOpt,6,FALSE)="Hebel",'Job Sheet'!J19&gt;1800),8,6)))</f>
        <v>10</v>
      </c>
      <c r="JI13" t="str">
        <f t="array" ref="JI13">IF(OR('Tube Cutting'!R19&lt;&gt;"Deep Ocean",D13=""),"",IF('Job Sheet'!J19&gt;2100,10,IF(OR(bpLOOKUP(Data!$AV19,"FIXING",CustOrdOpt,6,FALSE)="Hebel",'Job Sheet'!J19&gt;1800),8,6)))</f>
        <v/>
      </c>
      <c r="JJ13" t="str">
        <f t="array" ref="JJ13">IF(OR('Tube Cutting'!R19&lt;&gt;"Woodland Grey",D13=""),"",IF('Job Sheet'!J19&gt;2100,10,IF(OR(bpLOOKUP(Data!$AV19,"FIXING",CustOrdOpt,6,FALSE)="Hebel",'Job Sheet'!J19&gt;1800),8,6)))</f>
        <v/>
      </c>
      <c r="JK13" t="str">
        <f t="array" ref="JK13">IF(OR('Tube Cutting'!R19&lt;&gt;"Jasper",D13=""),"",IF('Job Sheet'!J19&gt;2100,10,IF(OR(bpLOOKUP(Data!$AV19,"FIXING",CustOrdOpt,6,FALSE)="Hebel",'Job Sheet'!J19&gt;1800),8,6)))</f>
        <v/>
      </c>
      <c r="JL13" t="str">
        <f t="array" ref="JL13">IF(OR('Tube Cutting'!R19&lt;&gt;"Surfmist",D13=""),"",IF('Job Sheet'!J19&gt;2100,10,IF(OR(bpLOOKUP(Data!$AV19,"FIXING",CustOrdOpt,6,FALSE)="Hebel",'Job Sheet'!J19&gt;1800),8,6)))</f>
        <v/>
      </c>
      <c r="JM13" t="str">
        <f t="array" ref="JM13">IF(OR('Tube Cutting'!R19&lt;&gt;"Dune",D13=""),"",IF('Job Sheet'!J19&gt;2100,10,IF(OR(bpLOOKUP(Data!$AV19,"FIXING",CustOrdOpt,6,FALSE)="Hebel",'Job Sheet'!J19&gt;1800),8,6)))</f>
        <v/>
      </c>
      <c r="JN13">
        <f>IF(OR(D13="",'Tube Cutting'!C19=""),"",IF(AND('Order Form'!R17="Supplied by Davidson's",'Tube Cutting'!C19&lt;&gt;""),"",1))</f>
        <v>1</v>
      </c>
      <c r="JO13" t="str">
        <f>IF(D13="","",IF(AND('Job Sheet'!X19="Operated Outside",'Job Sheet'!Y19="Eyelot Crank Handle"),1,""))</f>
        <v/>
      </c>
      <c r="JP13" t="str">
        <f t="shared" si="1"/>
        <v/>
      </c>
      <c r="JQ13" t="str">
        <f>IF('Job Sheet'!X19="Operated Inside",1,"")</f>
        <v/>
      </c>
      <c r="JS13" t="str">
        <f>IF('Job Sheet'!X19="Operated Inside",1,"")</f>
        <v/>
      </c>
      <c r="JT13" t="str">
        <f>IF('Job Sheet'!X19="Operated Inside",1,"")</f>
        <v/>
      </c>
      <c r="JU13" t="str">
        <f>IF('Job Sheet'!X19="Operated Inside",1,"")</f>
        <v/>
      </c>
      <c r="JV13" t="str">
        <f>IF(AND('Job Sheet'!X19="Operated Outside",'Job Sheet'!Y19="Concealed Operation Crank Handle"),1,"")</f>
        <v/>
      </c>
      <c r="JW13" t="str">
        <f>IF(AND('Job Sheet'!X19="Operated Outside",'Job Sheet'!Y19="Concealed Operation Crank Handle"),1,"")</f>
        <v/>
      </c>
      <c r="JX13" t="str">
        <f>IF(AND('Job Sheet'!X19="Operated Outside",'Job Sheet'!Y19="Concealed Operation Crank Handle"),1,"")</f>
        <v/>
      </c>
      <c r="JY13" s="113">
        <f>IF(OR(D13="",'Tube Cutting'!C19=""),"",IF(AND('Order Form'!R17="Supplied by Davidson's",'Tube Cutting'!C19&lt;&gt;""),"",'Assembly(a)'!F19))</f>
        <v>54.84</v>
      </c>
      <c r="JZ13">
        <f>IF(OR(D13="",'Tube Cutting'!C19=""),"",Packing!K19)</f>
        <v>4</v>
      </c>
      <c r="KA13">
        <f>IF(OR(D13="",'Tube Cutting'!C19=""),"",IF(AND('Order Form'!R17="Supplied by Davidson's",'Tube Cutting'!C19&lt;&gt;""),"",2))</f>
        <v>2</v>
      </c>
      <c r="KB13" t="str">
        <f>IF(OR(D13="",'Tube Cutting'!C19=""),"",'Tube Cutting'!K19)</f>
        <v/>
      </c>
      <c r="KC13" t="str">
        <f>IF(Packing!T19="Corner Telescopic Bracket x 1",1,IF(Packing!T19="Corner Telescopic Bracket x 2",2,""))</f>
        <v/>
      </c>
      <c r="KD13" t="str">
        <f>IF(Packing!T19="Bay Telescopic Bracket x 1",1,IF(Packing!T19="Bay Telescopic Bracket x 2",2,""))</f>
        <v/>
      </c>
      <c r="KE13">
        <f>IF(OR(D13="",'Tube Cutting'!C19=""),"",IF('Job Sheet'!W19="Toggle Wall Switch",1,""))</f>
        <v>1</v>
      </c>
      <c r="KF13" t="str">
        <f>IF(OR(D13="",'Tube Cutting'!C19=""),"",IF(OR('Job Sheet'!Z19="UPS with No Electrician Required",'Job Sheet'!Z19="UPS with Electrician Required"),1,""))</f>
        <v/>
      </c>
      <c r="KG13" t="str">
        <f>IF(OR(Packing!C19="Too Small to be Motorised",Packing!C19="Check Motor Options"),1,"")</f>
        <v/>
      </c>
      <c r="KH13" t="str">
        <f>IF('Job Sheet'!U19="Maxim 10nm Remote Motor",1,"")</f>
        <v/>
      </c>
      <c r="KI13" t="str">
        <f>IF('Job Sheet'!U19="Maxim 20nm Remote Motor",1,"")</f>
        <v/>
      </c>
      <c r="KJ13" t="str">
        <f>IF(OR('Job Sheet'!U19="Maxim 10nm Switch Motor",'Job Sheet'!U19="Maxim 10nm Switch Motor with Inline Receiver"),1,"")</f>
        <v/>
      </c>
      <c r="KK13">
        <f>IF('Job Sheet'!U19="Maxim 20nm Switch Motor",1,"")</f>
        <v>1</v>
      </c>
      <c r="KL13" t="str">
        <f>IF(OR(D13="",'Tube Cutting'!C19=""),"",IF('Job Sheet'!W19="Maxim 1 Channel Remote",1,""))</f>
        <v/>
      </c>
      <c r="KM13" t="str">
        <f>IF(OR(D13="",'Tube Cutting'!C19=""),"",IF('Job Sheet'!W19="Maxim 6 Channel Remote",1,""))</f>
        <v/>
      </c>
      <c r="KN13" t="str">
        <f>IF(OR(D13="",'Tube Cutting'!C19=""),"",IF('Job Sheet'!W19="Maxim 16 Channel Remote",1,""))</f>
        <v/>
      </c>
      <c r="KO13" t="str">
        <f>IF(OR(D13="",'Tube Cutting'!C19=""),"",IF('Job Sheet'!W19="Maxim 1 Channel Wall Mounted Remote",1,""))</f>
        <v/>
      </c>
      <c r="KP13" t="str">
        <f>IF(OR(D13="",'Tube Cutting'!C19=""),"",IF('Job Sheet'!W19="CWP 5 Channel Wall Mounted Remote",1,""))</f>
        <v/>
      </c>
      <c r="KQ13" t="str">
        <f>IF(OR(D13="",'Tube Cutting'!C19=""),"",IF('Job Sheet'!W19="CWP 8 Channel Remote with Timer",1,""))</f>
        <v/>
      </c>
      <c r="KR13" t="str">
        <f>IF(OR(D13="",'Tube Cutting'!C19=""),"",IF('Job Sheet'!W19="CWP Key Ring Remote",1,""))</f>
        <v/>
      </c>
      <c r="KS13" t="str">
        <f>IF(OR(D13="",'Tube Cutting'!C19=""),"",IF(OR('Job Sheet'!W19="Key Switch",'Job Sheet'!W19="Key Switch &amp; Key Switch Relay"),1,""))</f>
        <v/>
      </c>
      <c r="KT13" t="str">
        <f>IF(OR(D13="",'Tube Cutting'!C19=""),"",IF(OR('Job Sheet'!W19="Key Switch Relay",'Job Sheet'!W19="Key Switch &amp; Key Switch Relay"),1,""))</f>
        <v/>
      </c>
      <c r="KU13" t="str">
        <f>IF(OR(D13="",'Tube Cutting'!C19=""),"",IF(OR('Job Sheet'!U19="CW5 10nm Short Switch Motor with Inline Receiver",'Job Sheet'!U19="Maxim 10nm Switch Motor with Inline Receiver",'Job Sheet'!U19="CWP Manual Override 30Nm Motor with Inline Receiver",'Job Sheet'!U19="CWP Manual Override 50Nm Motor with Inline Receiver"),1,""))</f>
        <v/>
      </c>
      <c r="KY13" t="str">
        <f>IF(OR('Job Sheet'!U19="CW5 10nm Short Switch Motor",'Job Sheet'!U19="CW5 10nm Short Switch Motor with Inline Receiver"),1,"")</f>
        <v/>
      </c>
      <c r="LB13" t="str">
        <f>IF(OR(D13="",'Tube Cutting'!C19=""),"",IF(OR('Job Sheet'!U19="CWP Manual Override 30Nm Motor with Inline Receiver",'Job Sheet'!U19="CWP Manual Override 30Nm Motor"),1,""))</f>
        <v/>
      </c>
      <c r="LC13" t="str">
        <f>IF(OR(D13="",'Tube Cutting'!C19=""),"",IF(OR('Job Sheet'!U19="CWP Manual Override 50Nm Motor with Inline Receiver",'Job Sheet'!U19="CWP Manual Override 50Nm Motor"),1,""))</f>
        <v/>
      </c>
      <c r="LG13" t="str">
        <f>IF('Job Sheet'!U19="L10 ODS Motor",1,"")</f>
        <v/>
      </c>
      <c r="LH13" t="str">
        <f>IF('Job Sheet'!U19="L10 ODS Motor",1,"")</f>
        <v/>
      </c>
      <c r="LI13" t="str">
        <f>IF('Job Sheet'!U19="T20 ODS Motor",1,"")</f>
        <v/>
      </c>
      <c r="LJ13" t="str">
        <f>IF(OR('Job Sheet'!U19="T20 ODS Motor",'Job Sheet'!U19="T35 ODS Motor"),1,"")</f>
        <v/>
      </c>
      <c r="LK13" t="str">
        <f>IF(OR('Job Sheet'!U19="T20 ODS Motor",'Job Sheet'!U19="T35 ODS Motor"),2,"")</f>
        <v/>
      </c>
      <c r="LL13" t="str">
        <f>IF('Job Sheet'!U19="T35 ODS Motor",1,"")</f>
        <v/>
      </c>
      <c r="LM13" t="str">
        <f>IF('Job Sheet'!W19="Controller &amp; Charger",1,"")</f>
        <v/>
      </c>
      <c r="LN13" t="str">
        <f>IF(OR('Job Sheet'!T19="12v ODS System",'Job Sheet'!T19="Firesafe 12v ODS System"),1,"")</f>
        <v/>
      </c>
      <c r="LO13" t="str">
        <f>IF(OR('Job Sheet'!W19="RF Controller &amp; Charger",'Job Sheet'!W19="RF Controller, Charger &amp; 9 Channel Remote",'Job Sheet'!W19="RF Controller, Charger &amp; Single Channel Remote",'Job Sheet'!W19="Controller &amp; Charger"),1,"")</f>
        <v/>
      </c>
      <c r="LP13" t="str">
        <f>IF(OR('Job Sheet'!W19="RF Controller &amp; Charger",'Job Sheet'!W19="RF Controller, Charger &amp; Single Channel Remote",'Job Sheet'!W19="RF Controller, Charger &amp; 9 Channel Remote"),1,"")</f>
        <v/>
      </c>
      <c r="LQ13" t="str">
        <f>IF(OR('Job Sheet'!Z19="3 Way Switch for Bay Windows",'Job Sheet'!Z19="3 Way Switch for Bay Windows with Wiring Loom"),1,"")</f>
        <v/>
      </c>
      <c r="LR13" t="str">
        <f>IF('Job Sheet'!W19="RF Controller, Charger &amp; Single Channel Remote",1,"")</f>
        <v/>
      </c>
      <c r="LS13" t="str">
        <f>IF('Job Sheet'!W19="RF Controller, Charger &amp; 9 Channel Remote",1,"")</f>
        <v/>
      </c>
      <c r="LT13" t="str">
        <f>IF(OR('Job Sheet'!Z19="Wiring Loom Extension",'Job Sheet'!Z19="3 Way Switch for Bay Windows with Wiring Loom"),1,"")</f>
        <v/>
      </c>
      <c r="LU13" t="str">
        <f>IF('Job Sheet'!U19="Acmeda External 15nm Remote Motor",1,"")</f>
        <v/>
      </c>
      <c r="LV13" t="str">
        <f>IF('Job Sheet'!U19="Acmeda External 30nm Remote Motor",1,"")</f>
        <v/>
      </c>
      <c r="LW13" t="str">
        <f>IF('Job Sheet'!U19="Acmeda External 50nm Remote Motor",1,"")</f>
        <v/>
      </c>
      <c r="LX13" t="str">
        <f>IF(OR('Job Sheet'!U19="Acmeda External 15nm Remote Motor",'Job Sheet'!U19="Acmeda External 15nm Remote Motor"),1,"")</f>
        <v/>
      </c>
      <c r="LY13" t="str">
        <f>IF(OR('Job Sheet'!U19="Acmeda External 15nm Remote Motor",'Job Sheet'!U19="Acmeda External 15nm Remote Motor"),1,"")</f>
        <v/>
      </c>
      <c r="MC13" t="str">
        <f>IF(OR('Job Sheet'!Z19="Pulse 2.0 Automation Hub",'Job Sheet'!Z19="Pulse Pro Automation Hub"),1,"")</f>
        <v/>
      </c>
      <c r="MD13" t="str">
        <f>IF('Job Sheet'!Z19="1 Channel Dry Contact Relay Module",1,"")</f>
        <v/>
      </c>
      <c r="ME13" t="str">
        <f>IF('Job Sheet'!Z19="USB Repeater",1,"")</f>
        <v/>
      </c>
      <c r="MF13" t="str">
        <f>IF('Job Sheet'!W19="Acmeda 1 Channel White Remote",1,"")</f>
        <v/>
      </c>
      <c r="MG13" t="str">
        <f>IF('Job Sheet'!W19="Acmeda 1 Channel Black Remote",1,"")</f>
        <v/>
      </c>
      <c r="MH13" t="str">
        <f>IF('Job Sheet'!W19="Acmeda 5 Channel White Remote",1,"")</f>
        <v/>
      </c>
      <c r="MI13" t="str">
        <f>IF('Job Sheet'!W19="Acmeda 5 Channel Black Remote",1,"")</f>
        <v/>
      </c>
      <c r="MJ13" t="str">
        <f>IF('Job Sheet'!W19="Acmeda 15 Channel White Remote",1,"")</f>
        <v/>
      </c>
      <c r="MK13" t="str">
        <f>IF('Job Sheet'!W19="Acmeda 15 Channel Black Remote",1,"")</f>
        <v/>
      </c>
      <c r="ML13" t="str">
        <f>IF('Job Sheet'!W19="Acmeda Wall Mounted Single Channel White Remote",1,"")</f>
        <v/>
      </c>
      <c r="MM13" t="str">
        <f>IF('Job Sheet'!W19="Acmeda Wall Mounted 5 Channel White Remote",1,"")</f>
        <v/>
      </c>
      <c r="MN13" t="str">
        <f>IF('Job Sheet'!W19="Acmeda Wall Mounted 15 Channel White Remote",1,"")</f>
        <v/>
      </c>
      <c r="MO13" t="str">
        <f>IF('Job Sheet'!W19="Acmeda Push Pro White Remote with Charger",1,"")</f>
        <v/>
      </c>
      <c r="MP13" t="str">
        <f>IF('Job Sheet'!X19="Acmeda Push Pro Black Remote with Charger",1,"")</f>
        <v/>
      </c>
      <c r="MQ13" t="str">
        <f>IF(OR('Job Sheet'!X19="Acmeda Push Pro White Remote with Charger",'Job Sheet'!X19="Acmeda Push Pro Black Remote with Charger"),"1","")</f>
        <v/>
      </c>
      <c r="MR13" t="str">
        <f t="shared" si="2"/>
        <v/>
      </c>
      <c r="NE13" t="str">
        <f>IF('Job Sheet'!U19="Somfy Altus 50 RTS 6/17",1,"")</f>
        <v/>
      </c>
      <c r="NF13" t="str">
        <f>IF('Job Sheet'!U19="Somfy Altus 50 RTS 10/17",1,"")</f>
        <v/>
      </c>
      <c r="NG13" t="str">
        <f>IF('Job Sheet'!U19="Somfy Altus 50 RTS 15/17",1,"")</f>
        <v/>
      </c>
      <c r="NH13" t="str">
        <f>IF('Job Sheet'!U19="Somfy Altus 50 RTS 25/17",1,"")</f>
        <v/>
      </c>
      <c r="NI13" t="str">
        <f>IF('Job Sheet'!U19="Somfy Orea 50 WT 40/17",1,"")</f>
        <v/>
      </c>
      <c r="NJ13" t="str">
        <f t="shared" si="3"/>
        <v/>
      </c>
      <c r="NK13" t="str">
        <f t="shared" si="4"/>
        <v/>
      </c>
      <c r="NL13" t="str">
        <f t="shared" si="5"/>
        <v/>
      </c>
      <c r="NM13" t="str">
        <f>IF('Job Sheet'!Z19="Connexoon App Connector",1,"")</f>
        <v/>
      </c>
      <c r="NN13" t="str">
        <f>IF('Job Sheet'!Z19="Tahoma Switch",1,"")</f>
        <v/>
      </c>
      <c r="NO13" t="str">
        <f>IF('Job Sheet'!W19="Somfy Single Channel Silver Remote",1,"")</f>
        <v/>
      </c>
      <c r="NP13" t="str">
        <f>IF('Job Sheet'!W19="Somfy Single Channel White Remote",1,"")</f>
        <v/>
      </c>
      <c r="NQ13" t="str">
        <f>IF('Job Sheet'!W19="Somfy 2 Channel Silver Remote",1,"")</f>
        <v/>
      </c>
      <c r="NR13" t="str">
        <f>IF('Job Sheet'!W19="Somfy 2 Channel White Remote",1,"")</f>
        <v/>
      </c>
      <c r="NS13" t="str">
        <f>IF('Job Sheet'!W19="Somfy 5 Channel Silver Remote",1,"")</f>
        <v/>
      </c>
      <c r="NT13" t="str">
        <f>IF('Job Sheet'!W19="Somfy 5 Channel White Remote",1,"")</f>
        <v/>
      </c>
      <c r="NU13" t="str">
        <f>IF('Job Sheet'!W19="Somfy 15 Channel Silver Remote",1,"")</f>
        <v/>
      </c>
      <c r="NV13" t="str">
        <f>IF('Job Sheet'!W19="Somfy 15 Channel White Remote",1,"")</f>
        <v/>
      </c>
      <c r="NW13" t="str">
        <f>IF('Job Sheet'!W19="Somfy Single Channel Wall Mounted Smoove Remote White with Black Cover Plate",1,"")</f>
        <v/>
      </c>
      <c r="NX13" t="str">
        <f>IF('Job Sheet'!W19="Somfy Single Channel Wall Mounted Smoove Remote White with Silver Cover Plate",1,"")</f>
        <v/>
      </c>
      <c r="NY13" t="str">
        <f>IF('Job Sheet'!W19="Somfy Single Channel Wall Mounted Smoove Remote White",1,"")</f>
        <v/>
      </c>
      <c r="NZ13" t="str">
        <f>IF('Job Sheet'!W19="Somfy 2 Channel Wall Mounted Smoove Remote White with Black Cover Plate",1,"")</f>
        <v/>
      </c>
      <c r="OA13" t="str">
        <f>IF('Job Sheet'!W19="Somfy 2 Channel Wall Mounted Smoove Remote White with Silver Cover Plate",1,"")</f>
        <v/>
      </c>
      <c r="OB13" t="str">
        <f>IF('Job Sheet'!W19="Somfy 2 Channel Wall Mounted Smoove Remote White",1,"")</f>
        <v/>
      </c>
      <c r="OC13" t="str">
        <f>IF('Job Sheet'!W19="Somfy 5 Channel Wall Mounted Smoove Remote White with Black Cover Plate",1,"")</f>
        <v/>
      </c>
      <c r="OD13" t="str">
        <f>IF('Job Sheet'!W19="Somfy 5 Channel Wall Mounted Smoove Remote White with Silver Cover Plate",1,"")</f>
        <v/>
      </c>
      <c r="OE13" t="str">
        <f>IF('Job Sheet'!W19="Somfy 5 Channel Wall Mounted Smoove Remote White",1,"")</f>
        <v/>
      </c>
    </row>
    <row r="14" spans="4:395" s="128" customFormat="1" ht="13.2" customHeight="1">
      <c r="D14" s="128" t="str">
        <f>IF(Data!AV20="","",IF(OR('Order Form'!R18="Supplied by Davidson's",SUM(NE14:NI14)&lt;&gt;0),CONCATENATE(Data!BC$5,".",Data!BD$5),IF(AND('Order Form'!R18&lt;&gt;"Supplied by Davidson's",'Tube Cutting'!C20=""),"",CONCATENATE(Data!BC$5,".",Data!BD$5))))</f>
        <v>11804.C</v>
      </c>
      <c r="E14" s="128">
        <f>IF(D14="","",Data!AW20)</f>
        <v>10</v>
      </c>
      <c r="F14" s="128" t="str">
        <f>IF(D14="","",Data!AV20)</f>
        <v>e0edfadd-f7a2-4879-b2f0-d85fcdcef911</v>
      </c>
      <c r="G14" s="128" t="str">
        <f t="shared" si="0"/>
        <v>Roller Shutters</v>
      </c>
      <c r="H14" s="128" t="str">
        <f>IF(D14="","",Data!BF$5)</f>
        <v>Crow, Tahlia</v>
      </c>
      <c r="I14" s="128" t="str">
        <f>IF(D14="","",Data!AX$5)</f>
        <v>Roller Shutters</v>
      </c>
      <c r="J14" s="172" t="str">
        <f>IF(OR(D14="",'Tube Cutting'!C20=""),"",IF(AND(Data!BN20="42mm Standard Slat",Data!BO20="Black"),'Tube Cutting'!C20*'Tube Cutting'!D20/5800,IF(AND(Data!BN20="42mm Standard Slat",'Tube Cutting'!H20="Black"),'Tube Cutting'!C20*'Tube Cutting'!G20/5800,"")))</f>
        <v/>
      </c>
      <c r="K14" s="172" t="str">
        <f>IF(OR(D14="",'Tube Cutting'!C20=""),"",IF(AND(Data!BN20="42mm Standard Slat",Data!BO20="Clear Beige"),'Tube Cutting'!C20*'Tube Cutting'!D20/5800,IF(AND(Data!BN20="42mm Standard Slat",'Tube Cutting'!H20="Clear Beige"),'Tube Cutting'!C20*'Tube Cutting'!G20/5800,"")))</f>
        <v/>
      </c>
      <c r="L14" s="172">
        <f>IF(OR(D14="",'Tube Cutting'!C20=""),"",IF(AND(Data!BN20="42mm Standard Slat",Data!BO20="Dune"),'Tube Cutting'!C20*'Tube Cutting'!D20/5800,IF(AND(Data!BN20="42mm Standard Slat",'Tube Cutting'!H20="Dune"),'Tube Cutting'!C20*'Tube Cutting'!G20/5800,"")))</f>
        <v>8.67786206896552</v>
      </c>
      <c r="M14" s="172" t="str">
        <f>IF(OR(D14="",'Tube Cutting'!C20=""),"",IF(AND(Data!BN20="42mm Standard Slat",Data!BO20="Mag Cream"),'Tube Cutting'!C20*'Tube Cutting'!D20/5800,IF(AND(Data!BN20="42mm Standard Slat",'Tube Cutting'!H20="Mag Cream"),'Tube Cutting'!C20*'Tube Cutting'!G20/5800,"")))</f>
        <v/>
      </c>
      <c r="N14" s="172" t="str">
        <f>IF(OR(D14="",'Tube Cutting'!C20=""),"",IF(AND(Data!BN20="42mm Standard Slat",Data!BO20="Monument"),'Tube Cutting'!C20*'Tube Cutting'!D20/5800,IF(AND(Data!BN20="42mm Standard Slat",'Tube Cutting'!H20="Monument"),'Tube Cutting'!C20*'Tube Cutting'!G20/5800,"")))</f>
        <v/>
      </c>
      <c r="O14" s="172" t="str">
        <f>IF(OR(D14="",'Tube Cutting'!C20=""),"",IF(AND(Data!BN20="42mm Standard Slat",Data!BO20="Shale Grey"),'Tube Cutting'!C20*'Tube Cutting'!D20/5800,IF(AND(Data!BN20="42mm Standard Slat",'Tube Cutting'!H20="Shale Grey"),'Tube Cutting'!C20*'Tube Cutting'!G20/5800,"")))</f>
        <v/>
      </c>
      <c r="P14" s="172" t="str">
        <f>IF(OR(D14="",'Tube Cutting'!C20=""),"",IF(AND(Data!BN20="42mm Standard Slat",Data!BO20="White"),'Tube Cutting'!C20*'Tube Cutting'!D20/5800,IF(AND(Data!BN20="42mm Standard Slat",'Tube Cutting'!H20="White"),'Tube Cutting'!C20*'Tube Cutting'!G20/5800,"")))</f>
        <v/>
      </c>
      <c r="Q14" s="172" t="str">
        <f>IF(OR(D14="",'Tube Cutting'!C20=""),"",IF(AND(Data!BN20="42mm Standard Slat",Data!BO20="Woodland Grey"),'Tube Cutting'!C20*'Tube Cutting'!D20/5800,IF(AND(Data!BN20="42mm Standard Slat",'Tube Cutting'!H20="Woodland Grey"),'Tube Cutting'!C20*'Tube Cutting'!G20/5800,"")))</f>
        <v/>
      </c>
      <c r="R14" s="172" t="str">
        <f>IF(OR(D14="",'Tube Cutting'!C20=""),"",IF(AND(Data!BN20="42mm Standard Slat",Data!BO20="Cream"),'Tube Cutting'!C20*'Tube Cutting'!D20/5800,IF(AND(Data!BN20="42mm Standard Slat",'Tube Cutting'!H20="Cream"),'Tube Cutting'!C20*'Tube Cutting'!G20/5800,"")))</f>
        <v/>
      </c>
      <c r="S14" s="172" t="str">
        <f>IF(OR(D14="",'Tube Cutting'!C20=""),"",IF(AND(Data!BN20="42mm Standard Slat",Data!BO20="Brown"),'Tube Cutting'!C20*'Tube Cutting'!D20/5800,IF(AND(Data!BN20="42mm Standard Slat",'Tube Cutting'!H20="Brown"),'Tube Cutting'!C20*'Tube Cutting'!G20/5800,"")))</f>
        <v/>
      </c>
      <c r="T14" s="172" t="str">
        <f>IF(OR(D14="",'Tube Cutting'!C20=""),"",IF(AND(Data!BN20="42mm Standard Slat",Data!BO20="Beige"),'Tube Cutting'!C20*'Tube Cutting'!D20/5800,IF(AND(Data!BN20="42mm Standard Slat",'Tube Cutting'!H20="Beige"),'Tube Cutting'!C20*'Tube Cutting'!G20/5800,"")))</f>
        <v/>
      </c>
      <c r="U14" s="172" t="str">
        <f>IF(OR(D14="",'Tube Cutting'!C20=""),"",IF(AND(Data!BN20="42mm Standard Slat",Data!BO20="Green"),'Tube Cutting'!C20*'Tube Cutting'!D20/5800,IF(AND(Data!BN20="42mm Standard Slat",'Tube Cutting'!H20="Green"),'Tube Cutting'!C20*'Tube Cutting'!G20/5800,"")))</f>
        <v/>
      </c>
      <c r="V14" s="172" t="str">
        <f>IF(OR(D14="",'Tube Cutting'!C20=""),"",IF(AND(Data!BN20="42mm Standard Slat",Data!BO20="Red"),'Tube Cutting'!C20*'Tube Cutting'!D20/5800,IF(AND(Data!BN20="42mm Standard Slat",'Tube Cutting'!H20="Red"),'Tube Cutting'!C20*'Tube Cutting'!G20/5800,"")))</f>
        <v/>
      </c>
      <c r="W14" s="172" t="str">
        <f>IF(OR(D14="",'Tube Cutting'!C20=""),"",IF(AND(Data!BN20="42mm Standard Slat",Data!BO20="Bronze"),'Tube Cutting'!C20*'Tube Cutting'!D20/5800,IF(AND(Data!BN20="42mm Standard Slat",'Tube Cutting'!H20="Bronze"),'Tube Cutting'!C20*'Tube Cutting'!G20/5800,"")))</f>
        <v/>
      </c>
      <c r="X14" s="172" t="str">
        <f>IF(OR(D14="",'Tube Cutting'!C20=""),"",IF(AND(Data!BN20="42mm Standard Slat",Data!BO20="Silver"),'Tube Cutting'!C20*'Tube Cutting'!D20/5800,IF(AND(Data!BN20="42mm Standard Slat",'Tube Cutting'!H20="Silver"),'Tube Cutting'!C20*'Tube Cutting'!G20/5800,"")))</f>
        <v/>
      </c>
      <c r="Y14" s="172" t="str">
        <f>IF(OR(D14="",'Tube Cutting'!C20=""),"",IF(AND(Data!BN20="42mm Standard Slat",Data!BO20="Deep Ocean Blue"),'Tube Cutting'!C20*'Tube Cutting'!D20/5800,IF(AND(Data!BN20="42mm Standard Slat",'Tube Cutting'!H20="Deep Ocean Blue"),'Tube Cutting'!C20*'Tube Cutting'!G20/5800,"")))</f>
        <v/>
      </c>
      <c r="Z14" s="172" t="str">
        <f>IF(OR(D14="",'Tube Cutting'!C20=""),"",IF(AND(Data!BN20="42mm Standard Slat",Data!BO20="Jasper"),'Tube Cutting'!C20*'Tube Cutting'!D20/5800,IF(AND(Data!BN20="42mm Standard Slat",'Tube Cutting'!H20="Jasper"),'Tube Cutting'!C20*'Tube Cutting'!G20/5800,"")))</f>
        <v/>
      </c>
      <c r="AA14" s="172" t="str">
        <f>IF(OR(D14="",'Tube Cutting'!C20=""),"",IF(AND(Data!BN20="42mm Standard Slat",Data!BO20="Surfmist"),'Tube Cutting'!C20*'Tube Cutting'!D20/5800,IF(AND(Data!BN20="42mm Standard Slat",'Tube Cutting'!H20="Surfmist"),'Tube Cutting'!C20*'Tube Cutting'!G20/5800,"")))</f>
        <v/>
      </c>
      <c r="AB14" s="172" t="str">
        <f>IF(OR(D14="",'Tube Cutting'!C20=""),"",IF('Tube Cutting'!H20="Black Unperforated",'Tube Cutting'!G20*'Tube Cutting'!C20/5800,IF(AND(OR(Data!BN20="42mm Standard Slat",Data!BN20="42mm Unperforated Slat"),Data!BO20="Black"),('Tube Cutting'!C20*'Tube Cutting'!E20/1000)/5.8,"")))</f>
        <v/>
      </c>
      <c r="AC14" s="172" t="str">
        <f>IF(OR(D14="",'Tube Cutting'!C20=""),"",IF('Tube Cutting'!H20="Clear Beige Unperforated",'Tube Cutting'!G20*'Tube Cutting'!C20/5800,IF(AND(OR(Data!BN20="42mm Standard Slat",Data!BN20="42mm Unperforated Slat"),Data!BO20="Clear Beige"),('Tube Cutting'!C20*'Tube Cutting'!E20/1000)/5.8,"")))</f>
        <v/>
      </c>
      <c r="AD14" s="172">
        <f>IF(OR(D14="",'Tube Cutting'!C20=""),"",IF('Tube Cutting'!H20="Dune Unperforated",'Tube Cutting'!G20*'Tube Cutting'!C20/5800,IF(AND(OR(Data!BN20="42mm Standard Slat",Data!BN20="42mm Unperforated Slat"),Data!BO20="Dune"),('Tube Cutting'!C20*'Tube Cutting'!E20/1000)/5.8,"")))</f>
        <v>1.59051724137931</v>
      </c>
      <c r="AE14" s="172" t="str">
        <f>IF(OR(D14="",'Tube Cutting'!C20=""),"",IF('Tube Cutting'!H20="Mag Cream Unperforated",'Tube Cutting'!G20*'Tube Cutting'!C20/5800,IF(AND(OR(Data!BN20="42mm Standard Slat",Data!BN20="42mm Unperforated Slat"),Data!BO20="Mag Cream"),('Tube Cutting'!C20*'Tube Cutting'!E20/1000)/5.8,"")))</f>
        <v/>
      </c>
      <c r="AF14" s="172" t="str">
        <f>IF(OR(D14="",'Tube Cutting'!C20=""),"",IF('Tube Cutting'!H20="Monument Unperforated",'Tube Cutting'!G20*'Tube Cutting'!C20/5800,IF(AND(OR(Data!BN20="42mm Standard Slat",Data!BN20="42mm Unperforated Slat"),Data!BO20="Monument"),('Tube Cutting'!C20*'Tube Cutting'!E20/1000)/5.8,"")))</f>
        <v/>
      </c>
      <c r="AG14" s="172" t="str">
        <f>IF(OR(D14="",'Tube Cutting'!C20=""),"",IF('Tube Cutting'!H20="Shale Grey Unperforated",'Tube Cutting'!G20*'Tube Cutting'!C20/5800,IF(AND(OR(Data!BN20="42mm Standard Slat",Data!BN20="42mm Unperforated Slat"),Data!BO20="Shale Grey"),('Tube Cutting'!C20*'Tube Cutting'!E20/1000)/5.8,"")))</f>
        <v/>
      </c>
      <c r="AH14" s="172" t="str">
        <f>IF(OR(D14="",'Tube Cutting'!C20=""),"",IF('Tube Cutting'!H20="White Unperforated",'Tube Cutting'!G20*'Tube Cutting'!C20/5800,IF(AND(OR(Data!BN20="42mm Standard Slat",Data!BN20="42mm Unperforated Slat"),Data!BO20="White"),('Tube Cutting'!C20*'Tube Cutting'!E20/1000)/5.8,"")))</f>
        <v/>
      </c>
      <c r="AI14" s="172" t="str">
        <f>IF(OR(D14="",'Tube Cutting'!C20=""),"",IF('Tube Cutting'!H20="Woodland Grey Unperforated",'Tube Cutting'!G20*'Tube Cutting'!C20/5800,IF(AND(OR(Data!BN20="42mm Standard Slat",Data!BN20="42mm Unperforated Slat"),Data!BO20="Woodland Grey"),('Tube Cutting'!C20*'Tube Cutting'!E20/1000)/5.8,"")))</f>
        <v/>
      </c>
      <c r="AJ14" s="172" t="str">
        <f>IF(OR(D14="",'Tube Cutting'!C20=""),"",IF('Tube Cutting'!H20="Cream Unperforated",'Tube Cutting'!G20*'Tube Cutting'!C20/5800,IF(AND(OR(Data!BN20="42mm Standard Slat",Data!BN20="42mm Unperforated Slat"),Data!BO20="Cream"),('Tube Cutting'!C20*'Tube Cutting'!E20/1000)/5.8,"")))</f>
        <v/>
      </c>
      <c r="AK14" s="172" t="str">
        <f>IF(OR(D14="",'Tube Cutting'!C20=""),"",IF('Tube Cutting'!H20="Brown Unperforated",'Tube Cutting'!G20*'Tube Cutting'!C20/5800,IF(AND(OR(Data!BN20="42mm Standard Slat",Data!BN20="42mm Unperforated Slat"),Data!BO20="Brown"),('Tube Cutting'!C20*'Tube Cutting'!E20/1000)/5.8,"")))</f>
        <v/>
      </c>
      <c r="AL14" s="172" t="str">
        <f>IF(OR(D14="",'Tube Cutting'!C20=""),"",IF('Tube Cutting'!H20="Beige Unperforated",'Tube Cutting'!G20*'Tube Cutting'!C20/5800,IF(AND(OR(Data!BN20="42mm Standard Slat",Data!BN20="42mm Unperforated Slat"),Data!BO20="Beige"),('Tube Cutting'!C20*'Tube Cutting'!E20/1000)/5.8,"")))</f>
        <v/>
      </c>
      <c r="AM14" s="172" t="str">
        <f>IF(OR(D14="",'Tube Cutting'!C20=""),"",IF('Tube Cutting'!H20="Green Unperforated",'Tube Cutting'!G20*'Tube Cutting'!C20/5800,IF(AND(OR(Data!BN20="42mm Standard Slat",Data!BN20="42mm Unperforated Slat"),Data!BO20="Green"),('Tube Cutting'!C20*'Tube Cutting'!E20/1000)/5.8,"")))</f>
        <v/>
      </c>
      <c r="AN14" s="172" t="str">
        <f>IF(OR(D14="",'Tube Cutting'!C20=""),"",IF('Tube Cutting'!H20="Red Unperforated",'Tube Cutting'!G20*'Tube Cutting'!C20/5800,IF(AND(OR(Data!BN20="42mm Standard Slat",Data!BN20="42mm Unperforated Slat"),Data!BO20="Red"),('Tube Cutting'!C20*'Tube Cutting'!E20/1000)/5.8,"")))</f>
        <v/>
      </c>
      <c r="AO14" s="172" t="str">
        <f>IF(OR(D14="",'Tube Cutting'!C20=""),"",IF('Tube Cutting'!H20="Bronze Unperforated",'Tube Cutting'!G20*'Tube Cutting'!C20/5800,IF(AND(OR(Data!BN20="42mm Standard Slat",Data!BN20="42mm Unperforated Slat"),Data!BO20="Bronze"),('Tube Cutting'!C20*'Tube Cutting'!E20/1000)/5.8,"")))</f>
        <v/>
      </c>
      <c r="AP14" s="172" t="str">
        <f>IF(OR(D14="",'Tube Cutting'!C20=""),"",IF('Tube Cutting'!H20="Silver Unperforated",'Tube Cutting'!G20*'Tube Cutting'!C20/5800,IF(AND(OR(Data!BN20="42mm Standard Slat",Data!BN20="42mm Unperforated Slat"),Data!BO20="Silver"),('Tube Cutting'!C20*'Tube Cutting'!E20/1000)/5.8,"")))</f>
        <v/>
      </c>
      <c r="AQ14" s="172" t="str">
        <f>IF(OR(D14="",'Tube Cutting'!C20=""),"",IF('Tube Cutting'!H20="Deep Ocean Unperforated",'Tube Cutting'!G20*'Tube Cutting'!C20/5800,IF(AND(OR(Data!BN20="42mm Standard Slat",Data!BN20="42mm Unperforated Slat"),Data!BO20="Deep Ocean"),('Tube Cutting'!C20*'Tube Cutting'!E20/1000)/5.8,"")))</f>
        <v/>
      </c>
      <c r="AR14" s="172" t="str">
        <f>IF(OR(D14="",'Tube Cutting'!C20=""),"",IF('Tube Cutting'!H20="Jasper Unperforated",'Tube Cutting'!G20*'Tube Cutting'!C20/5800,IF(AND(OR(Data!BN20="42mm Standard Slat",Data!BN20="42mm Unperforated Slat"),Data!BO20="Jasper"),('Tube Cutting'!C20*'Tube Cutting'!E20/1000)/5.8,"")))</f>
        <v/>
      </c>
      <c r="AS14" s="172" t="str">
        <f>IF(OR(D14="",'Tube Cutting'!C20=""),"",IF('Tube Cutting'!H20="Surfmist Unperforated",'Tube Cutting'!G20*'Tube Cutting'!C20/5800,IF(AND(OR(Data!BN20="42mm Standard Slat",Data!BN20="42mm Unperforated Slat"),Data!BO20="Surfmist"),('Tube Cutting'!C20*'Tube Cutting'!E20/1000)/5.8,"")))</f>
        <v/>
      </c>
      <c r="AT14" s="128" t="str">
        <f>IF(OR(D14="",'Tube Cutting'!C20=""),"",IF(AND('Tube Cutting'!O20="Black",'Tube Cutting'!N20="180mm"),'Tube Cutting'!L20,""))</f>
        <v/>
      </c>
      <c r="AU14" s="128" t="str">
        <f>IF(OR(D14="",'Tube Cutting'!C20=""),"",IF(AND('Tube Cutting'!O20="Black",'Tube Cutting'!N20="180mm"),'Tube Cutting'!M20,""))</f>
        <v/>
      </c>
      <c r="AV14" s="128" t="str">
        <f>IF(OR(D14="",'Tube Cutting'!C20=""),"",IF(AND('Tube Cutting'!O20="Clear Beige",'Tube Cutting'!N20="180mm"),'Tube Cutting'!L20,""))</f>
        <v/>
      </c>
      <c r="AW14" s="128" t="str">
        <f>IF(OR(D14="",'Tube Cutting'!C20=""),"",IF(AND('Tube Cutting'!O20="Clear Beige",'Tube Cutting'!N20="180mm"),'Tube Cutting'!M20,""))</f>
        <v/>
      </c>
      <c r="AX14" s="128" t="str">
        <f>IF(OR(D14="",'Tube Cutting'!C20=""),"",IF(AND('Tube Cutting'!O20="Dune",'Tube Cutting'!N20="180mm"),'Tube Cutting'!L20,""))</f>
        <v/>
      </c>
      <c r="AY14" s="128" t="str">
        <f>IF(OR(D14="",'Tube Cutting'!C20=""),"",IF(AND('Tube Cutting'!O20="Dune",'Tube Cutting'!N20="180mm"),'Tube Cutting'!M20,""))</f>
        <v/>
      </c>
      <c r="AZ14" s="128" t="str">
        <f>IF(OR(D14="",'Tube Cutting'!C20=""),"",IF(AND('Tube Cutting'!O20="Mag Cream",'Tube Cutting'!N20="180mm"),'Tube Cutting'!L20,""))</f>
        <v/>
      </c>
      <c r="BA14" s="128" t="str">
        <f>IF(OR(D14="",'Tube Cutting'!C20=""),"",IF(AND('Tube Cutting'!O20="Mag Cream",'Tube Cutting'!N20="180mm"),'Tube Cutting'!M20,""))</f>
        <v/>
      </c>
      <c r="BB14" s="128">
        <f>IF(OR(D14="",'Tube Cutting'!C20=""),"",IF(AND('Tube Cutting'!O20="Monument",'Tube Cutting'!N20="180mm"),'Tube Cutting'!L20,""))</f>
        <v>1907</v>
      </c>
      <c r="BC14" s="128">
        <f>IF(OR(D14="",'Tube Cutting'!C20=""),"",IF(AND('Tube Cutting'!O20="Monument",'Tube Cutting'!N20="180mm"),'Tube Cutting'!M20,""))</f>
        <v>1907</v>
      </c>
      <c r="BD14" s="128" t="str">
        <f>IF(OR(D14="",'Tube Cutting'!C20=""),"",IF(AND('Tube Cutting'!O20="Shale Grey",'Tube Cutting'!N20="180mm"),'Tube Cutting'!L20,""))</f>
        <v/>
      </c>
      <c r="BE14" s="128" t="str">
        <f>IF(OR(D14="",'Tube Cutting'!C20=""),"",IF(AND('Tube Cutting'!O20="Shale Grey",'Tube Cutting'!N20="180mm"),'Tube Cutting'!M20,""))</f>
        <v/>
      </c>
      <c r="BF14" s="128" t="str">
        <f>IF(OR(D14="",'Tube Cutting'!C20=""),"",IF(AND('Tube Cutting'!O20="White",'Tube Cutting'!N20="180mm"),'Tube Cutting'!L20,""))</f>
        <v/>
      </c>
      <c r="BG14" s="128" t="str">
        <f>IF(OR(D14="",'Tube Cutting'!C20=""),"",IF(AND('Tube Cutting'!O20="White",'Tube Cutting'!N20="180mm"),'Tube Cutting'!M20,""))</f>
        <v/>
      </c>
      <c r="BH14" s="128" t="str">
        <f>IF(OR(D14="",'Tube Cutting'!C20=""),"",IF(AND('Tube Cutting'!O20="Woodland Grey",'Tube Cutting'!N20="180mm"),'Tube Cutting'!L20,""))</f>
        <v/>
      </c>
      <c r="BI14" s="128" t="str">
        <f>IF(OR(D14="",'Tube Cutting'!C20=""),"",IF(AND('Tube Cutting'!O20="Woodland Grey",'Tube Cutting'!N20="180mm"),'Tube Cutting'!M20,""))</f>
        <v/>
      </c>
      <c r="BJ14" s="128" t="str">
        <f>IF(OR(D14="",'Tube Cutting'!C20=""),"",IF(AND('Tube Cutting'!O20="Cream",'Tube Cutting'!N20="180mm"),'Tube Cutting'!L20,""))</f>
        <v/>
      </c>
      <c r="BK14" s="128" t="str">
        <f>IF(OR(D14="",'Tube Cutting'!C20=""),"",IF(AND('Tube Cutting'!O20="Cream",'Tube Cutting'!N20="180mm"),'Tube Cutting'!M20,""))</f>
        <v/>
      </c>
      <c r="BL14" s="128" t="str">
        <f>IF(OR(D14="",'Tube Cutting'!C20=""),"",IF(AND('Tube Cutting'!O20="Brown",'Tube Cutting'!N20="180mm"),'Tube Cutting'!L20,""))</f>
        <v/>
      </c>
      <c r="BM14" s="128" t="str">
        <f>IF(OR(D14="",'Tube Cutting'!C20=""),"",IF(AND('Tube Cutting'!O20="Brown",'Tube Cutting'!N20="180mm"),'Tube Cutting'!M20,""))</f>
        <v/>
      </c>
      <c r="BN14" s="128" t="str">
        <f>IF(OR(D14="",'Tube Cutting'!C20=""),"",IF(AND('Tube Cutting'!O20="Surfmist",'Tube Cutting'!N20="180mm"),'Tube Cutting'!L20,""))</f>
        <v/>
      </c>
      <c r="BO14" s="128" t="str">
        <f>IF(OR(D14="",'Tube Cutting'!C20=""),"",IF(AND('Tube Cutting'!O20="Surfmist",'Tube Cutting'!N20="180mm"),'Tube Cutting'!M20,""))</f>
        <v/>
      </c>
      <c r="BP14" s="128" t="str">
        <f>IF(OR(D14="",'Tube Cutting'!C20=""),"",IF(AND('Tube Cutting'!O20="Jasper",'Tube Cutting'!N20="180mm"),'Tube Cutting'!L20,""))</f>
        <v/>
      </c>
      <c r="BQ14" s="128" t="str">
        <f>IF(OR(D14="",'Tube Cutting'!C20=""),"",IF(AND('Tube Cutting'!O20="Jasper",'Tube Cutting'!N20="180mm"),'Tube Cutting'!M20,""))</f>
        <v/>
      </c>
      <c r="BR14" s="128" t="str">
        <f>IF(OR(E14="",'Tube Cutting'!D20=""),"",IF(AND('Tube Cutting'!O20="Red",'Tube Cutting'!N20="180mm"),'Tube Cutting'!L20,""))</f>
        <v/>
      </c>
      <c r="BS14" s="128" t="str">
        <f>IF(OR(E14="",'Tube Cutting'!D20=""),"",IF(AND('Tube Cutting'!O20="Red",'Tube Cutting'!N20="180mm"),'Tube Cutting'!M20,""))</f>
        <v/>
      </c>
      <c r="BT14" s="128" t="str">
        <f>IF(OR(D14="",'Tube Cutting'!C20=""),"",IF(AND('Tube Cutting'!O20="Black",'Tube Cutting'!N20="205mm"),'Tube Cutting'!L20,""))</f>
        <v/>
      </c>
      <c r="BU14" s="128" t="str">
        <f>IF(OR(D14="",'Tube Cutting'!C20=""),"",IF(AND('Tube Cutting'!O20="Black",'Tube Cutting'!N20="205mm"),'Tube Cutting'!M20,""))</f>
        <v/>
      </c>
      <c r="BV14" s="128" t="str">
        <f>IF(OR(D14="",'Tube Cutting'!C20=""),"",IF(AND('Tube Cutting'!O20="Clear Beige",'Tube Cutting'!N20="205mm"),'Tube Cutting'!L20,""))</f>
        <v/>
      </c>
      <c r="BW14" s="128" t="str">
        <f>IF(OR(D14="",'Tube Cutting'!C20=""),"",IF(AND('Tube Cutting'!O20="Clear Beige",'Tube Cutting'!N20="205mm"),'Tube Cutting'!M20,""))</f>
        <v/>
      </c>
      <c r="BX14" s="128" t="str">
        <f>IF(OR(D14="",'Tube Cutting'!C20=""),"",IF(AND('Tube Cutting'!O20="Dune",'Tube Cutting'!N20="205mm"),'Tube Cutting'!L20,""))</f>
        <v/>
      </c>
      <c r="BY14" s="128" t="str">
        <f>IF(OR(D14="",'Tube Cutting'!C20=""),"",IF(AND('Tube Cutting'!O20="Dune",'Tube Cutting'!N20="205mm"),'Tube Cutting'!M20,""))</f>
        <v/>
      </c>
      <c r="BZ14" s="128" t="str">
        <f>IF(OR(D14="",'Tube Cutting'!C20=""),"",IF(AND('Tube Cutting'!O20="Mag Cream",'Tube Cutting'!N20="205mm"),'Tube Cutting'!L20,""))</f>
        <v/>
      </c>
      <c r="CA14" s="128" t="str">
        <f>IF(OR(D14="",'Tube Cutting'!C20=""),"",IF(AND('Tube Cutting'!O20="Mag Cream",'Tube Cutting'!N20="205mm"),'Tube Cutting'!M20,""))</f>
        <v/>
      </c>
      <c r="CB14" s="128" t="str">
        <f>IF(OR(D14="",'Tube Cutting'!C20=""),"",IF(AND('Tube Cutting'!O20="Monument",'Tube Cutting'!N20="205mm"),'Tube Cutting'!L20,""))</f>
        <v/>
      </c>
      <c r="CC14" s="128" t="str">
        <f>IF(OR(D14="",'Tube Cutting'!C20=""),"",IF(AND('Tube Cutting'!O20="Monument",'Tube Cutting'!N20="205mm"),'Tube Cutting'!M20,""))</f>
        <v/>
      </c>
      <c r="CD14" s="128" t="str">
        <f>IF(OR(D14="",'Tube Cutting'!C20=""),"",IF(AND('Tube Cutting'!O20="Shale Grey",'Tube Cutting'!N20="205mm"),'Tube Cutting'!L20,""))</f>
        <v/>
      </c>
      <c r="CE14" s="128" t="str">
        <f>IF(OR(D14="",'Tube Cutting'!C20=""),"",IF(AND('Tube Cutting'!O20="Shale Grey",'Tube Cutting'!N20="205mm"),'Tube Cutting'!M20,""))</f>
        <v/>
      </c>
      <c r="CF14" s="128" t="str">
        <f>IF(OR(D14="",'Tube Cutting'!C20=""),"",IF(AND('Tube Cutting'!O20="White",'Tube Cutting'!N20="205mm"),'Tube Cutting'!L20,""))</f>
        <v/>
      </c>
      <c r="CG14" s="128" t="str">
        <f>IF(OR(D14="",'Tube Cutting'!C20=""),"",IF(AND('Tube Cutting'!O20="White",'Tube Cutting'!N20="205mm"),'Tube Cutting'!M20,""))</f>
        <v/>
      </c>
      <c r="CH14" s="128" t="str">
        <f>IF(OR(D14="",'Tube Cutting'!C20=""),"",IF(AND('Tube Cutting'!O20="Woodland Grey",'Tube Cutting'!N20="205mm"),'Tube Cutting'!L20,""))</f>
        <v/>
      </c>
      <c r="CI14" s="128" t="str">
        <f>IF(OR(D14="",'Tube Cutting'!C20=""),"",IF(AND('Tube Cutting'!O20="Woodland Grey",'Tube Cutting'!N20="205mm"),'Tube Cutting'!M20,""))</f>
        <v/>
      </c>
      <c r="CJ14" s="128" t="str">
        <f>IF(OR(D14="",'Tube Cutting'!C20=""),"",IF(AND('Tube Cutting'!O20="Cream",'Tube Cutting'!N20="205mm"),'Tube Cutting'!L20,""))</f>
        <v/>
      </c>
      <c r="CK14" s="128" t="str">
        <f>IF(OR(D14="",'Tube Cutting'!C20=""),"",IF(AND('Tube Cutting'!O20="Cream",'Tube Cutting'!N20="205mm"),'Tube Cutting'!M20,""))</f>
        <v/>
      </c>
      <c r="CL14" s="128" t="str">
        <f>IF(OR(D14="",'Tube Cutting'!C20=""),"",IF(AND('Tube Cutting'!O20="Brown",'Tube Cutting'!N20="205mm"),'Tube Cutting'!L20,""))</f>
        <v/>
      </c>
      <c r="CM14" s="128" t="str">
        <f>IF(OR(D14="",'Tube Cutting'!C20=""),"",IF(AND('Tube Cutting'!O20="Brown",'Tube Cutting'!N20="205mm"),'Tube Cutting'!M20,""))</f>
        <v/>
      </c>
      <c r="CN14" s="128" t="str">
        <f>IF(OR(D14="",'Tube Cutting'!C20=""),"",IF(AND('Tube Cutting'!O20="Surfmist",'Tube Cutting'!N20="205mm"),'Tube Cutting'!L20,""))</f>
        <v/>
      </c>
      <c r="CO14" s="128" t="str">
        <f>IF(OR(D14="",'Tube Cutting'!C20=""),"",IF(AND('Tube Cutting'!O20="Surfmist",'Tube Cutting'!N20="205mm"),'Tube Cutting'!M20,""))</f>
        <v/>
      </c>
      <c r="CP14" s="128" t="str">
        <f>IF(OR(D14="",'Tube Cutting'!C20=""),"",IF(AND('Tube Cutting'!O20="Jasper",'Tube Cutting'!N20="205mm"),'Tube Cutting'!L20,""))</f>
        <v/>
      </c>
      <c r="CQ14" s="128" t="str">
        <f>IF(OR(D14="",'Tube Cutting'!C20=""),"",IF(AND('Tube Cutting'!O20="Jasper",'Tube Cutting'!N20="205mm"),'Tube Cutting'!M20,""))</f>
        <v/>
      </c>
      <c r="CR14" s="128" t="str">
        <f>IF(OR(D14="",'Tube Cutting'!C20=""),"",IF(AND('Tube Cutting'!O20="Cream",'Tube Cutting'!N20="230mm"),'Tube Cutting'!L20,""))</f>
        <v/>
      </c>
      <c r="CS14" s="128" t="str">
        <f>IF(OR(D14="",'Tube Cutting'!C20=""),"",IF(AND('Tube Cutting'!O20="Cream",'Tube Cutting'!N20="230mm"),'Tube Cutting'!M20,""))</f>
        <v/>
      </c>
      <c r="CT14" s="128" t="str">
        <f>IF(OR(D14="",'Tube Cutting'!C20=""),"",IF(AND('Tube Cutting'!O20="Mag Cream",'Tube Cutting'!N20="230mm"),'Tube Cutting'!L20,""))</f>
        <v/>
      </c>
      <c r="CU14" s="128" t="str">
        <f>IF(OR(D14="",'Tube Cutting'!C20=""),"",IF(AND('Tube Cutting'!O20="Mag Cream",'Tube Cutting'!N20="230mm"),'Tube Cutting'!M20,""))</f>
        <v/>
      </c>
      <c r="CV14" s="128" t="str">
        <f>IF(OR(D14="",'Tube Cutting'!C20=""),"",IF(AND('Tube Cutting'!O20="Clear Beige",'Tube Cutting'!N20="230mm"),'Tube Cutting'!L20,""))</f>
        <v/>
      </c>
      <c r="CW14" s="128" t="str">
        <f>IF(OR(D14="",'Tube Cutting'!C20=""),"",IF(AND('Tube Cutting'!O20="Clear Beige",'Tube Cutting'!N20="230mm"),'Tube Cutting'!M20,""))</f>
        <v/>
      </c>
      <c r="CX14" s="128" t="str">
        <f>IF(OR(D14="",'Tube Cutting'!C20=""),"",IF(AND('Tube Cutting'!O20="White",'Tube Cutting'!N20="230mm"),'Tube Cutting'!L20,""))</f>
        <v/>
      </c>
      <c r="CY14" s="128" t="str">
        <f>IF(OR(D14="",'Tube Cutting'!C20=""),"",IF(AND('Tube Cutting'!O20="White",'Tube Cutting'!N20="230mm"),'Tube Cutting'!M20,""))</f>
        <v/>
      </c>
      <c r="CZ14" s="128" t="str">
        <f>IF(OR(D14="",'Tube Cutting'!C20=""),"",IF(AND('Tube Cutting'!O20="Shale Grey",'Tube Cutting'!N20="230mm"),'Tube Cutting'!L20,""))</f>
        <v/>
      </c>
      <c r="DA14" s="128" t="str">
        <f>IF(OR(D14="",'Tube Cutting'!C20=""),"",IF(AND('Tube Cutting'!O20="Shale Grey",'Tube Cutting'!N20="230mm"),'Tube Cutting'!M20,""))</f>
        <v/>
      </c>
      <c r="DB14" s="128" t="str">
        <f>IF(OR(D14="",'Tube Cutting'!C20=""),"",IF(AND('Tube Cutting'!O20="Black",'Tube Cutting'!N20="230mm"),'Tube Cutting'!L20,""))</f>
        <v/>
      </c>
      <c r="DC14" s="128" t="str">
        <f>IF(OR(D14="",'Tube Cutting'!C20=""),"",IF(AND('Tube Cutting'!O20="Black",'Tube Cutting'!N20="230mm"),'Tube Cutting'!M20,""))</f>
        <v/>
      </c>
      <c r="DD14" s="128" t="str">
        <f>IF(OR(D14="",'Tube Cutting'!C20=""),"",IF(AND('Tube Cutting'!O20="Monument",'Tube Cutting'!N20="230mm"),'Tube Cutting'!L20,""))</f>
        <v/>
      </c>
      <c r="DE14" s="128" t="str">
        <f>IF(OR(D14="",'Tube Cutting'!C20=""),"",IF(AND('Tube Cutting'!O20="Monument",'Tube Cutting'!N20="230mm"),'Tube Cutting'!M20,""))</f>
        <v/>
      </c>
      <c r="DF14" s="128" t="str">
        <f>IF(OR(D14="",'Tube Cutting'!C20=""),"",IF(AND('Tube Cutting'!O20="Woodland Grey",'Tube Cutting'!N20="230mm"),'Tube Cutting'!L20,""))</f>
        <v/>
      </c>
      <c r="DG14" s="128" t="str">
        <f>IF(OR(D14="",'Tube Cutting'!C20=""),"",IF(AND('Tube Cutting'!O20="Woodland Grey",'Tube Cutting'!N20="230mm"),'Tube Cutting'!M20,""))</f>
        <v/>
      </c>
      <c r="DH14" s="128" t="str">
        <f>IF(OR(D14="",'Tube Cutting'!C20=""),"",IF(AND('Tube Cutting'!O20="Surfmist",'Tube Cutting'!N20="230mm"),'Tube Cutting'!L20,""))</f>
        <v/>
      </c>
      <c r="DI14" s="128" t="str">
        <f>IF(OR(D14="",'Tube Cutting'!C20=""),"",IF(AND('Tube Cutting'!O20="Surfmist",'Tube Cutting'!N20="230mm"),'Tube Cutting'!M20,""))</f>
        <v/>
      </c>
      <c r="DJ14" s="128" t="str">
        <f>IF(OR(D14="",'Tube Cutting'!C20=""),"",IF(AND('Tube Cutting'!O20="Jasper",'Tube Cutting'!N20="230mm"),'Tube Cutting'!L20,""))</f>
        <v/>
      </c>
      <c r="DK14" s="128" t="str">
        <f>IF(OR(D14="",'Tube Cutting'!C20=""),"",IF(AND('Tube Cutting'!O20="Jasper",'Tube Cutting'!N20="230mm"),'Tube Cutting'!M20,""))</f>
        <v/>
      </c>
      <c r="DL14" s="128" t="str">
        <f>IF(OR(D14="",'Tube Cutting'!C20=""),"",IF(AND('Tube Cutting'!O20="Dune",'Tube Cutting'!N20="230mm"),'Tube Cutting'!L20,""))</f>
        <v/>
      </c>
      <c r="DM14" s="128" t="str">
        <f>IF(OR(D14="",'Tube Cutting'!C20=""),"",IF(AND('Tube Cutting'!O20="Dune",'Tube Cutting'!N20="230mm"),'Tube Cutting'!M20,""))</f>
        <v/>
      </c>
      <c r="DN14" s="128" t="str">
        <f>IF(OR(D14="",'Tube Cutting'!C20=""),"",IF(AND('Tube Cutting'!R20="Cream",'Job Sheet'!AG20="Bay Window Flashing x 1"),'Job Sheet'!BB20,IF(AND('Tube Cutting'!R20="Cream",'Job Sheet'!AG20="Bay Window Flashing x 2"),'Job Sheet'!BB20*2,"")))</f>
        <v/>
      </c>
      <c r="DO14" s="128" t="str">
        <f>IF(OR(D14="",'Tube Cutting'!C20=""),"",IF(AND('Tube Cutting'!R20="Mag",'Job Sheet'!AG20="Bay Window Flashing x 1"),'Job Sheet'!BB20,IF(AND('Tube Cutting'!R20="Mag Cream",'Job Sheet'!AG20="Bay Window Flashing x 2"),'Job Sheet'!BB20*2,"")))</f>
        <v/>
      </c>
      <c r="DP14" s="128" t="str">
        <f>IF(OR(D14="",'Tube Cutting'!C20=""),"",IF(AND('Tube Cutting'!R20="Clear Beige",'Job Sheet'!AG20="Bay Window Flashing x 1"),'Job Sheet'!BB20,IF(AND('Tube Cutting'!R20="Clear Beige",'Job Sheet'!AG20="Bay Window Flashing x 2"),'Job Sheet'!BB20*2,"")))</f>
        <v/>
      </c>
      <c r="DQ14" s="128" t="str">
        <f>IF(OR(D14="",'Tube Cutting'!C20=""),"",IF(AND('Tube Cutting'!R20="White",'Job Sheet'!AG20="Bay Window Flashing x 1"),'Job Sheet'!BB20,IF(AND('Tube Cutting'!R20="White",'Job Sheet'!AG20="Bay Window Flashing x 2"),'Job Sheet'!BB20*2,"")))</f>
        <v/>
      </c>
      <c r="DR14" s="128" t="str">
        <f>IF(OR(D14="",'Tube Cutting'!C20=""),"",IF(AND('Tube Cutting'!R20="Shale Grey",'Job Sheet'!AG20="Bay Window Flashing x 1"),'Job Sheet'!BB20,IF(AND('Tube Cutting'!R20="Shale Grey",'Job Sheet'!AG20="Bay Window Flashing x 2"),'Job Sheet'!BB20*2,"")))</f>
        <v/>
      </c>
      <c r="DS14" s="128" t="str">
        <f>IF(OR(D14="",'Tube Cutting'!C20=""),"",IF(AND('Tube Cutting'!R20="Brown",'Job Sheet'!AG20="Bay Window Flashing x 1"),'Job Sheet'!BB20,IF(AND('Tube Cutting'!R20="Brown",'Job Sheet'!AG20="Bay Window Flashing x 2"),'Job Sheet'!BB20*2,"")))</f>
        <v/>
      </c>
      <c r="DT14" s="128" t="str">
        <f>IF(OR(D14="",'Tube Cutting'!C20=""),"",IF(AND('Tube Cutting'!R20="Black",'Job Sheet'!AG20="Bay Window Flashing x 1"),'Job Sheet'!BB20,IF(AND('Tube Cutting'!R20="Black",'Job Sheet'!AG20="Bay Window Flashing x 2"),'Job Sheet'!BB20*2,"")))</f>
        <v/>
      </c>
      <c r="DU14" s="128" t="str">
        <f>IF(OR(D14="",'Tube Cutting'!C20=""),"",IF(AND('Tube Cutting'!R20="Monument",'Job Sheet'!AG20="Bay Window Flashing x 1"),'Job Sheet'!BB20,IF(AND('Tube Cutting'!R20="Monument",'Job Sheet'!AG20="Bay Window Flashing x 2"),'Job Sheet'!BB20*2,"")))</f>
        <v/>
      </c>
      <c r="DV14" s="128" t="str">
        <f>IF(OR(D14="",'Tube Cutting'!C20=""),"",IF(AND('Tube Cutting'!R20="Woodland Grey",'Job Sheet'!AG20="Bay Window Flashing x 1"),'Job Sheet'!BB20,IF(AND('Tube Cutting'!R20="Woodland Grey",'Job Sheet'!AG20="Bay Window Flashing x 2"),'Job Sheet'!BB20*2,"")))</f>
        <v/>
      </c>
      <c r="DW14" s="128" t="str">
        <f>IF(OR(D14="",'Tube Cutting'!C20=""),"",IF(AND('Tube Cutting'!R20="Surfmist",'Job Sheet'!AG20="Bay Window Flashing x 1"),'Job Sheet'!BB20,IF(AND('Tube Cutting'!R20="Surfmist",'Job Sheet'!AG20="Bay Window Flashing x 2"),'Job Sheet'!BB20*2,"")))</f>
        <v/>
      </c>
      <c r="DX14" s="128" t="str">
        <f>IF(OR(D14="",'Tube Cutting'!C20=""),"",IF(AND('Tube Cutting'!R20="Jasper",'Job Sheet'!AG20="Bay Window Flashing x 1"),'Job Sheet'!BB20,IF(AND('Tube Cutting'!R20="Jasper",'Job Sheet'!AG20="Bay Window Flashing x 2"),'Job Sheet'!BB20*2,"")))</f>
        <v/>
      </c>
      <c r="DY14" s="128" t="str">
        <f>IF(OR(D14="",'Tube Cutting'!C20=""),"",IF(AND('Tube Cutting'!R20="Dune",'Job Sheet'!AG20="Bay Window Flashing x 1"),'Job Sheet'!BB20,IF(AND('Tube Cutting'!R20="Dune",'Job Sheet'!AG20="Bay Window Flashing x 2"),'Job Sheet'!BB20*2,"")))</f>
        <v/>
      </c>
      <c r="DZ14" s="128" t="str">
        <f>IF(OR(D14="",'Tube Cutting'!C20=""),"",IF('Tube Cutting'!R20="Cream",IF(SUM('Job Sheet'!BR20:BU20)=0,"",SUM('Job Sheet'!BR20:BU20)),""))</f>
        <v/>
      </c>
      <c r="EA14" s="128" t="str">
        <f>IF(OR(D14="",'Tube Cutting'!C20=""),"",IF('Tube Cutting'!R20="Mag Cream",IF(SUM('Job Sheet'!BR20:BU20)=0,"",SUM('Job Sheet'!BR20:BU20)),""))</f>
        <v/>
      </c>
      <c r="EB14" s="128" t="str">
        <f>IF(OR(D14="",'Tube Cutting'!C20=""),"",IF('Tube Cutting'!R20="Clear Beige",IF(SUM('Job Sheet'!BR20:BU20)=0,"",SUM('Job Sheet'!BR20:BU20)),""))</f>
        <v/>
      </c>
      <c r="EC14" s="128" t="str">
        <f>IF(OR(D14="",'Tube Cutting'!C20=""),"",IF('Tube Cutting'!R20="White",IF(SUM('Job Sheet'!BR20:BU20)=0,"",SUM('Job Sheet'!BR20:BU20)),""))</f>
        <v/>
      </c>
      <c r="ED14" s="128" t="str">
        <f>IF(OR(D14="",'Tube Cutting'!C20=""),"",IF('Tube Cutting'!R20="Shale Grey",IF(SUM('Job Sheet'!BR20:BU20)=0,"",SUM('Job Sheet'!BR20:BU20)),""))</f>
        <v/>
      </c>
      <c r="EE14" s="128" t="str">
        <f>IF(OR(D14="",'Tube Cutting'!C20=""),"",IF('Tube Cutting'!R20="Brown",IF(SUM('Job Sheet'!BR20:BU20)=0,"",SUM('Job Sheet'!BR20:BU20)),""))</f>
        <v/>
      </c>
      <c r="EF14" s="128" t="str">
        <f>IF(OR(D14="",'Tube Cutting'!C20=""),"",IF('Tube Cutting'!R20="Black",IF(SUM('Job Sheet'!BR20:BU20)=0,"",SUM('Job Sheet'!BR20:BU20)),""))</f>
        <v/>
      </c>
      <c r="EG14" s="128" t="str">
        <f>IF(OR(D14="",'Tube Cutting'!C20=""),"",IF('Tube Cutting'!R20="Monument",IF(SUM('Job Sheet'!BR20:BU20)=0,"",SUM('Job Sheet'!BR20:BU20)),""))</f>
        <v/>
      </c>
      <c r="EH14" s="128" t="str">
        <f>IF(OR(D14="",'Tube Cutting'!C20=""),"",IF('Tube Cutting'!R20="Woodland Grey",IF(SUM('Job Sheet'!BR20:BU20)=0,"",SUM('Job Sheet'!BR20:BU20)),""))</f>
        <v/>
      </c>
      <c r="EI14" s="128" t="str">
        <f>IF(OR(D14="",'Tube Cutting'!C20=""),"",IF('Tube Cutting'!R20="Surfmist",IF(SUM('Job Sheet'!BR20:BU20)=0,"",SUM('Job Sheet'!BR20:BU20)),""))</f>
        <v/>
      </c>
      <c r="EJ14" s="128" t="str">
        <f>IF(OR(D14="",'Tube Cutting'!C20=""),"",IF('Tube Cutting'!R20="Jasper",IF(SUM('Job Sheet'!BR20:BU20)=0,"",SUM('Job Sheet'!BR20:BU20)),""))</f>
        <v/>
      </c>
      <c r="EK14" s="128" t="str">
        <f>IF(OR(D14="",'Tube Cutting'!C20=""),"",IF('Tube Cutting'!R20="Dune",IF(SUM('Job Sheet'!BR20:BU20)=0,"",SUM('Job Sheet'!BR20:BU20)),""))</f>
        <v/>
      </c>
      <c r="EL14" s="128" t="str">
        <f>IF(OR(D14="",'Tube Cutting'!C20=""),"",IF('Tube Cutting'!R20="Cream",IF(SUM('Job Sheet'!BV20:BY20)=0,"",SUM('Job Sheet'!BV20:BY20)),""))</f>
        <v/>
      </c>
      <c r="EM14" s="128" t="str">
        <f>IF(OR(D14="",'Tube Cutting'!C20=""),"",IF('Tube Cutting'!R20="Mag Cream",IF(SUM('Job Sheet'!BV20:BY20)=0,"",SUM('Job Sheet'!BV20:BY20)),""))</f>
        <v/>
      </c>
      <c r="EN14" s="128" t="str">
        <f>IF(OR(D14="",'Tube Cutting'!C20=""),"",IF('Tube Cutting'!R20="Clear Beige",IF(SUM('Job Sheet'!BV20:BY20)=0,"",SUM('Job Sheet'!BV20:BY20)),""))</f>
        <v/>
      </c>
      <c r="EO14" s="128" t="str">
        <f>IF(OR(D14="",'Tube Cutting'!C20=""),"",IF('Tube Cutting'!R20="White",IF(SUM('Job Sheet'!BV20:BY20)=0,"",SUM('Job Sheet'!BV20:BY20)),""))</f>
        <v/>
      </c>
      <c r="EP14" s="128" t="str">
        <f>IF(OR(D14="",'Tube Cutting'!C20=""),"",IF('Tube Cutting'!R20="Shale Grey",IF(SUM('Job Sheet'!BV20:BY20)=0,"",SUM('Job Sheet'!BV20:BY20)),""))</f>
        <v/>
      </c>
      <c r="EQ14" s="128" t="str">
        <f>IF(OR(D14="",'Tube Cutting'!C20=""),"",IF('Tube Cutting'!R20="Brown",IF(SUM('Job Sheet'!BV20:BY20)=0,"",SUM('Job Sheet'!BV20:BY20)),""))</f>
        <v/>
      </c>
      <c r="ER14" s="128" t="str">
        <f>IF(OR(D14="",'Tube Cutting'!C20=""),"",IF('Tube Cutting'!R20="Black",IF(SUM('Job Sheet'!BV20:BY20)=0,"",SUM('Job Sheet'!BV20:BY20)),""))</f>
        <v/>
      </c>
      <c r="ES14" s="128" t="str">
        <f>IF(OR(D14="",'Tube Cutting'!C20=""),"",IF('Tube Cutting'!R20="Monument",IF(SUM('Job Sheet'!BV20:BY20)=0,"",SUM('Job Sheet'!BV20:BY20)),""))</f>
        <v/>
      </c>
      <c r="ET14" s="128" t="str">
        <f>IF(OR(D14="",'Tube Cutting'!C20=""),"",IF('Tube Cutting'!R20="Woodland Grey",IF(SUM('Job Sheet'!BV20:BY20)=0,"",SUM('Job Sheet'!BV20:BY20)),""))</f>
        <v/>
      </c>
      <c r="EU14" s="128" t="str">
        <f>IF(OR(D14="",'Tube Cutting'!C20=""),"",IF('Tube Cutting'!R20="Surfmist",IF(SUM('Job Sheet'!BV20:BY20)=0,"",SUM('Job Sheet'!BV20:BY20)),""))</f>
        <v/>
      </c>
      <c r="EV14" s="128" t="str">
        <f>IF(OR(D14="",'Tube Cutting'!C20=""),"",IF('Tube Cutting'!R20="Jasper",IF(SUM('Job Sheet'!BV20:BY20)=0,"",SUM('Job Sheet'!BV20:BY20)),""))</f>
        <v/>
      </c>
      <c r="EW14" s="128" t="str">
        <f>IF(OR(D14="",'Tube Cutting'!C20=""),"",IF('Tube Cutting'!R20="Dune",IF(SUM('Job Sheet'!BV20:BY20)=0,"",SUM('Job Sheet'!BV20:BY20)),""))</f>
        <v/>
      </c>
      <c r="EX14" s="128" t="str">
        <f>IF(OR(D14="",'Tube Cutting'!C20=""),"",IF('Tube Cutting'!R20="Cream",IF(SUM('Job Sheet'!BZ20:CC20)=0,"",SUM('Job Sheet'!BZ20:CC20)),""))</f>
        <v/>
      </c>
      <c r="EY14" s="128" t="str">
        <f>IF(OR(D14="",'Tube Cutting'!C20=""),"",IF('Tube Cutting'!R20="Mag Cream",IF(SUM('Job Sheet'!BZ20:CC20)=0,"",SUM('Job Sheet'!BZ20:CC20)),""))</f>
        <v/>
      </c>
      <c r="EZ14" s="128" t="str">
        <f>IF(OR(D14="",'Tube Cutting'!C20=""),"",IF('Tube Cutting'!R20="Clear Beige",IF(SUM('Job Sheet'!BZ20:CC20)=0,"",SUM('Job Sheet'!BZ20:CC20)),""))</f>
        <v/>
      </c>
      <c r="FA14" s="128" t="str">
        <f>IF(OR(D14="",'Tube Cutting'!C20=""),"",IF('Tube Cutting'!R20="White",IF(SUM('Job Sheet'!BZ20:CC20)=0,"",SUM('Job Sheet'!BZ20:CC20)),""))</f>
        <v/>
      </c>
      <c r="FB14" s="128" t="str">
        <f>IF(OR(D14="",'Tube Cutting'!C20=""),"",IF('Tube Cutting'!R20="Shale Grey",IF(SUM('Job Sheet'!BZ20:CC20)=0,"",SUM('Job Sheet'!BZ20:CC20)),""))</f>
        <v/>
      </c>
      <c r="FC14" s="128" t="str">
        <f>IF(OR(D14="",'Tube Cutting'!C20=""),"",IF('Tube Cutting'!R20="Brown",IF(SUM('Job Sheet'!BZ20:CC20)=0,"",SUM('Job Sheet'!BZ20:CC20)),""))</f>
        <v/>
      </c>
      <c r="FD14" s="128" t="str">
        <f>IF(OR(D14="",'Tube Cutting'!C20=""),"",IF('Tube Cutting'!R20="Black",IF(SUM('Job Sheet'!BZ20:CC20)=0,"",SUM('Job Sheet'!BZ20:CC20)),""))</f>
        <v/>
      </c>
      <c r="FE14" s="128" t="str">
        <f>IF(OR(D14="",'Tube Cutting'!C20=""),"",IF('Tube Cutting'!R20="Monument",IF(SUM('Job Sheet'!BZ20:CC20)=0,"",SUM('Job Sheet'!BZ20:CC20)),""))</f>
        <v/>
      </c>
      <c r="FF14" s="128" t="str">
        <f>IF(OR(D14="",'Tube Cutting'!C20=""),"",IF('Tube Cutting'!R20="Woodland Grey",IF(SUM('Job Sheet'!BZ20:CC20)=0,"",SUM('Job Sheet'!BZ20:CC20)),""))</f>
        <v/>
      </c>
      <c r="FG14" s="128" t="str">
        <f>IF(OR(D14="",'Tube Cutting'!C20=""),"",IF('Tube Cutting'!R20="Surfmist",IF(SUM('Job Sheet'!BZ20:CC20)=0,"",SUM('Job Sheet'!BZ20:CC20)),""))</f>
        <v/>
      </c>
      <c r="FH14" s="128" t="str">
        <f>IF(OR(D14="",'Tube Cutting'!C20=""),"",IF('Tube Cutting'!R20="Jasper",IF(SUM('Job Sheet'!BZ20:CC20)=0,"",SUM('Job Sheet'!BZ20:CC20)),""))</f>
        <v/>
      </c>
      <c r="FI14" s="128" t="str">
        <f>IF(OR(D14="",'Tube Cutting'!C20=""),"",IF('Tube Cutting'!R20="Dune",IF(SUM('Job Sheet'!BZ20:CC20)=0,"",SUM('Job Sheet'!BZ20:CC20)),""))</f>
        <v/>
      </c>
      <c r="FJ14" s="128" t="str">
        <f>IF(OR(D14="",'Tube Cutting'!C20=""),"",IF('Tube Cutting'!R20="Cream",IF(SUM('Job Sheet'!BN20:BQ20)=0,"",SUM('Job Sheet'!BN20:BQ20)),""))</f>
        <v/>
      </c>
      <c r="FK14" s="128" t="str">
        <f>IF(OR(D14="",'Tube Cutting'!C20=""),"",IF('Tube Cutting'!R20="Mag Cream",IF(SUM('Job Sheet'!BN20:BQ20)=0,"",SUM('Job Sheet'!BN20:BQ20)),""))</f>
        <v/>
      </c>
      <c r="FL14" s="128" t="str">
        <f>IF(OR(D14="",'Tube Cutting'!C20=""),"",IF('Tube Cutting'!R20="Clear Beige",IF(SUM('Job Sheet'!BN20:BQ20)=0,"",SUM('Job Sheet'!BN20:BQ20)),""))</f>
        <v/>
      </c>
      <c r="FM14" s="128" t="str">
        <f>IF(OR(D14="",'Tube Cutting'!C20=""),"",IF('Tube Cutting'!R20="White",IF(SUM('Job Sheet'!BN20:BQ20)=0,"",SUM('Job Sheet'!BN20:BQ20)),""))</f>
        <v/>
      </c>
      <c r="FN14" s="128" t="str">
        <f>IF(OR(D14="",'Tube Cutting'!C20=""),"",IF('Tube Cutting'!R20="Shale Grey",IF(SUM('Job Sheet'!BN20:BQ20)=0,"",SUM('Job Sheet'!BN20:BQ20)),""))</f>
        <v/>
      </c>
      <c r="FO14" s="128" t="str">
        <f>IF(OR(D14="",'Tube Cutting'!C20=""),"",IF('Tube Cutting'!R20="Brown",IF(SUM('Job Sheet'!BN20:BQ20)=0,"",SUM('Job Sheet'!BN20:BQ20)),""))</f>
        <v/>
      </c>
      <c r="FP14" s="128" t="str">
        <f>IF(OR(D14="",'Tube Cutting'!C20=""),"",IF('Tube Cutting'!R20="Dune",IF(SUM('Job Sheet'!BN20:BQ20)=0,"",SUM('Job Sheet'!BN20:BQ20)),""))</f>
        <v/>
      </c>
      <c r="FQ14" s="128" t="str">
        <f>IF(OR(D14="",'Tube Cutting'!C20=""),"",IF('Tube Cutting'!R20="Dune",IF(SUM('Job Sheet'!BN20:BQ20)=0,"",SUM('Job Sheet'!BN20:BQ20)),""))</f>
        <v/>
      </c>
      <c r="FR14" s="128" t="str">
        <f>IF(OR(D14="",'Tube Cutting'!C20=""),"",IF('Tube Cutting'!R20="Black",IF(SUM('Job Sheet'!BN20:BQ20)=0,"",SUM('Job Sheet'!BN20:BQ20)),""))</f>
        <v/>
      </c>
      <c r="FS14" s="128" t="str">
        <f>IF(OR(D14="",'Tube Cutting'!C20=""),"",IF('Tube Cutting'!R20="Monument",IF(SUM('Job Sheet'!BN20:BQ20)=0,"",SUM('Job Sheet'!BN20:BQ20)),""))</f>
        <v/>
      </c>
      <c r="FT14" s="128" t="str">
        <f>IF(OR(D14="",'Tube Cutting'!C20=""),"",IF('Tube Cutting'!R20="Custom Powdercoat",IF(SUM('Job Sheet'!BN20:BQ20)=0,"",SUM('Job Sheet'!BN20:BQ20)),""))</f>
        <v/>
      </c>
      <c r="FU14" s="128" t="str">
        <f>IF(OR(D14="",'Tube Cutting'!C20=""),"",IF('Tube Cutting'!R20="Woodland Grey",IF(SUM('Job Sheet'!BN20:BQ20)=0,"",SUM('Job Sheet'!BN20:BQ20)),""))</f>
        <v/>
      </c>
      <c r="FV14" s="128" t="str">
        <f>IF(OR(D14="",'Tube Cutting'!C20=""),"",IF('Tube Cutting'!R20="Jasper",IF(SUM('Job Sheet'!BN20:BQ20)=0,"",SUM('Job Sheet'!BN20:BQ20)),""))</f>
        <v/>
      </c>
      <c r="FW14" s="128" t="str">
        <f>IF(OR(D14="",'Tube Cutting'!C20=""),"",IF('Tube Cutting'!R20="Surfmist",IF(SUM('Job Sheet'!BN20:BQ20)=0,"",SUM('Job Sheet'!BN20:BQ20)),""))</f>
        <v/>
      </c>
      <c r="FX14" s="128" t="str">
        <f>IF(OR(D14="",'Tube Cutting'!C20=""),"",IF('Tube Cutting'!R20="Dune",IF(SUM('Job Sheet'!BN20:BQ20)=0,"",SUM('Job Sheet'!BN20:BQ20)),""))</f>
        <v/>
      </c>
      <c r="FY14" s="128">
        <f>IF(OR(D14="",'Tube Cutting'!C20=""),"",IF(AND('Order Form'!R18="Supplied by Davidson's",'Tube Cutting'!C20&lt;&gt;""),"",'Tube Cutting'!S20))</f>
        <v>1837</v>
      </c>
      <c r="FZ14" s="128" t="str">
        <f>IF(OR(D14="",'Tube Cutting'!C20=""),"",IF(AND(Data!BN20="42mm Standard Slat",'Tube Cutting'!J20="Black"),'Tube Cutting'!I20,""))</f>
        <v/>
      </c>
      <c r="GA14" s="128" t="str">
        <f>IF(OR(D14="",'Tube Cutting'!C20=""),"",IF(AND(Data!BN20="42mm Standard Slat",'Tube Cutting'!J20="Clear Beige"),'Tube Cutting'!I20,""))</f>
        <v/>
      </c>
      <c r="GB14" s="128" t="str">
        <f>IF(OR(D14="",'Tube Cutting'!C20=""),"",IF(AND(Data!BN20="42mm Standard Slat",'Tube Cutting'!J20="Dune"),'Tube Cutting'!I20,""))</f>
        <v/>
      </c>
      <c r="GC14" s="128" t="str">
        <f>IF(OR(D14="",'Tube Cutting'!C20=""),"",IF(AND(Data!BN20="42mm Standard Slat",'Tube Cutting'!J20="Mag Cream"),'Tube Cutting'!I20,""))</f>
        <v/>
      </c>
      <c r="GD14" s="128">
        <f>IF(OR(D14="",'Tube Cutting'!C20=""),"",IF(AND(Data!BN20="42mm Standard Slat",'Tube Cutting'!J20="Monument"),'Tube Cutting'!I20,""))</f>
        <v>1845</v>
      </c>
      <c r="GE14" s="128" t="str">
        <f>IF(OR(D14="",'Tube Cutting'!C20=""),"",IF(AND(Data!BN20="42mm Standard Slat",'Tube Cutting'!J20="Shale Grey"),'Tube Cutting'!I20,""))</f>
        <v/>
      </c>
      <c r="GF14" s="128" t="str">
        <f>IF(OR(D14="",'Tube Cutting'!C20=""),"",IF(AND(Data!BN20="42mm Standard Slat",'Tube Cutting'!J20="White"),'Tube Cutting'!I20,""))</f>
        <v/>
      </c>
      <c r="GG14" s="128" t="str">
        <f>IF(OR(D14="",'Tube Cutting'!C20=""),"",IF(AND(Data!BN20="42mm Standard Slat",'Tube Cutting'!J20="Woodland Grey"),'Tube Cutting'!I20,""))</f>
        <v/>
      </c>
      <c r="GH14" s="128" t="str">
        <f>IF(OR(D14="",'Tube Cutting'!C20=""),"",IF(AND(Data!BN20="42mm Standard Slat",'Tube Cutting'!J20="Cream"),'Tube Cutting'!I20,""))</f>
        <v/>
      </c>
      <c r="GI14" s="128" t="str">
        <f>IF(OR(D14="",'Tube Cutting'!C20=""),"",IF(AND(Data!BN20="42mm Standard Slat",'Tube Cutting'!J20="Brown"),'Tube Cutting'!I20,""))</f>
        <v/>
      </c>
      <c r="GJ14" s="128" t="str">
        <f>IF(OR(D14="",'Tube Cutting'!C20=""),"",IF(AND(Data!BN20="42mm Standard Slat",'Tube Cutting'!J20="Custom Powdercoat"),'Tube Cutting'!I20,""))</f>
        <v/>
      </c>
      <c r="GK14" s="128" t="str">
        <f>IF(OR(D14="",'Tube Cutting'!C20=""),"",IF(AND(Data!BN20="42mm Standard Slat",'Tube Cutting'!J20="Surfmist"),'Tube Cutting'!I20,""))</f>
        <v/>
      </c>
      <c r="GL14" s="128" t="str">
        <f>IF(OR(D14="",'Tube Cutting'!C20=""),"",IF(AND(Data!BN20="42mm Standard Slat",'Tube Cutting'!J20="Jasper"),'Tube Cutting'!I20,""))</f>
        <v/>
      </c>
      <c r="GM14" s="128" t="str">
        <f>IF(OR(D14="",'Tube Cutting'!C20=""),"",IF('Tube Cutting'!R20="Black",('Job Sheet'!BB20*2+IF('Job Sheet'!Q20="Black",SUM('Job Sheet'!BJ20:BM20))),""))</f>
        <v/>
      </c>
      <c r="GN14" t="str">
        <f>IF(OR(D14="",'Tube Cutting'!C20=""),"",IF('Tube Cutting'!R20="Clear Beige",('Job Sheet'!BB20*2+IF('Job Sheet'!Q20="Clear Beige",SUM('Job Sheet'!BJ20:BM20))),""))</f>
        <v/>
      </c>
      <c r="GO14" s="128" t="str">
        <f>IF(OR(D14="",'Tube Cutting'!C20=""),"",IF('Tube Cutting'!R20="Dune",('Job Sheet'!BB20*2+IF('Job Sheet'!Q20="Dune",SUM('Job Sheet'!BJ20:BM20))),""))</f>
        <v/>
      </c>
      <c r="GP14" s="128" t="str">
        <f>IF(OR(D14="",'Tube Cutting'!C20=""),"",IF('Tube Cutting'!R20="Mag Cream",('Job Sheet'!BB20*2+IF('Job Sheet'!Q20="Mag Cream",SUM('Job Sheet'!BJ20:BM20))),""))</f>
        <v/>
      </c>
      <c r="GQ14" s="128">
        <f>IF(OR(D14="",'Tube Cutting'!C20=""),"",IF('Tube Cutting'!R20="Monument",('Job Sheet'!BB20*2+IF('Job Sheet'!Q20="Monument",SUM('Job Sheet'!BJ20:BM20))),""))</f>
        <v>2580</v>
      </c>
      <c r="GR14" s="128" t="str">
        <f>IF(OR(D14="",'Tube Cutting'!C20=""),"",IF('Tube Cutting'!R20="Shale Grey",('Job Sheet'!BB20*2+IF('Job Sheet'!Q20="Shale Grey",SUM('Job Sheet'!BJ20:BM20))),""))</f>
        <v/>
      </c>
      <c r="GS14" s="128" t="str">
        <f>IF(OR(D14="",'Tube Cutting'!C20=""),"",IF('Tube Cutting'!R20="White",('Job Sheet'!BB20*2+IF('Job Sheet'!Q20="White",SUM('Job Sheet'!BJ20:BM20))),""))</f>
        <v/>
      </c>
      <c r="GT14" s="128" t="str">
        <f>IF(OR(D14="",'Tube Cutting'!C20=""),"",IF('Tube Cutting'!R20="Woodland Grey",('Job Sheet'!BB20*2+IF('Job Sheet'!Q20="Woodland Grey",SUM('Job Sheet'!BJ20:BM20))),""))</f>
        <v/>
      </c>
      <c r="GU14" s="128" t="str">
        <f>IF(OR(D14="",'Tube Cutting'!C20=""),"",IF('Tube Cutting'!R20="Cream",('Job Sheet'!BB20*2+IF('Job Sheet'!Q20="Cream",SUM('Job Sheet'!BJ20:BM20))),""))</f>
        <v/>
      </c>
      <c r="GV14" s="128" t="str">
        <f>IF(OR(D14="",'Tube Cutting'!C20=""),"",IF('Tube Cutting'!R20="Brown",('Job Sheet'!BB20*2+IF('Job Sheet'!Q20="Brown",SUM('Job Sheet'!BJ20:BM20))),""))</f>
        <v/>
      </c>
      <c r="GW14" s="128" t="str">
        <f>IF(OR(D14="",'Tube Cutting'!C20=""),"",IF('Tube Cutting'!R20="Custom Powdercoat",('Job Sheet'!BB20*2+IF('Job Sheet'!Q20="Custom Powdercoat",SUM('Job Sheet'!BJ20:BM20))),""))</f>
        <v/>
      </c>
      <c r="GX14" s="128" t="str">
        <f>IF(OR(D14="",'Tube Cutting'!C20=""),"",IF('Tube Cutting'!R20="Surfmist",('Job Sheet'!BB20*2+IF('Job Sheet'!Q20="Surfmist",SUM('Job Sheet'!BJ20:BM20))),""))</f>
        <v/>
      </c>
      <c r="GY14" s="128" t="str">
        <f>IF(OR(D14="",'Tube Cutting'!C20=""),"",IF('Tube Cutting'!R20="Jasper",('Job Sheet'!BB20*2+IF('Job Sheet'!Q20="Jasper",SUM('Job Sheet'!BJ20:BM20))),""))</f>
        <v/>
      </c>
      <c r="GZ14" s="128" t="str">
        <f>IF(OR(D14="",'Tube Cutting'!C20=""),"",IF(AND('Tube Cutting'!R20="Cream",'Tube Cutting'!P20="68mm"),'Job Sheet'!BB20*2,""))</f>
        <v/>
      </c>
      <c r="HA14" s="128" t="str">
        <f>IF(OR(D14="",'Tube Cutting'!C20=""),"",IF(AND('Tube Cutting'!R20="Mag Cream",'Tube Cutting'!P20="68mm"),'Job Sheet'!BB20*2,""))</f>
        <v/>
      </c>
      <c r="HB14" s="128" t="str">
        <f>IF(OR(D14="",'Tube Cutting'!C20=""),"",IF(AND('Tube Cutting'!R20="Clear Beige",'Tube Cutting'!P20="68mm"),'Job Sheet'!BB20*2,""))</f>
        <v/>
      </c>
      <c r="HC14" s="128" t="str">
        <f>IF(OR(D14="",'Tube Cutting'!C20=""),"",IF(AND('Tube Cutting'!R20="White",'Tube Cutting'!P20="68mm"),'Job Sheet'!BB20*2,""))</f>
        <v/>
      </c>
      <c r="HD14" s="128" t="str">
        <f>IF(OR(D14="",'Tube Cutting'!C20=""),"",IF(AND('Tube Cutting'!R20="Shale Grey",'Tube Cutting'!P20="68mm"),'Job Sheet'!BB20*2,""))</f>
        <v/>
      </c>
      <c r="HE14" s="128" t="str">
        <f>IF(OR(D14="",'Tube Cutting'!C20=""),"",IF(AND('Tube Cutting'!R20="Brown",'Tube Cutting'!P20="68mm"),'Job Sheet'!BB20*2,""))</f>
        <v/>
      </c>
      <c r="HF14" s="128" t="str">
        <f>IF(OR(D14="",'Tube Cutting'!C20=""),"",IF(AND('Tube Cutting'!R20="Black",'Tube Cutting'!P20="68mm"),'Job Sheet'!BB20*2,""))</f>
        <v/>
      </c>
      <c r="HG14" s="128" t="str">
        <f>IF(OR(D14="",'Tube Cutting'!C20=""),"",IF(AND('Tube Cutting'!R20="Monument",'Tube Cutting'!P20="68mm"),'Job Sheet'!BB20*2,""))</f>
        <v/>
      </c>
      <c r="HH14" s="128" t="str">
        <f>IF(OR(D14="",'Tube Cutting'!C20=""),"",IF(AND('Tube Cutting'!R20="Custom Powdercoat",'Tube Cutting'!P20="68mm"),'Job Sheet'!BB20*2,""))</f>
        <v/>
      </c>
      <c r="HI14" s="128" t="str">
        <f>IF(OR(D14="",'Tube Cutting'!C20=""),"",IF(AND('Tube Cutting'!R20="Woodland Grey",'Tube Cutting'!P20="68mm"),'Job Sheet'!BB20*2,""))</f>
        <v/>
      </c>
      <c r="HJ14" s="128" t="str">
        <f>IF(OR(D14="",'Tube Cutting'!C20=""),"",IF(AND('Tube Cutting'!R20="Surfmist",'Tube Cutting'!P20="68mm"),'Job Sheet'!BB20*2,""))</f>
        <v/>
      </c>
      <c r="HK14" s="128" t="str">
        <f>IF(OR(D14="",'Tube Cutting'!C20=""),"",IF(AND('Tube Cutting'!R20="Jasper",'Tube Cutting'!P20="68mm"),'Job Sheet'!BB20*2,""))</f>
        <v/>
      </c>
      <c r="HL14" s="128" t="str">
        <f>IF(OR(D14="",'Tube Cutting'!C20=""),"",IF(AND('Tube Cutting'!R20="Dune",'Tube Cutting'!P20="68mm"),'Job Sheet'!BB20*2,""))</f>
        <v/>
      </c>
      <c r="HM14" s="128" t="str">
        <f>IF(OR(D14="",'Tube Cutting'!C20=""),"",IF(AND('Tube Cutting'!O20="Black",'Tube Cutting'!N20="180mm"),1,""))</f>
        <v/>
      </c>
      <c r="HN14" s="128" t="str">
        <f>IF(OR(D14="",'Tube Cutting'!C20=""),"",IF(AND('Tube Cutting'!O20="Clear Beige",'Tube Cutting'!N20="180mm"),1,""))</f>
        <v/>
      </c>
      <c r="HO14" s="128" t="str">
        <f>IF(OR(D14="",'Tube Cutting'!C20=""),"",IF(AND('Tube Cutting'!O20="Dune",'Tube Cutting'!N20="180mm"),1,""))</f>
        <v/>
      </c>
      <c r="HP14" s="128" t="str">
        <f>IF(OR(D14="",'Tube Cutting'!C20=""),"",IF(AND('Tube Cutting'!O20="Mag Cream",'Tube Cutting'!N20="180mm"),1,""))</f>
        <v/>
      </c>
      <c r="HQ14" s="128">
        <f>IF(OR(D14="",'Tube Cutting'!C20=""),"",IF(AND('Tube Cutting'!O20="Monument",'Tube Cutting'!N20="180mm"),1,""))</f>
        <v>1</v>
      </c>
      <c r="HR14" s="128" t="str">
        <f>IF(OR(D14="",'Tube Cutting'!C20=""),"",IF(AND('Tube Cutting'!O20="Shale Grey",'Tube Cutting'!N20="180mm"),1,""))</f>
        <v/>
      </c>
      <c r="HS14" s="128" t="str">
        <f>IF(OR(D14="",'Tube Cutting'!C20=""),"",IF(AND('Tube Cutting'!O20="White",'Tube Cutting'!N20="180mm"),1,""))</f>
        <v/>
      </c>
      <c r="HT14" s="128" t="str">
        <f>IF(OR(D14="",'Tube Cutting'!C20=""),"",IF(AND('Tube Cutting'!O20="Woodland Grey",'Tube Cutting'!N20="180mm"),1,""))</f>
        <v/>
      </c>
      <c r="HU14" s="128" t="str">
        <f>IF(OR(D14="",'Tube Cutting'!C20=""),"",IF(AND('Tube Cutting'!O20="Cream",'Tube Cutting'!N20="180mm"),1,""))</f>
        <v/>
      </c>
      <c r="HV14" s="128" t="str">
        <f>IF(OR(D14="",'Tube Cutting'!C20=""),"",IF(AND('Tube Cutting'!O20="Brown",'Tube Cutting'!N20="180mm"),1,""))</f>
        <v/>
      </c>
      <c r="HW14" s="128" t="str">
        <f>IF(OR(D14="",'Tube Cutting'!C20=""),"",IF(AND('Tube Cutting'!O20="Surfmist",'Tube Cutting'!N20="180mm"),1,""))</f>
        <v/>
      </c>
      <c r="HX14" s="128" t="str">
        <f>IF(OR(D14="",'Tube Cutting'!C20=""),"",IF(AND('Tube Cutting'!O20="Jasper",'Tube Cutting'!N20="180mm"),1,""))</f>
        <v/>
      </c>
      <c r="HY14" s="128" t="str">
        <f>IF(OR(E14="",'Tube Cutting'!C20=""),"",IF(AND('Tube Cutting'!O20="Red",'Tube Cutting'!N20="180mm"),1,""))</f>
        <v/>
      </c>
      <c r="HZ14" s="128" t="str">
        <f>IF(OR(D14="",'Tube Cutting'!C20=""),"",IF(AND('Tube Cutting'!O20="Black",'Tube Cutting'!N20="205mm"),1,""))</f>
        <v/>
      </c>
      <c r="IA14" s="128" t="str">
        <f>IF(OR(D14="",'Tube Cutting'!C20=""),"",IF(AND('Tube Cutting'!O20="Clear Beige",'Tube Cutting'!N20="205mm"),1,""))</f>
        <v/>
      </c>
      <c r="IB14" s="128" t="str">
        <f>IF(OR(D14="",'Tube Cutting'!C20=""),"",IF(AND('Tube Cutting'!O20="Dune",'Tube Cutting'!N20="205mm"),1,""))</f>
        <v/>
      </c>
      <c r="IC14" s="128" t="str">
        <f>IF(OR(D14="",'Tube Cutting'!C20=""),"",IF(AND('Tube Cutting'!O20="Mag Cream",'Tube Cutting'!N20="205mm"),1,""))</f>
        <v/>
      </c>
      <c r="ID14" s="128" t="str">
        <f>IF(OR(D14="",'Tube Cutting'!C20=""),"",IF(AND('Tube Cutting'!O20="Monument",'Tube Cutting'!N20="205mm"),1,""))</f>
        <v/>
      </c>
      <c r="IE14" s="128" t="str">
        <f>IF(OR(D14="",'Tube Cutting'!C20=""),"",IF(AND('Tube Cutting'!O20="Shale Grey",'Tube Cutting'!N20="205mm"),1,""))</f>
        <v/>
      </c>
      <c r="IF14" s="128" t="str">
        <f>IF(OR(D14="",'Tube Cutting'!C20=""),"",IF(AND('Tube Cutting'!O20="White",'Tube Cutting'!N20="205mm"),1,""))</f>
        <v/>
      </c>
      <c r="IG14" s="128" t="str">
        <f>IF(OR(D14="",'Tube Cutting'!C20=""),"",IF(AND('Tube Cutting'!O20="Woodland Grey",'Tube Cutting'!N20="205mm"),1,""))</f>
        <v/>
      </c>
      <c r="IH14" s="128" t="str">
        <f>IF(OR(D14="",'Tube Cutting'!C20=""),"",IF(AND('Tube Cutting'!O20="Cream",'Tube Cutting'!N20="205mm"),1,""))</f>
        <v/>
      </c>
      <c r="II14" s="128" t="str">
        <f>IF(OR(D14="",'Tube Cutting'!C20=""),"",IF(AND('Tube Cutting'!O20="Brown",'Tube Cutting'!N20="205mm"),1,""))</f>
        <v/>
      </c>
      <c r="IJ14" s="128" t="str">
        <f>IF(OR(D14="",'Tube Cutting'!C20=""),"",IF(AND('Tube Cutting'!O20="Surfmist",'Tube Cutting'!N20="205mm"),1,""))</f>
        <v/>
      </c>
      <c r="IK14" s="128" t="str">
        <f>IF(OR(D14="",'Tube Cutting'!C20=""),"",IF(AND('Tube Cutting'!O20="Jasper",'Tube Cutting'!N20="205mm"),1,""))</f>
        <v/>
      </c>
      <c r="IL14" s="128" t="str">
        <f>IF(OR(D14="",'Tube Cutting'!C20=""),"",IF(AND('Tube Cutting'!O20="Cream",'Tube Cutting'!N20="230mm"),1,""))</f>
        <v/>
      </c>
      <c r="IM14" s="128" t="str">
        <f>IF(OR(D14="",'Tube Cutting'!C20=""),"",IF(AND('Tube Cutting'!O20="Mag Cream",'Tube Cutting'!N20="230mm"),1,""))</f>
        <v/>
      </c>
      <c r="IN14" s="128" t="str">
        <f>IF(OR(D14="",'Tube Cutting'!C20=""),"",IF(AND('Tube Cutting'!O20="Clear Beige",'Tube Cutting'!N20="230mm"),1,""))</f>
        <v/>
      </c>
      <c r="IO14" s="128" t="str">
        <f>IF(OR(D14="",'Tube Cutting'!C20=""),"",IF(AND('Tube Cutting'!O20="White",'Tube Cutting'!N20="230mm"),1,""))</f>
        <v/>
      </c>
      <c r="IP14" s="128" t="str">
        <f>IF(OR(D14="",'Tube Cutting'!C20=""),"",IF(AND('Tube Cutting'!O20="Shale Grey",'Tube Cutting'!N20="230mm"),1,""))</f>
        <v/>
      </c>
      <c r="IQ14" s="128" t="str">
        <f>IF(OR(D14="",'Tube Cutting'!C20=""),"",IF(AND('Tube Cutting'!O20="Black",'Tube Cutting'!N20="230mm"),1,""))</f>
        <v/>
      </c>
      <c r="IR14" s="128" t="str">
        <f>IF(OR(D14="",'Tube Cutting'!C20=""),"",IF(AND('Tube Cutting'!O20="Monument",'Tube Cutting'!N20="230mm"),1,""))</f>
        <v/>
      </c>
      <c r="IS14" s="128" t="str">
        <f>IF(OR(D14="",'Tube Cutting'!C20=""),"",IF(AND('Tube Cutting'!O20="Woodland Grey",'Tube Cutting'!N20="230mm"),1,""))</f>
        <v/>
      </c>
      <c r="IT14" s="128" t="str">
        <f>IF(OR(D14="",'Tube Cutting'!C20=""),"",IF(AND('Tube Cutting'!O20="Surfmist",'Tube Cutting'!N20="230mm"),1,""))</f>
        <v/>
      </c>
      <c r="IU14" s="128" t="str">
        <f>IF(OR(D14="",'Tube Cutting'!C20=""),"",IF(AND('Tube Cutting'!O20="Jasper",'Tube Cutting'!N20="230mm"),1,""))</f>
        <v/>
      </c>
      <c r="IV14" s="128" t="str">
        <f>IF(OR(D14="",'Tube Cutting'!C20=""),"",IF(AND('Tube Cutting'!O20="Dune",'Tube Cutting'!N20="230mm"),1,""))</f>
        <v/>
      </c>
      <c r="IW14" s="128">
        <f>IF(OR(D14="",'Tube Cutting'!C20=""),"",IF(AND('Order Form'!R18="Supplied by Davidson's",'Tube Cutting'!C20&lt;&gt;""),"",1))</f>
        <v>1</v>
      </c>
      <c r="IX14" s="128">
        <f>IF(OR(D14="",'Tube Cutting'!C20=""),"",IF('Job Sheet'!AE20="Yes",2,""))</f>
        <v>2</v>
      </c>
      <c r="IY14" s="128" t="str">
        <f t="array" ref="IY14">IF(OR('Tube Cutting'!R20&lt;&gt;"Cream",D14=""),"",IF('Job Sheet'!J20&gt;2100,10,IF(OR(bpLOOKUP(Data!$AV20,"FIXING",CustOrdOpt,6,FALSE)="Hebel",'Job Sheet'!J20&gt;1800),8,6)))</f>
        <v/>
      </c>
      <c r="IZ14" s="128" t="str">
        <f t="array" ref="IZ14">IF(OR('Tube Cutting'!R20&lt;&gt;"Clear Beige",D14=""),"",IF('Job Sheet'!J20&gt;2100,10,IF(OR(bpLOOKUP(Data!$AV20,"FIXING",CustOrdOpt,6,FALSE)="Hebel",'Job Sheet'!J20&gt;1800),8,6)))</f>
        <v/>
      </c>
      <c r="JA14" s="128" t="str">
        <f t="array" ref="JA14">IF(OR('Tube Cutting'!R20&lt;&gt;"White",D14=""),"",IF('Job Sheet'!J20&gt;2100,10,IF(OR(bpLOOKUP(Data!$AV20,"FIXING",CustOrdOpt,6,FALSE)="Hebel",'Job Sheet'!J20&gt;1800),8,6)))</f>
        <v/>
      </c>
      <c r="JB14" s="128" t="str">
        <f t="array" ref="JB14">IF(OR('Tube Cutting'!R20&lt;&gt;"Shale Grey",D14=""),"",IF('Job Sheet'!J20&gt;2100,10,IF(OR(bpLOOKUP(Data!$AV20,"FIXING",CustOrdOpt,6,FALSE)="Hebel",'Job Sheet'!J20&gt;1800),8,6)))</f>
        <v/>
      </c>
      <c r="JC14" s="128" t="str">
        <f t="array" ref="JC14">IF(OR('Tube Cutting'!R20&lt;&gt;"Brown",D14=""),"",IF('Job Sheet'!J20&gt;2100,10,IF(OR(bpLOOKUP(Data!$AV20,"FIXING",CustOrdOpt,6,FALSE)="Hebel",'Job Sheet'!J20&gt;1800),8,6)))</f>
        <v/>
      </c>
      <c r="JD14" s="128" t="str">
        <f t="array" ref="JD14">IF(OR('Tube Cutting'!R20&lt;&gt;"Green",D14=""),"",IF('Job Sheet'!J20&gt;2100,10,IF(OR(bpLOOKUP(Data!$AV20,"FIXING",CustOrdOpt,6,FALSE)="Hebel",'Job Sheet'!J20&gt;1800),8,6)))</f>
        <v/>
      </c>
      <c r="JE14" s="128" t="str">
        <f t="array" ref="JE14">IF(OR('Tube Cutting'!R20&lt;&gt;"Red",D14=""),"",IF('Job Sheet'!J20&gt;2100,10,IF(OR(bpLOOKUP(Data!$AV20,"FIXING",CustOrdOpt,6,FALSE)="Hebel",'Job Sheet'!J20&gt;1800),8,6)))</f>
        <v/>
      </c>
      <c r="JF14" s="128" t="str">
        <f t="array" ref="JF14">IF(OR('Tube Cutting'!R20&lt;&gt;"Mag Cream",D14=""),"",IF('Job Sheet'!J20&gt;2100,10,IF(OR(bpLOOKUP(Data!$AV20,"FIXING",CustOrdOpt,6,FALSE)="Hebel",'Job Sheet'!J20&gt;1800),8,6)))</f>
        <v/>
      </c>
      <c r="JG14" s="128" t="str">
        <f t="array" ref="JG14">IF(OR('Tube Cutting'!R20&lt;&gt;"Black",D14=""),"",IF('Job Sheet'!J20&gt;2100,10,IF(OR(bpLOOKUP(Data!$AV20,"FIXING",CustOrdOpt,6,FALSE)="Hebel",'Job Sheet'!J20&gt;1800),8,6)))</f>
        <v/>
      </c>
      <c r="JH14" s="128">
        <f t="array" ref="JH14">IF(OR('Tube Cutting'!R20&lt;&gt;"Monument",D14=""),"",IF('Job Sheet'!J20&gt;2100,10,IF(OR(bpLOOKUP(Data!$AV20,"FIXING",CustOrdOpt,6,FALSE)="Hebel",'Job Sheet'!J20&gt;1800),8,6)))</f>
        <v>6</v>
      </c>
      <c r="JI14" s="128" t="str">
        <f t="array" ref="JI14">IF(OR('Tube Cutting'!R20&lt;&gt;"Deep Ocean",D14=""),"",IF('Job Sheet'!J20&gt;2100,10,IF(OR(bpLOOKUP(Data!$AV20,"FIXING",CustOrdOpt,6,FALSE)="Hebel",'Job Sheet'!J20&gt;1800),8,6)))</f>
        <v/>
      </c>
      <c r="JJ14" s="128" t="str">
        <f t="array" ref="JJ14">IF(OR('Tube Cutting'!R20&lt;&gt;"Woodland Grey",D14=""),"",IF('Job Sheet'!J20&gt;2100,10,IF(OR(bpLOOKUP(Data!$AV20,"FIXING",CustOrdOpt,6,FALSE)="Hebel",'Job Sheet'!J20&gt;1800),8,6)))</f>
        <v/>
      </c>
      <c r="JK14" s="128" t="str">
        <f t="array" ref="JK14">IF(OR('Tube Cutting'!R20&lt;&gt;"Jasper",D14=""),"",IF('Job Sheet'!J20&gt;2100,10,IF(OR(bpLOOKUP(Data!$AV20,"FIXING",CustOrdOpt,6,FALSE)="Hebel",'Job Sheet'!J20&gt;1800),8,6)))</f>
        <v/>
      </c>
      <c r="JL14" s="128" t="str">
        <f t="array" ref="JL14">IF(OR('Tube Cutting'!R20&lt;&gt;"Surfmist",D14=""),"",IF('Job Sheet'!J20&gt;2100,10,IF(OR(bpLOOKUP(Data!$AV20,"FIXING",CustOrdOpt,6,FALSE)="Hebel",'Job Sheet'!J20&gt;1800),8,6)))</f>
        <v/>
      </c>
      <c r="JM14" s="128" t="str">
        <f t="array" ref="JM14">IF(OR('Tube Cutting'!R20&lt;&gt;"Dune",D14=""),"",IF('Job Sheet'!J20&gt;2100,10,IF(OR(bpLOOKUP(Data!$AV20,"FIXING",CustOrdOpt,6,FALSE)="Hebel",'Job Sheet'!J20&gt;1800),8,6)))</f>
        <v/>
      </c>
      <c r="JN14" s="128">
        <f>IF(OR(D14="",'Tube Cutting'!C20=""),"",IF(AND('Order Form'!R18="Supplied by Davidson's",'Tube Cutting'!C20&lt;&gt;""),"",1))</f>
        <v>1</v>
      </c>
      <c r="JO14" s="128" t="str">
        <f>IF(D14="","",IF(AND('Job Sheet'!X20="Operated Outside",'Job Sheet'!Y20="Eyelot Crank Handle"),1,""))</f>
        <v/>
      </c>
      <c r="JP14" s="128" t="str">
        <f t="shared" si="1"/>
        <v/>
      </c>
      <c r="JQ14" s="128" t="str">
        <f>IF('Job Sheet'!X20="Operated Inside",1,"")</f>
        <v/>
      </c>
      <c r="JS14" s="128" t="str">
        <f>IF('Job Sheet'!X20="Operated Inside",1,"")</f>
        <v/>
      </c>
      <c r="JT14" s="128" t="str">
        <f>IF('Job Sheet'!X20="Operated Inside",1,"")</f>
        <v/>
      </c>
      <c r="JU14" s="128" t="str">
        <f>IF('Job Sheet'!X20="Operated Inside",1,"")</f>
        <v/>
      </c>
      <c r="JV14" s="128" t="str">
        <f>IF(AND('Job Sheet'!X20="Operated Outside",'Job Sheet'!Y20="Concealed Operation Crank Handle"),1,"")</f>
        <v/>
      </c>
      <c r="JW14" s="128" t="str">
        <f>IF(AND('Job Sheet'!X20="Operated Outside",'Job Sheet'!Y20="Concealed Operation Crank Handle"),1,"")</f>
        <v/>
      </c>
      <c r="JX14" s="128" t="str">
        <f>IF(AND('Job Sheet'!X20="Operated Outside",'Job Sheet'!Y20="Concealed Operation Crank Handle"),1,"")</f>
        <v/>
      </c>
      <c r="JY14" s="140">
        <f>IF(OR(D14="",'Tube Cutting'!C20=""),"",IF(AND('Order Form'!R18="Supplied by Davidson's",'Tube Cutting'!C20&lt;&gt;""),"",'Assembly(a)'!F20))</f>
        <v>32.28</v>
      </c>
      <c r="JZ14" s="128">
        <f>IF(OR(D14="",'Tube Cutting'!C20=""),"",Packing!K20)</f>
        <v>4</v>
      </c>
      <c r="KA14" s="128">
        <f>IF(OR(D14="",'Tube Cutting'!C20=""),"",IF(AND('Order Form'!R18="Supplied by Davidson's",'Tube Cutting'!C20&lt;&gt;""),"",2))</f>
        <v>2</v>
      </c>
      <c r="KB14" s="128" t="str">
        <f>IF(OR(D14="",'Tube Cutting'!C20=""),"",'Tube Cutting'!K20)</f>
        <v/>
      </c>
      <c r="KC14" t="str">
        <f>IF(Packing!T20="Corner Telescopic Bracket x 1",1,IF(Packing!T20="Corner Telescopic Bracket x 2",2,""))</f>
        <v/>
      </c>
      <c r="KD14" t="str">
        <f>IF(Packing!T20="Bay Telescopic Bracket x 1",1,IF(Packing!T20="Bay Telescopic Bracket x 2",2,""))</f>
        <v/>
      </c>
      <c r="KE14" s="128">
        <f>IF(OR(D14="",'Tube Cutting'!C20=""),"",IF('Job Sheet'!W20="Toggle Wall Switch",1,""))</f>
        <v>1</v>
      </c>
      <c r="KF14" s="128" t="str">
        <f>IF(OR(D14="",'Tube Cutting'!C20=""),"",IF(OR('Job Sheet'!Z20="UPS with No Electrician Required",'Job Sheet'!Z20="UPS with Electrician Required"),1,""))</f>
        <v/>
      </c>
      <c r="KG14" t="str">
        <f>IF(OR(Packing!C20="Too Small to be Motorised",Packing!C20="Check Motor Options"),1,"")</f>
        <v/>
      </c>
      <c r="KH14" s="128" t="str">
        <f>IF('Job Sheet'!U20="Maxim 10nm Remote Motor",1,"")</f>
        <v/>
      </c>
      <c r="KI14" s="128" t="str">
        <f>IF('Job Sheet'!U20="Maxim 20nm Remote Motor",1,"")</f>
        <v/>
      </c>
      <c r="KJ14" s="128">
        <f>IF(OR('Job Sheet'!U20="Maxim 10nm Switch Motor",'Job Sheet'!U20="Maxim 10nm Switch Motor with Inline Receiver"),1,"")</f>
        <v>1</v>
      </c>
      <c r="KK14" s="128" t="str">
        <f>IF('Job Sheet'!U20="Maxim 20nm Switch Motor",1,"")</f>
        <v/>
      </c>
      <c r="KL14" s="128" t="str">
        <f>IF(OR(D14="",'Tube Cutting'!C20=""),"",IF('Job Sheet'!W20="Maxim 1 Channel Remote",1,""))</f>
        <v/>
      </c>
      <c r="KM14" s="128" t="str">
        <f>IF(OR(D14="",'Tube Cutting'!C20=""),"",IF('Job Sheet'!W20="Maxim 6 Channel Remote",1,""))</f>
        <v/>
      </c>
      <c r="KN14" t="str">
        <f>IF(OR(D14="",'Tube Cutting'!C20=""),"",IF('Job Sheet'!W20="Maxim 16 Channel Remote",1,""))</f>
        <v/>
      </c>
      <c r="KO14" s="128" t="str">
        <f>IF(OR(D14="",'Tube Cutting'!C20=""),"",IF('Job Sheet'!W20="Maxim 1 Channel Wall Mounted Remote",1,""))</f>
        <v/>
      </c>
      <c r="KP14" s="128" t="str">
        <f>IF(OR(D14="",'Tube Cutting'!C20=""),"",IF('Job Sheet'!W20="CWP 5 Channel Wall Mounted Remote",1,""))</f>
        <v/>
      </c>
      <c r="KQ14" s="128" t="str">
        <f>IF(OR(D14="",'Tube Cutting'!C20=""),"",IF('Job Sheet'!W20="CWP 8 Channel Remote with Timer",1,""))</f>
        <v/>
      </c>
      <c r="KR14" s="128" t="str">
        <f>IF(OR(D14="",'Tube Cutting'!C20=""),"",IF('Job Sheet'!W20="CWP Key Ring Remote",1,""))</f>
        <v/>
      </c>
      <c r="KS14" s="128" t="str">
        <f>IF(OR(D14="",'Tube Cutting'!C20=""),"",IF(OR('Job Sheet'!W20="Key Switch",'Job Sheet'!W20="Key Switch &amp; Key Switch Relay"),1,""))</f>
        <v/>
      </c>
      <c r="KT14" s="128" t="str">
        <f>IF(OR(D14="",'Tube Cutting'!C20=""),"",IF(OR('Job Sheet'!W20="Key Switch Relay",'Job Sheet'!W20="Key Switch &amp; Key Switch Relay"),1,""))</f>
        <v/>
      </c>
      <c r="KU14" s="128" t="str">
        <f>IF(OR(D14="",'Tube Cutting'!C20=""),"",IF(OR('Job Sheet'!U20="CW5 10nm Short Switch Motor with Inline Receiver",'Job Sheet'!U20="Maxim 10nm Switch Motor with Inline Receiver",'Job Sheet'!U20="CWP Manual Override 30Nm Motor with Inline Receiver",'Job Sheet'!U20="CWP Manual Override 50Nm Motor with Inline Receiver"),1,""))</f>
        <v/>
      </c>
      <c r="KY14" s="128" t="str">
        <f>IF(OR('Job Sheet'!U20="CW5 10nm Short Switch Motor",'Job Sheet'!U20="CW5 10nm Short Switch Motor with Inline Receiver"),1,"")</f>
        <v/>
      </c>
      <c r="LB14" s="128" t="str">
        <f>IF(OR(D14="",'Tube Cutting'!C20=""),"",IF(OR('Job Sheet'!U20="CWP Manual Override 30Nm Motor with Inline Receiver",'Job Sheet'!U20="CWP Manual Override 30Nm Motor"),1,""))</f>
        <v/>
      </c>
      <c r="LC14" s="128" t="str">
        <f>IF(OR(D14="",'Tube Cutting'!C20=""),"",IF(OR('Job Sheet'!U20="CWP Manual Override 50Nm Motor with Inline Receiver",'Job Sheet'!U20="CWP Manual Override 50Nm Motor"),1,""))</f>
        <v/>
      </c>
      <c r="LG14" s="128" t="str">
        <f>IF('Job Sheet'!U20="L10 ODS Motor",1,"")</f>
        <v/>
      </c>
      <c r="LH14" s="128" t="str">
        <f>IF('Job Sheet'!U20="L10 ODS Motor",1,"")</f>
        <v/>
      </c>
      <c r="LI14" s="128" t="str">
        <f>IF('Job Sheet'!U20="T20 ODS Motor",1,"")</f>
        <v/>
      </c>
      <c r="LJ14" s="128" t="str">
        <f>IF(OR('Job Sheet'!U20="T20 ODS Motor",'Job Sheet'!U20="T35 ODS Motor"),1,"")</f>
        <v/>
      </c>
      <c r="LK14" s="128" t="str">
        <f>IF(OR('Job Sheet'!U20="T20 ODS Motor",'Job Sheet'!U20="T35 ODS Motor"),2,"")</f>
        <v/>
      </c>
      <c r="LL14" s="128" t="str">
        <f>IF('Job Sheet'!U20="T35 ODS Motor",1,"")</f>
        <v/>
      </c>
      <c r="LM14" s="128" t="str">
        <f>IF('Job Sheet'!W20="Controller &amp; Charger",1,"")</f>
        <v/>
      </c>
      <c r="LN14" s="128" t="str">
        <f>IF(OR('Job Sheet'!T20="12v ODS System",'Job Sheet'!T20="Firesafe 12v ODS System"),1,"")</f>
        <v/>
      </c>
      <c r="LO14" t="str">
        <f>IF(OR('Job Sheet'!W20="RF Controller &amp; Charger",'Job Sheet'!W20="RF Controller, Charger &amp; 9 Channel Remote",'Job Sheet'!W20="RF Controller, Charger &amp; Single Channel Remote",'Job Sheet'!W20="Controller &amp; Charger"),1,"")</f>
        <v/>
      </c>
      <c r="LP14" s="128" t="str">
        <f>IF(OR('Job Sheet'!W20="RF Controller &amp; Charger",'Job Sheet'!W20="RF Controller, Charger &amp; Single Channel Remote",'Job Sheet'!W20="RF Controller, Charger &amp; 9 Channel Remote"),1,"")</f>
        <v/>
      </c>
      <c r="LQ14" s="128" t="str">
        <f>IF(OR('Job Sheet'!Z20="3 Way Switch for Bay Windows",'Job Sheet'!Z20="3 Way Switch for Bay Windows with Wiring Loom"),1,"")</f>
        <v/>
      </c>
      <c r="LR14" s="128" t="str">
        <f>IF('Job Sheet'!W20="RF Controller, Charger &amp; Single Channel Remote",1,"")</f>
        <v/>
      </c>
      <c r="LS14" s="128" t="str">
        <f>IF('Job Sheet'!W20="RF Controller, Charger &amp; 9 Channel Remote",1,"")</f>
        <v/>
      </c>
      <c r="LT14" s="128" t="str">
        <f>IF(OR('Job Sheet'!Z20="Wiring Loom Extension",'Job Sheet'!Z20="3 Way Switch for Bay Windows with Wiring Loom"),1,"")</f>
        <v/>
      </c>
      <c r="LU14" s="128" t="str">
        <f>IF('Job Sheet'!U20="Acmeda External 15nm Remote Motor",1,"")</f>
        <v/>
      </c>
      <c r="LV14" s="128" t="str">
        <f>IF('Job Sheet'!U20="Acmeda External 30nm Remote Motor",1,"")</f>
        <v/>
      </c>
      <c r="LW14" s="128" t="str">
        <f>IF('Job Sheet'!U20="Acmeda External 50nm Remote Motor",1,"")</f>
        <v/>
      </c>
      <c r="LX14" s="128" t="str">
        <f>IF(OR('Job Sheet'!U20="Acmeda External 15nm Remote Motor",'Job Sheet'!U20="Acmeda External 15nm Remote Motor"),1,"")</f>
        <v/>
      </c>
      <c r="LY14" s="128" t="str">
        <f>IF(OR('Job Sheet'!U20="Acmeda External 15nm Remote Motor",'Job Sheet'!U20="Acmeda External 15nm Remote Motor"),1,"")</f>
        <v/>
      </c>
      <c r="MC14" s="128" t="str">
        <f>IF(OR('Job Sheet'!Z20="Pulse 2.0 Automation Hub",'Job Sheet'!Z20="Pulse Pro Automation Hub"),1,"")</f>
        <v/>
      </c>
      <c r="MD14" s="128" t="str">
        <f>IF('Job Sheet'!Z20="1 Channel Dry Contact Relay Module",1,"")</f>
        <v/>
      </c>
      <c r="ME14" s="128" t="str">
        <f>IF('Job Sheet'!Z20="USB Repeater",1,"")</f>
        <v/>
      </c>
      <c r="MF14" s="128" t="str">
        <f>IF('Job Sheet'!W20="Acmeda 1 Channel White Remote",1,"")</f>
        <v/>
      </c>
      <c r="MG14" s="128" t="str">
        <f>IF('Job Sheet'!W20="Acmeda 1 Channel Black Remote",1,"")</f>
        <v/>
      </c>
      <c r="MH14" s="128" t="str">
        <f>IF('Job Sheet'!W20="Acmeda 5 Channel White Remote",1,"")</f>
        <v/>
      </c>
      <c r="MI14" s="128" t="str">
        <f>IF('Job Sheet'!W20="Acmeda 5 Channel Black Remote",1,"")</f>
        <v/>
      </c>
      <c r="MJ14" s="128" t="str">
        <f>IF('Job Sheet'!W20="Acmeda 15 Channel White Remote",1,"")</f>
        <v/>
      </c>
      <c r="MK14" s="128" t="str">
        <f>IF('Job Sheet'!W20="Acmeda 15 Channel Black Remote",1,"")</f>
        <v/>
      </c>
      <c r="ML14" s="128" t="str">
        <f>IF('Job Sheet'!W20="Acmeda Wall Mounted Single Channel White Remote",1,"")</f>
        <v/>
      </c>
      <c r="MM14" s="128" t="str">
        <f>IF('Job Sheet'!W20="Acmeda Wall Mounted 5 Channel White Remote",1,"")</f>
        <v/>
      </c>
      <c r="MN14" s="128" t="str">
        <f>IF('Job Sheet'!W20="Acmeda Wall Mounted 15 Channel White Remote",1,"")</f>
        <v/>
      </c>
      <c r="MO14" s="128" t="str">
        <f>IF('Job Sheet'!W20="Acmeda Push Pro White Remote with Charger",1,"")</f>
        <v/>
      </c>
      <c r="MP14" s="128" t="str">
        <f>IF('Job Sheet'!X20="Acmeda Push Pro Black Remote with Charger",1,"")</f>
        <v/>
      </c>
      <c r="MQ14" t="str">
        <f>IF(OR('Job Sheet'!X20="Acmeda Push Pro White Remote with Charger",'Job Sheet'!X20="Acmeda Push Pro Black Remote with Charger"),"1","")</f>
        <v/>
      </c>
      <c r="MR14" t="str">
        <f t="shared" si="2"/>
        <v/>
      </c>
      <c r="NE14" s="128" t="str">
        <f>IF('Job Sheet'!U20="Somfy Altus 50 RTS 6/17",1,"")</f>
        <v/>
      </c>
      <c r="NF14" s="128" t="str">
        <f>IF('Job Sheet'!U20="Somfy Altus 50 RTS 10/17",1,"")</f>
        <v/>
      </c>
      <c r="NG14" s="128" t="str">
        <f>IF('Job Sheet'!U20="Somfy Altus 50 RTS 15/17",1,"")</f>
        <v/>
      </c>
      <c r="NH14" s="128" t="str">
        <f>IF('Job Sheet'!U20="Somfy Altus 50 RTS 25/17",1,"")</f>
        <v/>
      </c>
      <c r="NI14" s="128" t="str">
        <f>IF('Job Sheet'!U20="Somfy Orea 50 WT 40/17",1,"")</f>
        <v/>
      </c>
      <c r="NJ14" s="128" t="str">
        <f t="shared" si="3"/>
        <v/>
      </c>
      <c r="NK14" s="128" t="str">
        <f t="shared" si="4"/>
        <v/>
      </c>
      <c r="NL14" s="128" t="str">
        <f t="shared" si="5"/>
        <v/>
      </c>
      <c r="NM14" s="128" t="str">
        <f>IF('Job Sheet'!Z20="Connexoon App Connector",1,"")</f>
        <v/>
      </c>
      <c r="NN14" s="128" t="str">
        <f>IF('Job Sheet'!Z20="Tahoma Switch",1,"")</f>
        <v/>
      </c>
      <c r="NO14" s="128" t="str">
        <f>IF('Job Sheet'!W20="Somfy Single Channel Silver Remote",1,"")</f>
        <v/>
      </c>
      <c r="NP14" s="128" t="str">
        <f>IF('Job Sheet'!W20="Somfy Single Channel White Remote",1,"")</f>
        <v/>
      </c>
      <c r="NQ14" s="128" t="str">
        <f>IF('Job Sheet'!W20="Somfy 2 Channel Silver Remote",1,"")</f>
        <v/>
      </c>
      <c r="NR14" s="128" t="str">
        <f>IF('Job Sheet'!W20="Somfy 2 Channel White Remote",1,"")</f>
        <v/>
      </c>
      <c r="NS14" s="128" t="str">
        <f>IF('Job Sheet'!W20="Somfy 5 Channel Silver Remote",1,"")</f>
        <v/>
      </c>
      <c r="NT14" s="128" t="str">
        <f>IF('Job Sheet'!W20="Somfy 5 Channel White Remote",1,"")</f>
        <v/>
      </c>
      <c r="NU14" s="128" t="str">
        <f>IF('Job Sheet'!W20="Somfy 15 Channel Silver Remote",1,"")</f>
        <v/>
      </c>
      <c r="NV14" s="128" t="str">
        <f>IF('Job Sheet'!W20="Somfy 15 Channel White Remote",1,"")</f>
        <v/>
      </c>
      <c r="NW14" s="128" t="str">
        <f>IF('Job Sheet'!W20="Somfy Single Channel Wall Mounted Smoove Remote White with Black Cover Plate",1,"")</f>
        <v/>
      </c>
      <c r="NX14" s="128" t="str">
        <f>IF('Job Sheet'!W20="Somfy Single Channel Wall Mounted Smoove Remote White with Silver Cover Plate",1,"")</f>
        <v/>
      </c>
      <c r="NY14" s="128" t="str">
        <f>IF('Job Sheet'!W20="Somfy Single Channel Wall Mounted Smoove Remote White",1,"")</f>
        <v/>
      </c>
      <c r="NZ14" s="128" t="str">
        <f>IF('Job Sheet'!W20="Somfy 2 Channel Wall Mounted Smoove Remote White with Black Cover Plate",1,"")</f>
        <v/>
      </c>
      <c r="OA14" s="128" t="str">
        <f>IF('Job Sheet'!W20="Somfy 2 Channel Wall Mounted Smoove Remote White with Silver Cover Plate",1,"")</f>
        <v/>
      </c>
      <c r="OB14" s="128" t="str">
        <f>IF('Job Sheet'!W20="Somfy 2 Channel Wall Mounted Smoove Remote White",1,"")</f>
        <v/>
      </c>
      <c r="OC14" s="128" t="str">
        <f>IF('Job Sheet'!W20="Somfy 5 Channel Wall Mounted Smoove Remote White with Black Cover Plate",1,"")</f>
        <v/>
      </c>
      <c r="OD14" s="128" t="str">
        <f>IF('Job Sheet'!W20="Somfy 5 Channel Wall Mounted Smoove Remote White with Silver Cover Plate",1,"")</f>
        <v/>
      </c>
      <c r="OE14" s="128" t="str">
        <f>IF('Job Sheet'!W20="Somfy 5 Channel Wall Mounted Smoove Remote White",1,"")</f>
        <v/>
      </c>
    </row>
    <row r="15" spans="23:310" ht="13.2">
      <c r="W15" s="116" t="str">
        <f>IF(OR(D15="",'Tube Cutting'!C21=""),"",IF(AND(Data!BN21="42mm Standard Slat",Data!BO21="Deep Ocean Blue"),'Tube Cutting'!C21*'Tube Cutting'!D21/5800,IF(AND(Data!BN21="42mm Standard Slat",'Tube Cutting'!H21="Deep Ocean Blue"),'Tube Cutting'!C21*'Tube Cutting'!G21/5800,"")))</f>
        <v/>
      </c>
      <c r="JT15" t="str">
        <f>IF(OR('Job Sheet'!T21="CW5 10nm Short Switch Motor",'Job Sheet'!T21="CW5 10nm Short Switch Motor with Inline Receiver"),1,"")</f>
        <v/>
      </c>
      <c r="JU15" t="str">
        <f>IF(OR('Job Sheet'!T21="Maxim 10nm Switch Motor",'Job Sheet'!T21="Maxim 10nm Switch Motor with Inline Receiver"),1,"")</f>
        <v/>
      </c>
      <c r="KX15" t="str">
        <f>IF(OR(D15="",'Tube Cutting'!C21=""),"",IF(OR('Job Sheet'!T21="CW5 10nm Short Switch Motor with Inline Receiver",'Job Sheet'!T21="Maxim 10nm Switch Motor with Inline Receiver",'Job Sheet'!T21="CWP Manual Override 30Nm Motor with Inline Receiver",'Job Sheet'!T21="CWP Manual Override 50Nm Motor with Inline Receiver"),1,""))</f>
        <v/>
      </c>
    </row>
    <row r="16" spans="23:310" ht="13.2">
      <c r="W16" s="116" t="str">
        <f>IF(OR(D16="",'Tube Cutting'!C22=""),"",IF(AND(Data!BN22="42mm Standard Slat",Data!BO22="Deep Ocean Blue"),'Tube Cutting'!C22*'Tube Cutting'!D22/5800,IF(AND(Data!BN22="42mm Standard Slat",'Tube Cutting'!H22="Deep Ocean Blue"),'Tube Cutting'!C22*'Tube Cutting'!G22/5800,"")))</f>
        <v/>
      </c>
      <c r="JT16" t="str">
        <f>IF(OR('Job Sheet'!T22="CW5 10nm Short Switch Motor",'Job Sheet'!T22="CW5 10nm Short Switch Motor with Inline Receiver"),1,"")</f>
        <v/>
      </c>
      <c r="JU16" t="str">
        <f>IF(OR('Job Sheet'!T22="Maxim 10nm Switch Motor",'Job Sheet'!T22="Maxim 10nm Switch Motor with Inline Receiver"),1,"")</f>
        <v/>
      </c>
      <c r="KX16" t="str">
        <f>IF(OR(D16="",'Tube Cutting'!C22=""),"",IF(OR('Job Sheet'!T22="CW5 10nm Short Switch Motor with Inline Receiver",'Job Sheet'!T22="Maxim 10nm Switch Motor with Inline Receiver",'Job Sheet'!T22="CWP Manual Override 30Nm Motor with Inline Receiver",'Job Sheet'!T22="CWP Manual Override 50Nm Motor with Inline Receiver"),1,""))</f>
        <v/>
      </c>
    </row>
    <row r="17" spans="23:310" ht="13.2">
      <c r="W17" s="116" t="str">
        <f>IF(OR(D17="",'Tube Cutting'!C23=""),"",IF(AND(Data!BN23="42mm Standard Slat",Data!BO23="Deep Ocean Blue"),'Tube Cutting'!C23*'Tube Cutting'!D23/5800,IF(AND(Data!BN23="42mm Standard Slat",'Tube Cutting'!H23="Deep Ocean Blue"),'Tube Cutting'!C23*'Tube Cutting'!G23/5800,"")))</f>
        <v/>
      </c>
      <c r="JT17" t="str">
        <f>IF(OR('Job Sheet'!T23="CW5 10nm Short Switch Motor",'Job Sheet'!T23="CW5 10nm Short Switch Motor with Inline Receiver"),1,"")</f>
        <v/>
      </c>
      <c r="JU17" t="str">
        <f>IF(OR('Job Sheet'!T23="Maxim 10nm Switch Motor",'Job Sheet'!T23="Maxim 10nm Switch Motor with Inline Receiver"),1,"")</f>
        <v/>
      </c>
      <c r="KX17" t="str">
        <f>IF(OR(D17="",'Tube Cutting'!C23=""),"",IF(OR('Job Sheet'!T23="CW5 10nm Short Switch Motor with Inline Receiver",'Job Sheet'!T23="Maxim 10nm Switch Motor with Inline Receiver",'Job Sheet'!T23="CWP Manual Override 30Nm Motor with Inline Receiver",'Job Sheet'!T23="CWP Manual Override 50Nm Motor with Inline Receiver"),1,""))</f>
        <v/>
      </c>
    </row>
    <row r="18" spans="23:310" ht="13.2">
      <c r="W18" s="116" t="str">
        <f>IF(OR(D18="",'Tube Cutting'!C24=""),"",IF(AND(Data!BN24="42mm Standard Slat",Data!BO24="Deep Ocean Blue"),'Tube Cutting'!C24*'Tube Cutting'!D24/5800,IF(AND(Data!BN24="42mm Standard Slat",'Tube Cutting'!H24="Deep Ocean Blue"),'Tube Cutting'!C24*'Tube Cutting'!G24/5800,"")))</f>
        <v/>
      </c>
      <c r="JT18" t="str">
        <f>IF(OR('Job Sheet'!T24="CW5 10nm Short Switch Motor",'Job Sheet'!T24="CW5 10nm Short Switch Motor with Inline Receiver"),1,"")</f>
        <v/>
      </c>
      <c r="JU18" t="str">
        <f>IF(OR('Job Sheet'!T24="Maxim 10nm Switch Motor",'Job Sheet'!T24="Maxim 10nm Switch Motor with Inline Receiver"),1,"")</f>
        <v/>
      </c>
      <c r="KX18" t="str">
        <f>IF(OR(D18="",'Tube Cutting'!C24=""),"",IF(OR('Job Sheet'!T24="CW5 10nm Short Switch Motor with Inline Receiver",'Job Sheet'!T24="Maxim 10nm Switch Motor with Inline Receiver",'Job Sheet'!T24="CWP Manual Override 30Nm Motor with Inline Receiver",'Job Sheet'!T24="CWP Manual Override 50Nm Motor with Inline Receiver"),1,""))</f>
        <v/>
      </c>
    </row>
    <row r="19" spans="23:310" ht="13.2">
      <c r="W19" s="116" t="str">
        <f>IF(OR(D19="",'Tube Cutting'!C25=""),"",IF(AND(Data!BN25="42mm Standard Slat",Data!BO25="Deep Ocean Blue"),'Tube Cutting'!C25*'Tube Cutting'!D25/5800,IF(AND(Data!BN25="42mm Standard Slat",'Tube Cutting'!H25="Deep Ocean Blue"),'Tube Cutting'!C25*'Tube Cutting'!G25/5800,"")))</f>
        <v/>
      </c>
      <c r="JT19" t="str">
        <f>IF(OR('Job Sheet'!T25="CW5 10nm Short Switch Motor",'Job Sheet'!T25="CW5 10nm Short Switch Motor with Inline Receiver"),1,"")</f>
        <v/>
      </c>
      <c r="JU19" t="str">
        <f>IF(OR('Job Sheet'!T25="Maxim 10nm Switch Motor",'Job Sheet'!T25="Maxim 10nm Switch Motor with Inline Receiver"),1,"")</f>
        <v/>
      </c>
      <c r="KX19" t="str">
        <f>IF(OR(D19="",'Tube Cutting'!C25=""),"",IF(OR('Job Sheet'!T25="CW5 10nm Short Switch Motor with Inline Receiver",'Job Sheet'!T25="Maxim 10nm Switch Motor with Inline Receiver",'Job Sheet'!T25="CWP Manual Override 30Nm Motor with Inline Receiver",'Job Sheet'!T25="CWP Manual Override 50Nm Motor with Inline Receiver"),1,""))</f>
        <v/>
      </c>
    </row>
    <row r="20" spans="23:310" ht="13.2">
      <c r="W20" s="116" t="str">
        <f>IF(OR(D20="",'Tube Cutting'!C26=""),"",IF(AND(Data!BN26="42mm Standard Slat",Data!BO26="Deep Ocean Blue"),'Tube Cutting'!C26*'Tube Cutting'!D26/5800,IF(AND(Data!BN26="42mm Standard Slat",'Tube Cutting'!H26="Deep Ocean Blue"),'Tube Cutting'!C26*'Tube Cutting'!G26/5800,"")))</f>
        <v/>
      </c>
      <c r="JT20" t="str">
        <f>IF(OR('Job Sheet'!T26="CW5 10nm Short Switch Motor",'Job Sheet'!T26="CW5 10nm Short Switch Motor with Inline Receiver"),1,"")</f>
        <v/>
      </c>
      <c r="JU20" t="str">
        <f>IF(OR('Job Sheet'!T26="Maxim 10nm Switch Motor",'Job Sheet'!T26="Maxim 10nm Switch Motor with Inline Receiver"),1,"")</f>
        <v/>
      </c>
      <c r="KX20" t="str">
        <f>IF(OR(D20="",'Tube Cutting'!C26=""),"",IF(OR('Job Sheet'!T26="CW5 10nm Short Switch Motor with Inline Receiver",'Job Sheet'!T26="Maxim 10nm Switch Motor with Inline Receiver",'Job Sheet'!T26="CWP Manual Override 30Nm Motor with Inline Receiver",'Job Sheet'!T26="CWP Manual Override 50Nm Motor with Inline Receiver"),1,""))</f>
        <v/>
      </c>
    </row>
    <row r="21" spans="23:310" ht="13.2">
      <c r="W21" s="116" t="str">
        <f>IF(OR(D21="",'Tube Cutting'!C27=""),"",IF(AND(Data!BN27="42mm Standard Slat",Data!BO27="Deep Ocean Blue"),'Tube Cutting'!C27*'Tube Cutting'!D27/5800,IF(AND(Data!BN27="42mm Standard Slat",'Tube Cutting'!H27="Deep Ocean Blue"),'Tube Cutting'!C27*'Tube Cutting'!G27/5800,"")))</f>
        <v/>
      </c>
      <c r="JT21" t="str">
        <f>IF(OR('Job Sheet'!T27="CW5 10nm Short Switch Motor",'Job Sheet'!T27="CW5 10nm Short Switch Motor with Inline Receiver"),1,"")</f>
        <v/>
      </c>
      <c r="JU21" t="str">
        <f>IF(OR('Job Sheet'!T27="Maxim 10nm Switch Motor",'Job Sheet'!T27="Maxim 10nm Switch Motor with Inline Receiver"),1,"")</f>
        <v/>
      </c>
      <c r="KX21" t="str">
        <f>IF(OR(D21="",'Tube Cutting'!C27=""),"",IF(OR('Job Sheet'!T27="CW5 10nm Short Switch Motor with Inline Receiver",'Job Sheet'!T27="Maxim 10nm Switch Motor with Inline Receiver",'Job Sheet'!T27="CWP Manual Override 30Nm Motor with Inline Receiver",'Job Sheet'!T27="CWP Manual Override 50Nm Motor with Inline Receiver"),1,""))</f>
        <v/>
      </c>
    </row>
    <row r="22" spans="23:310" ht="13.2">
      <c r="W22" s="116" t="str">
        <f>IF(OR(D22="",'Tube Cutting'!C28=""),"",IF(AND(Data!BN28="42mm Standard Slat",Data!BO28="Deep Ocean Blue"),'Tube Cutting'!C28*'Tube Cutting'!D28/5800,IF(AND(Data!BN28="42mm Standard Slat",'Tube Cutting'!H28="Deep Ocean Blue"),'Tube Cutting'!C28*'Tube Cutting'!G28/5800,"")))</f>
        <v/>
      </c>
      <c r="JT22" t="str">
        <f>IF(OR('Job Sheet'!T28="CW5 10nm Short Switch Motor",'Job Sheet'!T28="CW5 10nm Short Switch Motor with Inline Receiver"),1,"")</f>
        <v/>
      </c>
      <c r="JU22" t="str">
        <f>IF(OR('Job Sheet'!T28="Maxim 10nm Switch Motor",'Job Sheet'!T28="Maxim 10nm Switch Motor with Inline Receiver"),1,"")</f>
        <v/>
      </c>
      <c r="KX22" t="str">
        <f>IF(OR(D22="",'Tube Cutting'!C28=""),"",IF(OR('Job Sheet'!T28="CW5 10nm Short Switch Motor with Inline Receiver",'Job Sheet'!T28="Maxim 10nm Switch Motor with Inline Receiver",'Job Sheet'!T28="CWP Manual Override 30Nm Motor with Inline Receiver",'Job Sheet'!T28="CWP Manual Override 50Nm Motor with Inline Receiver"),1,""))</f>
        <v/>
      </c>
    </row>
    <row r="23" spans="23:310" ht="13.2">
      <c r="W23" s="116" t="str">
        <f>IF(OR(D23="",'Tube Cutting'!C29=""),"",IF(AND(Data!BN29="42mm Standard Slat",Data!BO29="Deep Ocean Blue"),'Tube Cutting'!C29*'Tube Cutting'!D29/5800,IF(AND(Data!BN29="42mm Standard Slat",'Tube Cutting'!H29="Deep Ocean Blue"),'Tube Cutting'!C29*'Tube Cutting'!G29/5800,"")))</f>
        <v/>
      </c>
      <c r="JT23" t="str">
        <f>IF(OR('Job Sheet'!T29="CW5 10nm Short Switch Motor",'Job Sheet'!T29="CW5 10nm Short Switch Motor with Inline Receiver"),1,"")</f>
        <v/>
      </c>
      <c r="JU23" t="str">
        <f>IF(OR('Job Sheet'!T29="Maxim 10nm Switch Motor",'Job Sheet'!T29="Maxim 10nm Switch Motor with Inline Receiver"),1,"")</f>
        <v/>
      </c>
      <c r="KX23" t="str">
        <f>IF(OR(D23="",'Tube Cutting'!C29=""),"",IF(OR('Job Sheet'!T29="CW5 10nm Short Switch Motor with Inline Receiver",'Job Sheet'!T29="Maxim 10nm Switch Motor with Inline Receiver",'Job Sheet'!T29="CWP Manual Override 30Nm Motor with Inline Receiver",'Job Sheet'!T29="CWP Manual Override 50Nm Motor with Inline Receiver"),1,""))</f>
        <v/>
      </c>
    </row>
    <row r="24" spans="23:310" ht="13.2">
      <c r="W24" s="116" t="str">
        <f>IF(OR(D24="",'Tube Cutting'!C30=""),"",IF(AND(Data!BN30="42mm Standard Slat",Data!BO30="Deep Ocean Blue"),'Tube Cutting'!C30*'Tube Cutting'!D30/5800,IF(AND(Data!BN30="42mm Standard Slat",'Tube Cutting'!H30="Deep Ocean Blue"),'Tube Cutting'!C30*'Tube Cutting'!G30/5800,"")))</f>
        <v/>
      </c>
      <c r="JT24" t="str">
        <f>IF(OR('Job Sheet'!T30="CW5 10nm Short Switch Motor",'Job Sheet'!T30="CW5 10nm Short Switch Motor with Inline Receiver"),1,"")</f>
        <v/>
      </c>
      <c r="JU24" t="str">
        <f>IF(OR('Job Sheet'!T30="Maxim 10nm Switch Motor",'Job Sheet'!T30="Maxim 10nm Switch Motor with Inline Receiver"),1,"")</f>
        <v/>
      </c>
      <c r="KX24" t="str">
        <f>IF(OR(D24="",'Tube Cutting'!C30=""),"",IF(OR('Job Sheet'!T30="CW5 10nm Short Switch Motor with Inline Receiver",'Job Sheet'!T30="Maxim 10nm Switch Motor with Inline Receiver",'Job Sheet'!T30="CWP Manual Override 30Nm Motor with Inline Receiver",'Job Sheet'!T30="CWP Manual Override 50Nm Motor with Inline Receiver"),1,""))</f>
        <v/>
      </c>
    </row>
    <row r="25" spans="23:310" ht="13.2">
      <c r="W25" s="116" t="str">
        <f>IF(OR(D25="",'Tube Cutting'!C31=""),"",IF(AND(Data!BN31="42mm Standard Slat",Data!BO31="Deep Ocean Blue"),'Tube Cutting'!C31*'Tube Cutting'!D31/5800,IF(AND(Data!BN31="42mm Standard Slat",'Tube Cutting'!H31="Deep Ocean Blue"),'Tube Cutting'!C31*'Tube Cutting'!G31/5800,"")))</f>
        <v/>
      </c>
      <c r="JT25" t="str">
        <f>IF(OR('Job Sheet'!T31="CW5 10nm Short Switch Motor",'Job Sheet'!T31="CW5 10nm Short Switch Motor with Inline Receiver"),1,"")</f>
        <v/>
      </c>
      <c r="JU25" t="str">
        <f>IF(OR('Job Sheet'!T31="Maxim 10nm Switch Motor",'Job Sheet'!T31="Maxim 10nm Switch Motor with Inline Receiver"),1,"")</f>
        <v/>
      </c>
      <c r="KX25" t="str">
        <f>IF(OR(D25="",'Tube Cutting'!C31=""),"",IF(OR('Job Sheet'!T31="CW5 10nm Short Switch Motor with Inline Receiver",'Job Sheet'!T31="Maxim 10nm Switch Motor with Inline Receiver",'Job Sheet'!T31="CWP Manual Override 30Nm Motor with Inline Receiver",'Job Sheet'!T31="CWP Manual Override 50Nm Motor with Inline Receiver"),1,""))</f>
        <v/>
      </c>
    </row>
    <row r="26" spans="23:310" ht="13.2">
      <c r="W26" s="116" t="str">
        <f>IF(OR(D26="",'Tube Cutting'!C32=""),"",IF(AND(Data!BN32="42mm Standard Slat",Data!BO32="Deep Ocean Blue"),'Tube Cutting'!C32*'Tube Cutting'!D32/5800,IF(AND(Data!BN32="42mm Standard Slat",'Tube Cutting'!H32="Deep Ocean Blue"),'Tube Cutting'!C32*'Tube Cutting'!G32/5800,"")))</f>
        <v/>
      </c>
      <c r="JT26" t="str">
        <f>IF(OR('Job Sheet'!T32="CW5 10nm Short Switch Motor",'Job Sheet'!T32="CW5 10nm Short Switch Motor with Inline Receiver"),1,"")</f>
        <v/>
      </c>
      <c r="JU26" t="str">
        <f>IF(OR('Job Sheet'!T32="Maxim 10nm Switch Motor",'Job Sheet'!T32="Maxim 10nm Switch Motor with Inline Receiver"),1,"")</f>
        <v/>
      </c>
      <c r="KX26" t="str">
        <f>IF(OR(D26="",'Tube Cutting'!C32=""),"",IF(OR('Job Sheet'!T32="CW5 10nm Short Switch Motor with Inline Receiver",'Job Sheet'!T32="Maxim 10nm Switch Motor with Inline Receiver",'Job Sheet'!T32="CWP Manual Override 30Nm Motor with Inline Receiver",'Job Sheet'!T32="CWP Manual Override 50Nm Motor with Inline Receiver"),1,""))</f>
        <v/>
      </c>
    </row>
    <row r="27" spans="23:310" ht="13.2">
      <c r="W27" s="116" t="str">
        <f>IF(OR(D27="",'Tube Cutting'!C33=""),"",IF(AND(Data!BN33="42mm Standard Slat",Data!BO33="Deep Ocean Blue"),'Tube Cutting'!C33*'Tube Cutting'!D33/5800,IF(AND(Data!BN33="42mm Standard Slat",'Tube Cutting'!H33="Deep Ocean Blue"),'Tube Cutting'!C33*'Tube Cutting'!G33/5800,"")))</f>
        <v/>
      </c>
      <c r="JT27" t="str">
        <f>IF(OR('Job Sheet'!T33="CW5 10nm Short Switch Motor",'Job Sheet'!T33="CW5 10nm Short Switch Motor with Inline Receiver"),1,"")</f>
        <v/>
      </c>
      <c r="JU27" t="str">
        <f>IF(OR('Job Sheet'!T33="Maxim 10nm Switch Motor",'Job Sheet'!T33="Maxim 10nm Switch Motor with Inline Receiver"),1,"")</f>
        <v/>
      </c>
      <c r="KX27" t="str">
        <f>IF(OR(D27="",'Tube Cutting'!C33=""),"",IF(OR('Job Sheet'!T33="CW5 10nm Short Switch Motor with Inline Receiver",'Job Sheet'!T33="Maxim 10nm Switch Motor with Inline Receiver",'Job Sheet'!T33="CWP Manual Override 30Nm Motor with Inline Receiver",'Job Sheet'!T33="CWP Manual Override 50Nm Motor with Inline Receiver"),1,""))</f>
        <v/>
      </c>
    </row>
    <row r="28" spans="23:310" ht="13.2">
      <c r="W28" s="116" t="str">
        <f>IF(OR(D28="",'Tube Cutting'!C34=""),"",IF(AND(Data!BN34="42mm Standard Slat",Data!BO34="Deep Ocean Blue"),'Tube Cutting'!C34*'Tube Cutting'!D34/5800,IF(AND(Data!BN34="42mm Standard Slat",'Tube Cutting'!H34="Deep Ocean Blue"),'Tube Cutting'!C34*'Tube Cutting'!G34/5800,"")))</f>
        <v/>
      </c>
      <c r="JT28" t="str">
        <f>IF(OR('Job Sheet'!T34="CW5 10nm Short Switch Motor",'Job Sheet'!T34="CW5 10nm Short Switch Motor with Inline Receiver"),1,"")</f>
        <v/>
      </c>
      <c r="JU28" t="str">
        <f>IF(OR('Job Sheet'!T34="Maxim 10nm Switch Motor",'Job Sheet'!T34="Maxim 10nm Switch Motor with Inline Receiver"),1,"")</f>
        <v/>
      </c>
      <c r="KX28" t="str">
        <f>IF(OR(D28="",'Tube Cutting'!C34=""),"",IF(OR('Job Sheet'!T34="CW5 10nm Short Switch Motor with Inline Receiver",'Job Sheet'!T34="Maxim 10nm Switch Motor with Inline Receiver",'Job Sheet'!T34="CWP Manual Override 30Nm Motor with Inline Receiver",'Job Sheet'!T34="CWP Manual Override 50Nm Motor with Inline Receiver"),1,""))</f>
        <v/>
      </c>
    </row>
    <row r="29" spans="23:310" ht="13.2">
      <c r="W29" s="116" t="str">
        <f>IF(OR(D29="",'Tube Cutting'!C35=""),"",IF(AND(Data!BN35="42mm Standard Slat",Data!BO35="Deep Ocean Blue"),'Tube Cutting'!C35*'Tube Cutting'!D35/5800,IF(AND(Data!BN35="42mm Standard Slat",'Tube Cutting'!H35="Deep Ocean Blue"),'Tube Cutting'!C35*'Tube Cutting'!G35/5800,"")))</f>
        <v/>
      </c>
      <c r="JT29" t="str">
        <f>IF(OR('Job Sheet'!T35="CW5 10nm Short Switch Motor",'Job Sheet'!T35="CW5 10nm Short Switch Motor with Inline Receiver"),1,"")</f>
        <v/>
      </c>
      <c r="JU29" t="str">
        <f>IF(OR('Job Sheet'!T35="Maxim 10nm Switch Motor",'Job Sheet'!T35="Maxim 10nm Switch Motor with Inline Receiver"),1,"")</f>
        <v/>
      </c>
      <c r="KX29" t="str">
        <f>IF(OR(D29="",'Tube Cutting'!C35=""),"",IF(OR('Job Sheet'!T35="CW5 10nm Short Switch Motor with Inline Receiver",'Job Sheet'!T35="Maxim 10nm Switch Motor with Inline Receiver",'Job Sheet'!T35="CWP Manual Override 30Nm Motor with Inline Receiver",'Job Sheet'!T35="CWP Manual Override 50Nm Motor with Inline Receiver"),1,""))</f>
        <v/>
      </c>
    </row>
    <row r="30" spans="23:310" ht="13.2">
      <c r="W30" s="116" t="str">
        <f>IF(OR(D30="",'Tube Cutting'!C36=""),"",IF(AND(Data!BN36="42mm Standard Slat",Data!BO36="Deep Ocean Blue"),'Tube Cutting'!C36*'Tube Cutting'!D36/5800,IF(AND(Data!BN36="42mm Standard Slat",'Tube Cutting'!H36="Deep Ocean Blue"),'Tube Cutting'!C36*'Tube Cutting'!G36/5800,"")))</f>
        <v/>
      </c>
      <c r="JT30" t="str">
        <f>IF(OR('Job Sheet'!T36="CW5 10nm Short Switch Motor",'Job Sheet'!T36="CW5 10nm Short Switch Motor with Inline Receiver"),1,"")</f>
        <v/>
      </c>
      <c r="JU30" t="str">
        <f>IF(OR('Job Sheet'!T36="Maxim 10nm Switch Motor",'Job Sheet'!T36="Maxim 10nm Switch Motor with Inline Receiver"),1,"")</f>
        <v/>
      </c>
      <c r="KX30" t="str">
        <f>IF(OR(D30="",'Tube Cutting'!C36=""),"",IF(OR('Job Sheet'!T36="CW5 10nm Short Switch Motor with Inline Receiver",'Job Sheet'!T36="Maxim 10nm Switch Motor with Inline Receiver",'Job Sheet'!T36="CWP Manual Override 30Nm Motor with Inline Receiver",'Job Sheet'!T36="CWP Manual Override 50Nm Motor with Inline Receiver"),1,""))</f>
        <v/>
      </c>
    </row>
    <row r="31" spans="23:310" ht="13.2">
      <c r="W31" s="116" t="str">
        <f>IF(OR(D31="",'Tube Cutting'!C37=""),"",IF(AND(Data!BN37="42mm Standard Slat",Data!BO37="Deep Ocean Blue"),'Tube Cutting'!C37*'Tube Cutting'!D37/5800,IF(AND(Data!BN37="42mm Standard Slat",'Tube Cutting'!H37="Deep Ocean Blue"),'Tube Cutting'!C37*'Tube Cutting'!G37/5800,"")))</f>
        <v/>
      </c>
      <c r="JT31" t="str">
        <f>IF(OR('Job Sheet'!T37="CW5 10nm Short Switch Motor",'Job Sheet'!T37="CW5 10nm Short Switch Motor with Inline Receiver"),1,"")</f>
        <v/>
      </c>
      <c r="JU31" t="str">
        <f>IF(OR('Job Sheet'!T37="Maxim 10nm Switch Motor",'Job Sheet'!T37="Maxim 10nm Switch Motor with Inline Receiver"),1,"")</f>
        <v/>
      </c>
      <c r="KX31" t="str">
        <f>IF(OR(D31="",'Tube Cutting'!C37=""),"",IF(OR('Job Sheet'!T37="CW5 10nm Short Switch Motor with Inline Receiver",'Job Sheet'!T37="Maxim 10nm Switch Motor with Inline Receiver",'Job Sheet'!T37="CWP Manual Override 30Nm Motor with Inline Receiver",'Job Sheet'!T37="CWP Manual Override 50Nm Motor with Inline Receiver"),1,""))</f>
        <v/>
      </c>
    </row>
    <row r="32" spans="23:310" ht="13.2">
      <c r="W32" s="116" t="str">
        <f>IF(OR(D32="",'Tube Cutting'!C38=""),"",IF(AND(Data!BN38="42mm Standard Slat",Data!BO38="Deep Ocean Blue"),'Tube Cutting'!C38*'Tube Cutting'!D38/5800,IF(AND(Data!BN38="42mm Standard Slat",'Tube Cutting'!H38="Deep Ocean Blue"),'Tube Cutting'!C38*'Tube Cutting'!G38/5800,"")))</f>
        <v/>
      </c>
      <c r="JT32" t="str">
        <f>IF(OR('Job Sheet'!T38="CW5 10nm Short Switch Motor",'Job Sheet'!T38="CW5 10nm Short Switch Motor with Inline Receiver"),1,"")</f>
        <v/>
      </c>
      <c r="JU32" t="str">
        <f>IF(OR('Job Sheet'!T38="Maxim 10nm Switch Motor",'Job Sheet'!T38="Maxim 10nm Switch Motor with Inline Receiver"),1,"")</f>
        <v/>
      </c>
      <c r="KX32" t="str">
        <f>IF(OR(D32="",'Tube Cutting'!C38=""),"",IF(OR('Job Sheet'!T38="CW5 10nm Short Switch Motor with Inline Receiver",'Job Sheet'!T38="Maxim 10nm Switch Motor with Inline Receiver",'Job Sheet'!T38="CWP Manual Override 30Nm Motor with Inline Receiver",'Job Sheet'!T38="CWP Manual Override 50Nm Motor with Inline Receiver"),1,""))</f>
        <v/>
      </c>
    </row>
    <row r="33" spans="23:310" ht="13.2">
      <c r="W33" s="116" t="str">
        <f>IF(OR(D33="",'Tube Cutting'!C39=""),"",IF(AND(Data!BN39="42mm Standard Slat",Data!BO39="Deep Ocean Blue"),'Tube Cutting'!C39*'Tube Cutting'!D39/5800,IF(AND(Data!BN39="42mm Standard Slat",'Tube Cutting'!H39="Deep Ocean Blue"),'Tube Cutting'!C39*'Tube Cutting'!G39/5800,"")))</f>
        <v/>
      </c>
      <c r="JT33" t="str">
        <f>IF(OR('Job Sheet'!T39="CW5 10nm Short Switch Motor",'Job Sheet'!T39="CW5 10nm Short Switch Motor with Inline Receiver"),1,"")</f>
        <v/>
      </c>
      <c r="JU33" t="str">
        <f>IF(OR('Job Sheet'!T39="Maxim 10nm Switch Motor",'Job Sheet'!T39="Maxim 10nm Switch Motor with Inline Receiver"),1,"")</f>
        <v/>
      </c>
      <c r="KX33" t="str">
        <f>IF(OR(D33="",'Tube Cutting'!C39=""),"",IF(OR('Job Sheet'!T39="CW5 10nm Short Switch Motor with Inline Receiver",'Job Sheet'!T39="Maxim 10nm Switch Motor with Inline Receiver",'Job Sheet'!T39="CWP Manual Override 30Nm Motor with Inline Receiver",'Job Sheet'!T39="CWP Manual Override 50Nm Motor with Inline Receiver"),1,""))</f>
        <v/>
      </c>
    </row>
    <row r="34" spans="23:310" ht="13.2">
      <c r="W34" s="116" t="str">
        <f>IF(OR(D34="",'Tube Cutting'!C40=""),"",IF(AND(Data!BN40="42mm Standard Slat",Data!BO40="Deep Ocean Blue"),'Tube Cutting'!C40*'Tube Cutting'!D40/5800,IF(AND(Data!BN40="42mm Standard Slat",'Tube Cutting'!H40="Deep Ocean Blue"),'Tube Cutting'!C40*'Tube Cutting'!G40/5800,"")))</f>
        <v/>
      </c>
      <c r="JT34" t="str">
        <f>IF(OR('Job Sheet'!T40="CW5 10nm Short Switch Motor",'Job Sheet'!T40="CW5 10nm Short Switch Motor with Inline Receiver"),1,"")</f>
        <v/>
      </c>
      <c r="JU34" t="str">
        <f>IF(OR('Job Sheet'!T40="Maxim 10nm Switch Motor",'Job Sheet'!T40="Maxim 10nm Switch Motor with Inline Receiver"),1,"")</f>
        <v/>
      </c>
      <c r="KX34" t="str">
        <f>IF(OR(D34="",'Tube Cutting'!C40=""),"",IF(OR('Job Sheet'!T40="CW5 10nm Short Switch Motor with Inline Receiver",'Job Sheet'!T40="Maxim 10nm Switch Motor with Inline Receiver",'Job Sheet'!T40="CWP Manual Override 30Nm Motor with Inline Receiver",'Job Sheet'!T40="CWP Manual Override 50Nm Motor with Inline Receiver"),1,""))</f>
        <v/>
      </c>
    </row>
    <row r="35" spans="23:310" ht="13.2">
      <c r="W35" s="116" t="str">
        <f>IF(OR(D35="",'Tube Cutting'!C41=""),"",IF(AND(Data!BN41="42mm Standard Slat",Data!BO41="Deep Ocean Blue"),'Tube Cutting'!C41*'Tube Cutting'!D41/5800,IF(AND(Data!BN41="42mm Standard Slat",'Tube Cutting'!H41="Deep Ocean Blue"),'Tube Cutting'!C41*'Tube Cutting'!G41/5800,"")))</f>
        <v/>
      </c>
      <c r="JT35" t="str">
        <f>IF(OR('Job Sheet'!T41="CW5 10nm Short Switch Motor",'Job Sheet'!T41="CW5 10nm Short Switch Motor with Inline Receiver"),1,"")</f>
        <v/>
      </c>
      <c r="JU35" t="str">
        <f>IF(OR('Job Sheet'!T41="Maxim 10nm Switch Motor",'Job Sheet'!T41="Maxim 10nm Switch Motor with Inline Receiver"),1,"")</f>
        <v/>
      </c>
      <c r="KX35" t="str">
        <f>IF(OR(D35="",'Tube Cutting'!C41=""),"",IF(OR('Job Sheet'!T41="CW5 10nm Short Switch Motor with Inline Receiver",'Job Sheet'!T41="Maxim 10nm Switch Motor with Inline Receiver",'Job Sheet'!T41="CWP Manual Override 30Nm Motor with Inline Receiver",'Job Sheet'!T41="CWP Manual Override 50Nm Motor with Inline Receiver"),1,""))</f>
        <v/>
      </c>
    </row>
    <row r="36" spans="23:310" ht="13.2">
      <c r="W36" s="116" t="str">
        <f>IF(OR(D36="",'Tube Cutting'!C42=""),"",IF(AND(Data!BN42="42mm Standard Slat",Data!BO42="Deep Ocean Blue"),'Tube Cutting'!C42*'Tube Cutting'!D42/5800,IF(AND(Data!BN42="42mm Standard Slat",'Tube Cutting'!H42="Deep Ocean Blue"),'Tube Cutting'!C42*'Tube Cutting'!G42/5800,"")))</f>
        <v/>
      </c>
      <c r="JT36" t="str">
        <f>IF(OR('Job Sheet'!T42="CW5 10nm Short Switch Motor",'Job Sheet'!T42="CW5 10nm Short Switch Motor with Inline Receiver"),1,"")</f>
        <v/>
      </c>
      <c r="JU36" t="str">
        <f>IF(OR('Job Sheet'!T42="Maxim 10nm Switch Motor",'Job Sheet'!T42="Maxim 10nm Switch Motor with Inline Receiver"),1,"")</f>
        <v/>
      </c>
      <c r="KX36" t="str">
        <f>IF(OR(D36="",'Tube Cutting'!C42=""),"",IF(OR('Job Sheet'!T42="CW5 10nm Short Switch Motor with Inline Receiver",'Job Sheet'!T42="Maxim 10nm Switch Motor with Inline Receiver",'Job Sheet'!T42="CWP Manual Override 30Nm Motor with Inline Receiver",'Job Sheet'!T42="CWP Manual Override 50Nm Motor with Inline Receiver"),1,""))</f>
        <v/>
      </c>
    </row>
    <row r="37" spans="23:310" ht="13.2">
      <c r="W37" s="116" t="str">
        <f>IF(OR(D37="",'Tube Cutting'!C43=""),"",IF(AND(Data!BN43="42mm Standard Slat",Data!BO43="Deep Ocean Blue"),'Tube Cutting'!C43*'Tube Cutting'!D43/5800,IF(AND(Data!BN43="42mm Standard Slat",'Tube Cutting'!H43="Deep Ocean Blue"),'Tube Cutting'!C43*'Tube Cutting'!G43/5800,"")))</f>
        <v/>
      </c>
      <c r="JT37" t="str">
        <f>IF(OR('Job Sheet'!T43="CW5 10nm Short Switch Motor",'Job Sheet'!T43="CW5 10nm Short Switch Motor with Inline Receiver"),1,"")</f>
        <v/>
      </c>
      <c r="JU37" t="str">
        <f>IF(OR('Job Sheet'!T43="Maxim 10nm Switch Motor",'Job Sheet'!T43="Maxim 10nm Switch Motor with Inline Receiver"),1,"")</f>
        <v/>
      </c>
      <c r="KX37" t="str">
        <f>IF(OR(D37="",'Tube Cutting'!C43=""),"",IF(OR('Job Sheet'!T43="CW5 10nm Short Switch Motor with Inline Receiver",'Job Sheet'!T43="Maxim 10nm Switch Motor with Inline Receiver",'Job Sheet'!T43="CWP Manual Override 30Nm Motor with Inline Receiver",'Job Sheet'!T43="CWP Manual Override 50Nm Motor with Inline Receiver"),1,""))</f>
        <v/>
      </c>
    </row>
    <row r="38" spans="23:310" ht="13.2">
      <c r="W38" s="116" t="str">
        <f>IF(OR(D38="",'Tube Cutting'!C44=""),"",IF(AND(Data!BN44="42mm Standard Slat",Data!BO44="Deep Ocean Blue"),'Tube Cutting'!C44*'Tube Cutting'!D44/5800,IF(AND(Data!BN44="42mm Standard Slat",'Tube Cutting'!H44="Deep Ocean Blue"),'Tube Cutting'!C44*'Tube Cutting'!G44/5800,"")))</f>
        <v/>
      </c>
      <c r="JT38" t="str">
        <f>IF(OR('Job Sheet'!T44="CW5 10nm Short Switch Motor",'Job Sheet'!T44="CW5 10nm Short Switch Motor with Inline Receiver"),1,"")</f>
        <v/>
      </c>
      <c r="JU38" t="str">
        <f>IF(OR('Job Sheet'!T44="Maxim 10nm Switch Motor",'Job Sheet'!T44="Maxim 10nm Switch Motor with Inline Receiver"),1,"")</f>
        <v/>
      </c>
      <c r="KX38" t="str">
        <f>IF(OR(D38="",'Tube Cutting'!C44=""),"",IF(OR('Job Sheet'!T44="CW5 10nm Short Switch Motor with Inline Receiver",'Job Sheet'!T44="Maxim 10nm Switch Motor with Inline Receiver",'Job Sheet'!T44="CWP Manual Override 30Nm Motor with Inline Receiver",'Job Sheet'!T44="CWP Manual Override 50Nm Motor with Inline Receiver"),1,""))</f>
        <v/>
      </c>
    </row>
    <row r="39" spans="23:310" ht="13.2">
      <c r="W39" s="116" t="str">
        <f>IF(OR(D39="",'Tube Cutting'!C45=""),"",IF(AND(Data!BN45="42mm Standard Slat",Data!BO45="Deep Ocean Blue"),'Tube Cutting'!C45*'Tube Cutting'!D45/5800,IF(AND(Data!BN45="42mm Standard Slat",'Tube Cutting'!H45="Deep Ocean Blue"),'Tube Cutting'!C45*'Tube Cutting'!G45/5800,"")))</f>
        <v/>
      </c>
      <c r="JT39" t="str">
        <f>IF(OR('Job Sheet'!T45="CW5 10nm Short Switch Motor",'Job Sheet'!T45="CW5 10nm Short Switch Motor with Inline Receiver"),1,"")</f>
        <v/>
      </c>
      <c r="JU39" t="str">
        <f>IF(OR('Job Sheet'!T45="Maxim 10nm Switch Motor",'Job Sheet'!T45="Maxim 10nm Switch Motor with Inline Receiver"),1,"")</f>
        <v/>
      </c>
      <c r="KX39" t="str">
        <f>IF(OR(D39="",'Tube Cutting'!C45=""),"",IF(OR('Job Sheet'!T45="CW5 10nm Short Switch Motor with Inline Receiver",'Job Sheet'!T45="Maxim 10nm Switch Motor with Inline Receiver",'Job Sheet'!T45="CWP Manual Override 30Nm Motor with Inline Receiver",'Job Sheet'!T45="CWP Manual Override 50Nm Motor with Inline Receiver"),1,""))</f>
        <v/>
      </c>
    </row>
    <row r="40" spans="23:310" ht="13.2">
      <c r="W40" s="116" t="str">
        <f>IF(OR(D40="",'Tube Cutting'!C46=""),"",IF(AND(Data!BN46="42mm Standard Slat",Data!BO46="Deep Ocean Blue"),'Tube Cutting'!C46*'Tube Cutting'!D46/5800,IF(AND(Data!BN46="42mm Standard Slat",'Tube Cutting'!H46="Deep Ocean Blue"),'Tube Cutting'!C46*'Tube Cutting'!G46/5800,"")))</f>
        <v/>
      </c>
      <c r="JT40" t="str">
        <f>IF(OR('Job Sheet'!T46="CW5 10nm Short Switch Motor",'Job Sheet'!T46="CW5 10nm Short Switch Motor with Inline Receiver"),1,"")</f>
        <v/>
      </c>
      <c r="JU40" t="str">
        <f>IF(OR('Job Sheet'!T46="Maxim 10nm Switch Motor",'Job Sheet'!T46="Maxim 10nm Switch Motor with Inline Receiver"),1,"")</f>
        <v/>
      </c>
      <c r="KX40" t="str">
        <f>IF(OR(D40="",'Tube Cutting'!C46=""),"",IF(OR('Job Sheet'!T46="CW5 10nm Short Switch Motor with Inline Receiver",'Job Sheet'!T46="Maxim 10nm Switch Motor with Inline Receiver",'Job Sheet'!T46="CWP Manual Override 30Nm Motor with Inline Receiver",'Job Sheet'!T46="CWP Manual Override 50Nm Motor with Inline Receiver"),1,""))</f>
        <v/>
      </c>
    </row>
    <row r="41" spans="23:310" ht="13.2">
      <c r="W41" s="116" t="str">
        <f>IF(OR(D41="",'Tube Cutting'!C47=""),"",IF(AND(Data!BN47="42mm Standard Slat",Data!BO47="Deep Ocean Blue"),'Tube Cutting'!C47*'Tube Cutting'!D47/5800,IF(AND(Data!BN47="42mm Standard Slat",'Tube Cutting'!H47="Deep Ocean Blue"),'Tube Cutting'!C47*'Tube Cutting'!G47/5800,"")))</f>
        <v/>
      </c>
      <c r="JT41" t="str">
        <f>IF(OR('Job Sheet'!T47="CW5 10nm Short Switch Motor",'Job Sheet'!T47="CW5 10nm Short Switch Motor with Inline Receiver"),1,"")</f>
        <v/>
      </c>
      <c r="JU41" t="str">
        <f>IF(OR('Job Sheet'!T47="Maxim 10nm Switch Motor",'Job Sheet'!T47="Maxim 10nm Switch Motor with Inline Receiver"),1,"")</f>
        <v/>
      </c>
      <c r="KX41" t="str">
        <f>IF(OR(D41="",'Tube Cutting'!C47=""),"",IF(OR('Job Sheet'!T47="CW5 10nm Short Switch Motor with Inline Receiver",'Job Sheet'!T47="Maxim 10nm Switch Motor with Inline Receiver",'Job Sheet'!T47="CWP Manual Override 30Nm Motor with Inline Receiver",'Job Sheet'!T47="CWP Manual Override 50Nm Motor with Inline Receiver"),1,""))</f>
        <v/>
      </c>
    </row>
    <row r="42" spans="23:310" ht="13.2">
      <c r="W42" s="116" t="str">
        <f>IF(OR(D42="",'Tube Cutting'!C48=""),"",IF(AND(Data!BN48="42mm Standard Slat",Data!BO48="Deep Ocean Blue"),'Tube Cutting'!C48*'Tube Cutting'!D48/5800,IF(AND(Data!BN48="42mm Standard Slat",'Tube Cutting'!H48="Deep Ocean Blue"),'Tube Cutting'!C48*'Tube Cutting'!G48/5800,"")))</f>
        <v/>
      </c>
      <c r="JT42" t="str">
        <f>IF(OR('Job Sheet'!T48="CW5 10nm Short Switch Motor",'Job Sheet'!T48="CW5 10nm Short Switch Motor with Inline Receiver"),1,"")</f>
        <v/>
      </c>
      <c r="JU42" t="str">
        <f>IF(OR('Job Sheet'!T48="Maxim 10nm Switch Motor",'Job Sheet'!T48="Maxim 10nm Switch Motor with Inline Receiver"),1,"")</f>
        <v/>
      </c>
      <c r="KX42" t="str">
        <f>IF(OR(D42="",'Tube Cutting'!C48=""),"",IF(OR('Job Sheet'!T48="CW5 10nm Short Switch Motor with Inline Receiver",'Job Sheet'!T48="Maxim 10nm Switch Motor with Inline Receiver",'Job Sheet'!T48="CWP Manual Override 30Nm Motor with Inline Receiver",'Job Sheet'!T48="CWP Manual Override 50Nm Motor with Inline Receiver"),1,""))</f>
        <v/>
      </c>
    </row>
    <row r="43" spans="23:310" ht="13.2">
      <c r="W43" s="116" t="str">
        <f>IF(OR(D43="",'Tube Cutting'!C49=""),"",IF(AND(Data!BN49="42mm Standard Slat",Data!BO49="Deep Ocean Blue"),'Tube Cutting'!C49*'Tube Cutting'!D49/5800,IF(AND(Data!BN49="42mm Standard Slat",'Tube Cutting'!H49="Deep Ocean Blue"),'Tube Cutting'!C49*'Tube Cutting'!G49/5800,"")))</f>
        <v/>
      </c>
      <c r="JT43" t="str">
        <f>IF(OR('Job Sheet'!T49="CW5 10nm Short Switch Motor",'Job Sheet'!T49="CW5 10nm Short Switch Motor with Inline Receiver"),1,"")</f>
        <v/>
      </c>
      <c r="JU43" t="str">
        <f>IF(OR('Job Sheet'!T49="Maxim 10nm Switch Motor",'Job Sheet'!T49="Maxim 10nm Switch Motor with Inline Receiver"),1,"")</f>
        <v/>
      </c>
      <c r="KX43" t="str">
        <f>IF(OR(D43="",'Tube Cutting'!C49=""),"",IF(OR('Job Sheet'!T49="CW5 10nm Short Switch Motor with Inline Receiver",'Job Sheet'!T49="Maxim 10nm Switch Motor with Inline Receiver",'Job Sheet'!T49="CWP Manual Override 30Nm Motor with Inline Receiver",'Job Sheet'!T49="CWP Manual Override 50Nm Motor with Inline Receiver"),1,""))</f>
        <v/>
      </c>
    </row>
    <row r="44" spans="23:281" ht="13.2">
      <c r="W44" s="116" t="str">
        <f>IF(OR(D44="",'Tube Cutting'!C50=""),"",IF(AND(Data!BN50="42mm Standard Slat",Data!BO50="Deep Ocean Blue"),'Tube Cutting'!C50*'Tube Cutting'!D50/5800,IF(AND(Data!BN50="42mm Standard Slat",'Tube Cutting'!H50="Deep Ocean Blue"),'Tube Cutting'!C50*'Tube Cutting'!G50/5800,"")))</f>
        <v/>
      </c>
      <c r="JT44" t="str">
        <f>IF(OR('Job Sheet'!T50="CW5 10nm Short Switch Motor",'Job Sheet'!T50="CW5 10nm Short Switch Motor with Inline Receiver"),1,"")</f>
        <v/>
      </c>
      <c r="JU44" t="str">
        <f>IF(OR('Job Sheet'!T50="Maxim 10nm Switch Motor",'Job Sheet'!T50="Maxim 10nm Switch Motor with Inline Receiver"),1,"")</f>
        <v/>
      </c>
    </row>
    <row r="45" spans="23:281" ht="13.2">
      <c r="W45" s="116" t="str">
        <f>IF(OR(D45="",'Tube Cutting'!C51=""),"",IF(AND(Data!BN51="42mm Standard Slat",Data!BO51="Deep Ocean Blue"),'Tube Cutting'!C51*'Tube Cutting'!D51/5800,IF(AND(Data!BN51="42mm Standard Slat",'Tube Cutting'!H51="Deep Ocean Blue"),'Tube Cutting'!C51*'Tube Cutting'!G51/5800,"")))</f>
        <v/>
      </c>
      <c r="JT45" t="str">
        <f>IF(OR('Job Sheet'!T51="CW5 10nm Short Switch Motor",'Job Sheet'!T51="CW5 10nm Short Switch Motor with Inline Receiver"),1,"")</f>
        <v/>
      </c>
      <c r="JU45" t="str">
        <f>IF(OR('Job Sheet'!T51="Maxim 10nm Switch Motor",'Job Sheet'!T51="Maxim 10nm Switch Motor with Inline Receiver"),1,"")</f>
        <v/>
      </c>
    </row>
    <row r="46" spans="23:281" ht="13.2">
      <c r="W46" s="116" t="str">
        <f>IF(OR(D46="",'Tube Cutting'!C52=""),"",IF(AND(Data!BN52="42mm Standard Slat",Data!BO52="Deep Ocean Blue"),'Tube Cutting'!C52*'Tube Cutting'!D52/5800,IF(AND(Data!BN52="42mm Standard Slat",'Tube Cutting'!H52="Deep Ocean Blue"),'Tube Cutting'!C52*'Tube Cutting'!G52/5800,"")))</f>
        <v/>
      </c>
      <c r="JT46" t="str">
        <f>IF(OR('Job Sheet'!T52="CW5 10nm Short Switch Motor",'Job Sheet'!T52="CW5 10nm Short Switch Motor with Inline Receiver"),1,"")</f>
        <v/>
      </c>
      <c r="JU46" t="str">
        <f>IF(OR('Job Sheet'!T52="Maxim 10nm Switch Motor",'Job Sheet'!T52="Maxim 10nm Switch Motor with Inline Receiver"),1,"")</f>
        <v/>
      </c>
    </row>
    <row r="47" spans="23:281" ht="13.2">
      <c r="W47" s="116" t="str">
        <f>IF(OR(D47="",'Tube Cutting'!C53=""),"",IF(AND(Data!BN53="42mm Standard Slat",Data!BO53="Deep Ocean Blue"),'Tube Cutting'!C53*'Tube Cutting'!D53/5800,IF(AND(Data!BN53="42mm Standard Slat",'Tube Cutting'!H53="Deep Ocean Blue"),'Tube Cutting'!C53*'Tube Cutting'!G53/5800,"")))</f>
        <v/>
      </c>
      <c r="JU47" t="str">
        <f>IF(OR('Job Sheet'!T53="Maxim 10nm Switch Motor",'Job Sheet'!T53="Maxim 10nm Switch Motor with Inline Receiver"),1,"")</f>
        <v/>
      </c>
    </row>
    <row r="48" spans="23:281" ht="13.2">
      <c r="W48" s="116" t="str">
        <f>IF(OR(D48="",'Tube Cutting'!C54=""),"",IF(AND(Data!BN54="42mm Standard Slat",Data!BO54="Deep Ocean Blue"),'Tube Cutting'!C54*'Tube Cutting'!D54/5800,IF(AND(Data!BN54="42mm Standard Slat",'Tube Cutting'!H54="Deep Ocean Blue"),'Tube Cutting'!C54*'Tube Cutting'!G54/5800,"")))</f>
        <v/>
      </c>
      <c r="JU48" t="str">
        <f>IF(OR('Job Sheet'!T54="Maxim 10nm Switch Motor",'Job Sheet'!T54="Maxim 10nm Switch Motor with Inline Receiver"),1,"")</f>
        <v/>
      </c>
    </row>
    <row r="49" spans="23:281" ht="13.2">
      <c r="W49" s="116" t="str">
        <f>IF(OR(D49="",'Tube Cutting'!C55=""),"",IF(AND(Data!BN55="42mm Standard Slat",Data!BO55="Deep Ocean Blue"),'Tube Cutting'!C55*'Tube Cutting'!D55/5800,IF(AND(Data!BN55="42mm Standard Slat",'Tube Cutting'!H55="Deep Ocean Blue"),'Tube Cutting'!C55*'Tube Cutting'!G55/5800,"")))</f>
        <v/>
      </c>
      <c r="JU49" t="str">
        <f>IF(OR('Job Sheet'!T55="Maxim 10nm Switch Motor",'Job Sheet'!T55="Maxim 10nm Switch Motor with Inline Receiver"),1,"")</f>
        <v/>
      </c>
    </row>
    <row r="50" spans="23:281" ht="13.2">
      <c r="W50" s="116" t="str">
        <f>IF(OR(D50="",'Tube Cutting'!C56=""),"",IF(AND(Data!BN56="42mm Standard Slat",Data!BO56="Deep Ocean Blue"),'Tube Cutting'!C56*'Tube Cutting'!D56/5800,IF(AND(Data!BN56="42mm Standard Slat",'Tube Cutting'!H56="Deep Ocean Blue"),'Tube Cutting'!C56*'Tube Cutting'!G56/5800,"")))</f>
        <v/>
      </c>
      <c r="JU50" t="str">
        <f>IF(OR('Job Sheet'!T56="CW5 10nm Short Switch Motor",'Job Sheet'!T56="CW5 10nm Short Switch Motor with Inline Receiver"),1,"")</f>
        <v/>
      </c>
    </row>
    <row r="51" ht="13.2">
      <c r="JU51" t="str">
        <f>IF(OR('Job Sheet'!T57="CW5 10nm Short Switch Motor",'Job Sheet'!T57="CW5 10nm Short Switch Motor with Inline Receiver"),1,"")</f>
        <v/>
      </c>
    </row>
  </sheetData>
  <mergeCells count="26">
    <mergeCell ref="DN2:DY2"/>
    <mergeCell ref="DZ2:EK2"/>
    <mergeCell ref="EL2:EW2"/>
    <mergeCell ref="KV2:LF2"/>
    <mergeCell ref="LG2:LT2"/>
    <mergeCell ref="GM2:GY2"/>
    <mergeCell ref="GZ2:HL2"/>
    <mergeCell ref="HM2:HY2"/>
    <mergeCell ref="HZ2:IK2"/>
    <mergeCell ref="EX2:FI2"/>
    <mergeCell ref="FJ2:FX2"/>
    <mergeCell ref="FZ2:GL2"/>
    <mergeCell ref="J2:AA2"/>
    <mergeCell ref="AB2:AS2"/>
    <mergeCell ref="AT2:BS2"/>
    <mergeCell ref="BT2:CQ2"/>
    <mergeCell ref="CR2:DM2"/>
    <mergeCell ref="MS2:ND2"/>
    <mergeCell ref="NE2:OE2"/>
    <mergeCell ref="IL2:IV2"/>
    <mergeCell ref="IW2:IX2"/>
    <mergeCell ref="IY2:JM2"/>
    <mergeCell ref="JO2:JX2"/>
    <mergeCell ref="JY2:KF2"/>
    <mergeCell ref="KH2:KU2"/>
    <mergeCell ref="LU2:MR2"/>
  </mergeCells>
  <conditionalFormatting sqref="J1:OE1">
    <cfRule type="containsBlanks" priority="1" dxfId="1">
      <formula>LEN(TRIM(J1))=0</formula>
    </cfRule>
  </conditionalFormatting>
  <pageMargins left="0.967716535433088" right="0.967716535433088" top="0.75" bottom="0.75" header="0.3" footer="0.3"/>
  <pageSetup horizontalDpi="300" verticalDpi="30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20"/>
  <sheetViews>
    <sheetView zoomScale="90" zoomScaleNormal="90" zoomScaleSheetLayoutView="100" workbookViewId="0" topLeftCell="A18">
      <selection pane="topLeft" activeCell="A20" sqref="A20:XFD20"/>
    </sheetView>
  </sheetViews>
  <sheetFormatPr defaultColWidth="9.44140625" defaultRowHeight="13.5"/>
  <cols>
    <col min="1" max="1" width="30.5714285714286" bestFit="1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29"/>
      <c r="D1" s="33"/>
      <c r="E1" s="29"/>
      <c r="F1" s="29"/>
    </row>
    <row r="2" spans="1:4" ht="13.2">
      <c r="A2">
        <v>2</v>
      </c>
      <c r="B2" s="34"/>
      <c r="C2" s="29"/>
      <c r="D2" s="33"/>
    </row>
    <row r="3" spans="1:4" ht="13.2">
      <c r="A3">
        <v>3</v>
      </c>
      <c r="C3" s="29"/>
      <c r="D3" s="29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134</v>
      </c>
    </row>
    <row r="10" spans="1:11" ht="13.2">
      <c r="A10" t="s">
        <v>114</v>
      </c>
      <c r="B10" t="s">
        <v>115</v>
      </c>
      <c r="C10" t="s">
        <v>116</v>
      </c>
      <c r="D10" t="s">
        <v>117</v>
      </c>
      <c r="E10" t="s">
        <v>118</v>
      </c>
      <c r="F10" t="s">
        <v>135</v>
      </c>
      <c r="G10" t="s">
        <v>119</v>
      </c>
      <c r="H10" t="s">
        <v>120</v>
      </c>
      <c r="I10" t="s">
        <v>121</v>
      </c>
      <c r="J10" t="s">
        <v>122</v>
      </c>
      <c r="K10" t="s">
        <v>123</v>
      </c>
    </row>
    <row r="11" spans="1:11" ht="13.5" customHeight="1">
      <c r="A11" t="str">
        <f>IF(OR(Data!$AV11="",Data!$AW11&gt;999),"","^XA^LH0,0^PRB,D^MD20^JMA^FS")</f>
        <v>^XA^LH0,0^PRB,D^MD20^JMA^FS</v>
      </c>
      <c r="B11" t="str">
        <f>IF(A11&lt;&gt;"","^BY2,2.7,13^FO506,20^B2N,132,Y,N,N^SN"&amp;BarcodeValue(Data!BC$5,Data!BD$5,Data!AW11,0)&amp;",N,Y^FS","")</f>
        <v>^BY2,2.7,13^FO506,20^B2N,132,Y,N,N^SN0011804670010002,N,Y^FS</v>
      </c>
      <c r="C11" t="str">
        <f>IF(A11&lt;&gt;"","^FO20,20^A0N,28,37^CI13^FD"&amp;TEXT(Data!AY$5,"d/m/yyyy")&amp;"^FS","")</f>
        <v>^FO20,20^A0N,28,37^CI13^FD11/8/2026^FS</v>
      </c>
      <c r="D11" t="str">
        <f>IF(A11&lt;&gt;"","^FO220,20^A0N,41,48^CI13^FD"&amp;Data!$BC$5&amp;Data!$BD$5&amp;"/"&amp;RIGHT("000"&amp;Data!AW11,3)&amp;"^FS","")</f>
        <v>^FO220,20^A0N,41,48^CI13^FD11804C/001^FS</v>
      </c>
      <c r="E11" t="str">
        <f>IF(A11&lt;&gt;"","^FO20,55^A0N,30,30^CI13^FD"&amp;Data!$BF$5&amp;"^FS","")</f>
        <v>^FO20,55^A0N,30,30^CI13^FDCrow, Tahlia^FS</v>
      </c>
      <c r="F11" t="str">
        <f>IF(A11&lt;&gt;"","^FO20,95^A0N,30,30^CI13^FD"&amp;Data!AX$5&amp;"^FS","")</f>
        <v>^FO20,95^A0N,30,30^CI13^FDRoller Shutters^FS</v>
      </c>
      <c r="G11" t="str">
        <f>IF(A11&lt;&gt;"","^FO20,135^A0N,30,30^CI13^FD"&amp;Data!BE11&amp;"^FS","")</f>
        <v>^FO20,135^A0N,30,30^CI13^FDRLSH 42mm Standard Slat Monument^FS</v>
      </c>
      <c r="H11" t="str">
        <f>IF(A11&lt;&gt;"","^FO20,175^A0N,30,30^CI13^FD"&amp;Data!AY11&amp;"^FS","")</f>
        <v>^FO20,175^A0N,30,30^CI13^FDFront Lounge^FS</v>
      </c>
      <c r="I11" t="str">
        <f>IF(A11&lt;&gt;"","^FO300,175^A0N,30,30^CI13^FD"&amp;"W:"&amp;Data!BA11&amp;" H:"&amp;Data!BB11,"")</f>
        <v>^FO300,175^A0N,30,30^CI13^FDW:2411 H:2055</v>
      </c>
      <c r="J11" t="str">
        <f>IF(A11&lt;&gt;"","^PQ"&amp;Data!$F$17&amp;",0,"&amp;Data!$F$17&amp;",Y","")</f>
        <v>^PQ0,0,0,Y</v>
      </c>
      <c r="K11" t="str">
        <f t="shared" si="0" ref="K11:K20">IF(A11&lt;&gt;"","^XZ","")</f>
        <v>^XZ</v>
      </c>
    </row>
    <row r="12" spans="1:11" ht="13.5" customHeight="1">
      <c r="A12" t="str">
        <f>IF(OR(Data!$AV12="",Data!$AW12&gt;999),"","^XA^LH0,0^PRB,D^MD20^JMA^FS")</f>
        <v>^XA^LH0,0^PRB,D^MD20^JMA^FS</v>
      </c>
      <c r="B12" t="str">
        <f>IF(A12&lt;&gt;"","^BY2,2.7,13^FO506,20^B2N,132,Y,N,N^SN"&amp;BarcodeValue(Data!BC$5,Data!BD$5,Data!AW12,0)&amp;",N,Y^FS","")</f>
        <v>^BY2,2.7,13^FO506,20^B2N,132,Y,N,N^SN0011804670020001,N,Y^FS</v>
      </c>
      <c r="C12" t="str">
        <f>IF(A12&lt;&gt;"","^FO20,20^A0N,28,37^CI13^FD"&amp;TEXT(Data!AY$5,"d/m/yyyy")&amp;"^FS","")</f>
        <v>^FO20,20^A0N,28,37^CI13^FD11/8/2026^FS</v>
      </c>
      <c r="D12" t="str">
        <f>IF(A12&lt;&gt;"","^FO220,20^A0N,41,48^CI13^FD"&amp;Data!$BC$5&amp;Data!$BD$5&amp;"/"&amp;RIGHT("000"&amp;Data!AW12,3)&amp;"^FS","")</f>
        <v>^FO220,20^A0N,41,48^CI13^FD11804C/002^FS</v>
      </c>
      <c r="E12" t="str">
        <f>IF(A12&lt;&gt;"","^FO20,55^A0N,30,30^CI13^FD"&amp;Data!$BF$5&amp;"^FS","")</f>
        <v>^FO20,55^A0N,30,30^CI13^FDCrow, Tahlia^FS</v>
      </c>
      <c r="F12" t="str">
        <f>IF(A12&lt;&gt;"","^FO20,95^A0N,30,30^CI13^FD"&amp;Data!AX$5&amp;"^FS","")</f>
        <v>^FO20,95^A0N,30,30^CI13^FDRoller Shutters^FS</v>
      </c>
      <c r="G12" t="str">
        <f>IF(A12&lt;&gt;"","^FO20,135^A0N,30,30^CI13^FD"&amp;Data!BE12&amp;"^FS","")</f>
        <v>^FO20,135^A0N,30,30^CI13^FDRLSH 42mm Standard Slat Monument^FS</v>
      </c>
      <c r="H12" t="str">
        <f>IF(A12&lt;&gt;"","^FO20,175^A0N,30,30^CI13^FD"&amp;Data!AY12&amp;"^FS","")</f>
        <v>^FO20,175^A0N,30,30^CI13^FDMaster^FS</v>
      </c>
      <c r="I12" t="str">
        <f>IF(A12&lt;&gt;"","^FO300,175^A0N,30,30^CI13^FD"&amp;"W:"&amp;Data!BA12&amp;" H:"&amp;Data!BB12,"")</f>
        <v>^FO300,175^A0N,30,30^CI13^FDW:1813 H:1450</v>
      </c>
      <c r="J12" t="str">
        <f>IF(A12&lt;&gt;"","^PQ"&amp;Data!$F$17&amp;",0,"&amp;Data!$F$17&amp;",Y","")</f>
        <v>^PQ0,0,0,Y</v>
      </c>
      <c r="K12" t="str">
        <f t="shared" si="0"/>
        <v>^XZ</v>
      </c>
    </row>
    <row r="13" spans="1:11" ht="13.5" customHeight="1">
      <c r="A13" t="str">
        <f>IF(OR(Data!$AV13="",Data!$AW13&gt;999),"","^XA^LH0,0^PRB,D^MD20^JMA^FS")</f>
        <v>^XA^LH0,0^PRB,D^MD20^JMA^FS</v>
      </c>
      <c r="B13" t="str">
        <f>IF(A13&lt;&gt;"","^BY2,2.7,13^FO506,20^B2N,132,Y,N,N^SN"&amp;BarcodeValue(Data!BC$5,Data!BD$5,Data!AW13,0)&amp;",N,Y^FS","")</f>
        <v>^BY2,2.7,13^FO506,20^B2N,132,Y,N,N^SN0011804670030000,N,Y^FS</v>
      </c>
      <c r="C13" t="str">
        <f>IF(A13&lt;&gt;"","^FO20,20^A0N,28,37^CI13^FD"&amp;TEXT(Data!AY$5,"d/m/yyyy")&amp;"^FS","")</f>
        <v>^FO20,20^A0N,28,37^CI13^FD11/8/2026^FS</v>
      </c>
      <c r="D13" t="str">
        <f>IF(A13&lt;&gt;"","^FO220,20^A0N,41,48^CI13^FD"&amp;Data!$BC$5&amp;Data!$BD$5&amp;"/"&amp;RIGHT("000"&amp;Data!AW13,3)&amp;"^FS","")</f>
        <v>^FO220,20^A0N,41,48^CI13^FD11804C/003^FS</v>
      </c>
      <c r="E13" t="str">
        <f>IF(A13&lt;&gt;"","^FO20,55^A0N,30,30^CI13^FD"&amp;Data!$BF$5&amp;"^FS","")</f>
        <v>^FO20,55^A0N,30,30^CI13^FDCrow, Tahlia^FS</v>
      </c>
      <c r="F13" t="str">
        <f>IF(A13&lt;&gt;"","^FO20,95^A0N,30,30^CI13^FD"&amp;Data!AX$5&amp;"^FS","")</f>
        <v>^FO20,95^A0N,30,30^CI13^FDRoller Shutters^FS</v>
      </c>
      <c r="G13" t="str">
        <f>IF(A13&lt;&gt;"","^FO20,135^A0N,30,30^CI13^FD"&amp;Data!BE13&amp;"^FS","")</f>
        <v>^FO20,135^A0N,30,30^CI13^FDRLSH 42mm Standard Slat Monument^FS</v>
      </c>
      <c r="H13" t="str">
        <f>IF(A13&lt;&gt;"","^FO20,175^A0N,30,30^CI13^FD"&amp;Data!AY13&amp;"^FS","")</f>
        <v>^FO20,175^A0N,30,30^CI13^FDEnsuite^FS</v>
      </c>
      <c r="I13" t="str">
        <f>IF(A13&lt;&gt;"","^FO300,175^A0N,30,30^CI13^FD"&amp;"W:"&amp;Data!BA13&amp;" H:"&amp;Data!BB13,"")</f>
        <v>^FO300,175^A0N,30,30^CI13^FDW:610 H:1450</v>
      </c>
      <c r="J13" t="str">
        <f>IF(A13&lt;&gt;"","^PQ"&amp;Data!$F$17&amp;",0,"&amp;Data!$F$17&amp;",Y","")</f>
        <v>^PQ0,0,0,Y</v>
      </c>
      <c r="K13" t="str">
        <f t="shared" si="0"/>
        <v>^XZ</v>
      </c>
    </row>
    <row r="14" spans="1:11" ht="13.5" customHeight="1">
      <c r="A14" t="str">
        <f>IF(OR(Data!$AV14="",Data!$AW14&gt;999),"","^XA^LH0,0^PRB,D^MD20^JMA^FS")</f>
        <v>^XA^LH0,0^PRB,D^MD20^JMA^FS</v>
      </c>
      <c r="B14" t="str">
        <f>IF(A14&lt;&gt;"","^BY2,2.7,13^FO506,20^B2N,132,Y,N,N^SN"&amp;BarcodeValue(Data!BC$5,Data!BD$5,Data!AW14,0)&amp;",N,Y^FS","")</f>
        <v>^BY2,2.7,13^FO506,20^B2N,132,Y,N,N^SN0011804670040009,N,Y^FS</v>
      </c>
      <c r="C14" t="str">
        <f>IF(A14&lt;&gt;"","^FO20,20^A0N,28,37^CI13^FD"&amp;TEXT(Data!AY$5,"d/m/yyyy")&amp;"^FS","")</f>
        <v>^FO20,20^A0N,28,37^CI13^FD11/8/2026^FS</v>
      </c>
      <c r="D14" t="str">
        <f>IF(A14&lt;&gt;"","^FO220,20^A0N,41,48^CI13^FD"&amp;Data!$BC$5&amp;Data!$BD$5&amp;"/"&amp;RIGHT("000"&amp;Data!AW14,3)&amp;"^FS","")</f>
        <v>^FO220,20^A0N,41,48^CI13^FD11804C/004^FS</v>
      </c>
      <c r="E14" t="str">
        <f>IF(A14&lt;&gt;"","^FO20,55^A0N,30,30^CI13^FD"&amp;Data!$BF$5&amp;"^FS","")</f>
        <v>^FO20,55^A0N,30,30^CI13^FDCrow, Tahlia^FS</v>
      </c>
      <c r="F14" t="str">
        <f>IF(A14&lt;&gt;"","^FO20,95^A0N,30,30^CI13^FD"&amp;Data!AX$5&amp;"^FS","")</f>
        <v>^FO20,95^A0N,30,30^CI13^FDRoller Shutters^FS</v>
      </c>
      <c r="G14" t="str">
        <f>IF(A14&lt;&gt;"","^FO20,135^A0N,30,30^CI13^FD"&amp;Data!BE14&amp;"^FS","")</f>
        <v>^FO20,135^A0N,30,30^CI13^FDRLSH 42mm Standard Slat Monument^FS</v>
      </c>
      <c r="H14" t="str">
        <f>IF(A14&lt;&gt;"","^FO20,175^A0N,30,30^CI13^FD"&amp;Data!AY14&amp;"^FS","")</f>
        <v>^FO20,175^A0N,30,30^CI13^FDBath^FS</v>
      </c>
      <c r="I14" t="str">
        <f>IF(A14&lt;&gt;"","^FO300,175^A0N,30,30^CI13^FD"&amp;"W:"&amp;Data!BA14&amp;" H:"&amp;Data!BB14,"")</f>
        <v>^FO300,175^A0N,30,30^CI13^FDW:1454 H:1280</v>
      </c>
      <c r="J14" t="str">
        <f>IF(A14&lt;&gt;"","^PQ"&amp;Data!$F$17&amp;",0,"&amp;Data!$F$17&amp;",Y","")</f>
        <v>^PQ0,0,0,Y</v>
      </c>
      <c r="K14" t="str">
        <f t="shared" si="0"/>
        <v>^XZ</v>
      </c>
    </row>
    <row r="15" spans="1:11" ht="13.5" customHeight="1">
      <c r="A15" t="str">
        <f>IF(OR(Data!$AV15="",Data!$AW15&gt;999),"","^XA^LH0,0^PRB,D^MD20^JMA^FS")</f>
        <v>^XA^LH0,0^PRB,D^MD20^JMA^FS</v>
      </c>
      <c r="B15" t="str">
        <f>IF(A15&lt;&gt;"","^BY2,2.7,13^FO506,20^B2N,132,Y,N,N^SN"&amp;BarcodeValue(Data!BC$5,Data!BD$5,Data!AW15,0)&amp;",N,Y^FS","")</f>
        <v>^BY2,2.7,13^FO506,20^B2N,132,Y,N,N^SN0011804670050008,N,Y^FS</v>
      </c>
      <c r="C15" t="str">
        <f>IF(A15&lt;&gt;"","^FO20,20^A0N,28,37^CI13^FD"&amp;TEXT(Data!AY$5,"d/m/yyyy")&amp;"^FS","")</f>
        <v>^FO20,20^A0N,28,37^CI13^FD11/8/2026^FS</v>
      </c>
      <c r="D15" t="str">
        <f>IF(A15&lt;&gt;"","^FO220,20^A0N,41,48^CI13^FD"&amp;Data!$BC$5&amp;Data!$BD$5&amp;"/"&amp;RIGHT("000"&amp;Data!AW15,3)&amp;"^FS","")</f>
        <v>^FO220,20^A0N,41,48^CI13^FD11804C/005^FS</v>
      </c>
      <c r="E15" t="str">
        <f>IF(A15&lt;&gt;"","^FO20,55^A0N,30,30^CI13^FD"&amp;Data!$BF$5&amp;"^FS","")</f>
        <v>^FO20,55^A0N,30,30^CI13^FDCrow, Tahlia^FS</v>
      </c>
      <c r="F15" t="str">
        <f>IF(A15&lt;&gt;"","^FO20,95^A0N,30,30^CI13^FD"&amp;Data!AX$5&amp;"^FS","")</f>
        <v>^FO20,95^A0N,30,30^CI13^FDRoller Shutters^FS</v>
      </c>
      <c r="G15" t="str">
        <f>IF(A15&lt;&gt;"","^FO20,135^A0N,30,30^CI13^FD"&amp;Data!BE15&amp;"^FS","")</f>
        <v>^FO20,135^A0N,30,30^CI13^FDRLSH 42mm Standard Slat Monument^FS</v>
      </c>
      <c r="H15" t="str">
        <f>IF(A15&lt;&gt;"","^FO20,175^A0N,30,30^CI13^FD"&amp;Data!AY15&amp;"^FS","")</f>
        <v>^FO20,175^A0N,30,30^CI13^FDBed 2^FS</v>
      </c>
      <c r="I15" t="str">
        <f>IF(A15&lt;&gt;"","^FO300,175^A0N,30,30^CI13^FD"&amp;"W:"&amp;Data!BA15&amp;" H:"&amp;Data!BB15,"")</f>
        <v>^FO300,175^A0N,30,30^CI13^FDW:1813 H:1450</v>
      </c>
      <c r="J15" t="str">
        <f>IF(A15&lt;&gt;"","^PQ"&amp;Data!$F$17&amp;",0,"&amp;Data!$F$17&amp;",Y","")</f>
        <v>^PQ0,0,0,Y</v>
      </c>
      <c r="K15" t="str">
        <f t="shared" si="0"/>
        <v>^XZ</v>
      </c>
    </row>
    <row r="16" spans="1:11" ht="13.5" customHeight="1">
      <c r="A16" t="str">
        <f>IF(OR(Data!$AV16="",Data!$AW16&gt;999),"","^XA^LH0,0^PRB,D^MD20^JMA^FS")</f>
        <v>^XA^LH0,0^PRB,D^MD20^JMA^FS</v>
      </c>
      <c r="B16" t="str">
        <f>IF(A16&lt;&gt;"","^BY2,2.7,13^FO506,20^B2N,132,Y,N,N^SN"&amp;BarcodeValue(Data!BC$5,Data!BD$5,Data!AW16,0)&amp;",N,Y^FS","")</f>
        <v>^BY2,2.7,13^FO506,20^B2N,132,Y,N,N^SN0011804670060007,N,Y^FS</v>
      </c>
      <c r="C16" t="str">
        <f>IF(A16&lt;&gt;"","^FO20,20^A0N,28,37^CI13^FD"&amp;TEXT(Data!AY$5,"d/m/yyyy")&amp;"^FS","")</f>
        <v>^FO20,20^A0N,28,37^CI13^FD11/8/2026^FS</v>
      </c>
      <c r="D16" t="str">
        <f>IF(A16&lt;&gt;"","^FO220,20^A0N,41,48^CI13^FD"&amp;Data!$BC$5&amp;Data!$BD$5&amp;"/"&amp;RIGHT("000"&amp;Data!AW16,3)&amp;"^FS","")</f>
        <v>^FO220,20^A0N,41,48^CI13^FD11804C/006^FS</v>
      </c>
      <c r="E16" t="str">
        <f>IF(A16&lt;&gt;"","^FO20,55^A0N,30,30^CI13^FD"&amp;Data!$BF$5&amp;"^FS","")</f>
        <v>^FO20,55^A0N,30,30^CI13^FDCrow, Tahlia^FS</v>
      </c>
      <c r="F16" t="str">
        <f>IF(A16&lt;&gt;"","^FO20,95^A0N,30,30^CI13^FD"&amp;Data!AX$5&amp;"^FS","")</f>
        <v>^FO20,95^A0N,30,30^CI13^FDRoller Shutters^FS</v>
      </c>
      <c r="G16" t="str">
        <f>IF(A16&lt;&gt;"","^FO20,135^A0N,30,30^CI13^FD"&amp;Data!BE16&amp;"^FS","")</f>
        <v>^FO20,135^A0N,30,30^CI13^FDRLSH 42mm Standard Slat Dune^FS</v>
      </c>
      <c r="H16" t="str">
        <f>IF(A16&lt;&gt;"","^FO20,175^A0N,30,30^CI13^FD"&amp;Data!AY16&amp;"^FS","")</f>
        <v>^FO20,175^A0N,30,30^CI13^FDBed 3^FS</v>
      </c>
      <c r="I16" t="str">
        <f>IF(A16&lt;&gt;"","^FO300,175^A0N,30,30^CI13^FD"&amp;"W:"&amp;Data!BA16&amp;" H:"&amp;Data!BB16,"")</f>
        <v>^FO300,175^A0N,30,30^CI13^FDW:1812 H:1450</v>
      </c>
      <c r="J16" t="str">
        <f>IF(A16&lt;&gt;"","^PQ"&amp;Data!$F$17&amp;",0,"&amp;Data!$F$17&amp;",Y","")</f>
        <v>^PQ0,0,0,Y</v>
      </c>
      <c r="K16" t="str">
        <f t="shared" si="0"/>
        <v>^XZ</v>
      </c>
    </row>
    <row r="17" spans="1:11" ht="13.5" customHeight="1">
      <c r="A17" t="str">
        <f>IF(OR(Data!$AV17="",Data!$AW17&gt;999),"","^XA^LH0,0^PRB,D^MD20^JMA^FS")</f>
        <v>^XA^LH0,0^PRB,D^MD20^JMA^FS</v>
      </c>
      <c r="B17" t="str">
        <f>IF(A17&lt;&gt;"","^BY2,2.7,13^FO506,20^B2N,132,Y,N,N^SN"&amp;BarcodeValue(Data!BC$5,Data!BD$5,Data!AW17,0)&amp;",N,Y^FS","")</f>
        <v>^BY2,2.7,13^FO506,20^B2N,132,Y,N,N^SN0011804670070006,N,Y^FS</v>
      </c>
      <c r="C17" t="str">
        <f>IF(A17&lt;&gt;"","^FO20,20^A0N,28,37^CI13^FD"&amp;TEXT(Data!AY$5,"d/m/yyyy")&amp;"^FS","")</f>
        <v>^FO20,20^A0N,28,37^CI13^FD11/8/2026^FS</v>
      </c>
      <c r="D17" t="str">
        <f>IF(A17&lt;&gt;"","^FO220,20^A0N,41,48^CI13^FD"&amp;Data!$BC$5&amp;Data!$BD$5&amp;"/"&amp;RIGHT("000"&amp;Data!AW17,3)&amp;"^FS","")</f>
        <v>^FO220,20^A0N,41,48^CI13^FD11804C/007^FS</v>
      </c>
      <c r="E17" t="str">
        <f>IF(A17&lt;&gt;"","^FO20,55^A0N,30,30^CI13^FD"&amp;Data!$BF$5&amp;"^FS","")</f>
        <v>^FO20,55^A0N,30,30^CI13^FDCrow, Tahlia^FS</v>
      </c>
      <c r="F17" t="str">
        <f>IF(A17&lt;&gt;"","^FO20,95^A0N,30,30^CI13^FD"&amp;Data!AX$5&amp;"^FS","")</f>
        <v>^FO20,95^A0N,30,30^CI13^FDRoller Shutters^FS</v>
      </c>
      <c r="G17" t="str">
        <f>IF(A17&lt;&gt;"","^FO20,135^A0N,30,30^CI13^FD"&amp;Data!BE17&amp;"^FS","")</f>
        <v>^FO20,135^A0N,30,30^CI13^FDRLSH 42mm Standard Slat Dune^FS</v>
      </c>
      <c r="H17" t="str">
        <f>IF(A17&lt;&gt;"","^FO20,175^A0N,30,30^CI13^FD"&amp;Data!AY17&amp;"^FS","")</f>
        <v>^FO20,175^A0N,30,30^CI13^FDRumpus^FS</v>
      </c>
      <c r="I17" t="str">
        <f>IF(A17&lt;&gt;"","^FO300,175^A0N,30,30^CI13^FD"&amp;"W:"&amp;Data!BA17&amp;" H:"&amp;Data!BB17,"")</f>
        <v>^FO300,175^A0N,30,30^CI13^FDW:1812 H:1450</v>
      </c>
      <c r="J17" t="str">
        <f>IF(A17&lt;&gt;"","^PQ"&amp;Data!$F$17&amp;",0,"&amp;Data!$F$17&amp;",Y","")</f>
        <v>^PQ0,0,0,Y</v>
      </c>
      <c r="K17" t="str">
        <f t="shared" si="0"/>
        <v>^XZ</v>
      </c>
    </row>
    <row r="18" spans="1:11" ht="13.5" customHeight="1">
      <c r="A18" t="str">
        <f>IF(OR(Data!$AV18="",Data!$AW18&gt;999),"","^XA^LH0,0^PRB,D^MD20^JMA^FS")</f>
        <v>^XA^LH0,0^PRB,D^MD20^JMA^FS</v>
      </c>
      <c r="B18" t="str">
        <f>IF(A18&lt;&gt;"","^BY2,2.7,13^FO506,20^B2N,132,Y,N,N^SN"&amp;BarcodeValue(Data!BC$5,Data!BD$5,Data!AW18,0)&amp;",N,Y^FS","")</f>
        <v>^BY2,2.7,13^FO506,20^B2N,132,Y,N,N^SN0011804670080005,N,Y^FS</v>
      </c>
      <c r="C18" t="str">
        <f>IF(A18&lt;&gt;"","^FO20,20^A0N,28,37^CI13^FD"&amp;TEXT(Data!AY$5,"d/m/yyyy")&amp;"^FS","")</f>
        <v>^FO20,20^A0N,28,37^CI13^FD11/8/2026^FS</v>
      </c>
      <c r="D18" t="str">
        <f>IF(A18&lt;&gt;"","^FO220,20^A0N,41,48^CI13^FD"&amp;Data!$BC$5&amp;Data!$BD$5&amp;"/"&amp;RIGHT("000"&amp;Data!AW18,3)&amp;"^FS","")</f>
        <v>^FO220,20^A0N,41,48^CI13^FD11804C/008^FS</v>
      </c>
      <c r="E18" t="str">
        <f>IF(A18&lt;&gt;"","^FO20,55^A0N,30,30^CI13^FD"&amp;Data!$BF$5&amp;"^FS","")</f>
        <v>^FO20,55^A0N,30,30^CI13^FDCrow, Tahlia^FS</v>
      </c>
      <c r="F18" t="str">
        <f>IF(A18&lt;&gt;"","^FO20,95^A0N,30,30^CI13^FD"&amp;Data!AX$5&amp;"^FS","")</f>
        <v>^FO20,95^A0N,30,30^CI13^FDRoller Shutters^FS</v>
      </c>
      <c r="G18" t="str">
        <f>IF(A18&lt;&gt;"","^FO20,135^A0N,30,30^CI13^FD"&amp;Data!BE18&amp;"^FS","")</f>
        <v>^FO20,135^A0N,30,30^CI13^FDRLSH 42mm Standard Slat Dune^FS</v>
      </c>
      <c r="H18" t="str">
        <f>IF(A18&lt;&gt;"","^FO20,175^A0N,30,30^CI13^FD"&amp;Data!AY18&amp;"^FS","")</f>
        <v>^FO20,175^A0N,30,30^CI13^FDBed 4^FS</v>
      </c>
      <c r="I18" t="str">
        <f>IF(A18&lt;&gt;"","^FO300,175^A0N,30,30^CI13^FD"&amp;"W:"&amp;Data!BA18&amp;" H:"&amp;Data!BB18,"")</f>
        <v>^FO300,175^A0N,30,30^CI13^FDW:1811 H:1450</v>
      </c>
      <c r="J18" t="str">
        <f>IF(A18&lt;&gt;"","^PQ"&amp;Data!$F$17&amp;",0,"&amp;Data!$F$17&amp;",Y","")</f>
        <v>^PQ0,0,0,Y</v>
      </c>
      <c r="K18" t="str">
        <f t="shared" si="0"/>
        <v>^XZ</v>
      </c>
    </row>
    <row r="19" spans="1:11" ht="13.5" customHeight="1">
      <c r="A19" t="str">
        <f>IF(OR(Data!$AV19="",Data!$AW19&gt;999),"","^XA^LH0,0^PRB,D^MD20^JMA^FS")</f>
        <v>^XA^LH0,0^PRB,D^MD20^JMA^FS</v>
      </c>
      <c r="B19" t="str">
        <f>IF(A19&lt;&gt;"","^BY2,2.7,13^FO506,20^B2N,132,Y,N,N^SN"&amp;BarcodeValue(Data!BC$5,Data!BD$5,Data!AW19,0)&amp;",N,Y^FS","")</f>
        <v>^BY2,2.7,13^FO506,20^B2N,132,Y,N,N^SN0011804670090004,N,Y^FS</v>
      </c>
      <c r="C19" t="str">
        <f>IF(A19&lt;&gt;"","^FO20,20^A0N,28,37^CI13^FD"&amp;TEXT(Data!AY$5,"d/m/yyyy")&amp;"^FS","")</f>
        <v>^FO20,20^A0N,28,37^CI13^FD11/8/2026^FS</v>
      </c>
      <c r="D19" t="str">
        <f>IF(A19&lt;&gt;"","^FO220,20^A0N,41,48^CI13^FD"&amp;Data!$BC$5&amp;Data!$BD$5&amp;"/"&amp;RIGHT("000"&amp;Data!AW19,3)&amp;"^FS","")</f>
        <v>^FO220,20^A0N,41,48^CI13^FD11804C/009^FS</v>
      </c>
      <c r="E19" t="str">
        <f>IF(A19&lt;&gt;"","^FO20,55^A0N,30,30^CI13^FD"&amp;Data!$BF$5&amp;"^FS","")</f>
        <v>^FO20,55^A0N,30,30^CI13^FDCrow, Tahlia^FS</v>
      </c>
      <c r="F19" t="str">
        <f>IF(A19&lt;&gt;"","^FO20,95^A0N,30,30^CI13^FD"&amp;Data!AX$5&amp;"^FS","")</f>
        <v>^FO20,95^A0N,30,30^CI13^FDRoller Shutters^FS</v>
      </c>
      <c r="G19" t="str">
        <f>IF(A19&lt;&gt;"","^FO20,135^A0N,30,30^CI13^FD"&amp;Data!BE19&amp;"^FS","")</f>
        <v>^FO20,135^A0N,30,30^CI13^FDRLSH 42mm Standard Slat Dune^FS</v>
      </c>
      <c r="H19" t="str">
        <f>IF(A19&lt;&gt;"","^FO20,175^A0N,30,30^CI13^FD"&amp;Data!AY19&amp;"^FS","")</f>
        <v>^FO20,175^A0N,30,30^CI13^FDSlider^FS</v>
      </c>
      <c r="I19" t="str">
        <f>IF(A19&lt;&gt;"","^FO300,175^A0N,30,30^CI13^FD"&amp;"W:"&amp;Data!BA19&amp;" H:"&amp;Data!BB19,"")</f>
        <v>^FO300,175^A0N,30,30^CI13^FDW:2055 H:2390</v>
      </c>
      <c r="J19" t="str">
        <f>IF(A19&lt;&gt;"","^PQ"&amp;Data!$F$17&amp;",0,"&amp;Data!$F$17&amp;",Y","")</f>
        <v>^PQ0,0,0,Y</v>
      </c>
      <c r="K19" t="str">
        <f t="shared" si="0"/>
        <v>^XZ</v>
      </c>
    </row>
    <row r="20" spans="1:11" ht="13.5" customHeight="1">
      <c r="A20" t="str">
        <f>IF(OR(Data!$AV20="",Data!$AW20&gt;999),"","^XA^LH0,0^PRB,D^MD20^JMA^FS")</f>
        <v>^XA^LH0,0^PRB,D^MD20^JMA^FS</v>
      </c>
      <c r="B20" t="str">
        <f>IF(A20&lt;&gt;"","^BY2,2.7,13^FO506,20^B2N,132,Y,N,N^SN"&amp;BarcodeValue(Data!BC$5,Data!BD$5,Data!AW20,0)&amp;",N,Y^FS","")</f>
        <v>^BY2,2.7,13^FO506,20^B2N,132,Y,N,N^SN0011804670100000,N,Y^FS</v>
      </c>
      <c r="C20" t="str">
        <f>IF(A20&lt;&gt;"","^FO20,20^A0N,28,37^CI13^FD"&amp;TEXT(Data!AY$5,"d/m/yyyy")&amp;"^FS","")</f>
        <v>^FO20,20^A0N,28,37^CI13^FD11/8/2026^FS</v>
      </c>
      <c r="D20" t="str">
        <f>IF(A20&lt;&gt;"","^FO220,20^A0N,41,48^CI13^FD"&amp;Data!$BC$5&amp;Data!$BD$5&amp;"/"&amp;RIGHT("000"&amp;Data!AW20,3)&amp;"^FS","")</f>
        <v>^FO220,20^A0N,41,48^CI13^FD11804C/010^FS</v>
      </c>
      <c r="E20" t="str">
        <f>IF(A20&lt;&gt;"","^FO20,55^A0N,30,30^CI13^FD"&amp;Data!$BF$5&amp;"^FS","")</f>
        <v>^FO20,55^A0N,30,30^CI13^FDCrow, Tahlia^FS</v>
      </c>
      <c r="F20" t="str">
        <f>IF(A20&lt;&gt;"","^FO20,95^A0N,30,30^CI13^FD"&amp;Data!AX$5&amp;"^FS","")</f>
        <v>^FO20,95^A0N,30,30^CI13^FDRoller Shutters^FS</v>
      </c>
      <c r="G20" t="str">
        <f>IF(A20&lt;&gt;"","^FO20,135^A0N,30,30^CI13^FD"&amp;Data!BE20&amp;"^FS","")</f>
        <v>^FO20,135^A0N,30,30^CI13^FDRLSH 42mm Standard Slat Dune^FS</v>
      </c>
      <c r="H20" t="str">
        <f>IF(A20&lt;&gt;"","^FO20,175^A0N,30,30^CI13^FD"&amp;Data!AY20&amp;"^FS","")</f>
        <v>^FO20,175^A0N,30,30^CI13^FDLounge^FS</v>
      </c>
      <c r="I20" t="str">
        <f>IF(A20&lt;&gt;"","^FO300,175^A0N,30,30^CI13^FD"&amp;"W:"&amp;Data!BA20&amp;" H:"&amp;Data!BB20,"")</f>
        <v>^FO300,175^A0N,30,30^CI13^FDW:1811 H:1450</v>
      </c>
      <c r="J20" t="str">
        <f>IF(A20&lt;&gt;"","^PQ"&amp;Data!$F$17&amp;",0,"&amp;Data!$F$17&amp;",Y","")</f>
        <v>^PQ0,0,0,Y</v>
      </c>
      <c r="K20" t="str">
        <f t="shared" si="0"/>
        <v>^XZ</v>
      </c>
    </row>
  </sheetData>
  <pageMargins left="1.65669291338655" right="1.65669291338655" top="0.75" bottom="0.75" header="0.3" footer="0.3"/>
  <pageSetup orientation="portrait" paperSize="9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BN189"/>
  <sheetViews>
    <sheetView zoomScale="70" zoomScaleNormal="70" workbookViewId="0" topLeftCell="I1">
      <selection pane="topLeft" activeCell="T21" sqref="T21"/>
    </sheetView>
  </sheetViews>
  <sheetFormatPr defaultColWidth="8.88671875" defaultRowHeight="15"/>
  <cols>
    <col min="1" max="1" width="7.85714285714286" style="38" bestFit="1" customWidth="1"/>
    <col min="2" max="2" width="10.7142857142857" style="38" bestFit="1" customWidth="1"/>
    <col min="3" max="3" width="16.2857142857143" style="38" bestFit="1" customWidth="1"/>
    <col min="4" max="4" width="16.7142857142857" style="38" bestFit="1" customWidth="1"/>
    <col min="5" max="5" width="18" style="38" bestFit="1" customWidth="1"/>
    <col min="6" max="6" width="10" style="38" bestFit="1" customWidth="1"/>
    <col min="7" max="7" width="15.2857142857143" style="38" bestFit="1" customWidth="1"/>
    <col min="8" max="8" width="10" style="38" bestFit="1" customWidth="1"/>
    <col min="9" max="9" width="35.7142857142857" style="38" bestFit="1" customWidth="1"/>
    <col min="10" max="10" width="10.7142857142857" style="38" bestFit="1" customWidth="1"/>
    <col min="11" max="11" width="20.1428571428571" style="38" bestFit="1" customWidth="1"/>
    <col min="12" max="12" width="14.5714285714286" style="38" bestFit="1" customWidth="1"/>
    <col min="13" max="13" width="10.7142857142857" style="38" bestFit="1" customWidth="1"/>
    <col min="14" max="14" width="14.5714285714286" style="38" bestFit="1" customWidth="1"/>
    <col min="15" max="15" width="10.7142857142857" style="38" bestFit="1" customWidth="1"/>
    <col min="16" max="16" width="15.2857142857143" style="38" bestFit="1" customWidth="1"/>
    <col min="17" max="17" width="37.7142857142857" style="38" bestFit="1" customWidth="1"/>
    <col min="18" max="18" width="10.7142857142857" style="38" bestFit="1" customWidth="1"/>
    <col min="19" max="19" width="58.4285714285714" style="38" bestFit="1" customWidth="1"/>
    <col min="20" max="20" width="14" style="38" bestFit="1" customWidth="1"/>
    <col min="21" max="21" width="3" style="38" customWidth="1"/>
    <col min="22" max="22" width="22.2857142857143" style="38" bestFit="1" customWidth="1"/>
    <col min="23" max="23" width="31.8571428571429" style="38" bestFit="1" customWidth="1"/>
    <col min="24" max="24" width="83.5714285714286" style="38" customWidth="1"/>
    <col min="25" max="25" width="128.714285714286" style="38" bestFit="1" customWidth="1"/>
    <col min="26" max="26" width="57.7142857142857" style="38" bestFit="1" customWidth="1"/>
    <col min="27" max="27" width="3" style="38" customWidth="1"/>
    <col min="28" max="28" width="6.14285714285714" style="38" bestFit="1" customWidth="1"/>
    <col min="29" max="29" width="11.2857142857143" style="38" bestFit="1" customWidth="1"/>
    <col min="30" max="30" width="3.14285714285714" style="38" customWidth="1"/>
    <col min="31" max="31" width="51" style="38" bestFit="1" customWidth="1"/>
    <col min="32" max="32" width="41" style="38" bestFit="1" customWidth="1"/>
    <col min="33" max="33" width="3.28571428571429" style="38" customWidth="1"/>
    <col min="34" max="34" width="25" style="38" bestFit="1" customWidth="1"/>
    <col min="35" max="35" width="20.1428571428571" style="38" bestFit="1" customWidth="1"/>
    <col min="36" max="36" width="40.5714285714286" style="38" bestFit="1" customWidth="1"/>
    <col min="37" max="37" width="14.4285714285714" style="38" bestFit="1" customWidth="1"/>
    <col min="38" max="38" width="2.14285714285714" style="38" customWidth="1"/>
    <col min="39" max="39" width="14.4285714285714" style="38" bestFit="1" customWidth="1"/>
    <col min="40" max="40" width="9" style="38" bestFit="1" customWidth="1"/>
    <col min="41" max="41" width="39.5714285714286" style="38" bestFit="1" customWidth="1"/>
    <col min="42" max="42" width="9" style="38" bestFit="1" customWidth="1"/>
    <col min="43" max="43" width="8" style="38" bestFit="1" customWidth="1"/>
    <col min="44" max="44" width="9" style="38" bestFit="1" customWidth="1"/>
    <col min="45" max="45" width="9.85714285714286" style="38" bestFit="1" customWidth="1"/>
    <col min="46" max="46" width="9" style="38" bestFit="1" customWidth="1"/>
    <col min="47" max="47" width="7.85714285714286" style="38" bestFit="1" customWidth="1"/>
    <col min="48" max="48" width="9" style="38" bestFit="1" customWidth="1"/>
    <col min="49" max="49" width="35.7142857142857" style="38" bestFit="1" customWidth="1"/>
    <col min="50" max="50" width="9" style="38" bestFit="1" customWidth="1"/>
    <col min="51" max="51" width="7.85714285714286" style="38" bestFit="1" customWidth="1"/>
    <col min="52" max="52" width="9" style="38" bestFit="1" customWidth="1"/>
    <col min="53" max="53" width="22.8571428571429" style="38" bestFit="1" customWidth="1"/>
    <col min="54" max="54" width="9" style="38" bestFit="1" customWidth="1"/>
    <col min="55" max="55" width="54.2857142857143" style="38" bestFit="1" customWidth="1"/>
    <col min="56" max="56" width="7.85714285714286" style="38" bestFit="1" customWidth="1"/>
    <col min="57" max="57" width="54.2857142857143" style="38" bestFit="1" customWidth="1"/>
    <col min="58" max="58" width="7.85714285714286" style="38" bestFit="1" customWidth="1"/>
    <col min="59" max="59" width="54.2857142857143" style="38" bestFit="1" customWidth="1"/>
    <col min="60" max="60" width="7.85714285714286" style="38" bestFit="1" customWidth="1"/>
    <col min="61" max="61" width="54.2857142857143" style="38" bestFit="1" customWidth="1"/>
    <col min="62" max="62" width="9" style="38" bestFit="1" customWidth="1"/>
    <col min="63" max="63" width="44" style="38" bestFit="1" customWidth="1"/>
    <col min="64" max="64" width="7.85714285714286" style="38" bestFit="1" customWidth="1"/>
    <col min="65" max="65" width="28.7142857142857" style="38" bestFit="1" customWidth="1"/>
    <col min="66" max="66" width="7.85714285714286" style="38" bestFit="1" customWidth="1"/>
    <col min="67" max="16384" width="8.85714285714286" style="38"/>
  </cols>
  <sheetData>
    <row r="1" spans="1:66" ht="14.4">
      <c r="A1" s="37" t="s">
        <v>11</v>
      </c>
      <c r="B1" s="37" t="s">
        <v>146</v>
      </c>
      <c r="C1" s="37" t="s">
        <v>228</v>
      </c>
      <c r="D1" s="37" t="s">
        <v>222</v>
      </c>
      <c r="E1" s="37" t="s">
        <v>259</v>
      </c>
      <c r="F1" s="37" t="s">
        <v>231</v>
      </c>
      <c r="G1" s="37" t="s">
        <v>230</v>
      </c>
      <c r="H1" s="37" t="s">
        <v>231</v>
      </c>
      <c r="I1" s="37" t="s">
        <v>147</v>
      </c>
      <c r="J1" s="37" t="s">
        <v>146</v>
      </c>
      <c r="K1" s="37" t="s">
        <v>172</v>
      </c>
      <c r="L1" s="37" t="s">
        <v>182</v>
      </c>
      <c r="M1" s="37" t="s">
        <v>146</v>
      </c>
      <c r="N1" s="37" t="s">
        <v>182</v>
      </c>
      <c r="O1" s="37" t="s">
        <v>146</v>
      </c>
      <c r="P1" s="37" t="s">
        <v>230</v>
      </c>
      <c r="Q1" s="37" t="s">
        <v>136</v>
      </c>
      <c r="R1" s="37" t="s">
        <v>146</v>
      </c>
      <c r="S1" s="37" t="s">
        <v>193</v>
      </c>
      <c r="T1" s="37" t="s">
        <v>242</v>
      </c>
      <c r="V1" s="37" t="s">
        <v>277</v>
      </c>
      <c r="W1" s="37" t="s">
        <v>284</v>
      </c>
      <c r="X1" s="37" t="s">
        <v>278</v>
      </c>
      <c r="Y1" s="37" t="s">
        <v>259</v>
      </c>
      <c r="Z1" s="37" t="s">
        <v>279</v>
      </c>
      <c r="AB1" s="300" t="s">
        <v>208</v>
      </c>
      <c r="AC1" s="301"/>
      <c r="AE1" s="302" t="s">
        <v>210</v>
      </c>
      <c r="AF1" s="303"/>
      <c r="AH1" s="99" t="s">
        <v>277</v>
      </c>
      <c r="AI1" s="99" t="s">
        <v>364</v>
      </c>
      <c r="AJ1" s="99"/>
      <c r="AK1" s="99" t="s">
        <v>341</v>
      </c>
      <c r="AM1" s="304" t="s">
        <v>738</v>
      </c>
      <c r="AN1" s="304"/>
      <c r="AO1" s="304"/>
      <c r="AP1" s="304"/>
      <c r="AQ1" s="304"/>
      <c r="AR1" s="304"/>
      <c r="AS1" s="304"/>
      <c r="AT1" s="304"/>
      <c r="AU1" s="304"/>
      <c r="AV1" s="304"/>
      <c r="AW1" s="304"/>
      <c r="AX1" s="304"/>
      <c r="AY1" s="304"/>
      <c r="AZ1" s="304"/>
      <c r="BA1" s="304"/>
      <c r="BB1" s="304"/>
      <c r="BC1" s="304"/>
      <c r="BD1" s="304"/>
      <c r="BE1" s="304"/>
      <c r="BF1" s="304"/>
      <c r="BG1" s="304"/>
      <c r="BH1" s="304"/>
      <c r="BI1" s="304"/>
      <c r="BJ1" s="304"/>
      <c r="BK1" s="304"/>
      <c r="BL1" s="304"/>
      <c r="BM1" s="304"/>
      <c r="BN1" s="304"/>
    </row>
    <row r="2" spans="1:66" ht="28.8">
      <c r="A2" s="38" t="s">
        <v>148</v>
      </c>
      <c r="B2" s="38">
        <v>0</v>
      </c>
      <c r="C2" t="s">
        <v>232</v>
      </c>
      <c r="D2" s="38" t="s">
        <v>317</v>
      </c>
      <c r="E2" t="str">
        <f>CONCATENATE(C2,D2)</f>
        <v>(--)53mm Standard</v>
      </c>
      <c r="F2" s="38">
        <v>0</v>
      </c>
      <c r="G2" s="38">
        <v>0</v>
      </c>
      <c r="H2" s="38">
        <v>180</v>
      </c>
      <c r="I2" t="s">
        <v>173</v>
      </c>
      <c r="J2" s="38">
        <v>87</v>
      </c>
      <c r="L2" s="38" t="s">
        <v>189</v>
      </c>
      <c r="M2" s="38">
        <v>150</v>
      </c>
      <c r="N2" s="38">
        <v>0</v>
      </c>
      <c r="O2" s="38" t="s">
        <v>191</v>
      </c>
      <c r="P2" s="38">
        <v>180</v>
      </c>
      <c r="Q2" t="s">
        <v>149</v>
      </c>
      <c r="R2" s="38">
        <v>0</v>
      </c>
      <c r="S2" t="s">
        <v>194</v>
      </c>
      <c r="T2" s="38">
        <v>0</v>
      </c>
      <c r="V2" t="s">
        <v>310</v>
      </c>
      <c r="W2" s="38" t="s">
        <v>173</v>
      </c>
      <c r="X2" s="38" t="s">
        <v>280</v>
      </c>
      <c r="Y2" s="38" t="str">
        <f t="shared" si="0" ref="Y2:Y18">CONCATENATE(V2,W2,X2)</f>
        <v>42mm Standard Slat12v ODS SystemController &amp; Charger</v>
      </c>
      <c r="Z2" s="38" t="s">
        <v>266</v>
      </c>
      <c r="AB2" s="69" t="s">
        <v>207</v>
      </c>
      <c r="AC2" s="70" t="s">
        <v>209</v>
      </c>
      <c r="AE2" s="80" t="s">
        <v>211</v>
      </c>
      <c r="AF2" s="81" t="s">
        <v>212</v>
      </c>
      <c r="AH2" s="38" t="s">
        <v>311</v>
      </c>
      <c r="AI2" s="38" t="s">
        <v>342</v>
      </c>
      <c r="AJ2" s="38" t="str">
        <f t="shared" si="1" ref="AJ2:AJ46">CONCATENATE(AH2,AI2)</f>
        <v>36mm Extruded SlatAnodised Silver</v>
      </c>
      <c r="AK2" s="38" t="s">
        <v>396</v>
      </c>
      <c r="AM2" s="125" t="s">
        <v>739</v>
      </c>
      <c r="AN2" s="125" t="s">
        <v>722</v>
      </c>
      <c r="AO2" s="125" t="s">
        <v>740</v>
      </c>
      <c r="AP2" s="125" t="s">
        <v>722</v>
      </c>
      <c r="AQ2" s="125" t="s">
        <v>728</v>
      </c>
      <c r="AR2" s="125" t="s">
        <v>722</v>
      </c>
      <c r="AS2" s="125" t="s">
        <v>741</v>
      </c>
      <c r="AT2" s="125" t="s">
        <v>722</v>
      </c>
      <c r="AU2" s="125" t="s">
        <v>742</v>
      </c>
      <c r="AV2" s="125" t="s">
        <v>722</v>
      </c>
      <c r="AW2" s="125" t="s">
        <v>284</v>
      </c>
      <c r="AX2" s="125" t="s">
        <v>722</v>
      </c>
      <c r="AY2" s="125" t="s">
        <v>759</v>
      </c>
      <c r="AZ2" s="125" t="s">
        <v>722</v>
      </c>
      <c r="BA2" s="125" t="s">
        <v>686</v>
      </c>
      <c r="BB2" s="125" t="s">
        <v>722</v>
      </c>
      <c r="BC2" s="125" t="s">
        <v>255</v>
      </c>
      <c r="BD2" s="125" t="s">
        <v>722</v>
      </c>
      <c r="BE2" s="125" t="s">
        <v>256</v>
      </c>
      <c r="BF2" s="125" t="s">
        <v>722</v>
      </c>
      <c r="BG2" s="125" t="s">
        <v>257</v>
      </c>
      <c r="BH2" s="125" t="s">
        <v>722</v>
      </c>
      <c r="BI2" s="125" t="s">
        <v>258</v>
      </c>
      <c r="BJ2" s="125" t="s">
        <v>722</v>
      </c>
      <c r="BK2" s="125" t="s">
        <v>401</v>
      </c>
      <c r="BL2" s="125" t="s">
        <v>722</v>
      </c>
      <c r="BM2" s="125" t="s">
        <v>240</v>
      </c>
      <c r="BN2" s="125" t="s">
        <v>722</v>
      </c>
    </row>
    <row r="3" spans="1:66" ht="14.4">
      <c r="A3" s="38" t="s">
        <v>150</v>
      </c>
      <c r="B3" s="38">
        <v>5</v>
      </c>
      <c r="C3" t="s">
        <v>227</v>
      </c>
      <c r="D3" s="38" t="s">
        <v>317</v>
      </c>
      <c r="E3" t="str">
        <f t="shared" si="2" ref="E3:E9">CONCATENATE(C3,D3)</f>
        <v>(++)53mm Standard</v>
      </c>
      <c r="F3" s="38">
        <v>106</v>
      </c>
      <c r="G3" s="38">
        <v>1935</v>
      </c>
      <c r="H3" s="38">
        <v>205</v>
      </c>
      <c r="I3" t="s">
        <v>186</v>
      </c>
      <c r="J3" s="38">
        <v>80</v>
      </c>
      <c r="K3" s="38" t="s">
        <v>213</v>
      </c>
      <c r="L3" s="38" t="s">
        <v>190</v>
      </c>
      <c r="M3" s="38">
        <v>165</v>
      </c>
      <c r="N3" s="38">
        <v>2200</v>
      </c>
      <c r="O3" s="38" t="s">
        <v>174</v>
      </c>
      <c r="P3" s="38">
        <v>205</v>
      </c>
      <c r="Q3" t="s">
        <v>153</v>
      </c>
      <c r="R3" s="38">
        <v>3</v>
      </c>
      <c r="S3" t="s">
        <v>711</v>
      </c>
      <c r="T3" s="38">
        <v>3</v>
      </c>
      <c r="V3" t="s">
        <v>310</v>
      </c>
      <c r="W3" s="38" t="s">
        <v>173</v>
      </c>
      <c r="X3" s="38" t="s">
        <v>372</v>
      </c>
      <c r="Y3" s="38" t="str">
        <f t="shared" si="0"/>
        <v>42mm Standard Slat12v ODS SystemNo Controller or Charger</v>
      </c>
      <c r="Z3" s="38" t="s">
        <v>266</v>
      </c>
      <c r="AB3" s="82"/>
      <c r="AC3" s="83"/>
      <c r="AE3" s="69" t="s">
        <v>263</v>
      </c>
      <c r="AF3" s="70" t="s">
        <v>668</v>
      </c>
      <c r="AH3" s="38" t="s">
        <v>311</v>
      </c>
      <c r="AI3" s="38" t="s">
        <v>349</v>
      </c>
      <c r="AJ3" s="38" t="str">
        <f t="shared" si="1"/>
        <v>36mm Extruded SlatBlack</v>
      </c>
      <c r="AK3" s="38" t="s">
        <v>396</v>
      </c>
      <c r="AM3" t="s">
        <v>716</v>
      </c>
      <c r="AN3">
        <v>0</v>
      </c>
      <c r="AO3" t="s">
        <v>758</v>
      </c>
      <c r="AP3">
        <v>0</v>
      </c>
      <c r="AQ3" s="38" t="s">
        <v>713</v>
      </c>
      <c r="AR3" s="38">
        <v>4</v>
      </c>
      <c r="AS3" t="s">
        <v>743</v>
      </c>
      <c r="AT3" s="38">
        <v>0</v>
      </c>
      <c r="AU3" s="38" t="s">
        <v>148</v>
      </c>
      <c r="AV3" s="38">
        <v>0</v>
      </c>
      <c r="AW3" s="38" t="s">
        <v>173</v>
      </c>
      <c r="AX3" s="38">
        <v>5</v>
      </c>
      <c r="AY3" t="s">
        <v>713</v>
      </c>
      <c r="AZ3" s="38">
        <v>15</v>
      </c>
      <c r="BA3" t="s">
        <v>718</v>
      </c>
      <c r="BB3" s="38">
        <v>5</v>
      </c>
      <c r="BC3" t="s">
        <v>760</v>
      </c>
      <c r="BD3" s="38">
        <v>2</v>
      </c>
      <c r="BE3" t="s">
        <v>760</v>
      </c>
      <c r="BF3" s="38">
        <v>2</v>
      </c>
      <c r="BG3" t="s">
        <v>760</v>
      </c>
      <c r="BH3" s="38">
        <v>2</v>
      </c>
      <c r="BI3" t="s">
        <v>760</v>
      </c>
      <c r="BJ3">
        <v>2</v>
      </c>
      <c r="BK3" t="s">
        <v>775</v>
      </c>
      <c r="BL3" s="38">
        <v>15</v>
      </c>
      <c r="BM3" t="s">
        <v>782</v>
      </c>
      <c r="BN3" s="38">
        <v>10</v>
      </c>
    </row>
    <row r="4" spans="3:66" ht="14.4">
      <c r="C4" t="s">
        <v>233</v>
      </c>
      <c r="D4" s="38" t="s">
        <v>317</v>
      </c>
      <c r="E4" t="str">
        <f t="shared" si="2"/>
        <v>(+-)53mm Standard</v>
      </c>
      <c r="F4" s="38">
        <v>53</v>
      </c>
      <c r="G4" s="38">
        <v>3000</v>
      </c>
      <c r="H4" s="38">
        <v>230</v>
      </c>
      <c r="I4" t="s">
        <v>187</v>
      </c>
      <c r="J4" s="38">
        <v>0</v>
      </c>
      <c r="L4" s="38" t="s">
        <v>191</v>
      </c>
      <c r="M4" s="38">
        <v>180</v>
      </c>
      <c r="N4" s="38">
        <v>2850</v>
      </c>
      <c r="O4" s="38" t="s">
        <v>215</v>
      </c>
      <c r="P4" s="38">
        <v>230</v>
      </c>
      <c r="Q4" t="s">
        <v>154</v>
      </c>
      <c r="R4" s="38">
        <v>-1</v>
      </c>
      <c r="S4" t="s">
        <v>329</v>
      </c>
      <c r="T4" s="38">
        <v>3</v>
      </c>
      <c r="V4" t="s">
        <v>310</v>
      </c>
      <c r="W4" s="38" t="s">
        <v>173</v>
      </c>
      <c r="X4" s="38" t="s">
        <v>281</v>
      </c>
      <c r="Y4" s="38" t="str">
        <f t="shared" si="0"/>
        <v>42mm Standard Slat12v ODS SystemRF Controller &amp; Charger</v>
      </c>
      <c r="Z4" s="38" t="s">
        <v>266</v>
      </c>
      <c r="AB4" s="65">
        <v>0</v>
      </c>
      <c r="AC4" s="66">
        <v>2</v>
      </c>
      <c r="AE4" s="65" t="s">
        <v>300</v>
      </c>
      <c r="AF4" s="66" t="s">
        <v>804</v>
      </c>
      <c r="AH4" s="38" t="s">
        <v>311</v>
      </c>
      <c r="AI4" s="38" t="s">
        <v>346</v>
      </c>
      <c r="AJ4" s="38" t="str">
        <f t="shared" si="1"/>
        <v>36mm Extruded SlatClear Beige</v>
      </c>
      <c r="AK4" s="38" t="s">
        <v>396</v>
      </c>
      <c r="AM4" t="s">
        <v>719</v>
      </c>
      <c r="AN4">
        <v>2</v>
      </c>
      <c r="AO4" t="s">
        <v>717</v>
      </c>
      <c r="AP4">
        <v>5</v>
      </c>
      <c r="AQ4" s="38" t="s">
        <v>149</v>
      </c>
      <c r="AR4" s="38">
        <v>0</v>
      </c>
      <c r="AS4" t="s">
        <v>744</v>
      </c>
      <c r="AT4" s="38">
        <v>10</v>
      </c>
      <c r="AU4" s="38" t="s">
        <v>150</v>
      </c>
      <c r="AV4" s="38">
        <v>10</v>
      </c>
      <c r="AW4" s="38" t="s">
        <v>186</v>
      </c>
      <c r="AX4" s="38">
        <v>0</v>
      </c>
      <c r="AY4"/>
      <c r="BA4" t="s">
        <v>714</v>
      </c>
      <c r="BB4" s="38">
        <v>10</v>
      </c>
      <c r="BC4" t="s">
        <v>761</v>
      </c>
      <c r="BD4" s="38">
        <v>2</v>
      </c>
      <c r="BE4" t="s">
        <v>761</v>
      </c>
      <c r="BF4" s="38">
        <v>2</v>
      </c>
      <c r="BG4" t="s">
        <v>761</v>
      </c>
      <c r="BH4" s="38">
        <v>2</v>
      </c>
      <c r="BI4" t="s">
        <v>761</v>
      </c>
      <c r="BJ4">
        <v>2</v>
      </c>
      <c r="BK4" t="s">
        <v>776</v>
      </c>
      <c r="BL4" s="38">
        <v>20</v>
      </c>
      <c r="BM4" t="s">
        <v>783</v>
      </c>
      <c r="BN4" s="38">
        <v>20</v>
      </c>
    </row>
    <row r="5" spans="3:66" ht="14.4">
      <c r="C5" t="s">
        <v>234</v>
      </c>
      <c r="D5" s="38" t="s">
        <v>317</v>
      </c>
      <c r="E5" t="str">
        <f t="shared" si="2"/>
        <v>(-+)53mm Standard</v>
      </c>
      <c r="F5" s="38">
        <v>53</v>
      </c>
      <c r="G5"/>
      <c r="I5" t="s">
        <v>188</v>
      </c>
      <c r="J5" s="38">
        <v>0</v>
      </c>
      <c r="L5" s="38" t="s">
        <v>174</v>
      </c>
      <c r="M5" s="38">
        <v>205</v>
      </c>
      <c r="Q5" t="s">
        <v>239</v>
      </c>
      <c r="R5" s="38">
        <v>-23</v>
      </c>
      <c r="S5" t="s">
        <v>315</v>
      </c>
      <c r="T5" s="38">
        <v>2</v>
      </c>
      <c r="V5" t="s">
        <v>310</v>
      </c>
      <c r="W5" s="38" t="s">
        <v>173</v>
      </c>
      <c r="X5" s="38" t="s">
        <v>282</v>
      </c>
      <c r="Y5" s="38" t="str">
        <f t="shared" si="0"/>
        <v>42mm Standard Slat12v ODS SystemRF Controller, Charger &amp; Single Channel Remote</v>
      </c>
      <c r="Z5" s="38" t="s">
        <v>266</v>
      </c>
      <c r="AB5" s="65">
        <v>900</v>
      </c>
      <c r="AC5" s="66">
        <v>3</v>
      </c>
      <c r="AE5" s="65" t="s">
        <v>264</v>
      </c>
      <c r="AF5" s="66" t="s">
        <v>804</v>
      </c>
      <c r="AH5" s="38" t="s">
        <v>311</v>
      </c>
      <c r="AI5" s="38" t="s">
        <v>343</v>
      </c>
      <c r="AJ5" s="38" t="str">
        <f t="shared" si="1"/>
        <v>36mm Extruded SlatCream</v>
      </c>
      <c r="AK5" s="38" t="s">
        <v>396</v>
      </c>
      <c r="AM5" t="s">
        <v>745</v>
      </c>
      <c r="AN5">
        <v>5</v>
      </c>
      <c r="AO5" t="s">
        <v>720</v>
      </c>
      <c r="AP5">
        <v>10</v>
      </c>
      <c r="AS5" t="s">
        <v>712</v>
      </c>
      <c r="AT5" s="38">
        <v>10</v>
      </c>
      <c r="AW5" s="38" t="s">
        <v>402</v>
      </c>
      <c r="AX5" s="38">
        <v>0</v>
      </c>
      <c r="AY5"/>
      <c r="BC5" t="s">
        <v>762</v>
      </c>
      <c r="BD5" s="38">
        <v>2</v>
      </c>
      <c r="BE5" t="s">
        <v>762</v>
      </c>
      <c r="BF5" s="38">
        <v>2</v>
      </c>
      <c r="BG5" t="s">
        <v>762</v>
      </c>
      <c r="BH5" s="38">
        <v>2</v>
      </c>
      <c r="BI5" t="s">
        <v>762</v>
      </c>
      <c r="BJ5">
        <v>2</v>
      </c>
      <c r="BK5" t="s">
        <v>777</v>
      </c>
      <c r="BL5" s="38">
        <v>15</v>
      </c>
      <c r="BM5" t="s">
        <v>784</v>
      </c>
      <c r="BN5" s="38">
        <v>10</v>
      </c>
    </row>
    <row r="6" spans="3:66" ht="14.4">
      <c r="C6" t="s">
        <v>232</v>
      </c>
      <c r="D6" s="38" t="s">
        <v>316</v>
      </c>
      <c r="E6" t="str">
        <f t="shared" si="2"/>
        <v>(--)68mm</v>
      </c>
      <c r="F6" s="38">
        <v>0</v>
      </c>
      <c r="G6"/>
      <c r="I6" t="s">
        <v>318</v>
      </c>
      <c r="J6" s="38">
        <v>0</v>
      </c>
      <c r="L6" s="38" t="s">
        <v>215</v>
      </c>
      <c r="M6" s="38">
        <v>230</v>
      </c>
      <c r="Q6" t="s">
        <v>152</v>
      </c>
      <c r="R6" s="38">
        <v>0</v>
      </c>
      <c r="S6" t="s">
        <v>366</v>
      </c>
      <c r="T6" s="38">
        <v>3</v>
      </c>
      <c r="V6" t="s">
        <v>310</v>
      </c>
      <c r="W6" s="38" t="s">
        <v>173</v>
      </c>
      <c r="X6" s="38" t="s">
        <v>283</v>
      </c>
      <c r="Y6" s="38" t="str">
        <f t="shared" si="0"/>
        <v>42mm Standard Slat12v ODS SystemRF Controller, Charger &amp; 9 Channel Remote</v>
      </c>
      <c r="Z6" s="38" t="s">
        <v>266</v>
      </c>
      <c r="AB6" s="65">
        <v>1600</v>
      </c>
      <c r="AC6" s="66">
        <v>4</v>
      </c>
      <c r="AE6" s="65" t="s">
        <v>265</v>
      </c>
      <c r="AF6" s="66" t="s">
        <v>804</v>
      </c>
      <c r="AH6" s="38" t="s">
        <v>311</v>
      </c>
      <c r="AI6" s="38" t="s">
        <v>345</v>
      </c>
      <c r="AJ6" s="38" t="str">
        <f t="shared" si="1"/>
        <v>36mm Extruded SlatCustom Powdercoat</v>
      </c>
      <c r="AK6" s="38" t="s">
        <v>396</v>
      </c>
      <c r="AM6" t="s">
        <v>746</v>
      </c>
      <c r="AN6">
        <v>10</v>
      </c>
      <c r="AO6" t="s">
        <v>749</v>
      </c>
      <c r="AP6"/>
      <c r="AS6" t="s">
        <v>747</v>
      </c>
      <c r="AT6" s="38">
        <v>0</v>
      </c>
      <c r="AW6" s="38" t="s">
        <v>285</v>
      </c>
      <c r="AX6" s="38">
        <v>0</v>
      </c>
      <c r="AY6"/>
      <c r="BC6" t="s">
        <v>763</v>
      </c>
      <c r="BD6" s="38">
        <v>10</v>
      </c>
      <c r="BE6" t="s">
        <v>763</v>
      </c>
      <c r="BF6" s="38">
        <v>10</v>
      </c>
      <c r="BG6" t="s">
        <v>763</v>
      </c>
      <c r="BH6" s="38">
        <v>10</v>
      </c>
      <c r="BI6" t="s">
        <v>763</v>
      </c>
      <c r="BJ6">
        <v>10</v>
      </c>
      <c r="BK6" t="s">
        <v>778</v>
      </c>
      <c r="BL6" s="38">
        <v>15</v>
      </c>
      <c r="BM6" t="s">
        <v>787</v>
      </c>
      <c r="BN6" s="38">
        <v>20</v>
      </c>
    </row>
    <row r="7" spans="3:64" ht="14.4">
      <c r="C7" t="s">
        <v>227</v>
      </c>
      <c r="D7" s="38" t="s">
        <v>316</v>
      </c>
      <c r="E7" t="str">
        <f t="shared" si="2"/>
        <v>(++)68mm</v>
      </c>
      <c r="F7" s="38">
        <v>136</v>
      </c>
      <c r="I7" s="38" t="s">
        <v>285</v>
      </c>
      <c r="J7" s="38">
        <v>80</v>
      </c>
      <c r="K7" s="38" t="s">
        <v>213</v>
      </c>
      <c r="Q7" t="s">
        <v>155</v>
      </c>
      <c r="R7" s="38">
        <v>3</v>
      </c>
      <c r="S7" t="s">
        <v>395</v>
      </c>
      <c r="T7" s="38">
        <v>2</v>
      </c>
      <c r="V7" t="s">
        <v>310</v>
      </c>
      <c r="W7" s="38" t="s">
        <v>402</v>
      </c>
      <c r="X7" s="38" t="s">
        <v>377</v>
      </c>
      <c r="Y7" s="38" t="str">
        <f t="shared" si="0"/>
        <v>42mm Standard SlatAcmeda External MotorNot Required</v>
      </c>
      <c r="Z7" s="38" t="s">
        <v>337</v>
      </c>
      <c r="AB7" s="65">
        <v>2300</v>
      </c>
      <c r="AC7" s="66">
        <v>5</v>
      </c>
      <c r="AE7" s="65" t="s">
        <v>327</v>
      </c>
      <c r="AF7" s="66" t="s">
        <v>213</v>
      </c>
      <c r="AH7" s="38" t="s">
        <v>311</v>
      </c>
      <c r="AI7" s="38" t="s">
        <v>356</v>
      </c>
      <c r="AJ7" s="38" t="str">
        <f t="shared" si="1"/>
        <v>36mm Extruded SlatDeep Ocean Blue</v>
      </c>
      <c r="AK7" s="38" t="s">
        <v>396</v>
      </c>
      <c r="AM7" t="s">
        <v>748</v>
      </c>
      <c r="AN7">
        <v>15</v>
      </c>
      <c r="AO7" s="38" t="s">
        <v>752</v>
      </c>
      <c r="AP7">
        <v>0</v>
      </c>
      <c r="AS7" t="s">
        <v>750</v>
      </c>
      <c r="AT7" s="38">
        <v>10</v>
      </c>
      <c r="AW7" s="38" t="s">
        <v>331</v>
      </c>
      <c r="AX7" s="38">
        <v>30</v>
      </c>
      <c r="AY7"/>
      <c r="BC7" t="s">
        <v>764</v>
      </c>
      <c r="BD7" s="38">
        <v>10</v>
      </c>
      <c r="BE7" t="s">
        <v>764</v>
      </c>
      <c r="BF7" s="38">
        <v>10</v>
      </c>
      <c r="BG7" t="s">
        <v>764</v>
      </c>
      <c r="BH7" s="38">
        <v>10</v>
      </c>
      <c r="BI7" t="s">
        <v>764</v>
      </c>
      <c r="BJ7">
        <v>10</v>
      </c>
      <c r="BK7" t="s">
        <v>779</v>
      </c>
      <c r="BL7" s="38">
        <v>15</v>
      </c>
    </row>
    <row r="8" spans="3:64" ht="14.4">
      <c r="C8" t="s">
        <v>233</v>
      </c>
      <c r="D8" s="38" t="s">
        <v>316</v>
      </c>
      <c r="E8" t="str">
        <f t="shared" si="2"/>
        <v>(+-)68mm</v>
      </c>
      <c r="F8" s="38">
        <v>68</v>
      </c>
      <c r="I8" s="38" t="s">
        <v>331</v>
      </c>
      <c r="J8" s="38">
        <v>80</v>
      </c>
      <c r="K8" s="38" t="s">
        <v>213</v>
      </c>
      <c r="Q8" t="s">
        <v>164</v>
      </c>
      <c r="R8" s="38">
        <v>2</v>
      </c>
      <c r="S8" t="s">
        <v>196</v>
      </c>
      <c r="T8" s="38">
        <v>3</v>
      </c>
      <c r="V8" t="s">
        <v>310</v>
      </c>
      <c r="W8" s="38" t="s">
        <v>402</v>
      </c>
      <c r="X8" s="38" t="s">
        <v>371</v>
      </c>
      <c r="Y8" s="38" t="str">
        <f t="shared" si="0"/>
        <v>42mm Standard SlatAcmeda External MotorAcmeda 5 Channel White Remote</v>
      </c>
      <c r="Z8" s="38" t="s">
        <v>337</v>
      </c>
      <c r="AB8" s="65">
        <v>3000</v>
      </c>
      <c r="AC8" s="66">
        <v>6</v>
      </c>
      <c r="AE8" s="65" t="s">
        <v>326</v>
      </c>
      <c r="AF8" s="66" t="s">
        <v>213</v>
      </c>
      <c r="AH8" s="38" t="s">
        <v>311</v>
      </c>
      <c r="AI8" s="38" t="s">
        <v>363</v>
      </c>
      <c r="AJ8" s="38" t="str">
        <f t="shared" si="1"/>
        <v>36mm Extruded SlatGrey</v>
      </c>
      <c r="AK8" s="38" t="s">
        <v>396</v>
      </c>
      <c r="AM8" t="s">
        <v>751</v>
      </c>
      <c r="AN8">
        <v>20</v>
      </c>
      <c r="AO8" s="38" t="s">
        <v>755</v>
      </c>
      <c r="AP8">
        <v>5</v>
      </c>
      <c r="AS8" t="s">
        <v>753</v>
      </c>
      <c r="AT8" s="38">
        <v>10</v>
      </c>
      <c r="AW8" s="38" t="s">
        <v>187</v>
      </c>
      <c r="AX8" s="38">
        <v>10</v>
      </c>
      <c r="AY8"/>
      <c r="BC8" t="s">
        <v>807</v>
      </c>
      <c r="BD8" s="38">
        <v>15</v>
      </c>
      <c r="BE8" t="s">
        <v>807</v>
      </c>
      <c r="BF8" s="38">
        <v>15</v>
      </c>
      <c r="BG8" t="s">
        <v>807</v>
      </c>
      <c r="BH8" s="38">
        <v>15</v>
      </c>
      <c r="BI8" t="s">
        <v>807</v>
      </c>
      <c r="BJ8" s="38">
        <v>15</v>
      </c>
      <c r="BK8" t="s">
        <v>780</v>
      </c>
      <c r="BL8" s="38">
        <v>0</v>
      </c>
    </row>
    <row r="9" spans="3:64" ht="14.4">
      <c r="C9" t="s">
        <v>234</v>
      </c>
      <c r="D9" s="38" t="s">
        <v>316</v>
      </c>
      <c r="E9" t="str">
        <f t="shared" si="2"/>
        <v>(-+)68mm</v>
      </c>
      <c r="F9" s="38">
        <v>68</v>
      </c>
      <c r="I9" t="s">
        <v>286</v>
      </c>
      <c r="J9" s="38">
        <v>82</v>
      </c>
      <c r="Q9" t="s">
        <v>167</v>
      </c>
      <c r="R9" s="38">
        <v>5</v>
      </c>
      <c r="S9" t="s">
        <v>195</v>
      </c>
      <c r="T9" s="38">
        <v>3</v>
      </c>
      <c r="V9" t="s">
        <v>310</v>
      </c>
      <c r="W9" s="38" t="s">
        <v>402</v>
      </c>
      <c r="X9" s="38" t="s">
        <v>406</v>
      </c>
      <c r="Y9" s="38" t="str">
        <f t="shared" si="0"/>
        <v>42mm Standard SlatAcmeda External MotorAcmeda 5 Channel Black Remote</v>
      </c>
      <c r="Z9" s="38" t="s">
        <v>337</v>
      </c>
      <c r="AB9" s="65">
        <v>3700</v>
      </c>
      <c r="AC9" s="66">
        <v>7</v>
      </c>
      <c r="AE9" s="65" t="s">
        <v>827</v>
      </c>
      <c r="AF9" s="66" t="s">
        <v>213</v>
      </c>
      <c r="AH9" s="38" t="s">
        <v>311</v>
      </c>
      <c r="AI9" s="38" t="s">
        <v>351</v>
      </c>
      <c r="AJ9" s="38" t="str">
        <f t="shared" si="1"/>
        <v>36mm Extruded SlatMag Cream</v>
      </c>
      <c r="AK9" s="38" t="s">
        <v>396</v>
      </c>
      <c r="AM9" t="s">
        <v>754</v>
      </c>
      <c r="AN9">
        <v>30</v>
      </c>
      <c r="AO9" s="38" t="s">
        <v>757</v>
      </c>
      <c r="AP9" s="38">
        <v>10</v>
      </c>
      <c r="AS9" t="s">
        <v>786</v>
      </c>
      <c r="AT9" s="38">
        <v>20</v>
      </c>
      <c r="AW9" s="38" t="s">
        <v>188</v>
      </c>
      <c r="AX9" s="38">
        <v>10</v>
      </c>
      <c r="AY9"/>
      <c r="BC9" t="s">
        <v>765</v>
      </c>
      <c r="BD9" s="38">
        <v>15</v>
      </c>
      <c r="BE9" t="s">
        <v>765</v>
      </c>
      <c r="BF9" s="38">
        <v>15</v>
      </c>
      <c r="BG9" t="s">
        <v>765</v>
      </c>
      <c r="BH9" s="38">
        <v>15</v>
      </c>
      <c r="BI9" t="s">
        <v>765</v>
      </c>
      <c r="BJ9">
        <v>15</v>
      </c>
      <c r="BK9" t="s">
        <v>781</v>
      </c>
      <c r="BL9" s="38">
        <v>0</v>
      </c>
    </row>
    <row r="10" spans="9:63" ht="14.4">
      <c r="I10" t="s">
        <v>287</v>
      </c>
      <c r="J10" s="38">
        <v>80</v>
      </c>
      <c r="K10" s="38" t="s">
        <v>213</v>
      </c>
      <c r="Q10" t="s">
        <v>163</v>
      </c>
      <c r="R10" s="38">
        <v>-3</v>
      </c>
      <c r="S10" t="s">
        <v>192</v>
      </c>
      <c r="T10" s="38">
        <v>4</v>
      </c>
      <c r="V10" t="s">
        <v>310</v>
      </c>
      <c r="W10" s="38" t="s">
        <v>402</v>
      </c>
      <c r="X10" s="38" t="s">
        <v>405</v>
      </c>
      <c r="Y10" s="38" t="str">
        <f t="shared" si="0"/>
        <v>42mm Standard SlatAcmeda External MotorAcmeda 1 Channel White Remote</v>
      </c>
      <c r="Z10" s="38" t="s">
        <v>337</v>
      </c>
      <c r="AB10" s="67">
        <v>4400</v>
      </c>
      <c r="AC10" s="68">
        <v>8</v>
      </c>
      <c r="AE10" s="65" t="s">
        <v>823</v>
      </c>
      <c r="AF10" s="66" t="s">
        <v>213</v>
      </c>
      <c r="AH10" s="38" t="s">
        <v>311</v>
      </c>
      <c r="AI10" s="38" t="s">
        <v>357</v>
      </c>
      <c r="AJ10" s="38" t="str">
        <f t="shared" si="1"/>
        <v>36mm Extruded SlatMonument</v>
      </c>
      <c r="AK10" s="38" t="s">
        <v>396</v>
      </c>
      <c r="AS10" t="s">
        <v>756</v>
      </c>
      <c r="AT10" s="38">
        <v>0</v>
      </c>
      <c r="AW10" s="38" t="s">
        <v>318</v>
      </c>
      <c r="AX10" s="38">
        <v>10</v>
      </c>
      <c r="AY10"/>
      <c r="BC10" t="s">
        <v>766</v>
      </c>
      <c r="BD10" s="38">
        <v>10</v>
      </c>
      <c r="BE10" t="s">
        <v>766</v>
      </c>
      <c r="BF10" s="38">
        <v>10</v>
      </c>
      <c r="BG10" t="s">
        <v>766</v>
      </c>
      <c r="BH10" s="38">
        <v>10</v>
      </c>
      <c r="BI10" t="s">
        <v>766</v>
      </c>
      <c r="BJ10">
        <v>10</v>
      </c>
      <c r="BK10"/>
    </row>
    <row r="11" spans="9:63" ht="14.4">
      <c r="I11" t="s">
        <v>304</v>
      </c>
      <c r="J11" s="38">
        <v>0</v>
      </c>
      <c r="Q11" t="s">
        <v>156</v>
      </c>
      <c r="R11" s="38">
        <v>2</v>
      </c>
      <c r="S11" t="s">
        <v>197</v>
      </c>
      <c r="T11" s="38">
        <v>2</v>
      </c>
      <c r="V11" t="s">
        <v>310</v>
      </c>
      <c r="W11" s="38" t="s">
        <v>402</v>
      </c>
      <c r="X11" s="38" t="s">
        <v>407</v>
      </c>
      <c r="Y11" s="38" t="str">
        <f t="shared" si="0"/>
        <v>42mm Standard SlatAcmeda External MotorAcmeda 1 Channel Black Remote</v>
      </c>
      <c r="Z11" s="38" t="s">
        <v>337</v>
      </c>
      <c r="AE11" s="65" t="s">
        <v>825</v>
      </c>
      <c r="AF11" s="66" t="s">
        <v>213</v>
      </c>
      <c r="AH11" s="38" t="s">
        <v>311</v>
      </c>
      <c r="AI11" s="38" t="s">
        <v>353</v>
      </c>
      <c r="AJ11" s="38" t="str">
        <f t="shared" si="1"/>
        <v>36mm Extruded SlatShale Grey</v>
      </c>
      <c r="AK11" s="38" t="s">
        <v>396</v>
      </c>
      <c r="AS11" s="38" t="s">
        <v>344</v>
      </c>
      <c r="AT11" s="38">
        <v>20</v>
      </c>
      <c r="AW11" s="38" t="s">
        <v>330</v>
      </c>
      <c r="AX11" s="38">
        <v>10</v>
      </c>
      <c r="AY11"/>
      <c r="BC11" t="s">
        <v>767</v>
      </c>
      <c r="BD11" s="38">
        <v>15</v>
      </c>
      <c r="BE11" t="s">
        <v>767</v>
      </c>
      <c r="BF11" s="38">
        <v>15</v>
      </c>
      <c r="BG11" t="s">
        <v>767</v>
      </c>
      <c r="BH11" s="38">
        <v>15</v>
      </c>
      <c r="BI11" t="s">
        <v>767</v>
      </c>
      <c r="BJ11">
        <v>15</v>
      </c>
      <c r="BK11"/>
    </row>
    <row r="12" spans="9:63" ht="14.4">
      <c r="I12" t="s">
        <v>305</v>
      </c>
      <c r="J12" s="38">
        <v>0</v>
      </c>
      <c r="Q12" t="s">
        <v>157</v>
      </c>
      <c r="R12" s="38">
        <v>4</v>
      </c>
      <c r="S12" t="s">
        <v>700</v>
      </c>
      <c r="T12" s="38">
        <v>9</v>
      </c>
      <c r="V12" t="s">
        <v>310</v>
      </c>
      <c r="W12" s="38" t="s">
        <v>402</v>
      </c>
      <c r="X12" s="38" t="s">
        <v>697</v>
      </c>
      <c r="Y12" s="38" t="str">
        <f t="shared" si="0"/>
        <v>42mm Standard SlatAcmeda External MotorAcmeda 15 Channel White Remote</v>
      </c>
      <c r="Z12" s="38" t="s">
        <v>337</v>
      </c>
      <c r="AE12" s="65" t="s">
        <v>826</v>
      </c>
      <c r="AF12" s="66" t="s">
        <v>213</v>
      </c>
      <c r="AH12" s="38" t="s">
        <v>311</v>
      </c>
      <c r="AI12" s="38" t="s">
        <v>344</v>
      </c>
      <c r="AJ12" s="38" t="str">
        <f t="shared" si="1"/>
        <v>36mm Extruded SlatTBA</v>
      </c>
      <c r="AK12" s="38" t="s">
        <v>396</v>
      </c>
      <c r="AW12" s="38" t="s">
        <v>286</v>
      </c>
      <c r="AX12" s="38">
        <v>15</v>
      </c>
      <c r="AY12"/>
      <c r="BC12" t="s">
        <v>768</v>
      </c>
      <c r="BD12" s="38">
        <v>15</v>
      </c>
      <c r="BE12" t="s">
        <v>768</v>
      </c>
      <c r="BF12" s="38">
        <v>15</v>
      </c>
      <c r="BG12" t="s">
        <v>768</v>
      </c>
      <c r="BH12" s="38">
        <v>15</v>
      </c>
      <c r="BI12" t="s">
        <v>768</v>
      </c>
      <c r="BJ12">
        <v>15</v>
      </c>
      <c r="BK12"/>
    </row>
    <row r="13" spans="9:63" ht="14.4">
      <c r="I13" t="s">
        <v>306</v>
      </c>
      <c r="J13" s="38">
        <v>0</v>
      </c>
      <c r="Q13" t="s">
        <v>158</v>
      </c>
      <c r="R13" s="38">
        <v>7</v>
      </c>
      <c r="S13" t="s">
        <v>261</v>
      </c>
      <c r="T13" s="38">
        <v>3</v>
      </c>
      <c r="V13" t="s">
        <v>310</v>
      </c>
      <c r="W13" s="38" t="s">
        <v>402</v>
      </c>
      <c r="X13" s="38" t="s">
        <v>698</v>
      </c>
      <c r="Y13" s="38" t="str">
        <f t="shared" si="0"/>
        <v>42mm Standard SlatAcmeda External MotorAcmeda 15 Channel Black Remote</v>
      </c>
      <c r="Z13" s="38" t="s">
        <v>337</v>
      </c>
      <c r="AE13" s="65" t="s">
        <v>298</v>
      </c>
      <c r="AF13" s="66" t="s">
        <v>799</v>
      </c>
      <c r="AH13" s="38" t="s">
        <v>311</v>
      </c>
      <c r="AI13" s="38" t="s">
        <v>347</v>
      </c>
      <c r="AJ13" s="38" t="str">
        <f t="shared" si="1"/>
        <v>36mm Extruded SlatWhite</v>
      </c>
      <c r="AK13" s="38" t="s">
        <v>396</v>
      </c>
      <c r="AW13" s="38" t="s">
        <v>287</v>
      </c>
      <c r="AX13" s="38">
        <v>10</v>
      </c>
      <c r="AY13"/>
      <c r="BC13" t="s">
        <v>769</v>
      </c>
      <c r="BD13" s="38">
        <v>5</v>
      </c>
      <c r="BG13" t="s">
        <v>770</v>
      </c>
      <c r="BH13" s="38">
        <v>2</v>
      </c>
      <c r="BI13" t="s">
        <v>770</v>
      </c>
      <c r="BJ13">
        <v>2</v>
      </c>
      <c r="BK13"/>
    </row>
    <row r="14" spans="9:63" ht="14.4">
      <c r="I14" s="38" t="s">
        <v>288</v>
      </c>
      <c r="J14" s="38">
        <v>80</v>
      </c>
      <c r="K14" s="38" t="s">
        <v>213</v>
      </c>
      <c r="Q14" t="s">
        <v>159</v>
      </c>
      <c r="R14" s="38">
        <v>12</v>
      </c>
      <c r="S14" t="s">
        <v>273</v>
      </c>
      <c r="T14" s="38">
        <v>2</v>
      </c>
      <c r="V14" t="s">
        <v>310</v>
      </c>
      <c r="W14" s="38" t="s">
        <v>402</v>
      </c>
      <c r="X14" s="38" t="s">
        <v>801</v>
      </c>
      <c r="Y14" s="38" t="str">
        <f t="shared" si="0"/>
        <v>42mm Standard SlatAcmeda External MotorAcmeda Wall Mounted Single Channel White Remote</v>
      </c>
      <c r="Z14" s="38" t="s">
        <v>337</v>
      </c>
      <c r="AE14" s="65" t="s">
        <v>302</v>
      </c>
      <c r="AF14" s="66" t="s">
        <v>799</v>
      </c>
      <c r="AH14" s="38" t="s">
        <v>311</v>
      </c>
      <c r="AI14" s="38" t="s">
        <v>355</v>
      </c>
      <c r="AJ14" s="38" t="str">
        <f t="shared" si="1"/>
        <v>36mm Extruded SlatWoodland Grey</v>
      </c>
      <c r="AK14" s="38" t="s">
        <v>396</v>
      </c>
      <c r="AW14" s="38" t="s">
        <v>288</v>
      </c>
      <c r="AX14" s="38">
        <v>10</v>
      </c>
      <c r="AY14"/>
      <c r="BG14" t="s">
        <v>771</v>
      </c>
      <c r="BH14" s="38">
        <v>2</v>
      </c>
      <c r="BI14" t="s">
        <v>771</v>
      </c>
      <c r="BJ14">
        <v>2</v>
      </c>
      <c r="BK14"/>
    </row>
    <row r="15" spans="9:63" ht="14.4">
      <c r="I15" s="38" t="s">
        <v>330</v>
      </c>
      <c r="J15" s="38">
        <v>80</v>
      </c>
      <c r="K15" s="38" t="s">
        <v>213</v>
      </c>
      <c r="Q15" t="s">
        <v>160</v>
      </c>
      <c r="R15" s="38">
        <v>17</v>
      </c>
      <c r="S15" t="s">
        <v>991</v>
      </c>
      <c r="T15" s="38">
        <v>2</v>
      </c>
      <c r="V15" t="s">
        <v>310</v>
      </c>
      <c r="W15" s="38" t="s">
        <v>402</v>
      </c>
      <c r="X15" s="38" t="s">
        <v>802</v>
      </c>
      <c r="Y15" s="38" t="str">
        <f t="shared" si="0"/>
        <v>42mm Standard SlatAcmeda External MotorAcmeda Wall Mounted 2 Channel White Remote</v>
      </c>
      <c r="Z15" s="38" t="s">
        <v>337</v>
      </c>
      <c r="AE15" s="65" t="s">
        <v>321</v>
      </c>
      <c r="AF15" s="66" t="s">
        <v>213</v>
      </c>
      <c r="AH15" s="38" t="s">
        <v>312</v>
      </c>
      <c r="AI15" s="38" t="s">
        <v>342</v>
      </c>
      <c r="AJ15" s="38" t="str">
        <f t="shared" si="1"/>
        <v>36mm Fire Safe SlatAnodised Silver</v>
      </c>
      <c r="AK15" s="38" t="s">
        <v>396</v>
      </c>
      <c r="AW15" s="38" t="s">
        <v>330</v>
      </c>
      <c r="AX15" s="38">
        <v>30</v>
      </c>
      <c r="AY15"/>
      <c r="BG15" t="s">
        <v>772</v>
      </c>
      <c r="BH15" s="38">
        <v>2</v>
      </c>
      <c r="BI15" t="s">
        <v>772</v>
      </c>
      <c r="BJ15">
        <v>2</v>
      </c>
      <c r="BK15"/>
    </row>
    <row r="16" spans="9:63" ht="14.4">
      <c r="I16" s="38" t="s">
        <v>402</v>
      </c>
      <c r="J16" s="38">
        <v>80</v>
      </c>
      <c r="K16" s="38" t="s">
        <v>213</v>
      </c>
      <c r="Q16"/>
      <c r="S16" t="s">
        <v>254</v>
      </c>
      <c r="T16" s="38">
        <v>5</v>
      </c>
      <c r="V16" t="s">
        <v>310</v>
      </c>
      <c r="W16" s="38" t="s">
        <v>402</v>
      </c>
      <c r="X16" s="38" t="s">
        <v>803</v>
      </c>
      <c r="Y16" s="38" t="str">
        <f t="shared" si="0"/>
        <v>42mm Standard SlatAcmeda External MotorAcmeda Wall Mounted 15 Channel White Remote</v>
      </c>
      <c r="Z16" s="38" t="s">
        <v>337</v>
      </c>
      <c r="AE16" s="87" t="s">
        <v>303</v>
      </c>
      <c r="AF16" s="88" t="s">
        <v>303</v>
      </c>
      <c r="AH16" s="38" t="s">
        <v>312</v>
      </c>
      <c r="AI16" s="38" t="s">
        <v>349</v>
      </c>
      <c r="AJ16" s="38" t="str">
        <f t="shared" si="1"/>
        <v>36mm Fire Safe SlatBlack</v>
      </c>
      <c r="AK16" s="38" t="s">
        <v>396</v>
      </c>
      <c r="AY16"/>
      <c r="BG16" t="s">
        <v>773</v>
      </c>
      <c r="BH16" s="38">
        <v>2</v>
      </c>
      <c r="BI16" t="s">
        <v>773</v>
      </c>
      <c r="BJ16">
        <v>2</v>
      </c>
      <c r="BK16"/>
    </row>
    <row r="17" spans="19:63" ht="14.4">
      <c r="S17" t="s">
        <v>328</v>
      </c>
      <c r="T17" s="38">
        <v>3</v>
      </c>
      <c r="V17" t="s">
        <v>310</v>
      </c>
      <c r="W17" s="38" t="s">
        <v>402</v>
      </c>
      <c r="X17" s="38" t="s">
        <v>821</v>
      </c>
      <c r="Y17" s="38" t="str">
        <f t="shared" si="0"/>
        <v>42mm Standard SlatAcmeda External MotorAcmeda Push Pro White Remote with Charger</v>
      </c>
      <c r="Z17" s="38" t="s">
        <v>337</v>
      </c>
      <c r="AE17" s="87" t="s">
        <v>276</v>
      </c>
      <c r="AF17" s="66" t="s">
        <v>213</v>
      </c>
      <c r="AH17" s="38" t="s">
        <v>312</v>
      </c>
      <c r="AI17" s="38" t="s">
        <v>346</v>
      </c>
      <c r="AJ17" s="38" t="str">
        <f t="shared" si="1"/>
        <v>36mm Fire Safe SlatClear Beige</v>
      </c>
      <c r="AK17" s="38" t="s">
        <v>396</v>
      </c>
      <c r="AY17"/>
      <c r="BG17" t="s">
        <v>774</v>
      </c>
      <c r="BH17" s="38">
        <v>5</v>
      </c>
      <c r="BI17" t="s">
        <v>774</v>
      </c>
      <c r="BJ17">
        <v>5</v>
      </c>
      <c r="BK17"/>
    </row>
    <row r="18" spans="19:63" ht="14.4">
      <c r="S18" t="s">
        <v>335</v>
      </c>
      <c r="T18" s="38">
        <v>4</v>
      </c>
      <c r="V18" t="s">
        <v>310</v>
      </c>
      <c r="W18" s="38" t="s">
        <v>402</v>
      </c>
      <c r="X18" s="38" t="s">
        <v>820</v>
      </c>
      <c r="Y18" s="38" t="str">
        <f t="shared" si="0"/>
        <v>42mm Standard SlatAcmeda External MotorAcmeda Push Pro Black Remote with Charger</v>
      </c>
      <c r="Z18" s="38" t="s">
        <v>337</v>
      </c>
      <c r="AE18" s="87" t="s">
        <v>701</v>
      </c>
      <c r="AF18" s="66" t="s">
        <v>213</v>
      </c>
      <c r="AH18" s="38" t="s">
        <v>312</v>
      </c>
      <c r="AI18" s="38" t="s">
        <v>343</v>
      </c>
      <c r="AJ18" s="38" t="str">
        <f t="shared" si="1"/>
        <v>36mm Fire Safe SlatCream</v>
      </c>
      <c r="AK18" s="38" t="s">
        <v>396</v>
      </c>
      <c r="AY18"/>
      <c r="BK18"/>
    </row>
    <row r="19" spans="17:63" ht="14.4">
      <c r="Q19"/>
      <c r="S19" t="s">
        <v>333</v>
      </c>
      <c r="T19">
        <v>2</v>
      </c>
      <c r="V19" t="s">
        <v>819</v>
      </c>
      <c r="W19" t="s">
        <v>173</v>
      </c>
      <c r="X19" s="38" t="s">
        <v>280</v>
      </c>
      <c r="Y19" s="38" t="str">
        <f t="shared" si="3" ref="Y19:Y35">CONCATENATE(V19,W19,X19)</f>
        <v>42mm Unperforated Slat12v ODS SystemController &amp; Charger</v>
      </c>
      <c r="Z19" s="38" t="s">
        <v>266</v>
      </c>
      <c r="AE19" s="87" t="s">
        <v>824</v>
      </c>
      <c r="AF19" s="66" t="s">
        <v>213</v>
      </c>
      <c r="AH19" s="38" t="s">
        <v>312</v>
      </c>
      <c r="AI19" s="38" t="s">
        <v>345</v>
      </c>
      <c r="AJ19" s="38" t="str">
        <f t="shared" si="1"/>
        <v>36mm Fire Safe SlatCustom Powdercoat</v>
      </c>
      <c r="AK19" s="38" t="s">
        <v>396</v>
      </c>
      <c r="AY19"/>
      <c r="BK19"/>
    </row>
    <row r="20" spans="17:63" ht="14.4">
      <c r="Q20"/>
      <c r="S20" t="s">
        <v>997</v>
      </c>
      <c r="T20" s="316">
        <v>5</v>
      </c>
      <c r="V20" t="s">
        <v>819</v>
      </c>
      <c r="W20" t="s">
        <v>173</v>
      </c>
      <c r="X20" s="38" t="s">
        <v>372</v>
      </c>
      <c r="Y20" s="38" t="str">
        <f t="shared" si="3"/>
        <v>42mm Unperforated Slat12v ODS SystemNo Controller or Charger</v>
      </c>
      <c r="Z20" s="38" t="s">
        <v>266</v>
      </c>
      <c r="AE20" s="87" t="s">
        <v>313</v>
      </c>
      <c r="AF20" s="66" t="s">
        <v>213</v>
      </c>
      <c r="AH20" s="38" t="s">
        <v>312</v>
      </c>
      <c r="AI20" s="38" t="s">
        <v>356</v>
      </c>
      <c r="AJ20" s="38" t="str">
        <f t="shared" si="1"/>
        <v>36mm Fire Safe SlatDeep Ocean Blue</v>
      </c>
      <c r="AK20" s="38" t="s">
        <v>396</v>
      </c>
      <c r="AY20"/>
      <c r="BK20"/>
    </row>
    <row r="21" spans="17:51" ht="14.4">
      <c r="Q21"/>
      <c r="S21" t="s">
        <v>334</v>
      </c>
      <c r="T21" s="38">
        <v>6</v>
      </c>
      <c r="V21" t="s">
        <v>819</v>
      </c>
      <c r="W21" t="s">
        <v>173</v>
      </c>
      <c r="X21" s="38" t="s">
        <v>281</v>
      </c>
      <c r="Y21" s="38" t="str">
        <f t="shared" si="3"/>
        <v>42mm Unperforated Slat12v ODS SystemRF Controller &amp; Charger</v>
      </c>
      <c r="Z21" s="38" t="s">
        <v>266</v>
      </c>
      <c r="AE21" s="87" t="s">
        <v>323</v>
      </c>
      <c r="AF21" s="66" t="s">
        <v>213</v>
      </c>
      <c r="AH21" s="38" t="s">
        <v>312</v>
      </c>
      <c r="AI21" s="38" t="s">
        <v>351</v>
      </c>
      <c r="AJ21" s="38" t="str">
        <f t="shared" si="1"/>
        <v>36mm Fire Safe SlatMag Cream</v>
      </c>
      <c r="AK21" s="38" t="s">
        <v>396</v>
      </c>
      <c r="AY21"/>
    </row>
    <row r="22" spans="3:51" ht="14.4">
      <c r="C22" s="48"/>
      <c r="E22" s="48"/>
      <c r="G22" s="48"/>
      <c r="I22" s="48"/>
      <c r="Q22"/>
      <c r="S22" s="23" t="s">
        <v>223</v>
      </c>
      <c r="T22" s="38">
        <v>4</v>
      </c>
      <c r="V22" t="s">
        <v>819</v>
      </c>
      <c r="W22" t="s">
        <v>173</v>
      </c>
      <c r="X22" s="38" t="s">
        <v>282</v>
      </c>
      <c r="Y22" s="38" t="str">
        <f t="shared" si="3"/>
        <v>42mm Unperforated Slat12v ODS SystemRF Controller, Charger &amp; Single Channel Remote</v>
      </c>
      <c r="Z22" s="38" t="s">
        <v>266</v>
      </c>
      <c r="AE22" s="87" t="s">
        <v>325</v>
      </c>
      <c r="AF22" s="66" t="s">
        <v>213</v>
      </c>
      <c r="AH22" s="38" t="s">
        <v>312</v>
      </c>
      <c r="AI22" s="38" t="s">
        <v>357</v>
      </c>
      <c r="AJ22" s="38" t="str">
        <f t="shared" si="1"/>
        <v>36mm Fire Safe SlatMonument</v>
      </c>
      <c r="AK22" s="38" t="s">
        <v>396</v>
      </c>
      <c r="AY22"/>
    </row>
    <row r="23" spans="3:51" ht="14.4">
      <c r="C23" s="48"/>
      <c r="E23" s="48"/>
      <c r="G23" s="48"/>
      <c r="I23" s="48"/>
      <c r="S23" t="s">
        <v>375</v>
      </c>
      <c r="T23" s="38">
        <v>4</v>
      </c>
      <c r="V23" t="s">
        <v>819</v>
      </c>
      <c r="W23" t="s">
        <v>173</v>
      </c>
      <c r="X23" s="38" t="s">
        <v>283</v>
      </c>
      <c r="Y23" s="38" t="str">
        <f t="shared" si="3"/>
        <v>42mm Unperforated Slat12v ODS SystemRF Controller, Charger &amp; 9 Channel Remote</v>
      </c>
      <c r="Z23" s="38" t="s">
        <v>266</v>
      </c>
      <c r="AE23" s="87" t="s">
        <v>338</v>
      </c>
      <c r="AF23" s="66" t="s">
        <v>800</v>
      </c>
      <c r="AH23" s="38" t="s">
        <v>312</v>
      </c>
      <c r="AI23" s="38" t="s">
        <v>353</v>
      </c>
      <c r="AJ23" s="38" t="str">
        <f t="shared" si="1"/>
        <v>36mm Fire Safe SlatShale Grey</v>
      </c>
      <c r="AK23" s="38" t="s">
        <v>396</v>
      </c>
      <c r="AY23"/>
    </row>
    <row r="24" spans="19:51" ht="14.4">
      <c r="S24" t="s">
        <v>309</v>
      </c>
      <c r="T24" s="38">
        <v>5</v>
      </c>
      <c r="V24" t="s">
        <v>819</v>
      </c>
      <c r="W24" t="s">
        <v>402</v>
      </c>
      <c r="X24" s="38" t="s">
        <v>377</v>
      </c>
      <c r="Y24" s="38" t="str">
        <f t="shared" si="3"/>
        <v>42mm Unperforated SlatAcmeda External MotorNot Required</v>
      </c>
      <c r="Z24" s="38" t="s">
        <v>337</v>
      </c>
      <c r="AE24" s="87" t="s">
        <v>339</v>
      </c>
      <c r="AF24" s="66" t="s">
        <v>800</v>
      </c>
      <c r="AH24" s="38" t="s">
        <v>312</v>
      </c>
      <c r="AI24" s="38" t="s">
        <v>344</v>
      </c>
      <c r="AJ24" s="38" t="str">
        <f t="shared" si="1"/>
        <v>36mm Fire Safe SlatTBA</v>
      </c>
      <c r="AK24" s="38" t="s">
        <v>396</v>
      </c>
      <c r="AY24"/>
    </row>
    <row r="25" spans="19:51" ht="14.4">
      <c r="S25" t="s">
        <v>373</v>
      </c>
      <c r="T25" s="38">
        <v>3</v>
      </c>
      <c r="V25" t="s">
        <v>819</v>
      </c>
      <c r="W25" t="s">
        <v>402</v>
      </c>
      <c r="X25" s="38" t="s">
        <v>371</v>
      </c>
      <c r="Y25" s="38" t="str">
        <f t="shared" si="3"/>
        <v>42mm Unperforated SlatAcmeda External MotorAcmeda 5 Channel White Remote</v>
      </c>
      <c r="Z25" s="38" t="s">
        <v>337</v>
      </c>
      <c r="AE25" s="87" t="s">
        <v>811</v>
      </c>
      <c r="AF25" s="66" t="s">
        <v>800</v>
      </c>
      <c r="AH25" s="38" t="s">
        <v>312</v>
      </c>
      <c r="AI25" s="38" t="s">
        <v>347</v>
      </c>
      <c r="AJ25" s="38" t="str">
        <f t="shared" si="1"/>
        <v>36mm Fire Safe SlatWhite</v>
      </c>
      <c r="AK25" s="38" t="s">
        <v>396</v>
      </c>
      <c r="AY25"/>
    </row>
    <row r="26" spans="19:51" ht="14.4">
      <c r="S26" t="s">
        <v>376</v>
      </c>
      <c r="T26" s="38">
        <v>7</v>
      </c>
      <c r="V26" t="s">
        <v>819</v>
      </c>
      <c r="W26" t="s">
        <v>402</v>
      </c>
      <c r="X26" s="38" t="s">
        <v>406</v>
      </c>
      <c r="Y26" s="38" t="str">
        <f t="shared" si="3"/>
        <v>42mm Unperforated SlatAcmeda External MotorAcmeda 5 Channel Black Remote</v>
      </c>
      <c r="Z26" s="38" t="s">
        <v>337</v>
      </c>
      <c r="AE26" s="87" t="s">
        <v>814</v>
      </c>
      <c r="AF26" s="66" t="s">
        <v>815</v>
      </c>
      <c r="AH26" s="38" t="s">
        <v>312</v>
      </c>
      <c r="AI26" s="38" t="s">
        <v>355</v>
      </c>
      <c r="AJ26" s="38" t="str">
        <f t="shared" si="1"/>
        <v>36mm Fire Safe SlatWoodland Grey</v>
      </c>
      <c r="AK26" s="38" t="s">
        <v>396</v>
      </c>
      <c r="AY26"/>
    </row>
    <row r="27" spans="19:51" ht="14.4">
      <c r="S27" t="s">
        <v>374</v>
      </c>
      <c r="T27" s="38">
        <v>5</v>
      </c>
      <c r="V27" t="s">
        <v>819</v>
      </c>
      <c r="W27" t="s">
        <v>402</v>
      </c>
      <c r="X27" s="38" t="s">
        <v>405</v>
      </c>
      <c r="Y27" s="38" t="str">
        <f t="shared" si="3"/>
        <v>42mm Unperforated SlatAcmeda External MotorAcmeda 1 Channel White Remote</v>
      </c>
      <c r="Z27" s="38" t="s">
        <v>337</v>
      </c>
      <c r="AE27" s="87" t="s">
        <v>816</v>
      </c>
      <c r="AF27" s="66" t="s">
        <v>815</v>
      </c>
      <c r="AH27" s="38" t="s">
        <v>310</v>
      </c>
      <c r="AI27" s="38" t="s">
        <v>348</v>
      </c>
      <c r="AJ27" s="38" t="str">
        <f t="shared" si="1"/>
        <v>42mm Standard SlatBeige</v>
      </c>
      <c r="AK27" s="38" t="s">
        <v>396</v>
      </c>
      <c r="AY27"/>
    </row>
    <row r="28" spans="19:51" ht="14.4">
      <c r="S28" t="s">
        <v>241</v>
      </c>
      <c r="T28" s="38">
        <v>4</v>
      </c>
      <c r="V28" t="s">
        <v>819</v>
      </c>
      <c r="W28" t="s">
        <v>402</v>
      </c>
      <c r="X28" s="38" t="s">
        <v>407</v>
      </c>
      <c r="Y28" s="38" t="str">
        <f t="shared" si="3"/>
        <v>42mm Unperforated SlatAcmeda External MotorAcmeda 1 Channel Black Remote</v>
      </c>
      <c r="Z28" s="38" t="s">
        <v>337</v>
      </c>
      <c r="AE28" s="87" t="s">
        <v>817</v>
      </c>
      <c r="AF28" s="66" t="s">
        <v>815</v>
      </c>
      <c r="AH28" s="38" t="s">
        <v>310</v>
      </c>
      <c r="AI28" s="38" t="s">
        <v>349</v>
      </c>
      <c r="AJ28" s="38" t="str">
        <f t="shared" si="1"/>
        <v>42mm Standard SlatBlack</v>
      </c>
      <c r="AK28" s="38" t="s">
        <v>365</v>
      </c>
      <c r="AY28"/>
    </row>
    <row r="29" spans="22:51" ht="14.4">
      <c r="V29" t="s">
        <v>819</v>
      </c>
      <c r="W29" t="s">
        <v>402</v>
      </c>
      <c r="X29" s="38" t="s">
        <v>697</v>
      </c>
      <c r="Y29" s="38" t="str">
        <f t="shared" si="3"/>
        <v>42mm Unperforated SlatAcmeda External MotorAcmeda 15 Channel White Remote</v>
      </c>
      <c r="Z29" s="38" t="s">
        <v>337</v>
      </c>
      <c r="AE29" s="87" t="s">
        <v>818</v>
      </c>
      <c r="AF29" s="66" t="s">
        <v>815</v>
      </c>
      <c r="AH29" s="38" t="s">
        <v>310</v>
      </c>
      <c r="AI29" s="38" t="s">
        <v>359</v>
      </c>
      <c r="AJ29" s="38" t="str">
        <f t="shared" si="1"/>
        <v>42mm Standard SlatBronze</v>
      </c>
      <c r="AK29" s="38" t="s">
        <v>396</v>
      </c>
      <c r="AY29"/>
    </row>
    <row r="30" spans="19:51" ht="14.4">
      <c r="S30"/>
      <c r="V30" t="s">
        <v>819</v>
      </c>
      <c r="W30" t="s">
        <v>402</v>
      </c>
      <c r="X30" s="38" t="s">
        <v>698</v>
      </c>
      <c r="Y30" s="38" t="str">
        <f t="shared" si="3"/>
        <v>42mm Unperforated SlatAcmeda External MotorAcmeda 15 Channel Black Remote</v>
      </c>
      <c r="Z30" s="38" t="s">
        <v>337</v>
      </c>
      <c r="AE30" s="89"/>
      <c r="AF30" s="90"/>
      <c r="AH30" s="38" t="s">
        <v>310</v>
      </c>
      <c r="AI30" s="38" t="s">
        <v>350</v>
      </c>
      <c r="AJ30" s="38" t="str">
        <f t="shared" si="1"/>
        <v>42mm Standard SlatBrown</v>
      </c>
      <c r="AK30" s="38" t="s">
        <v>396</v>
      </c>
      <c r="AY30"/>
    </row>
    <row r="31" spans="19:51" ht="14.4">
      <c r="S31"/>
      <c r="V31" t="s">
        <v>819</v>
      </c>
      <c r="W31" t="s">
        <v>402</v>
      </c>
      <c r="X31" s="38" t="s">
        <v>801</v>
      </c>
      <c r="Y31" s="38" t="str">
        <f t="shared" si="3"/>
        <v>42mm Unperforated SlatAcmeda External MotorAcmeda Wall Mounted Single Channel White Remote</v>
      </c>
      <c r="Z31" s="38" t="s">
        <v>337</v>
      </c>
      <c r="AH31" s="38" t="s">
        <v>310</v>
      </c>
      <c r="AI31" s="38" t="s">
        <v>346</v>
      </c>
      <c r="AJ31" s="38" t="str">
        <f t="shared" si="1"/>
        <v>42mm Standard SlatClear Beige</v>
      </c>
      <c r="AK31" s="38" t="s">
        <v>365</v>
      </c>
      <c r="AY31"/>
    </row>
    <row r="32" spans="19:51" ht="14.4">
      <c r="S32"/>
      <c r="V32" t="s">
        <v>819</v>
      </c>
      <c r="W32" t="s">
        <v>402</v>
      </c>
      <c r="X32" s="38" t="s">
        <v>802</v>
      </c>
      <c r="Y32" s="38" t="str">
        <f t="shared" si="3"/>
        <v>42mm Unperforated SlatAcmeda External MotorAcmeda Wall Mounted 2 Channel White Remote</v>
      </c>
      <c r="Z32" s="38" t="s">
        <v>337</v>
      </c>
      <c r="AH32" s="38" t="s">
        <v>310</v>
      </c>
      <c r="AI32" s="38" t="s">
        <v>343</v>
      </c>
      <c r="AJ32" s="38" t="str">
        <f t="shared" si="1"/>
        <v>42mm Standard SlatCream</v>
      </c>
      <c r="AK32" s="38" t="s">
        <v>396</v>
      </c>
      <c r="AY32"/>
    </row>
    <row r="33" spans="19:51" ht="14.4">
      <c r="S33"/>
      <c r="V33" t="s">
        <v>819</v>
      </c>
      <c r="W33" t="s">
        <v>402</v>
      </c>
      <c r="X33" s="38" t="s">
        <v>803</v>
      </c>
      <c r="Y33" s="38" t="str">
        <f t="shared" si="3"/>
        <v>42mm Unperforated SlatAcmeda External MotorAcmeda Wall Mounted 15 Channel White Remote</v>
      </c>
      <c r="Z33" s="38" t="s">
        <v>337</v>
      </c>
      <c r="AH33" s="38" t="s">
        <v>310</v>
      </c>
      <c r="AI33" s="38" t="s">
        <v>356</v>
      </c>
      <c r="AJ33" s="38" t="str">
        <f t="shared" si="1"/>
        <v>42mm Standard SlatDeep Ocean Blue</v>
      </c>
      <c r="AK33" s="38" t="s">
        <v>396</v>
      </c>
      <c r="AY33"/>
    </row>
    <row r="34" spans="22:51" ht="14.4">
      <c r="V34" t="s">
        <v>819</v>
      </c>
      <c r="W34" t="s">
        <v>402</v>
      </c>
      <c r="X34" s="38" t="s">
        <v>821</v>
      </c>
      <c r="Y34" s="38" t="str">
        <f t="shared" si="3"/>
        <v>42mm Unperforated SlatAcmeda External MotorAcmeda Push Pro White Remote with Charger</v>
      </c>
      <c r="Z34" s="38" t="s">
        <v>337</v>
      </c>
      <c r="AH34" s="38" t="s">
        <v>310</v>
      </c>
      <c r="AI34" s="38" t="s">
        <v>340</v>
      </c>
      <c r="AJ34" s="38" t="str">
        <f t="shared" si="1"/>
        <v>42mm Standard SlatDune</v>
      </c>
      <c r="AK34" s="38" t="s">
        <v>365</v>
      </c>
      <c r="AY34"/>
    </row>
    <row r="35" spans="22:51" ht="14.4">
      <c r="V35" t="s">
        <v>819</v>
      </c>
      <c r="W35" t="s">
        <v>402</v>
      </c>
      <c r="X35" s="38" t="s">
        <v>820</v>
      </c>
      <c r="Y35" s="38" t="str">
        <f t="shared" si="3"/>
        <v>42mm Unperforated SlatAcmeda External MotorAcmeda Push Pro Black Remote with Charger</v>
      </c>
      <c r="Z35" s="38" t="s">
        <v>337</v>
      </c>
      <c r="AH35" s="38" t="s">
        <v>310</v>
      </c>
      <c r="AI35" s="38" t="s">
        <v>352</v>
      </c>
      <c r="AJ35" s="38" t="str">
        <f t="shared" si="1"/>
        <v>42mm Standard SlatGREEN</v>
      </c>
      <c r="AK35" s="38" t="s">
        <v>396</v>
      </c>
      <c r="AY35"/>
    </row>
    <row r="36" spans="22:51" ht="14.4">
      <c r="V36" t="s">
        <v>311</v>
      </c>
      <c r="W36" t="s">
        <v>402</v>
      </c>
      <c r="X36" s="38" t="s">
        <v>377</v>
      </c>
      <c r="Y36" s="38" t="str">
        <f t="shared" si="4" ref="Y36:Y55">CONCATENATE(V36,W36,X36)</f>
        <v>36mm Extruded SlatAcmeda External MotorNot Required</v>
      </c>
      <c r="Z36" s="38" t="s">
        <v>337</v>
      </c>
      <c r="AH36" s="38" t="s">
        <v>310</v>
      </c>
      <c r="AI36" s="38" t="s">
        <v>358</v>
      </c>
      <c r="AJ36" s="38" t="str">
        <f t="shared" si="1"/>
        <v>42mm Standard SlatJasper</v>
      </c>
      <c r="AK36" s="38" t="s">
        <v>396</v>
      </c>
      <c r="AY36"/>
    </row>
    <row r="37" spans="22:51" ht="14.4">
      <c r="V37" t="s">
        <v>311</v>
      </c>
      <c r="W37" t="s">
        <v>402</v>
      </c>
      <c r="X37" s="38" t="s">
        <v>371</v>
      </c>
      <c r="Y37" s="38" t="str">
        <f t="shared" si="4"/>
        <v>36mm Extruded SlatAcmeda External MotorAcmeda 5 Channel White Remote</v>
      </c>
      <c r="Z37" s="38" t="s">
        <v>337</v>
      </c>
      <c r="AH37" s="38" t="s">
        <v>310</v>
      </c>
      <c r="AI37" s="38" t="s">
        <v>351</v>
      </c>
      <c r="AJ37" s="38" t="str">
        <f t="shared" si="1"/>
        <v>42mm Standard SlatMag Cream</v>
      </c>
      <c r="AK37" s="38" t="s">
        <v>365</v>
      </c>
      <c r="AY37"/>
    </row>
    <row r="38" spans="22:51" ht="14.4">
      <c r="V38" t="s">
        <v>311</v>
      </c>
      <c r="W38" t="s">
        <v>402</v>
      </c>
      <c r="X38" s="38" t="s">
        <v>406</v>
      </c>
      <c r="Y38" s="38" t="str">
        <f t="shared" si="4"/>
        <v>36mm Extruded SlatAcmeda External MotorAcmeda 5 Channel Black Remote</v>
      </c>
      <c r="Z38" s="38" t="s">
        <v>337</v>
      </c>
      <c r="AH38" s="38" t="s">
        <v>310</v>
      </c>
      <c r="AI38" s="38" t="s">
        <v>357</v>
      </c>
      <c r="AJ38" s="38" t="str">
        <f t="shared" si="1"/>
        <v>42mm Standard SlatMonument</v>
      </c>
      <c r="AK38" s="38" t="s">
        <v>365</v>
      </c>
      <c r="AY38"/>
    </row>
    <row r="39" spans="22:51" ht="14.4">
      <c r="V39" t="s">
        <v>311</v>
      </c>
      <c r="W39" t="s">
        <v>402</v>
      </c>
      <c r="X39" s="38" t="s">
        <v>405</v>
      </c>
      <c r="Y39" s="38" t="str">
        <f t="shared" si="4"/>
        <v>36mm Extruded SlatAcmeda External MotorAcmeda 1 Channel White Remote</v>
      </c>
      <c r="Z39" s="38" t="s">
        <v>337</v>
      </c>
      <c r="AH39" s="38" t="s">
        <v>310</v>
      </c>
      <c r="AI39" s="38" t="s">
        <v>360</v>
      </c>
      <c r="AJ39" s="38" t="str">
        <f t="shared" si="1"/>
        <v>42mm Standard SlatMushroom</v>
      </c>
      <c r="AK39" s="38" t="s">
        <v>396</v>
      </c>
      <c r="AY39"/>
    </row>
    <row r="40" spans="22:51" ht="14.4">
      <c r="V40" t="s">
        <v>311</v>
      </c>
      <c r="W40" t="s">
        <v>402</v>
      </c>
      <c r="X40" s="38" t="s">
        <v>407</v>
      </c>
      <c r="Y40" s="38" t="str">
        <f t="shared" si="4"/>
        <v>36mm Extruded SlatAcmeda External MotorAcmeda 1 Channel Black Remote</v>
      </c>
      <c r="Z40" s="38" t="s">
        <v>337</v>
      </c>
      <c r="AH40" s="38" t="s">
        <v>310</v>
      </c>
      <c r="AI40" s="38" t="s">
        <v>354</v>
      </c>
      <c r="AJ40" s="38" t="str">
        <f t="shared" si="1"/>
        <v>42mm Standard SlatRED</v>
      </c>
      <c r="AK40" s="38" t="s">
        <v>396</v>
      </c>
      <c r="AY40"/>
    </row>
    <row r="41" spans="22:51" ht="14.4">
      <c r="V41" t="s">
        <v>311</v>
      </c>
      <c r="W41" t="s">
        <v>402</v>
      </c>
      <c r="X41" s="38" t="s">
        <v>697</v>
      </c>
      <c r="Y41" s="38" t="str">
        <f t="shared" si="4"/>
        <v>36mm Extruded SlatAcmeda External MotorAcmeda 15 Channel White Remote</v>
      </c>
      <c r="Z41" s="38" t="s">
        <v>337</v>
      </c>
      <c r="AH41" s="38" t="s">
        <v>310</v>
      </c>
      <c r="AI41" s="38" t="s">
        <v>353</v>
      </c>
      <c r="AJ41" s="38" t="str">
        <f t="shared" si="1"/>
        <v>42mm Standard SlatShale Grey</v>
      </c>
      <c r="AK41" s="38" t="s">
        <v>365</v>
      </c>
      <c r="AY41"/>
    </row>
    <row r="42" spans="22:51" ht="14.4">
      <c r="V42" t="s">
        <v>311</v>
      </c>
      <c r="W42" t="s">
        <v>402</v>
      </c>
      <c r="X42" s="38" t="s">
        <v>698</v>
      </c>
      <c r="Y42" s="38" t="str">
        <f t="shared" si="4"/>
        <v>36mm Extruded SlatAcmeda External MotorAcmeda 15 Channel Black Remote</v>
      </c>
      <c r="Z42" s="38" t="s">
        <v>337</v>
      </c>
      <c r="AH42" s="38" t="s">
        <v>310</v>
      </c>
      <c r="AI42" s="38" t="s">
        <v>361</v>
      </c>
      <c r="AJ42" s="38" t="str">
        <f t="shared" si="1"/>
        <v>42mm Standard SlatSilver</v>
      </c>
      <c r="AK42" s="38" t="s">
        <v>396</v>
      </c>
      <c r="AY42"/>
    </row>
    <row r="43" spans="22:51" ht="14.4">
      <c r="V43" t="s">
        <v>311</v>
      </c>
      <c r="W43" t="s">
        <v>402</v>
      </c>
      <c r="X43" s="38" t="s">
        <v>801</v>
      </c>
      <c r="Y43" s="38" t="str">
        <f t="shared" si="4"/>
        <v>36mm Extruded SlatAcmeda External MotorAcmeda Wall Mounted Single Channel White Remote</v>
      </c>
      <c r="Z43" s="38" t="s">
        <v>337</v>
      </c>
      <c r="AH43" s="38" t="s">
        <v>310</v>
      </c>
      <c r="AI43" s="38" t="s">
        <v>362</v>
      </c>
      <c r="AJ43" s="38" t="str">
        <f t="shared" si="1"/>
        <v>42mm Standard SlatSurfmist</v>
      </c>
      <c r="AK43" s="38" t="s">
        <v>396</v>
      </c>
      <c r="AY43"/>
    </row>
    <row r="44" spans="22:37" ht="14.4">
      <c r="V44" t="s">
        <v>311</v>
      </c>
      <c r="W44" t="s">
        <v>402</v>
      </c>
      <c r="X44" s="38" t="s">
        <v>802</v>
      </c>
      <c r="Y44" s="38" t="str">
        <f t="shared" si="4"/>
        <v>36mm Extruded SlatAcmeda External MotorAcmeda Wall Mounted 2 Channel White Remote</v>
      </c>
      <c r="Z44" s="38" t="s">
        <v>337</v>
      </c>
      <c r="AH44" s="38" t="s">
        <v>310</v>
      </c>
      <c r="AI44" s="38" t="s">
        <v>344</v>
      </c>
      <c r="AJ44" s="38" t="str">
        <f t="shared" si="1"/>
        <v>42mm Standard SlatTBA</v>
      </c>
      <c r="AK44" s="38" t="s">
        <v>396</v>
      </c>
    </row>
    <row r="45" spans="22:37" ht="14.4">
      <c r="V45" t="s">
        <v>311</v>
      </c>
      <c r="W45" t="s">
        <v>402</v>
      </c>
      <c r="X45" s="38" t="s">
        <v>803</v>
      </c>
      <c r="Y45" s="38" t="str">
        <f t="shared" si="4"/>
        <v>36mm Extruded SlatAcmeda External MotorAcmeda Wall Mounted 15 Channel White Remote</v>
      </c>
      <c r="Z45" s="38" t="s">
        <v>337</v>
      </c>
      <c r="AH45" s="38" t="s">
        <v>310</v>
      </c>
      <c r="AI45" s="38" t="s">
        <v>347</v>
      </c>
      <c r="AJ45" s="38" t="str">
        <f t="shared" si="1"/>
        <v>42mm Standard SlatWhite</v>
      </c>
      <c r="AK45" s="38" t="s">
        <v>365</v>
      </c>
    </row>
    <row r="46" spans="22:37" ht="14.4">
      <c r="V46" t="s">
        <v>311</v>
      </c>
      <c r="W46" t="s">
        <v>286</v>
      </c>
      <c r="X46" s="38" t="s">
        <v>280</v>
      </c>
      <c r="Y46" s="38" t="str">
        <f t="shared" si="4"/>
        <v>36mm Extruded SlatFiresafe 12v ODS SystemController &amp; Charger</v>
      </c>
      <c r="Z46" s="38" t="s">
        <v>267</v>
      </c>
      <c r="AH46" s="38" t="s">
        <v>310</v>
      </c>
      <c r="AI46" s="38" t="s">
        <v>355</v>
      </c>
      <c r="AJ46" s="38" t="str">
        <f t="shared" si="1"/>
        <v>42mm Standard SlatWoodland Grey</v>
      </c>
      <c r="AK46" s="38" t="s">
        <v>365</v>
      </c>
    </row>
    <row r="47" spans="22:37" ht="14.4">
      <c r="V47" t="s">
        <v>311</v>
      </c>
      <c r="W47" t="s">
        <v>286</v>
      </c>
      <c r="X47" s="38" t="s">
        <v>372</v>
      </c>
      <c r="Y47" s="38" t="str">
        <f t="shared" si="4"/>
        <v>36mm Extruded SlatFiresafe 12v ODS SystemNo Controller or Charger</v>
      </c>
      <c r="Z47" s="38" t="s">
        <v>267</v>
      </c>
      <c r="AH47" s="38" t="s">
        <v>819</v>
      </c>
      <c r="AI47" s="38" t="s">
        <v>348</v>
      </c>
      <c r="AJ47" s="38" t="str">
        <f t="shared" si="5" ref="AJ47:AJ65">CONCATENATE(AH47,AI47)</f>
        <v>42mm Unperforated SlatBeige</v>
      </c>
      <c r="AK47" s="38" t="s">
        <v>396</v>
      </c>
    </row>
    <row r="48" spans="22:37" ht="14.4">
      <c r="V48" t="s">
        <v>311</v>
      </c>
      <c r="W48" t="s">
        <v>286</v>
      </c>
      <c r="X48" s="38" t="s">
        <v>281</v>
      </c>
      <c r="Y48" s="38" t="str">
        <f t="shared" si="4"/>
        <v>36mm Extruded SlatFiresafe 12v ODS SystemRF Controller &amp; Charger</v>
      </c>
      <c r="Z48" s="38" t="s">
        <v>267</v>
      </c>
      <c r="AH48" s="38" t="s">
        <v>819</v>
      </c>
      <c r="AI48" s="38" t="s">
        <v>349</v>
      </c>
      <c r="AJ48" s="38" t="str">
        <f t="shared" si="5"/>
        <v>42mm Unperforated SlatBlack</v>
      </c>
      <c r="AK48" s="38" t="s">
        <v>365</v>
      </c>
    </row>
    <row r="49" spans="22:37" ht="14.4">
      <c r="V49" t="s">
        <v>311</v>
      </c>
      <c r="W49" t="s">
        <v>286</v>
      </c>
      <c r="X49" s="38" t="s">
        <v>282</v>
      </c>
      <c r="Y49" s="38" t="str">
        <f t="shared" si="4"/>
        <v>36mm Extruded SlatFiresafe 12v ODS SystemRF Controller, Charger &amp; Single Channel Remote</v>
      </c>
      <c r="Z49" s="38" t="s">
        <v>267</v>
      </c>
      <c r="AH49" s="38" t="s">
        <v>819</v>
      </c>
      <c r="AI49" s="38" t="s">
        <v>359</v>
      </c>
      <c r="AJ49" s="38" t="str">
        <f t="shared" si="5"/>
        <v>42mm Unperforated SlatBronze</v>
      </c>
      <c r="AK49" s="38" t="s">
        <v>396</v>
      </c>
    </row>
    <row r="50" spans="22:37" ht="14.4">
      <c r="V50" t="s">
        <v>311</v>
      </c>
      <c r="W50" t="s">
        <v>286</v>
      </c>
      <c r="X50" s="38" t="s">
        <v>283</v>
      </c>
      <c r="Y50" s="38" t="str">
        <f t="shared" si="4"/>
        <v>36mm Extruded SlatFiresafe 12v ODS SystemRF Controller, Charger &amp; 9 Channel Remote</v>
      </c>
      <c r="Z50" s="38" t="s">
        <v>267</v>
      </c>
      <c r="AH50" s="38" t="s">
        <v>819</v>
      </c>
      <c r="AI50" s="38" t="s">
        <v>350</v>
      </c>
      <c r="AJ50" s="38" t="str">
        <f t="shared" si="5"/>
        <v>42mm Unperforated SlatBrown</v>
      </c>
      <c r="AK50" s="38" t="s">
        <v>396</v>
      </c>
    </row>
    <row r="51" spans="22:37" ht="14.4">
      <c r="V51" t="s">
        <v>311</v>
      </c>
      <c r="W51" t="s">
        <v>330</v>
      </c>
      <c r="X51" t="s">
        <v>274</v>
      </c>
      <c r="Y51" s="38" t="str">
        <f t="shared" si="4"/>
        <v>36mm Extruded SlatFiresafe Manual Override MotorisedNone</v>
      </c>
      <c r="Z51" s="38" t="s">
        <v>324</v>
      </c>
      <c r="AH51" s="38" t="s">
        <v>819</v>
      </c>
      <c r="AI51" s="38" t="s">
        <v>346</v>
      </c>
      <c r="AJ51" s="38" t="str">
        <f t="shared" si="5"/>
        <v>42mm Unperforated SlatClear Beige</v>
      </c>
      <c r="AK51" s="38" t="s">
        <v>365</v>
      </c>
    </row>
    <row r="52" spans="22:37" ht="14.4">
      <c r="V52" t="s">
        <v>311</v>
      </c>
      <c r="W52" t="s">
        <v>330</v>
      </c>
      <c r="X52" t="s">
        <v>828</v>
      </c>
      <c r="Y52" s="38" t="str">
        <f t="shared" si="4"/>
        <v>36mm Extruded SlatFiresafe Manual Override MotorisedMaxim 1 Channel Remote</v>
      </c>
      <c r="Z52" s="38" t="s">
        <v>324</v>
      </c>
      <c r="AH52" s="38" t="s">
        <v>819</v>
      </c>
      <c r="AI52" s="38" t="s">
        <v>343</v>
      </c>
      <c r="AJ52" s="38" t="str">
        <f t="shared" si="5"/>
        <v>42mm Unperforated SlatCream</v>
      </c>
      <c r="AK52" s="38" t="s">
        <v>396</v>
      </c>
    </row>
    <row r="53" spans="22:37" ht="14.4">
      <c r="V53" t="s">
        <v>311</v>
      </c>
      <c r="W53" t="s">
        <v>330</v>
      </c>
      <c r="X53" t="s">
        <v>829</v>
      </c>
      <c r="Y53" s="38" t="str">
        <f t="shared" si="4"/>
        <v>36mm Extruded SlatFiresafe Manual Override MotorisedMaxim 6 Channel Remote</v>
      </c>
      <c r="Z53" s="38" t="s">
        <v>324</v>
      </c>
      <c r="AH53" s="38" t="s">
        <v>819</v>
      </c>
      <c r="AI53" s="38" t="s">
        <v>356</v>
      </c>
      <c r="AJ53" s="38" t="str">
        <f t="shared" si="5"/>
        <v>42mm Unperforated SlatDeep Ocean Blue</v>
      </c>
      <c r="AK53" s="38" t="s">
        <v>396</v>
      </c>
    </row>
    <row r="54" spans="22:37" ht="14.4">
      <c r="V54" t="s">
        <v>311</v>
      </c>
      <c r="W54" t="s">
        <v>330</v>
      </c>
      <c r="X54" t="s">
        <v>830</v>
      </c>
      <c r="Y54" s="38" t="str">
        <f t="shared" si="4"/>
        <v>36mm Extruded SlatFiresafe Manual Override MotorisedMaxim 16 Channel Remote</v>
      </c>
      <c r="Z54" s="38" t="s">
        <v>324</v>
      </c>
      <c r="AH54" s="38" t="s">
        <v>819</v>
      </c>
      <c r="AI54" s="38" t="s">
        <v>340</v>
      </c>
      <c r="AJ54" s="38" t="str">
        <f t="shared" si="5"/>
        <v>42mm Unperforated SlatDune</v>
      </c>
      <c r="AK54" s="38" t="s">
        <v>365</v>
      </c>
    </row>
    <row r="55" spans="22:37" ht="14.4">
      <c r="V55" t="s">
        <v>311</v>
      </c>
      <c r="W55" t="s">
        <v>330</v>
      </c>
      <c r="X55" t="s">
        <v>793</v>
      </c>
      <c r="Y55" s="38" t="str">
        <f t="shared" si="4"/>
        <v>36mm Extruded SlatFiresafe Manual Override MotorisedToggle Wall Switch</v>
      </c>
      <c r="Z55" s="38" t="s">
        <v>324</v>
      </c>
      <c r="AH55" s="38" t="s">
        <v>819</v>
      </c>
      <c r="AI55" s="38" t="s">
        <v>352</v>
      </c>
      <c r="AJ55" s="38" t="str">
        <f t="shared" si="5"/>
        <v>42mm Unperforated SlatGREEN</v>
      </c>
      <c r="AK55" s="38" t="s">
        <v>396</v>
      </c>
    </row>
    <row r="56" spans="22:37" ht="14.4">
      <c r="V56" t="s">
        <v>311</v>
      </c>
      <c r="W56" t="s">
        <v>330</v>
      </c>
      <c r="X56" t="s">
        <v>693</v>
      </c>
      <c r="Y56" s="38" t="str">
        <f t="shared" si="6" ref="Y56:Y58">CONCATENATE(V56,W56,X56)</f>
        <v>36mm Extruded SlatFiresafe Manual Override MotorisedKey Switch</v>
      </c>
      <c r="Z56" s="38" t="s">
        <v>324</v>
      </c>
      <c r="AH56" s="38" t="s">
        <v>819</v>
      </c>
      <c r="AI56" s="38" t="s">
        <v>358</v>
      </c>
      <c r="AJ56" s="38" t="str">
        <f t="shared" si="5"/>
        <v>42mm Unperforated SlatJasper</v>
      </c>
      <c r="AK56" s="38" t="s">
        <v>396</v>
      </c>
    </row>
    <row r="57" spans="22:37" ht="14.4">
      <c r="V57" t="s">
        <v>311</v>
      </c>
      <c r="W57" t="s">
        <v>330</v>
      </c>
      <c r="X57" t="s">
        <v>694</v>
      </c>
      <c r="Y57" s="38" t="str">
        <f t="shared" si="6"/>
        <v>36mm Extruded SlatFiresafe Manual Override MotorisedKey Switch Relay</v>
      </c>
      <c r="Z57" s="38" t="s">
        <v>324</v>
      </c>
      <c r="AH57" s="38" t="s">
        <v>819</v>
      </c>
      <c r="AI57" s="38" t="s">
        <v>351</v>
      </c>
      <c r="AJ57" s="38" t="str">
        <f t="shared" si="5"/>
        <v>42mm Unperforated SlatMag Cream</v>
      </c>
      <c r="AK57" s="38" t="s">
        <v>365</v>
      </c>
    </row>
    <row r="58" spans="22:37" ht="14.4">
      <c r="V58" t="s">
        <v>311</v>
      </c>
      <c r="W58" t="s">
        <v>330</v>
      </c>
      <c r="X58" t="s">
        <v>699</v>
      </c>
      <c r="Y58" s="38" t="str">
        <f t="shared" si="6"/>
        <v>36mm Extruded SlatFiresafe Manual Override MotorisedKey Switch &amp; Key Switch Relay</v>
      </c>
      <c r="Z58" s="38" t="s">
        <v>324</v>
      </c>
      <c r="AH58" s="38" t="s">
        <v>819</v>
      </c>
      <c r="AI58" s="38" t="s">
        <v>357</v>
      </c>
      <c r="AJ58" s="38" t="str">
        <f t="shared" si="5"/>
        <v>42mm Unperforated SlatMonument</v>
      </c>
      <c r="AK58" s="38" t="s">
        <v>365</v>
      </c>
    </row>
    <row r="59" spans="22:37" ht="14.4">
      <c r="V59" t="s">
        <v>312</v>
      </c>
      <c r="W59" t="s">
        <v>330</v>
      </c>
      <c r="X59" t="s">
        <v>274</v>
      </c>
      <c r="Y59" s="38" t="str">
        <f t="shared" si="7" ref="Y59:Y108">CONCATENATE(V59,W59,X59)</f>
        <v>36mm Fire Safe SlatFiresafe Manual Override MotorisedNone</v>
      </c>
      <c r="Z59" s="38" t="s">
        <v>324</v>
      </c>
      <c r="AH59" s="38" t="s">
        <v>819</v>
      </c>
      <c r="AI59" s="38" t="s">
        <v>360</v>
      </c>
      <c r="AJ59" s="38" t="str">
        <f t="shared" si="5"/>
        <v>42mm Unperforated SlatMushroom</v>
      </c>
      <c r="AK59" s="38" t="s">
        <v>396</v>
      </c>
    </row>
    <row r="60" spans="22:37" ht="14.4">
      <c r="V60" t="s">
        <v>312</v>
      </c>
      <c r="W60" t="s">
        <v>330</v>
      </c>
      <c r="X60" t="s">
        <v>828</v>
      </c>
      <c r="Y60" s="38" t="str">
        <f t="shared" si="7"/>
        <v>36mm Fire Safe SlatFiresafe Manual Override MotorisedMaxim 1 Channel Remote</v>
      </c>
      <c r="Z60" s="38" t="s">
        <v>324</v>
      </c>
      <c r="AH60" s="38" t="s">
        <v>819</v>
      </c>
      <c r="AI60" s="38" t="s">
        <v>354</v>
      </c>
      <c r="AJ60" s="38" t="str">
        <f t="shared" si="5"/>
        <v>42mm Unperforated SlatRED</v>
      </c>
      <c r="AK60" s="38" t="s">
        <v>396</v>
      </c>
    </row>
    <row r="61" spans="22:37" ht="14.4">
      <c r="V61" t="s">
        <v>312</v>
      </c>
      <c r="W61" t="s">
        <v>330</v>
      </c>
      <c r="X61" t="s">
        <v>829</v>
      </c>
      <c r="Y61" s="38" t="str">
        <f t="shared" si="7"/>
        <v>36mm Fire Safe SlatFiresafe Manual Override MotorisedMaxim 6 Channel Remote</v>
      </c>
      <c r="Z61" s="38" t="s">
        <v>324</v>
      </c>
      <c r="AH61" s="38" t="s">
        <v>819</v>
      </c>
      <c r="AI61" s="38" t="s">
        <v>353</v>
      </c>
      <c r="AJ61" s="38" t="str">
        <f t="shared" si="5"/>
        <v>42mm Unperforated SlatShale Grey</v>
      </c>
      <c r="AK61" s="38" t="s">
        <v>365</v>
      </c>
    </row>
    <row r="62" spans="22:37" ht="14.4">
      <c r="V62" t="s">
        <v>312</v>
      </c>
      <c r="W62" t="s">
        <v>330</v>
      </c>
      <c r="X62" t="s">
        <v>830</v>
      </c>
      <c r="Y62" s="38" t="str">
        <f t="shared" si="7"/>
        <v>36mm Fire Safe SlatFiresafe Manual Override MotorisedMaxim 16 Channel Remote</v>
      </c>
      <c r="Z62" s="38" t="s">
        <v>324</v>
      </c>
      <c r="AH62" s="38" t="s">
        <v>819</v>
      </c>
      <c r="AI62" s="38" t="s">
        <v>361</v>
      </c>
      <c r="AJ62" s="38" t="str">
        <f t="shared" si="5"/>
        <v>42mm Unperforated SlatSilver</v>
      </c>
      <c r="AK62" s="38" t="s">
        <v>396</v>
      </c>
    </row>
    <row r="63" spans="22:37" ht="14.4">
      <c r="V63" t="s">
        <v>312</v>
      </c>
      <c r="W63" t="s">
        <v>330</v>
      </c>
      <c r="X63" t="s">
        <v>793</v>
      </c>
      <c r="Y63" s="38" t="str">
        <f t="shared" si="7"/>
        <v>36mm Fire Safe SlatFiresafe Manual Override MotorisedToggle Wall Switch</v>
      </c>
      <c r="Z63" s="38" t="s">
        <v>324</v>
      </c>
      <c r="AH63" s="38" t="s">
        <v>819</v>
      </c>
      <c r="AI63" s="38" t="s">
        <v>362</v>
      </c>
      <c r="AJ63" s="38" t="str">
        <f t="shared" si="5"/>
        <v>42mm Unperforated SlatSurfmist</v>
      </c>
      <c r="AK63" s="38" t="s">
        <v>396</v>
      </c>
    </row>
    <row r="64" spans="22:37" ht="14.4">
      <c r="V64" t="s">
        <v>312</v>
      </c>
      <c r="W64" t="s">
        <v>330</v>
      </c>
      <c r="X64" t="s">
        <v>693</v>
      </c>
      <c r="Y64" s="38" t="str">
        <f t="shared" si="7"/>
        <v>36mm Fire Safe SlatFiresafe Manual Override MotorisedKey Switch</v>
      </c>
      <c r="Z64" s="38" t="s">
        <v>324</v>
      </c>
      <c r="AH64" s="38" t="s">
        <v>819</v>
      </c>
      <c r="AI64" s="38" t="s">
        <v>344</v>
      </c>
      <c r="AJ64" s="38" t="str">
        <f t="shared" si="5"/>
        <v>42mm Unperforated SlatTBA</v>
      </c>
      <c r="AK64" s="38" t="s">
        <v>396</v>
      </c>
    </row>
    <row r="65" spans="22:37" ht="14.4">
      <c r="V65" t="s">
        <v>312</v>
      </c>
      <c r="W65" t="s">
        <v>330</v>
      </c>
      <c r="X65" t="s">
        <v>694</v>
      </c>
      <c r="Y65" s="38" t="str">
        <f t="shared" si="7"/>
        <v>36mm Fire Safe SlatFiresafe Manual Override MotorisedKey Switch Relay</v>
      </c>
      <c r="Z65" s="38" t="s">
        <v>324</v>
      </c>
      <c r="AH65" s="38" t="s">
        <v>819</v>
      </c>
      <c r="AI65" s="38" t="s">
        <v>347</v>
      </c>
      <c r="AJ65" s="38" t="str">
        <f t="shared" si="5"/>
        <v>42mm Unperforated SlatWhite</v>
      </c>
      <c r="AK65" s="38" t="s">
        <v>365</v>
      </c>
    </row>
    <row r="66" spans="22:37" ht="14.4">
      <c r="V66" t="s">
        <v>312</v>
      </c>
      <c r="W66" t="s">
        <v>330</v>
      </c>
      <c r="X66" t="s">
        <v>699</v>
      </c>
      <c r="Y66" s="38" t="str">
        <f t="shared" si="7"/>
        <v>36mm Fire Safe SlatFiresafe Manual Override MotorisedKey Switch &amp; Key Switch Relay</v>
      </c>
      <c r="Z66" s="38" t="s">
        <v>324</v>
      </c>
      <c r="AH66" s="38" t="s">
        <v>819</v>
      </c>
      <c r="AI66" s="38" t="s">
        <v>355</v>
      </c>
      <c r="AJ66" s="38" t="str">
        <f t="shared" si="8" ref="AJ66">CONCATENATE(AH66,AI66)</f>
        <v>42mm Unperforated SlatWoodland Grey</v>
      </c>
      <c r="AK66" s="38" t="s">
        <v>365</v>
      </c>
    </row>
    <row r="67" spans="22:26" ht="14.4">
      <c r="V67" t="s">
        <v>311</v>
      </c>
      <c r="W67" t="s">
        <v>287</v>
      </c>
      <c r="X67" s="38" t="s">
        <v>274</v>
      </c>
      <c r="Y67" s="38" t="str">
        <f t="shared" si="7"/>
        <v>36mm Extruded SlatFiresafe MotorisedNone</v>
      </c>
      <c r="Z67" s="38" t="s">
        <v>293</v>
      </c>
    </row>
    <row r="68" spans="22:26" ht="14.4">
      <c r="V68" t="s">
        <v>311</v>
      </c>
      <c r="W68" t="s">
        <v>287</v>
      </c>
      <c r="X68" s="38" t="s">
        <v>828</v>
      </c>
      <c r="Y68" s="38" t="str">
        <f t="shared" si="7"/>
        <v>36mm Extruded SlatFiresafe MotorisedMaxim 1 Channel Remote</v>
      </c>
      <c r="Z68" s="38" t="s">
        <v>293</v>
      </c>
    </row>
    <row r="69" spans="22:26" ht="14.4">
      <c r="V69" t="s">
        <v>311</v>
      </c>
      <c r="W69" t="s">
        <v>287</v>
      </c>
      <c r="X69" s="38" t="s">
        <v>829</v>
      </c>
      <c r="Y69" s="38" t="str">
        <f t="shared" si="7"/>
        <v>36mm Extruded SlatFiresafe MotorisedMaxim 6 Channel Remote</v>
      </c>
      <c r="Z69" s="38" t="s">
        <v>293</v>
      </c>
    </row>
    <row r="70" spans="22:26" ht="14.4">
      <c r="V70" t="s">
        <v>311</v>
      </c>
      <c r="W70" t="s">
        <v>287</v>
      </c>
      <c r="X70" s="38" t="s">
        <v>830</v>
      </c>
      <c r="Y70" s="38" t="str">
        <f t="shared" si="7"/>
        <v>36mm Extruded SlatFiresafe MotorisedMaxim 16 Channel Remote</v>
      </c>
      <c r="Z70" s="38" t="s">
        <v>293</v>
      </c>
    </row>
    <row r="71" spans="22:26" ht="14.4">
      <c r="V71" t="s">
        <v>311</v>
      </c>
      <c r="W71" t="s">
        <v>287</v>
      </c>
      <c r="X71" s="38" t="s">
        <v>831</v>
      </c>
      <c r="Y71" s="38" t="str">
        <f t="shared" si="7"/>
        <v>36mm Extruded SlatFiresafe MotorisedMaxim 1 Channel Wall Mounted Remote</v>
      </c>
      <c r="Z71" s="38" t="s">
        <v>293</v>
      </c>
    </row>
    <row r="72" spans="22:26" ht="14.4">
      <c r="V72" t="s">
        <v>311</v>
      </c>
      <c r="W72" t="s">
        <v>287</v>
      </c>
      <c r="X72" s="38" t="s">
        <v>368</v>
      </c>
      <c r="Y72" s="38" t="str">
        <f t="shared" si="7"/>
        <v>36mm Extruded SlatFiresafe MotorisedCWP 5 Channel Wall Mounted Remote</v>
      </c>
      <c r="Z72" s="38" t="s">
        <v>293</v>
      </c>
    </row>
    <row r="73" spans="22:26" ht="14.4">
      <c r="V73" t="s">
        <v>311</v>
      </c>
      <c r="W73" t="s">
        <v>287</v>
      </c>
      <c r="X73" s="38" t="s">
        <v>369</v>
      </c>
      <c r="Y73" s="38" t="str">
        <f t="shared" si="7"/>
        <v>36mm Extruded SlatFiresafe MotorisedCWP 8 Channel Remote with Timer</v>
      </c>
      <c r="Z73" s="38" t="s">
        <v>293</v>
      </c>
    </row>
    <row r="74" spans="22:26" ht="14.4">
      <c r="V74" t="s">
        <v>311</v>
      </c>
      <c r="W74" t="s">
        <v>287</v>
      </c>
      <c r="X74" s="38" t="s">
        <v>370</v>
      </c>
      <c r="Y74" s="38" t="str">
        <f t="shared" si="7"/>
        <v>36mm Extruded SlatFiresafe MotorisedCWP Key Ring Remote</v>
      </c>
      <c r="Z74" s="38" t="s">
        <v>293</v>
      </c>
    </row>
    <row r="75" spans="22:26" ht="14.4">
      <c r="V75" t="s">
        <v>311</v>
      </c>
      <c r="W75" t="s">
        <v>287</v>
      </c>
      <c r="X75" s="38" t="s">
        <v>793</v>
      </c>
      <c r="Y75" s="38" t="str">
        <f t="shared" si="7"/>
        <v>36mm Extruded SlatFiresafe MotorisedToggle Wall Switch</v>
      </c>
      <c r="Z75" s="38" t="s">
        <v>294</v>
      </c>
    </row>
    <row r="76" spans="22:26" ht="14.4">
      <c r="V76" t="s">
        <v>311</v>
      </c>
      <c r="W76" t="s">
        <v>287</v>
      </c>
      <c r="X76" s="38" t="s">
        <v>693</v>
      </c>
      <c r="Y76" s="38" t="str">
        <f t="shared" si="7"/>
        <v>36mm Extruded SlatFiresafe MotorisedKey Switch</v>
      </c>
      <c r="Z76" s="38" t="s">
        <v>294</v>
      </c>
    </row>
    <row r="77" spans="22:26" ht="14.4">
      <c r="V77" t="s">
        <v>311</v>
      </c>
      <c r="W77" t="s">
        <v>287</v>
      </c>
      <c r="X77" s="38" t="s">
        <v>694</v>
      </c>
      <c r="Y77" s="38" t="str">
        <f t="shared" si="7"/>
        <v>36mm Extruded SlatFiresafe MotorisedKey Switch Relay</v>
      </c>
      <c r="Z77" s="38" t="s">
        <v>294</v>
      </c>
    </row>
    <row r="78" spans="22:26" ht="14.4">
      <c r="V78" t="s">
        <v>311</v>
      </c>
      <c r="W78" t="s">
        <v>287</v>
      </c>
      <c r="X78" s="38" t="s">
        <v>699</v>
      </c>
      <c r="Y78" s="38" t="str">
        <f t="shared" si="7"/>
        <v>36mm Extruded SlatFiresafe MotorisedKey Switch &amp; Key Switch Relay</v>
      </c>
      <c r="Z78" s="38" t="s">
        <v>324</v>
      </c>
    </row>
    <row r="79" spans="22:26" ht="14.4">
      <c r="V79" t="s">
        <v>310</v>
      </c>
      <c r="W79" t="s">
        <v>331</v>
      </c>
      <c r="X79" t="s">
        <v>274</v>
      </c>
      <c r="Y79" s="38" t="str">
        <f t="shared" si="9" ref="Y79:Y99">CONCATENATE(V79,W79,X79)</f>
        <v>42mm Standard SlatManual Override MotorisedNone</v>
      </c>
      <c r="Z79" s="38" t="s">
        <v>320</v>
      </c>
    </row>
    <row r="80" spans="22:26" ht="14.4">
      <c r="V80" t="s">
        <v>310</v>
      </c>
      <c r="W80" t="s">
        <v>331</v>
      </c>
      <c r="X80" t="s">
        <v>828</v>
      </c>
      <c r="Y80" s="38" t="str">
        <f t="shared" si="9"/>
        <v>42mm Standard SlatManual Override MotorisedMaxim 1 Channel Remote</v>
      </c>
      <c r="Z80" s="38" t="s">
        <v>320</v>
      </c>
    </row>
    <row r="81" spans="22:26" ht="14.4">
      <c r="V81" t="s">
        <v>310</v>
      </c>
      <c r="W81" t="s">
        <v>331</v>
      </c>
      <c r="X81" t="s">
        <v>829</v>
      </c>
      <c r="Y81" s="38" t="str">
        <f t="shared" si="9"/>
        <v>42mm Standard SlatManual Override MotorisedMaxim 6 Channel Remote</v>
      </c>
      <c r="Z81" s="38" t="s">
        <v>320</v>
      </c>
    </row>
    <row r="82" spans="22:26" ht="14.4">
      <c r="V82" t="s">
        <v>310</v>
      </c>
      <c r="W82" t="s">
        <v>331</v>
      </c>
      <c r="X82" t="s">
        <v>830</v>
      </c>
      <c r="Y82" s="38" t="str">
        <f t="shared" si="9"/>
        <v>42mm Standard SlatManual Override MotorisedMaxim 16 Channel Remote</v>
      </c>
      <c r="Z82" s="38" t="s">
        <v>320</v>
      </c>
    </row>
    <row r="83" spans="22:26" ht="14.4">
      <c r="V83" t="s">
        <v>310</v>
      </c>
      <c r="W83" t="s">
        <v>331</v>
      </c>
      <c r="X83" t="s">
        <v>793</v>
      </c>
      <c r="Y83" s="38" t="str">
        <f t="shared" si="9"/>
        <v>42mm Standard SlatManual Override MotorisedToggle Wall Switch</v>
      </c>
      <c r="Z83" s="38" t="s">
        <v>320</v>
      </c>
    </row>
    <row r="84" spans="22:26" ht="14.4">
      <c r="V84" t="s">
        <v>310</v>
      </c>
      <c r="W84" t="s">
        <v>331</v>
      </c>
      <c r="X84" s="38" t="s">
        <v>693</v>
      </c>
      <c r="Y84" s="38" t="str">
        <f t="shared" si="9"/>
        <v>42mm Standard SlatManual Override MotorisedKey Switch</v>
      </c>
      <c r="Z84" s="38" t="s">
        <v>320</v>
      </c>
    </row>
    <row r="85" spans="22:26" ht="14.4">
      <c r="V85" t="s">
        <v>310</v>
      </c>
      <c r="W85" t="s">
        <v>331</v>
      </c>
      <c r="X85" s="38" t="s">
        <v>694</v>
      </c>
      <c r="Y85" s="38" t="str">
        <f t="shared" si="9"/>
        <v>42mm Standard SlatManual Override MotorisedKey Switch Relay</v>
      </c>
      <c r="Z85" s="38" t="s">
        <v>320</v>
      </c>
    </row>
    <row r="86" spans="22:26" ht="14.4">
      <c r="V86" t="s">
        <v>310</v>
      </c>
      <c r="W86" t="s">
        <v>331</v>
      </c>
      <c r="X86" s="38" t="s">
        <v>699</v>
      </c>
      <c r="Y86" s="38" t="str">
        <f t="shared" si="9"/>
        <v>42mm Standard SlatManual Override MotorisedKey Switch &amp; Key Switch Relay</v>
      </c>
      <c r="Z86" s="38" t="s">
        <v>320</v>
      </c>
    </row>
    <row r="87" spans="22:26" ht="14.4">
      <c r="V87" t="s">
        <v>310</v>
      </c>
      <c r="W87" t="s">
        <v>186</v>
      </c>
      <c r="X87" s="38" t="s">
        <v>274</v>
      </c>
      <c r="Y87" s="38" t="str">
        <f t="shared" si="9"/>
        <v>42mm Standard SlatMotorisedNone</v>
      </c>
      <c r="Z87" s="38" t="s">
        <v>289</v>
      </c>
    </row>
    <row r="88" spans="22:26" ht="14.4">
      <c r="V88" t="s">
        <v>310</v>
      </c>
      <c r="W88" t="s">
        <v>186</v>
      </c>
      <c r="X88" s="38" t="s">
        <v>828</v>
      </c>
      <c r="Y88" s="38" t="str">
        <f t="shared" si="9"/>
        <v>42mm Standard SlatMotorisedMaxim 1 Channel Remote</v>
      </c>
      <c r="Z88" s="38" t="s">
        <v>289</v>
      </c>
    </row>
    <row r="89" spans="22:26" ht="14.4">
      <c r="V89" t="s">
        <v>310</v>
      </c>
      <c r="W89" t="s">
        <v>186</v>
      </c>
      <c r="X89" s="38" t="s">
        <v>829</v>
      </c>
      <c r="Y89" s="38" t="str">
        <f t="shared" si="9"/>
        <v>42mm Standard SlatMotorisedMaxim 6 Channel Remote</v>
      </c>
      <c r="Z89" s="38" t="s">
        <v>289</v>
      </c>
    </row>
    <row r="90" spans="22:26" ht="14.4">
      <c r="V90" t="s">
        <v>310</v>
      </c>
      <c r="W90" t="s">
        <v>186</v>
      </c>
      <c r="X90" s="38" t="s">
        <v>830</v>
      </c>
      <c r="Y90" s="38" t="str">
        <f t="shared" si="9"/>
        <v>42mm Standard SlatMotorisedMaxim 16 Channel Remote</v>
      </c>
      <c r="Z90" s="38" t="s">
        <v>289</v>
      </c>
    </row>
    <row r="91" spans="22:26" ht="14.4">
      <c r="V91" t="s">
        <v>310</v>
      </c>
      <c r="W91" t="s">
        <v>186</v>
      </c>
      <c r="X91" s="38" t="s">
        <v>831</v>
      </c>
      <c r="Y91" s="38" t="str">
        <f t="shared" si="9"/>
        <v>42mm Standard SlatMotorisedMaxim 1 Channel Wall Mounted Remote</v>
      </c>
      <c r="Z91" s="38" t="s">
        <v>289</v>
      </c>
    </row>
    <row r="92" spans="22:26" ht="14.4">
      <c r="V92" t="s">
        <v>310</v>
      </c>
      <c r="W92" t="s">
        <v>186</v>
      </c>
      <c r="X92" s="38" t="s">
        <v>368</v>
      </c>
      <c r="Y92" s="38" t="str">
        <f t="shared" si="9"/>
        <v>42mm Standard SlatMotorisedCWP 5 Channel Wall Mounted Remote</v>
      </c>
      <c r="Z92" s="38" t="s">
        <v>289</v>
      </c>
    </row>
    <row r="93" spans="22:26" ht="14.4">
      <c r="V93" t="s">
        <v>310</v>
      </c>
      <c r="W93" t="s">
        <v>186</v>
      </c>
      <c r="X93" s="38" t="s">
        <v>369</v>
      </c>
      <c r="Y93" s="38" t="str">
        <f t="shared" si="9"/>
        <v>42mm Standard SlatMotorisedCWP 8 Channel Remote with Timer</v>
      </c>
      <c r="Z93" s="38" t="s">
        <v>289</v>
      </c>
    </row>
    <row r="94" spans="22:26" ht="14.4">
      <c r="V94" t="s">
        <v>310</v>
      </c>
      <c r="W94" t="s">
        <v>186</v>
      </c>
      <c r="X94" s="38" t="s">
        <v>370</v>
      </c>
      <c r="Y94" s="38" t="str">
        <f t="shared" si="9"/>
        <v>42mm Standard SlatMotorisedCWP Key Ring Remote</v>
      </c>
      <c r="Z94" s="38" t="s">
        <v>289</v>
      </c>
    </row>
    <row r="95" spans="22:26" ht="14.4">
      <c r="V95" t="s">
        <v>310</v>
      </c>
      <c r="W95" t="s">
        <v>186</v>
      </c>
      <c r="X95" s="38" t="s">
        <v>793</v>
      </c>
      <c r="Y95" s="38" t="str">
        <f t="shared" si="9"/>
        <v>42mm Standard SlatMotorisedToggle Wall Switch</v>
      </c>
      <c r="Z95" s="38" t="s">
        <v>290</v>
      </c>
    </row>
    <row r="96" spans="22:26" ht="14.4">
      <c r="V96" t="s">
        <v>310</v>
      </c>
      <c r="W96" t="s">
        <v>186</v>
      </c>
      <c r="X96" t="s">
        <v>693</v>
      </c>
      <c r="Y96" s="38" t="str">
        <f t="shared" si="9"/>
        <v>42mm Standard SlatMotorisedKey Switch</v>
      </c>
      <c r="Z96" s="38" t="s">
        <v>290</v>
      </c>
    </row>
    <row r="97" spans="22:26" ht="14.4">
      <c r="V97" t="s">
        <v>310</v>
      </c>
      <c r="W97" t="s">
        <v>186</v>
      </c>
      <c r="X97" t="s">
        <v>694</v>
      </c>
      <c r="Y97" s="38" t="str">
        <f t="shared" si="9"/>
        <v>42mm Standard SlatMotorisedKey Switch Relay</v>
      </c>
      <c r="Z97" s="38" t="s">
        <v>290</v>
      </c>
    </row>
    <row r="98" spans="22:26" ht="14.4">
      <c r="V98" t="s">
        <v>310</v>
      </c>
      <c r="W98" t="s">
        <v>186</v>
      </c>
      <c r="X98" t="s">
        <v>699</v>
      </c>
      <c r="Y98" s="38" t="str">
        <f t="shared" si="9"/>
        <v>42mm Standard SlatMotorisedKey Switch &amp; Key Switch Relay</v>
      </c>
      <c r="Z98" s="38" t="s">
        <v>290</v>
      </c>
    </row>
    <row r="99" spans="22:26" ht="14.4">
      <c r="V99" t="s">
        <v>310</v>
      </c>
      <c r="W99" t="s">
        <v>187</v>
      </c>
      <c r="X99"/>
      <c r="Y99" s="38" t="str">
        <f t="shared" si="9"/>
        <v>42mm Standard SlatStrap Winch</v>
      </c>
      <c r="Z99" s="38" t="s">
        <v>187</v>
      </c>
    </row>
    <row r="100" spans="22:26" ht="14.4">
      <c r="V100" t="s">
        <v>819</v>
      </c>
      <c r="W100" t="s">
        <v>331</v>
      </c>
      <c r="X100" t="s">
        <v>274</v>
      </c>
      <c r="Y100" s="38" t="str">
        <f t="shared" si="7"/>
        <v>42mm Unperforated SlatManual Override MotorisedNone</v>
      </c>
      <c r="Z100" s="38" t="s">
        <v>320</v>
      </c>
    </row>
    <row r="101" spans="22:26" ht="14.4">
      <c r="V101" t="s">
        <v>819</v>
      </c>
      <c r="W101" t="s">
        <v>331</v>
      </c>
      <c r="X101" t="s">
        <v>828</v>
      </c>
      <c r="Y101" s="38" t="str">
        <f t="shared" si="7"/>
        <v>42mm Unperforated SlatManual Override MotorisedMaxim 1 Channel Remote</v>
      </c>
      <c r="Z101" s="38" t="s">
        <v>320</v>
      </c>
    </row>
    <row r="102" spans="22:26" ht="14.4">
      <c r="V102" t="s">
        <v>819</v>
      </c>
      <c r="W102" t="s">
        <v>331</v>
      </c>
      <c r="X102" t="s">
        <v>829</v>
      </c>
      <c r="Y102" s="38" t="str">
        <f t="shared" si="7"/>
        <v>42mm Unperforated SlatManual Override MotorisedMaxim 6 Channel Remote</v>
      </c>
      <c r="Z102" s="38" t="s">
        <v>320</v>
      </c>
    </row>
    <row r="103" spans="22:26" ht="14.4">
      <c r="V103" t="s">
        <v>819</v>
      </c>
      <c r="W103" t="s">
        <v>331</v>
      </c>
      <c r="X103" t="s">
        <v>830</v>
      </c>
      <c r="Y103" s="38" t="str">
        <f t="shared" si="7"/>
        <v>42mm Unperforated SlatManual Override MotorisedMaxim 16 Channel Remote</v>
      </c>
      <c r="Z103" s="38" t="s">
        <v>320</v>
      </c>
    </row>
    <row r="104" spans="22:26" ht="14.4">
      <c r="V104" t="s">
        <v>819</v>
      </c>
      <c r="W104" t="s">
        <v>331</v>
      </c>
      <c r="X104" t="s">
        <v>793</v>
      </c>
      <c r="Y104" s="38" t="str">
        <f t="shared" si="7"/>
        <v>42mm Unperforated SlatManual Override MotorisedToggle Wall Switch</v>
      </c>
      <c r="Z104" s="38" t="s">
        <v>320</v>
      </c>
    </row>
    <row r="105" spans="22:26" ht="14.4">
      <c r="V105" t="s">
        <v>819</v>
      </c>
      <c r="W105" t="s">
        <v>331</v>
      </c>
      <c r="X105" s="38" t="s">
        <v>693</v>
      </c>
      <c r="Y105" s="38" t="str">
        <f t="shared" si="7"/>
        <v>42mm Unperforated SlatManual Override MotorisedKey Switch</v>
      </c>
      <c r="Z105" s="38" t="s">
        <v>320</v>
      </c>
    </row>
    <row r="106" spans="22:26" ht="14.4">
      <c r="V106" t="s">
        <v>819</v>
      </c>
      <c r="W106" t="s">
        <v>331</v>
      </c>
      <c r="X106" s="38" t="s">
        <v>694</v>
      </c>
      <c r="Y106" s="38" t="str">
        <f t="shared" si="7"/>
        <v>42mm Unperforated SlatManual Override MotorisedKey Switch Relay</v>
      </c>
      <c r="Z106" s="38" t="s">
        <v>320</v>
      </c>
    </row>
    <row r="107" spans="22:26" ht="14.4">
      <c r="V107" t="s">
        <v>819</v>
      </c>
      <c r="W107" t="s">
        <v>331</v>
      </c>
      <c r="X107" s="38" t="s">
        <v>699</v>
      </c>
      <c r="Y107" s="38" t="str">
        <f t="shared" si="7"/>
        <v>42mm Unperforated SlatManual Override MotorisedKey Switch &amp; Key Switch Relay</v>
      </c>
      <c r="Z107" s="38" t="s">
        <v>320</v>
      </c>
    </row>
    <row r="108" spans="22:26" ht="14.4">
      <c r="V108" t="s">
        <v>819</v>
      </c>
      <c r="W108" t="s">
        <v>186</v>
      </c>
      <c r="X108" s="38" t="s">
        <v>274</v>
      </c>
      <c r="Y108" s="38" t="str">
        <f t="shared" si="7"/>
        <v>42mm Unperforated SlatMotorisedNone</v>
      </c>
      <c r="Z108" s="38" t="s">
        <v>289</v>
      </c>
    </row>
    <row r="109" spans="22:26" ht="14.4">
      <c r="V109" t="s">
        <v>819</v>
      </c>
      <c r="W109" t="s">
        <v>186</v>
      </c>
      <c r="X109" s="38" t="s">
        <v>828</v>
      </c>
      <c r="Y109" s="38" t="str">
        <f t="shared" si="10" ref="Y109:Y189">CONCATENATE(V109,W109,X109)</f>
        <v>42mm Unperforated SlatMotorisedMaxim 1 Channel Remote</v>
      </c>
      <c r="Z109" s="38" t="s">
        <v>289</v>
      </c>
    </row>
    <row r="110" spans="22:26" ht="14.4">
      <c r="V110" t="s">
        <v>819</v>
      </c>
      <c r="W110" t="s">
        <v>186</v>
      </c>
      <c r="X110" s="38" t="s">
        <v>829</v>
      </c>
      <c r="Y110" s="38" t="str">
        <f t="shared" si="10"/>
        <v>42mm Unperforated SlatMotorisedMaxim 6 Channel Remote</v>
      </c>
      <c r="Z110" s="38" t="s">
        <v>289</v>
      </c>
    </row>
    <row r="111" spans="22:26" ht="14.4">
      <c r="V111" t="s">
        <v>819</v>
      </c>
      <c r="W111" t="s">
        <v>186</v>
      </c>
      <c r="X111" s="38" t="s">
        <v>830</v>
      </c>
      <c r="Y111" s="38" t="str">
        <f t="shared" si="10"/>
        <v>42mm Unperforated SlatMotorisedMaxim 16 Channel Remote</v>
      </c>
      <c r="Z111" s="38" t="s">
        <v>289</v>
      </c>
    </row>
    <row r="112" spans="22:26" ht="14.4">
      <c r="V112" t="s">
        <v>819</v>
      </c>
      <c r="W112" t="s">
        <v>186</v>
      </c>
      <c r="X112" s="38" t="s">
        <v>831</v>
      </c>
      <c r="Y112" s="38" t="str">
        <f t="shared" si="10"/>
        <v>42mm Unperforated SlatMotorisedMaxim 1 Channel Wall Mounted Remote</v>
      </c>
      <c r="Z112" s="38" t="s">
        <v>289</v>
      </c>
    </row>
    <row r="113" spans="22:26" ht="14.4">
      <c r="V113" t="s">
        <v>819</v>
      </c>
      <c r="W113" t="s">
        <v>186</v>
      </c>
      <c r="X113" s="38" t="s">
        <v>368</v>
      </c>
      <c r="Y113" s="38" t="str">
        <f t="shared" si="10"/>
        <v>42mm Unperforated SlatMotorisedCWP 5 Channel Wall Mounted Remote</v>
      </c>
      <c r="Z113" s="38" t="s">
        <v>289</v>
      </c>
    </row>
    <row r="114" spans="22:26" ht="14.4">
      <c r="V114" t="s">
        <v>819</v>
      </c>
      <c r="W114" t="s">
        <v>186</v>
      </c>
      <c r="X114" s="38" t="s">
        <v>369</v>
      </c>
      <c r="Y114" s="38" t="str">
        <f t="shared" si="10"/>
        <v>42mm Unperforated SlatMotorisedCWP 8 Channel Remote with Timer</v>
      </c>
      <c r="Z114" s="38" t="s">
        <v>289</v>
      </c>
    </row>
    <row r="115" spans="22:26" ht="14.4">
      <c r="V115" t="s">
        <v>819</v>
      </c>
      <c r="W115" t="s">
        <v>186</v>
      </c>
      <c r="X115" s="38" t="s">
        <v>370</v>
      </c>
      <c r="Y115" s="38" t="str">
        <f t="shared" si="10"/>
        <v>42mm Unperforated SlatMotorisedCWP Key Ring Remote</v>
      </c>
      <c r="Z115" s="38" t="s">
        <v>289</v>
      </c>
    </row>
    <row r="116" spans="22:26" ht="14.4">
      <c r="V116" t="s">
        <v>819</v>
      </c>
      <c r="W116" t="s">
        <v>186</v>
      </c>
      <c r="X116" s="38" t="s">
        <v>793</v>
      </c>
      <c r="Y116" s="38" t="str">
        <f t="shared" si="10"/>
        <v>42mm Unperforated SlatMotorisedToggle Wall Switch</v>
      </c>
      <c r="Z116" s="38" t="s">
        <v>290</v>
      </c>
    </row>
    <row r="117" spans="22:26" ht="14.4">
      <c r="V117" t="s">
        <v>819</v>
      </c>
      <c r="W117" t="s">
        <v>186</v>
      </c>
      <c r="X117" t="s">
        <v>693</v>
      </c>
      <c r="Y117" s="38" t="str">
        <f t="shared" si="10"/>
        <v>42mm Unperforated SlatMotorisedKey Switch</v>
      </c>
      <c r="Z117" s="38" t="s">
        <v>290</v>
      </c>
    </row>
    <row r="118" spans="22:26" ht="14.4">
      <c r="V118" t="s">
        <v>819</v>
      </c>
      <c r="W118" t="s">
        <v>186</v>
      </c>
      <c r="X118" t="s">
        <v>694</v>
      </c>
      <c r="Y118" s="38" t="str">
        <f t="shared" si="10"/>
        <v>42mm Unperforated SlatMotorisedKey Switch Relay</v>
      </c>
      <c r="Z118" s="38" t="s">
        <v>290</v>
      </c>
    </row>
    <row r="119" spans="22:26" ht="14.4">
      <c r="V119" t="s">
        <v>819</v>
      </c>
      <c r="W119" t="s">
        <v>186</v>
      </c>
      <c r="X119" t="s">
        <v>699</v>
      </c>
      <c r="Y119" s="38" t="str">
        <f t="shared" si="10"/>
        <v>42mm Unperforated SlatMotorisedKey Switch &amp; Key Switch Relay</v>
      </c>
      <c r="Z119" s="38" t="s">
        <v>290</v>
      </c>
    </row>
    <row r="120" spans="22:26" ht="14.4">
      <c r="V120" t="s">
        <v>819</v>
      </c>
      <c r="W120" t="s">
        <v>187</v>
      </c>
      <c r="X120"/>
      <c r="Y120" s="38" t="str">
        <f t="shared" si="10"/>
        <v>42mm Unperforated SlatStrap Winch</v>
      </c>
      <c r="Z120" s="38" t="s">
        <v>187</v>
      </c>
    </row>
    <row r="121" spans="22:26" ht="14.4">
      <c r="V121" t="s">
        <v>311</v>
      </c>
      <c r="W121" t="s">
        <v>187</v>
      </c>
      <c r="X121"/>
      <c r="Y121" s="38" t="str">
        <f t="shared" si="10"/>
        <v>36mm Extruded SlatStrap Winch</v>
      </c>
      <c r="Z121" s="38" t="s">
        <v>187</v>
      </c>
    </row>
    <row r="122" spans="22:26" ht="14.4">
      <c r="V122" t="s">
        <v>312</v>
      </c>
      <c r="W122" t="s">
        <v>187</v>
      </c>
      <c r="X122"/>
      <c r="Y122" s="38" t="str">
        <f t="shared" si="10"/>
        <v>36mm Fire Safe SlatStrap Winch</v>
      </c>
      <c r="Z122" s="38" t="s">
        <v>187</v>
      </c>
    </row>
    <row r="123" spans="22:26" ht="14.4">
      <c r="V123" t="s">
        <v>310</v>
      </c>
      <c r="W123" t="s">
        <v>318</v>
      </c>
      <c r="X123"/>
      <c r="Y123" s="38" t="str">
        <f t="shared" si="11" ref="Y123">CONCATENATE(V123,W123,X123)</f>
        <v>42mm Standard SlatSpring</v>
      </c>
      <c r="Z123" s="38" t="s">
        <v>318</v>
      </c>
    </row>
    <row r="124" spans="22:26" ht="14.4">
      <c r="V124" t="s">
        <v>819</v>
      </c>
      <c r="W124" t="s">
        <v>318</v>
      </c>
      <c r="X124"/>
      <c r="Y124" s="38" t="str">
        <f t="shared" si="10"/>
        <v>42mm Unperforated SlatSpring</v>
      </c>
      <c r="Z124" s="38" t="s">
        <v>318</v>
      </c>
    </row>
    <row r="125" spans="22:26" ht="14.4">
      <c r="V125" t="s">
        <v>311</v>
      </c>
      <c r="W125" t="s">
        <v>318</v>
      </c>
      <c r="X125"/>
      <c r="Y125" s="38" t="str">
        <f t="shared" si="10"/>
        <v>36mm Extruded SlatSpring</v>
      </c>
      <c r="Z125" s="38" t="s">
        <v>318</v>
      </c>
    </row>
    <row r="126" spans="22:26" ht="14.4">
      <c r="V126" t="s">
        <v>312</v>
      </c>
      <c r="W126" t="s">
        <v>318</v>
      </c>
      <c r="X126"/>
      <c r="Y126" s="38" t="str">
        <f t="shared" si="10"/>
        <v>36mm Fire Safe SlatSpring</v>
      </c>
      <c r="Z126" s="38" t="s">
        <v>318</v>
      </c>
    </row>
    <row r="127" spans="22:26" ht="14.4">
      <c r="V127" t="s">
        <v>310</v>
      </c>
      <c r="W127" t="s">
        <v>285</v>
      </c>
      <c r="X127" s="38" t="s">
        <v>379</v>
      </c>
      <c r="Y127" s="38" t="str">
        <f t="shared" si="12" ref="Y127:Y147">CONCATENATE(V127,W127,X127)</f>
        <v>42mm Standard SlatSomfy MotorisedSomfy Single Channel Silver Remote</v>
      </c>
      <c r="Z127" s="38" t="s">
        <v>291</v>
      </c>
    </row>
    <row r="128" spans="22:26" ht="14.4">
      <c r="V128" t="s">
        <v>310</v>
      </c>
      <c r="W128" t="s">
        <v>285</v>
      </c>
      <c r="X128" s="38" t="s">
        <v>380</v>
      </c>
      <c r="Y128" s="38" t="str">
        <f t="shared" si="12"/>
        <v>42mm Standard SlatSomfy MotorisedSomfy Single Channel White Remote</v>
      </c>
      <c r="Z128" s="38" t="s">
        <v>291</v>
      </c>
    </row>
    <row r="129" spans="22:26" ht="14.4">
      <c r="V129" t="s">
        <v>310</v>
      </c>
      <c r="W129" t="s">
        <v>285</v>
      </c>
      <c r="X129" s="38" t="s">
        <v>381</v>
      </c>
      <c r="Y129" s="38" t="str">
        <f t="shared" si="12"/>
        <v>42mm Standard SlatSomfy MotorisedSomfy 2 Channel Silver Remote</v>
      </c>
      <c r="Z129" s="38" t="s">
        <v>291</v>
      </c>
    </row>
    <row r="130" spans="22:26" ht="14.4">
      <c r="V130" t="s">
        <v>310</v>
      </c>
      <c r="W130" t="s">
        <v>285</v>
      </c>
      <c r="X130" s="38" t="s">
        <v>378</v>
      </c>
      <c r="Y130" s="38" t="str">
        <f t="shared" si="12"/>
        <v>42mm Standard SlatSomfy MotorisedSomfy 2 Channel White Remote</v>
      </c>
      <c r="Z130" s="38" t="s">
        <v>291</v>
      </c>
    </row>
    <row r="131" spans="22:26" ht="14.4">
      <c r="V131" t="s">
        <v>310</v>
      </c>
      <c r="W131" t="s">
        <v>285</v>
      </c>
      <c r="X131" s="38" t="s">
        <v>382</v>
      </c>
      <c r="Y131" s="38" t="str">
        <f t="shared" si="12"/>
        <v>42mm Standard SlatSomfy MotorisedSomfy 5 Channel Silver Remote</v>
      </c>
      <c r="Z131" s="38" t="s">
        <v>291</v>
      </c>
    </row>
    <row r="132" spans="22:26" ht="14.4">
      <c r="V132" t="s">
        <v>310</v>
      </c>
      <c r="W132" t="s">
        <v>285</v>
      </c>
      <c r="X132" s="38" t="s">
        <v>383</v>
      </c>
      <c r="Y132" s="38" t="str">
        <f t="shared" si="12"/>
        <v>42mm Standard SlatSomfy MotorisedSomfy 5 Channel White Remote</v>
      </c>
      <c r="Z132" s="38" t="s">
        <v>291</v>
      </c>
    </row>
    <row r="133" spans="22:26" ht="14.4">
      <c r="V133" t="s">
        <v>310</v>
      </c>
      <c r="W133" t="s">
        <v>285</v>
      </c>
      <c r="X133" s="38" t="s">
        <v>384</v>
      </c>
      <c r="Y133" s="38" t="str">
        <f t="shared" si="12"/>
        <v>42mm Standard SlatSomfy MotorisedSomfy 15 Channel Silver Remote</v>
      </c>
      <c r="Z133" s="38" t="s">
        <v>291</v>
      </c>
    </row>
    <row r="134" spans="22:26" ht="14.4">
      <c r="V134" t="s">
        <v>310</v>
      </c>
      <c r="W134" t="s">
        <v>285</v>
      </c>
      <c r="X134" s="38" t="s">
        <v>385</v>
      </c>
      <c r="Y134" s="38" t="str">
        <f t="shared" si="12"/>
        <v>42mm Standard SlatSomfy MotorisedSomfy 15 Channel White Remote</v>
      </c>
      <c r="Z134" s="38" t="s">
        <v>291</v>
      </c>
    </row>
    <row r="135" spans="22:26" ht="14.4">
      <c r="V135" t="s">
        <v>310</v>
      </c>
      <c r="W135" t="s">
        <v>285</v>
      </c>
      <c r="X135" s="38" t="s">
        <v>386</v>
      </c>
      <c r="Y135" s="38" t="str">
        <f t="shared" si="12"/>
        <v>42mm Standard SlatSomfy MotorisedSomfy Single Channel Wall Mounted Smoove Remote White with Black Cover Plate</v>
      </c>
      <c r="Z135" s="38" t="s">
        <v>291</v>
      </c>
    </row>
    <row r="136" spans="22:26" ht="14.4">
      <c r="V136" t="s">
        <v>310</v>
      </c>
      <c r="W136" t="s">
        <v>285</v>
      </c>
      <c r="X136" s="38" t="s">
        <v>387</v>
      </c>
      <c r="Y136" s="38" t="str">
        <f t="shared" si="12"/>
        <v>42mm Standard SlatSomfy MotorisedSomfy Single Channel Wall Mounted Smoove Remote White with Silver Cover Plate</v>
      </c>
      <c r="Z136" s="38" t="s">
        <v>291</v>
      </c>
    </row>
    <row r="137" spans="22:26" ht="14.4">
      <c r="V137" t="s">
        <v>310</v>
      </c>
      <c r="W137" t="s">
        <v>285</v>
      </c>
      <c r="X137" s="38" t="s">
        <v>388</v>
      </c>
      <c r="Y137" s="38" t="str">
        <f t="shared" si="12"/>
        <v>42mm Standard SlatSomfy MotorisedSomfy Single Channel Wall Mounted Smoove Remote White</v>
      </c>
      <c r="Z137" s="38" t="s">
        <v>291</v>
      </c>
    </row>
    <row r="138" spans="22:26" ht="14.4">
      <c r="V138" t="s">
        <v>310</v>
      </c>
      <c r="W138" t="s">
        <v>285</v>
      </c>
      <c r="X138" s="38" t="s">
        <v>389</v>
      </c>
      <c r="Y138" s="38" t="str">
        <f t="shared" si="12"/>
        <v>42mm Standard SlatSomfy MotorisedSomfy 2 Channel Wall Mounted Smoove Remote White with Black Cover Plate</v>
      </c>
      <c r="Z138" s="38" t="s">
        <v>291</v>
      </c>
    </row>
    <row r="139" spans="22:26" ht="14.4">
      <c r="V139" t="s">
        <v>310</v>
      </c>
      <c r="W139" t="s">
        <v>285</v>
      </c>
      <c r="X139" s="38" t="s">
        <v>390</v>
      </c>
      <c r="Y139" s="38" t="str">
        <f t="shared" si="12"/>
        <v>42mm Standard SlatSomfy MotorisedSomfy 2 Channel Wall Mounted Smoove Remote White with Silver Cover Plate</v>
      </c>
      <c r="Z139" s="38" t="s">
        <v>291</v>
      </c>
    </row>
    <row r="140" spans="22:26" ht="14.4">
      <c r="V140" t="s">
        <v>310</v>
      </c>
      <c r="W140" t="s">
        <v>285</v>
      </c>
      <c r="X140" s="38" t="s">
        <v>391</v>
      </c>
      <c r="Y140" s="38" t="str">
        <f t="shared" si="12"/>
        <v>42mm Standard SlatSomfy MotorisedSomfy 2 Channel Wall Mounted Smoove Remote White</v>
      </c>
      <c r="Z140" s="38" t="s">
        <v>291</v>
      </c>
    </row>
    <row r="141" spans="22:26" ht="14.4">
      <c r="V141" t="s">
        <v>310</v>
      </c>
      <c r="W141" t="s">
        <v>285</v>
      </c>
      <c r="X141" s="38" t="s">
        <v>392</v>
      </c>
      <c r="Y141" s="38" t="str">
        <f t="shared" si="12"/>
        <v>42mm Standard SlatSomfy MotorisedSomfy 5 Channel Wall Mounted Smoove Remote White with Black Cover Plate</v>
      </c>
      <c r="Z141" s="38" t="s">
        <v>291</v>
      </c>
    </row>
    <row r="142" spans="22:26" ht="14.4">
      <c r="V142" t="s">
        <v>310</v>
      </c>
      <c r="W142" t="s">
        <v>285</v>
      </c>
      <c r="X142" s="38" t="s">
        <v>394</v>
      </c>
      <c r="Y142" s="38" t="str">
        <f t="shared" si="12"/>
        <v>42mm Standard SlatSomfy MotorisedSomfy 5 Channel Wall Mounted Smoove Remote White with Silver Cover Plate</v>
      </c>
      <c r="Z142" s="38" t="s">
        <v>291</v>
      </c>
    </row>
    <row r="143" spans="22:26" ht="14.4">
      <c r="V143" t="s">
        <v>310</v>
      </c>
      <c r="W143" t="s">
        <v>285</v>
      </c>
      <c r="X143" s="38" t="s">
        <v>393</v>
      </c>
      <c r="Y143" s="38" t="str">
        <f t="shared" si="12"/>
        <v>42mm Standard SlatSomfy MotorisedSomfy 5 Channel Wall Mounted Smoove Remote White</v>
      </c>
      <c r="Z143" s="38" t="s">
        <v>291</v>
      </c>
    </row>
    <row r="144" spans="22:26" ht="14.4">
      <c r="V144" t="s">
        <v>310</v>
      </c>
      <c r="W144" t="s">
        <v>285</v>
      </c>
      <c r="X144" s="38" t="s">
        <v>377</v>
      </c>
      <c r="Y144" s="38" t="str">
        <f t="shared" si="12"/>
        <v>42mm Standard SlatSomfy MotorisedNot Required</v>
      </c>
      <c r="Z144" s="38" t="s">
        <v>291</v>
      </c>
    </row>
    <row r="145" spans="22:26" ht="14.4">
      <c r="V145" t="s">
        <v>310</v>
      </c>
      <c r="W145" t="s">
        <v>285</v>
      </c>
      <c r="X145" s="38" t="s">
        <v>693</v>
      </c>
      <c r="Y145" s="38" t="str">
        <f t="shared" si="12"/>
        <v>42mm Standard SlatSomfy MotorisedKey Switch</v>
      </c>
      <c r="Z145" s="38" t="s">
        <v>291</v>
      </c>
    </row>
    <row r="146" spans="22:26" ht="14.4">
      <c r="V146" t="s">
        <v>310</v>
      </c>
      <c r="W146" t="s">
        <v>285</v>
      </c>
      <c r="X146" s="38" t="s">
        <v>694</v>
      </c>
      <c r="Y146" s="38" t="str">
        <f t="shared" si="12"/>
        <v>42mm Standard SlatSomfy MotorisedKey Switch Relay</v>
      </c>
      <c r="Z146" s="38" t="s">
        <v>291</v>
      </c>
    </row>
    <row r="147" spans="22:26" ht="14.4">
      <c r="V147" t="s">
        <v>310</v>
      </c>
      <c r="W147" t="s">
        <v>285</v>
      </c>
      <c r="X147" s="38" t="s">
        <v>699</v>
      </c>
      <c r="Y147" s="38" t="str">
        <f t="shared" si="12"/>
        <v>42mm Standard SlatSomfy MotorisedKey Switch &amp; Key Switch Relay</v>
      </c>
      <c r="Z147" s="38" t="s">
        <v>291</v>
      </c>
    </row>
    <row r="148" spans="22:26" ht="14.4">
      <c r="V148" t="s">
        <v>819</v>
      </c>
      <c r="W148" t="s">
        <v>285</v>
      </c>
      <c r="X148" s="38" t="s">
        <v>379</v>
      </c>
      <c r="Y148" s="38" t="str">
        <f t="shared" si="10"/>
        <v>42mm Unperforated SlatSomfy MotorisedSomfy Single Channel Silver Remote</v>
      </c>
      <c r="Z148" s="38" t="s">
        <v>291</v>
      </c>
    </row>
    <row r="149" spans="22:26" ht="14.4">
      <c r="V149" t="s">
        <v>819</v>
      </c>
      <c r="W149" t="s">
        <v>285</v>
      </c>
      <c r="X149" s="38" t="s">
        <v>380</v>
      </c>
      <c r="Y149" s="38" t="str">
        <f t="shared" si="10"/>
        <v>42mm Unperforated SlatSomfy MotorisedSomfy Single Channel White Remote</v>
      </c>
      <c r="Z149" s="38" t="s">
        <v>291</v>
      </c>
    </row>
    <row r="150" spans="22:26" ht="14.4">
      <c r="V150" t="s">
        <v>819</v>
      </c>
      <c r="W150" t="s">
        <v>285</v>
      </c>
      <c r="X150" s="38" t="s">
        <v>381</v>
      </c>
      <c r="Y150" s="38" t="str">
        <f t="shared" si="10"/>
        <v>42mm Unperforated SlatSomfy MotorisedSomfy 2 Channel Silver Remote</v>
      </c>
      <c r="Z150" s="38" t="s">
        <v>291</v>
      </c>
    </row>
    <row r="151" spans="22:26" ht="14.4">
      <c r="V151" t="s">
        <v>819</v>
      </c>
      <c r="W151" t="s">
        <v>285</v>
      </c>
      <c r="X151" s="38" t="s">
        <v>378</v>
      </c>
      <c r="Y151" s="38" t="str">
        <f t="shared" si="10"/>
        <v>42mm Unperforated SlatSomfy MotorisedSomfy 2 Channel White Remote</v>
      </c>
      <c r="Z151" s="38" t="s">
        <v>291</v>
      </c>
    </row>
    <row r="152" spans="22:26" ht="14.4">
      <c r="V152" t="s">
        <v>819</v>
      </c>
      <c r="W152" t="s">
        <v>285</v>
      </c>
      <c r="X152" s="38" t="s">
        <v>382</v>
      </c>
      <c r="Y152" s="38" t="str">
        <f t="shared" si="10"/>
        <v>42mm Unperforated SlatSomfy MotorisedSomfy 5 Channel Silver Remote</v>
      </c>
      <c r="Z152" s="38" t="s">
        <v>291</v>
      </c>
    </row>
    <row r="153" spans="22:26" ht="14.4">
      <c r="V153" t="s">
        <v>819</v>
      </c>
      <c r="W153" t="s">
        <v>285</v>
      </c>
      <c r="X153" s="38" t="s">
        <v>383</v>
      </c>
      <c r="Y153" s="38" t="str">
        <f t="shared" si="10"/>
        <v>42mm Unperforated SlatSomfy MotorisedSomfy 5 Channel White Remote</v>
      </c>
      <c r="Z153" s="38" t="s">
        <v>291</v>
      </c>
    </row>
    <row r="154" spans="22:26" ht="14.4">
      <c r="V154" t="s">
        <v>819</v>
      </c>
      <c r="W154" t="s">
        <v>285</v>
      </c>
      <c r="X154" s="38" t="s">
        <v>384</v>
      </c>
      <c r="Y154" s="38" t="str">
        <f t="shared" si="10"/>
        <v>42mm Unperforated SlatSomfy MotorisedSomfy 15 Channel Silver Remote</v>
      </c>
      <c r="Z154" s="38" t="s">
        <v>291</v>
      </c>
    </row>
    <row r="155" spans="22:26" ht="14.4">
      <c r="V155" t="s">
        <v>819</v>
      </c>
      <c r="W155" t="s">
        <v>285</v>
      </c>
      <c r="X155" s="38" t="s">
        <v>385</v>
      </c>
      <c r="Y155" s="38" t="str">
        <f t="shared" si="10"/>
        <v>42mm Unperforated SlatSomfy MotorisedSomfy 15 Channel White Remote</v>
      </c>
      <c r="Z155" s="38" t="s">
        <v>291</v>
      </c>
    </row>
    <row r="156" spans="22:26" ht="14.4">
      <c r="V156" t="s">
        <v>819</v>
      </c>
      <c r="W156" t="s">
        <v>285</v>
      </c>
      <c r="X156" s="38" t="s">
        <v>386</v>
      </c>
      <c r="Y156" s="38" t="str">
        <f t="shared" si="10"/>
        <v>42mm Unperforated SlatSomfy MotorisedSomfy Single Channel Wall Mounted Smoove Remote White with Black Cover Plate</v>
      </c>
      <c r="Z156" s="38" t="s">
        <v>291</v>
      </c>
    </row>
    <row r="157" spans="22:26" ht="14.4">
      <c r="V157" t="s">
        <v>819</v>
      </c>
      <c r="W157" t="s">
        <v>285</v>
      </c>
      <c r="X157" s="38" t="s">
        <v>387</v>
      </c>
      <c r="Y157" s="38" t="str">
        <f t="shared" si="10"/>
        <v>42mm Unperforated SlatSomfy MotorisedSomfy Single Channel Wall Mounted Smoove Remote White with Silver Cover Plate</v>
      </c>
      <c r="Z157" s="38" t="s">
        <v>291</v>
      </c>
    </row>
    <row r="158" spans="22:26" ht="14.4">
      <c r="V158" t="s">
        <v>819</v>
      </c>
      <c r="W158" t="s">
        <v>285</v>
      </c>
      <c r="X158" s="38" t="s">
        <v>388</v>
      </c>
      <c r="Y158" s="38" t="str">
        <f t="shared" si="10"/>
        <v>42mm Unperforated SlatSomfy MotorisedSomfy Single Channel Wall Mounted Smoove Remote White</v>
      </c>
      <c r="Z158" s="38" t="s">
        <v>291</v>
      </c>
    </row>
    <row r="159" spans="22:26" ht="14.4">
      <c r="V159" t="s">
        <v>819</v>
      </c>
      <c r="W159" t="s">
        <v>285</v>
      </c>
      <c r="X159" s="38" t="s">
        <v>389</v>
      </c>
      <c r="Y159" s="38" t="str">
        <f t="shared" si="10"/>
        <v>42mm Unperforated SlatSomfy MotorisedSomfy 2 Channel Wall Mounted Smoove Remote White with Black Cover Plate</v>
      </c>
      <c r="Z159" s="38" t="s">
        <v>291</v>
      </c>
    </row>
    <row r="160" spans="22:26" ht="14.4">
      <c r="V160" t="s">
        <v>819</v>
      </c>
      <c r="W160" t="s">
        <v>285</v>
      </c>
      <c r="X160" s="38" t="s">
        <v>390</v>
      </c>
      <c r="Y160" s="38" t="str">
        <f t="shared" si="10"/>
        <v>42mm Unperforated SlatSomfy MotorisedSomfy 2 Channel Wall Mounted Smoove Remote White with Silver Cover Plate</v>
      </c>
      <c r="Z160" s="38" t="s">
        <v>291</v>
      </c>
    </row>
    <row r="161" spans="22:26" ht="14.4">
      <c r="V161" t="s">
        <v>819</v>
      </c>
      <c r="W161" t="s">
        <v>285</v>
      </c>
      <c r="X161" s="38" t="s">
        <v>391</v>
      </c>
      <c r="Y161" s="38" t="str">
        <f t="shared" si="10"/>
        <v>42mm Unperforated SlatSomfy MotorisedSomfy 2 Channel Wall Mounted Smoove Remote White</v>
      </c>
      <c r="Z161" s="38" t="s">
        <v>291</v>
      </c>
    </row>
    <row r="162" spans="22:26" ht="14.4">
      <c r="V162" t="s">
        <v>819</v>
      </c>
      <c r="W162" t="s">
        <v>285</v>
      </c>
      <c r="X162" s="38" t="s">
        <v>392</v>
      </c>
      <c r="Y162" s="38" t="str">
        <f t="shared" si="10"/>
        <v>42mm Unperforated SlatSomfy MotorisedSomfy 5 Channel Wall Mounted Smoove Remote White with Black Cover Plate</v>
      </c>
      <c r="Z162" s="38" t="s">
        <v>291</v>
      </c>
    </row>
    <row r="163" spans="22:26" ht="14.4">
      <c r="V163" t="s">
        <v>819</v>
      </c>
      <c r="W163" t="s">
        <v>285</v>
      </c>
      <c r="X163" s="38" t="s">
        <v>394</v>
      </c>
      <c r="Y163" s="38" t="str">
        <f t="shared" si="10"/>
        <v>42mm Unperforated SlatSomfy MotorisedSomfy 5 Channel Wall Mounted Smoove Remote White with Silver Cover Plate</v>
      </c>
      <c r="Z163" s="38" t="s">
        <v>291</v>
      </c>
    </row>
    <row r="164" spans="22:26" ht="14.4">
      <c r="V164" t="s">
        <v>819</v>
      </c>
      <c r="W164" t="s">
        <v>285</v>
      </c>
      <c r="X164" s="38" t="s">
        <v>393</v>
      </c>
      <c r="Y164" s="38" t="str">
        <f t="shared" si="10"/>
        <v>42mm Unperforated SlatSomfy MotorisedSomfy 5 Channel Wall Mounted Smoove Remote White</v>
      </c>
      <c r="Z164" s="38" t="s">
        <v>291</v>
      </c>
    </row>
    <row r="165" spans="22:26" ht="14.4">
      <c r="V165" t="s">
        <v>819</v>
      </c>
      <c r="W165" t="s">
        <v>285</v>
      </c>
      <c r="X165" s="38" t="s">
        <v>377</v>
      </c>
      <c r="Y165" s="38" t="str">
        <f t="shared" si="10"/>
        <v>42mm Unperforated SlatSomfy MotorisedNot Required</v>
      </c>
      <c r="Z165" s="38" t="s">
        <v>291</v>
      </c>
    </row>
    <row r="166" spans="22:26" ht="14.4">
      <c r="V166" t="s">
        <v>819</v>
      </c>
      <c r="W166" t="s">
        <v>285</v>
      </c>
      <c r="X166" s="38" t="s">
        <v>693</v>
      </c>
      <c r="Y166" s="38" t="str">
        <f t="shared" si="10"/>
        <v>42mm Unperforated SlatSomfy MotorisedKey Switch</v>
      </c>
      <c r="Z166" s="38" t="s">
        <v>291</v>
      </c>
    </row>
    <row r="167" spans="22:26" ht="14.4">
      <c r="V167" t="s">
        <v>819</v>
      </c>
      <c r="W167" t="s">
        <v>285</v>
      </c>
      <c r="X167" s="38" t="s">
        <v>694</v>
      </c>
      <c r="Y167" s="38" t="str">
        <f t="shared" si="10"/>
        <v>42mm Unperforated SlatSomfy MotorisedKey Switch Relay</v>
      </c>
      <c r="Z167" s="38" t="s">
        <v>291</v>
      </c>
    </row>
    <row r="168" spans="22:26" ht="14.4">
      <c r="V168" t="s">
        <v>819</v>
      </c>
      <c r="W168" t="s">
        <v>285</v>
      </c>
      <c r="X168" s="38" t="s">
        <v>699</v>
      </c>
      <c r="Y168" s="38" t="str">
        <f t="shared" si="10"/>
        <v>42mm Unperforated SlatSomfy MotorisedKey Switch &amp; Key Switch Relay</v>
      </c>
      <c r="Z168" s="38" t="s">
        <v>291</v>
      </c>
    </row>
    <row r="169" spans="22:26" ht="14.4">
      <c r="V169" t="s">
        <v>311</v>
      </c>
      <c r="W169" s="38" t="s">
        <v>288</v>
      </c>
      <c r="X169" s="38" t="s">
        <v>379</v>
      </c>
      <c r="Y169" s="38" t="str">
        <f t="shared" si="10"/>
        <v>36mm Extruded SlatFiresafe Somfy MotorisedSomfy Single Channel Silver Remote</v>
      </c>
      <c r="Z169" s="38" t="s">
        <v>295</v>
      </c>
    </row>
    <row r="170" spans="22:26" ht="14.4">
      <c r="V170" t="s">
        <v>311</v>
      </c>
      <c r="W170" s="38" t="s">
        <v>288</v>
      </c>
      <c r="X170" s="38" t="s">
        <v>380</v>
      </c>
      <c r="Y170" s="38" t="str">
        <f t="shared" si="10"/>
        <v>36mm Extruded SlatFiresafe Somfy MotorisedSomfy Single Channel White Remote</v>
      </c>
      <c r="Z170" s="38" t="s">
        <v>295</v>
      </c>
    </row>
    <row r="171" spans="22:26" ht="14.4">
      <c r="V171" t="s">
        <v>311</v>
      </c>
      <c r="W171" s="38" t="s">
        <v>288</v>
      </c>
      <c r="X171" s="38" t="s">
        <v>381</v>
      </c>
      <c r="Y171" s="38" t="str">
        <f t="shared" si="10"/>
        <v>36mm Extruded SlatFiresafe Somfy MotorisedSomfy 2 Channel Silver Remote</v>
      </c>
      <c r="Z171" s="38" t="s">
        <v>295</v>
      </c>
    </row>
    <row r="172" spans="22:26" ht="14.4">
      <c r="V172" t="s">
        <v>311</v>
      </c>
      <c r="W172" s="38" t="s">
        <v>288</v>
      </c>
      <c r="X172" s="38" t="s">
        <v>378</v>
      </c>
      <c r="Y172" s="38" t="str">
        <f t="shared" si="10"/>
        <v>36mm Extruded SlatFiresafe Somfy MotorisedSomfy 2 Channel White Remote</v>
      </c>
      <c r="Z172" s="38" t="s">
        <v>295</v>
      </c>
    </row>
    <row r="173" spans="22:26" ht="14.4">
      <c r="V173" t="s">
        <v>311</v>
      </c>
      <c r="W173" s="38" t="s">
        <v>288</v>
      </c>
      <c r="X173" s="38" t="s">
        <v>382</v>
      </c>
      <c r="Y173" s="38" t="str">
        <f t="shared" si="10"/>
        <v>36mm Extruded SlatFiresafe Somfy MotorisedSomfy 5 Channel Silver Remote</v>
      </c>
      <c r="Z173" s="38" t="s">
        <v>295</v>
      </c>
    </row>
    <row r="174" spans="22:26" ht="14.4">
      <c r="V174" t="s">
        <v>311</v>
      </c>
      <c r="W174" s="38" t="s">
        <v>288</v>
      </c>
      <c r="X174" s="38" t="s">
        <v>383</v>
      </c>
      <c r="Y174" s="38" t="str">
        <f t="shared" si="10"/>
        <v>36mm Extruded SlatFiresafe Somfy MotorisedSomfy 5 Channel White Remote</v>
      </c>
      <c r="Z174" s="38" t="s">
        <v>295</v>
      </c>
    </row>
    <row r="175" spans="22:26" ht="14.4">
      <c r="V175" t="s">
        <v>311</v>
      </c>
      <c r="W175" s="38" t="s">
        <v>288</v>
      </c>
      <c r="X175" s="38" t="s">
        <v>384</v>
      </c>
      <c r="Y175" s="38" t="str">
        <f t="shared" si="10"/>
        <v>36mm Extruded SlatFiresafe Somfy MotorisedSomfy 15 Channel Silver Remote</v>
      </c>
      <c r="Z175" s="38" t="s">
        <v>295</v>
      </c>
    </row>
    <row r="176" spans="22:26" ht="14.4">
      <c r="V176" t="s">
        <v>311</v>
      </c>
      <c r="W176" s="38" t="s">
        <v>288</v>
      </c>
      <c r="X176" s="38" t="s">
        <v>385</v>
      </c>
      <c r="Y176" s="38" t="str">
        <f t="shared" si="10"/>
        <v>36mm Extruded SlatFiresafe Somfy MotorisedSomfy 15 Channel White Remote</v>
      </c>
      <c r="Z176" s="38" t="s">
        <v>295</v>
      </c>
    </row>
    <row r="177" spans="22:26" ht="14.4">
      <c r="V177" t="s">
        <v>311</v>
      </c>
      <c r="W177" s="38" t="s">
        <v>288</v>
      </c>
      <c r="X177" s="38" t="s">
        <v>386</v>
      </c>
      <c r="Y177" s="38" t="str">
        <f t="shared" si="10"/>
        <v>36mm Extruded SlatFiresafe Somfy MotorisedSomfy Single Channel Wall Mounted Smoove Remote White with Black Cover Plate</v>
      </c>
      <c r="Z177" s="38" t="s">
        <v>295</v>
      </c>
    </row>
    <row r="178" spans="22:26" ht="14.4">
      <c r="V178" t="s">
        <v>311</v>
      </c>
      <c r="W178" s="38" t="s">
        <v>288</v>
      </c>
      <c r="X178" s="38" t="s">
        <v>387</v>
      </c>
      <c r="Y178" s="38" t="str">
        <f t="shared" si="10"/>
        <v>36mm Extruded SlatFiresafe Somfy MotorisedSomfy Single Channel Wall Mounted Smoove Remote White with Silver Cover Plate</v>
      </c>
      <c r="Z178" s="38" t="s">
        <v>295</v>
      </c>
    </row>
    <row r="179" spans="22:26" ht="14.4">
      <c r="V179" t="s">
        <v>311</v>
      </c>
      <c r="W179" s="38" t="s">
        <v>288</v>
      </c>
      <c r="X179" s="38" t="s">
        <v>388</v>
      </c>
      <c r="Y179" s="38" t="str">
        <f t="shared" si="10"/>
        <v>36mm Extruded SlatFiresafe Somfy MotorisedSomfy Single Channel Wall Mounted Smoove Remote White</v>
      </c>
      <c r="Z179" s="38" t="s">
        <v>295</v>
      </c>
    </row>
    <row r="180" spans="22:26" ht="14.4">
      <c r="V180" t="s">
        <v>311</v>
      </c>
      <c r="W180" s="38" t="s">
        <v>288</v>
      </c>
      <c r="X180" s="38" t="s">
        <v>389</v>
      </c>
      <c r="Y180" s="38" t="str">
        <f t="shared" si="10"/>
        <v>36mm Extruded SlatFiresafe Somfy MotorisedSomfy 2 Channel Wall Mounted Smoove Remote White with Black Cover Plate</v>
      </c>
      <c r="Z180" s="38" t="s">
        <v>295</v>
      </c>
    </row>
    <row r="181" spans="22:26" ht="14.4">
      <c r="V181" t="s">
        <v>311</v>
      </c>
      <c r="W181" s="38" t="s">
        <v>288</v>
      </c>
      <c r="X181" s="38" t="s">
        <v>390</v>
      </c>
      <c r="Y181" s="38" t="str">
        <f t="shared" si="10"/>
        <v>36mm Extruded SlatFiresafe Somfy MotorisedSomfy 2 Channel Wall Mounted Smoove Remote White with Silver Cover Plate</v>
      </c>
      <c r="Z181" s="38" t="s">
        <v>295</v>
      </c>
    </row>
    <row r="182" spans="22:26" ht="14.4">
      <c r="V182" t="s">
        <v>311</v>
      </c>
      <c r="W182" s="38" t="s">
        <v>288</v>
      </c>
      <c r="X182" s="38" t="s">
        <v>391</v>
      </c>
      <c r="Y182" s="38" t="str">
        <f t="shared" si="10"/>
        <v>36mm Extruded SlatFiresafe Somfy MotorisedSomfy 2 Channel Wall Mounted Smoove Remote White</v>
      </c>
      <c r="Z182" s="38" t="s">
        <v>295</v>
      </c>
    </row>
    <row r="183" spans="22:26" ht="14.4">
      <c r="V183" t="s">
        <v>311</v>
      </c>
      <c r="W183" s="38" t="s">
        <v>288</v>
      </c>
      <c r="X183" s="38" t="s">
        <v>392</v>
      </c>
      <c r="Y183" s="38" t="str">
        <f t="shared" si="10"/>
        <v>36mm Extruded SlatFiresafe Somfy MotorisedSomfy 5 Channel Wall Mounted Smoove Remote White with Black Cover Plate</v>
      </c>
      <c r="Z183" s="38" t="s">
        <v>295</v>
      </c>
    </row>
    <row r="184" spans="22:26" ht="14.4">
      <c r="V184" t="s">
        <v>311</v>
      </c>
      <c r="W184" s="38" t="s">
        <v>288</v>
      </c>
      <c r="X184" s="38" t="s">
        <v>394</v>
      </c>
      <c r="Y184" s="38" t="str">
        <f t="shared" si="10"/>
        <v>36mm Extruded SlatFiresafe Somfy MotorisedSomfy 5 Channel Wall Mounted Smoove Remote White with Silver Cover Plate</v>
      </c>
      <c r="Z184" s="38" t="s">
        <v>295</v>
      </c>
    </row>
    <row r="185" spans="22:26" ht="14.4">
      <c r="V185" t="s">
        <v>311</v>
      </c>
      <c r="W185" s="38" t="s">
        <v>288</v>
      </c>
      <c r="X185" s="38" t="s">
        <v>393</v>
      </c>
      <c r="Y185" s="38" t="str">
        <f t="shared" si="10"/>
        <v>36mm Extruded SlatFiresafe Somfy MotorisedSomfy 5 Channel Wall Mounted Smoove Remote White</v>
      </c>
      <c r="Z185" s="38" t="s">
        <v>295</v>
      </c>
    </row>
    <row r="186" spans="22:26" ht="14.4">
      <c r="V186" t="s">
        <v>311</v>
      </c>
      <c r="W186" s="38" t="s">
        <v>288</v>
      </c>
      <c r="X186" s="38" t="s">
        <v>377</v>
      </c>
      <c r="Y186" s="38" t="str">
        <f t="shared" si="10"/>
        <v>36mm Extruded SlatFiresafe Somfy MotorisedNot Required</v>
      </c>
      <c r="Z186" s="38" t="s">
        <v>295</v>
      </c>
    </row>
    <row r="187" spans="22:26" ht="14.4">
      <c r="V187" t="s">
        <v>311</v>
      </c>
      <c r="W187" s="38" t="s">
        <v>288</v>
      </c>
      <c r="X187" s="38" t="s">
        <v>693</v>
      </c>
      <c r="Y187" s="38" t="str">
        <f t="shared" si="10"/>
        <v>36mm Extruded SlatFiresafe Somfy MotorisedKey Switch</v>
      </c>
      <c r="Z187" s="38" t="s">
        <v>295</v>
      </c>
    </row>
    <row r="188" spans="22:26" ht="14.4">
      <c r="V188" t="s">
        <v>311</v>
      </c>
      <c r="W188" s="38" t="s">
        <v>288</v>
      </c>
      <c r="X188" s="38" t="s">
        <v>694</v>
      </c>
      <c r="Y188" s="38" t="str">
        <f t="shared" si="10"/>
        <v>36mm Extruded SlatFiresafe Somfy MotorisedKey Switch Relay</v>
      </c>
      <c r="Z188" s="38" t="s">
        <v>295</v>
      </c>
    </row>
    <row r="189" spans="22:26" ht="14.4">
      <c r="V189" t="s">
        <v>311</v>
      </c>
      <c r="W189" s="38" t="s">
        <v>288</v>
      </c>
      <c r="X189" s="38" t="s">
        <v>699</v>
      </c>
      <c r="Y189" s="38" t="str">
        <f t="shared" si="10"/>
        <v>36mm Extruded SlatFiresafe Somfy MotorisedKey Switch &amp; Key Switch Relay</v>
      </c>
      <c r="Z189" s="38" t="s">
        <v>295</v>
      </c>
    </row>
  </sheetData>
  <mergeCells count="3">
    <mergeCell ref="AB1:AC1"/>
    <mergeCell ref="AE1:AF1"/>
    <mergeCell ref="AM1:BN1"/>
  </mergeCells>
  <pageMargins left="1.55039370078801" right="1.55039370078801" top="0.75" bottom="0.75" header="0.3" footer="0.3"/>
  <pageSetup horizontalDpi="300" verticalDpi="30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ubeSize"/>
  <dimension ref="A1:AJ427"/>
  <sheetViews>
    <sheetView zoomScale="70" zoomScaleNormal="70" workbookViewId="0" topLeftCell="A58">
      <selection pane="topLeft" activeCell="AA11" sqref="AA11"/>
    </sheetView>
  </sheetViews>
  <sheetFormatPr defaultColWidth="9.33203125" defaultRowHeight="13.5"/>
  <cols>
    <col min="1" max="1" width="6.14285714285714" bestFit="1" customWidth="1"/>
    <col min="2" max="2" width="23.7142857142857" bestFit="1" customWidth="1"/>
    <col min="3" max="3" width="45.7142857142857" bestFit="1" customWidth="1"/>
    <col min="4" max="22" width="49.7142857142857" bestFit="1" customWidth="1"/>
    <col min="23" max="23" width="49.7142857142857" customWidth="1"/>
    <col min="24" max="36" width="49.7142857142857" bestFit="1" customWidth="1"/>
    <col min="37" max="41" width="23.4285714285714" bestFit="1" customWidth="1"/>
  </cols>
  <sheetData>
    <row r="1" spans="1:25" ht="13.2">
      <c r="A1" s="313" t="s">
        <v>266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5"/>
    </row>
    <row r="2" spans="1:26" ht="14.4">
      <c r="A2" s="98" t="s">
        <v>262</v>
      </c>
      <c r="B2" s="98">
        <v>0</v>
      </c>
      <c r="C2" s="98">
        <v>690</v>
      </c>
      <c r="D2" s="98">
        <v>1500</v>
      </c>
      <c r="E2" s="98">
        <v>1600</v>
      </c>
      <c r="F2" s="98">
        <v>1700</v>
      </c>
      <c r="G2" s="98">
        <v>1800</v>
      </c>
      <c r="H2" s="98">
        <v>1900</v>
      </c>
      <c r="I2" s="98">
        <v>2000</v>
      </c>
      <c r="J2" s="98">
        <v>2100</v>
      </c>
      <c r="K2" s="98">
        <v>2200</v>
      </c>
      <c r="L2" s="98">
        <v>2300</v>
      </c>
      <c r="M2" s="98">
        <v>2400</v>
      </c>
      <c r="N2" s="98">
        <v>2500</v>
      </c>
      <c r="O2" s="98">
        <v>2600</v>
      </c>
      <c r="P2" s="98">
        <v>2700</v>
      </c>
      <c r="Q2" s="98">
        <v>2800</v>
      </c>
      <c r="R2" s="98">
        <v>2900</v>
      </c>
      <c r="S2" s="98">
        <v>3000</v>
      </c>
      <c r="T2" s="98">
        <v>3100</v>
      </c>
      <c r="U2" s="98">
        <v>3200</v>
      </c>
      <c r="V2" s="98">
        <v>3300</v>
      </c>
      <c r="W2" s="98">
        <v>3400</v>
      </c>
      <c r="X2" s="98">
        <v>3500</v>
      </c>
      <c r="Y2" s="98">
        <v>3600</v>
      </c>
      <c r="Z2" t="str">
        <f>IFERROR(TRIM(INDEX(MS12vG,MATCH('Job Sheet'!$J$11,MS12vD,1),MATCH('Job Sheet'!$I$11,MS12vW,1))),"")</f>
        <v>T20 ODS Motor</v>
      </c>
    </row>
    <row r="3" spans="1:26" ht="14.4">
      <c r="A3" s="98">
        <v>0</v>
      </c>
      <c r="B3" s="39" t="s">
        <v>263</v>
      </c>
      <c r="C3" s="39" t="str">
        <f t="shared" si="0" ref="C3:C26">IF(((($C$2)*(A3))/1000000*3.5)&lt;16,"L10 ODS Motor",IF(((($C$2)*(A3))/1000000*3.5)&lt;=32,"T20 ODS Motor","T35 ODS Motor"))</f>
        <v>L10 ODS Motor</v>
      </c>
      <c r="D3" s="39" t="str">
        <f t="shared" si="1" ref="D3:D26">IF(((($D$2)*(A3))/1000000*3.5)&lt;16,"L10 ODS Motor",IF(((($D$2)*(A3))/1000000*3.5)&lt;=32,"T20 ODS Motor","T35 ODS Motor"))</f>
        <v>L10 ODS Motor</v>
      </c>
      <c r="E3" s="39" t="str">
        <f t="shared" si="2" ref="E3:E26">IF(((($E$2)*(A3))/1000000*3.5)&lt;16,"L10 ODS Motor",IF(((($E$2)*(A3))/1000000*3.5)&lt;=32,"T20 ODS Motor","T35 ODS Motor"))</f>
        <v>L10 ODS Motor</v>
      </c>
      <c r="F3" s="39" t="str">
        <f t="shared" si="3" ref="F3:F26">IF(((($F$2)*(A3))/1000000*3.5)&lt;16,"L10 ODS Motor",IF(((($F$2)*(A3))/1000000*3.5)&lt;=32,"T20 ODS Motor","T35 ODS Motor"))</f>
        <v>L10 ODS Motor</v>
      </c>
      <c r="G3" s="39" t="str">
        <f t="shared" si="4" ref="G3:G26">IF(((($G$2)*(A3))/1000000*3.5)&lt;16,"L10 ODS Motor",IF(((($G$2)*(A3))/1000000*3.5)&lt;=32,"T20 ODS Motor","T35 ODS Motor"))</f>
        <v>L10 ODS Motor</v>
      </c>
      <c r="H3" s="39" t="str">
        <f t="shared" si="5" ref="H3:H26">IF(((($H$2)*(A3))/1000000*3.5)&lt;16,"L10 ODS Motor",IF(((($H$2)*(A3))/1000000*3.5)&lt;=32,"T20 ODS Motor","T35 ODS Motor"))</f>
        <v>L10 ODS Motor</v>
      </c>
      <c r="I3" s="39" t="str">
        <f t="shared" si="6" ref="I3:I26">IF(((($I$2)*(A3))/1000000*3.5)&lt;16,"L10 ODS Motor",IF(((($I$2)*(A3))/1000000*3.5)&lt;=32,"T20 ODS Motor","T35 ODS Motor"))</f>
        <v>L10 ODS Motor</v>
      </c>
      <c r="J3" s="39" t="str">
        <f t="shared" si="7" ref="J3:J26">IF(((($J$2)*(A3))/1000000*3.5)&lt;16,"L10 ODS Motor",IF(((($J$2)*(A3))/1000000*3.5)&lt;=32,"T20 ODS Motor","T35 ODS Motor"))</f>
        <v>L10 ODS Motor</v>
      </c>
      <c r="K3" s="39" t="str">
        <f t="shared" si="8" ref="K3:K26">IF(((($K$2)*(A3))/1000000*3.5)&lt;16,"L10 ODS Motor",IF(((($K$2)*(A3))/1000000*3.5)&lt;=32,"T20 ODS Motor","T35 ODS Motor"))</f>
        <v>L10 ODS Motor</v>
      </c>
      <c r="L3" s="39" t="str">
        <f t="shared" si="9" ref="L3:L26">IF(((($L$2)*(A3))/1000000*3.5)&lt;16,"L10 ODS Motor",IF(((($L$2)*(A3))/1000000*3.5)&lt;=32,"T20 ODS Motor","T35 ODS Motor"))</f>
        <v>L10 ODS Motor</v>
      </c>
      <c r="M3" s="39" t="str">
        <f t="shared" si="10" ref="M3:M26">IF(((($M$2)*(A3))/1000000*3.5)&lt;16,"L10 ODS Motor",IF(((($M$2)*(A3))/1000000*3.5)&lt;=32,"T20 ODS Motor","T35 ODS Motor"))</f>
        <v>L10 ODS Motor</v>
      </c>
      <c r="N3" s="39" t="str">
        <f t="shared" si="11" ref="N3:N26">IF(((($N$2)*(A3))/1000000*3.5)&lt;16,"L10 ODS Motor",IF(((($N$2)*(A3))/1000000*3.5)&lt;=32,"T20 ODS Motor","T35 ODS Motor"))</f>
        <v>L10 ODS Motor</v>
      </c>
      <c r="O3" s="39" t="str">
        <f t="shared" si="12" ref="O3:O26">IF(((($O$2)*(A3))/1000000*3.5)&lt;16,"L10 ODS Motor",IF(((($O$2)*(A3))/1000000*3.5)&lt;=32,"T20 ODS Motor","T35 ODS Motor"))</f>
        <v>L10 ODS Motor</v>
      </c>
      <c r="P3" s="39" t="str">
        <f t="shared" si="13" ref="P3:P26">IF(((($P$2)*(A3))/1000000*3.5)&lt;16,"L10 ODS Motor",IF(((($P$2)*(A3))/1000000*3.5)&lt;=32,"T20 ODS Motor","T35 ODS Motor"))</f>
        <v>L10 ODS Motor</v>
      </c>
      <c r="Q3" s="39" t="str">
        <f t="shared" si="14" ref="Q3:Q26">IF(((($Q$2)*(A3))/1000000*3.5)&lt;16,"L10 ODS Motor",IF(((($Q$2)*(A3))/1000000*3.5)&lt;=32,"T20 ODS Motor","T35 ODS Motor"))</f>
        <v>L10 ODS Motor</v>
      </c>
      <c r="R3" s="39" t="str">
        <f t="shared" si="15" ref="R3:R26">IF(((($R$2)*(A3))/1000000*3.5)&lt;16,"L10 ODS Motor",IF(((($R$2)*(A3))/1000000*3.5)&lt;=32,"T20 ODS Motor","T35 ODS Motor"))</f>
        <v>L10 ODS Motor</v>
      </c>
      <c r="S3" s="39" t="str">
        <f t="shared" si="16" ref="S3:S26">IF(((($S$2)*(A3))/1000000*3.5)&lt;16,"L10 ODS Motor",IF(((($S$2)*(A3))/1000000*3.5)&lt;=32,"T20 ODS Motor","T35 ODS Motor"))</f>
        <v>L10 ODS Motor</v>
      </c>
      <c r="T3" s="39" t="str">
        <f t="shared" si="17" ref="T3:T26">IF(((($T$2)*(A3))/1000000*3.5)&lt;16,"L10 ODS Motor",IF(((($T$2)*(A3))/1000000*3.5)&lt;=32,"T20 ODS Motor","T35 ODS Motor"))</f>
        <v>L10 ODS Motor</v>
      </c>
      <c r="U3" s="39" t="str">
        <f t="shared" si="18" ref="U3:U26">IF(((($U$2)*(A3))/1000000*3.5)&lt;16,"L10 ODS Motor",IF(((($U$2)*(A3))/1000000*3.5)&lt;=32,"T20 ODS Motor","T35 ODS Motor"))</f>
        <v>L10 ODS Motor</v>
      </c>
      <c r="V3" s="39" t="str">
        <f t="shared" si="19" ref="V3:V26">IF(((($V$2)*(A3))/1000000*3.5)&lt;16,"L10 ODS Motor",IF(((($V$2)*(A3))/1000000*3.5)&lt;=32,"T20 ODS Motor","T35 ODS Motor"))</f>
        <v>L10 ODS Motor</v>
      </c>
      <c r="W3" s="39" t="str">
        <f t="shared" si="20" ref="W3:W26">IF(((($W$2)*(A3))/1000000*3.5)&lt;16,"L10 ODS Motor",IF(((($W$2)*(A3))/1000000*3.5)&lt;=32,"T20 ODS Motor","T35 ODS Motor"))</f>
        <v>L10 ODS Motor</v>
      </c>
      <c r="X3" s="39" t="str">
        <f t="shared" si="21" ref="X3:X26">IF(((($X$2)*(A3))/1000000*3.5)&lt;16,"L10 ODS Motor",IF(((($X$2)*(A3))/1000000*3.5)&lt;=32,"T20 ODS Motor","T35 ODS Motor"))</f>
        <v>L10 ODS Motor</v>
      </c>
      <c r="Y3" s="39" t="str">
        <f t="shared" si="22" ref="Y3:Y26">IF(((($Y$2)*(A3))/1000000*3.5)&lt;16,"L10 ODS Motor",IF(((($Y$2)*(A3))/1000000*3.5)&lt;=32,"T20 ODS Motor","T35 ODS Motor"))</f>
        <v>L10 ODS Motor</v>
      </c>
      <c r="Z3" t="str">
        <f>IFERROR(TRIM(INDEX(MSCWR240vG,MATCH('Job Sheet'!$J$11,MSCWR240vD,1),MATCH('Job Sheet'!$I$11,MSCWR240vW,1))),"")</f>
        <v>Maxim 20nm Remote Motor</v>
      </c>
    </row>
    <row r="4" spans="1:26" ht="14.4">
      <c r="A4" s="98">
        <v>780</v>
      </c>
      <c r="B4" s="39" t="s">
        <v>263</v>
      </c>
      <c r="C4" s="39" t="str">
        <f t="shared" si="0"/>
        <v>L10 ODS Motor</v>
      </c>
      <c r="D4" s="39" t="str">
        <f t="shared" si="1"/>
        <v>L10 ODS Motor</v>
      </c>
      <c r="E4" s="39" t="str">
        <f t="shared" si="2"/>
        <v>L10 ODS Motor</v>
      </c>
      <c r="F4" s="39" t="str">
        <f t="shared" si="3"/>
        <v>L10 ODS Motor</v>
      </c>
      <c r="G4" s="39" t="str">
        <f t="shared" si="4"/>
        <v>L10 ODS Motor</v>
      </c>
      <c r="H4" s="39" t="str">
        <f t="shared" si="5"/>
        <v>L10 ODS Motor</v>
      </c>
      <c r="I4" s="39" t="str">
        <f t="shared" si="6"/>
        <v>L10 ODS Motor</v>
      </c>
      <c r="J4" s="39" t="str">
        <f t="shared" si="7"/>
        <v>L10 ODS Motor</v>
      </c>
      <c r="K4" s="39" t="str">
        <f t="shared" si="8"/>
        <v>L10 ODS Motor</v>
      </c>
      <c r="L4" s="39" t="str">
        <f t="shared" si="9"/>
        <v>L10 ODS Motor</v>
      </c>
      <c r="M4" s="39" t="str">
        <f t="shared" si="10"/>
        <v>L10 ODS Motor</v>
      </c>
      <c r="N4" s="39" t="str">
        <f t="shared" si="11"/>
        <v>L10 ODS Motor</v>
      </c>
      <c r="O4" s="39" t="str">
        <f t="shared" si="12"/>
        <v>L10 ODS Motor</v>
      </c>
      <c r="P4" s="39" t="str">
        <f t="shared" si="13"/>
        <v>L10 ODS Motor</v>
      </c>
      <c r="Q4" s="39" t="str">
        <f t="shared" si="14"/>
        <v>L10 ODS Motor</v>
      </c>
      <c r="R4" s="39" t="str">
        <f t="shared" si="15"/>
        <v>L10 ODS Motor</v>
      </c>
      <c r="S4" s="39" t="str">
        <f t="shared" si="16"/>
        <v>L10 ODS Motor</v>
      </c>
      <c r="T4" s="39" t="str">
        <f t="shared" si="17"/>
        <v>L10 ODS Motor</v>
      </c>
      <c r="U4" s="39" t="str">
        <f t="shared" si="18"/>
        <v>L10 ODS Motor</v>
      </c>
      <c r="V4" s="39" t="str">
        <f t="shared" si="19"/>
        <v>L10 ODS Motor</v>
      </c>
      <c r="W4" s="39" t="str">
        <f t="shared" si="20"/>
        <v>L10 ODS Motor</v>
      </c>
      <c r="X4" s="39" t="str">
        <f t="shared" si="21"/>
        <v>L10 ODS Motor</v>
      </c>
      <c r="Y4" s="39" t="str">
        <f t="shared" si="22"/>
        <v>L10 ODS Motor</v>
      </c>
      <c r="Z4" t="str">
        <f>IFERROR(TRIM(INDEX(MSCWS240vG,MATCH('Job Sheet'!$J$11,MSCWS240vD,1),MATCH('Job Sheet'!$I$11,MSCWS240vW,1))),"")</f>
        <v>Maxim 20nm Switch Motor</v>
      </c>
    </row>
    <row r="5" spans="1:26" ht="14.4">
      <c r="A5" s="98">
        <v>880</v>
      </c>
      <c r="B5" s="39" t="s">
        <v>263</v>
      </c>
      <c r="C5" s="39" t="str">
        <f t="shared" si="0"/>
        <v>L10 ODS Motor</v>
      </c>
      <c r="D5" s="39" t="str">
        <f t="shared" si="1"/>
        <v>L10 ODS Motor</v>
      </c>
      <c r="E5" s="39" t="str">
        <f t="shared" si="2"/>
        <v>L10 ODS Motor</v>
      </c>
      <c r="F5" s="39" t="str">
        <f t="shared" si="3"/>
        <v>L10 ODS Motor</v>
      </c>
      <c r="G5" s="39" t="str">
        <f t="shared" si="4"/>
        <v>L10 ODS Motor</v>
      </c>
      <c r="H5" s="39" t="str">
        <f t="shared" si="5"/>
        <v>L10 ODS Motor</v>
      </c>
      <c r="I5" s="39" t="str">
        <f t="shared" si="6"/>
        <v>L10 ODS Motor</v>
      </c>
      <c r="J5" s="39" t="str">
        <f t="shared" si="7"/>
        <v>L10 ODS Motor</v>
      </c>
      <c r="K5" s="39" t="str">
        <f t="shared" si="8"/>
        <v>L10 ODS Motor</v>
      </c>
      <c r="L5" s="39" t="str">
        <f t="shared" si="9"/>
        <v>L10 ODS Motor</v>
      </c>
      <c r="M5" s="39" t="str">
        <f t="shared" si="10"/>
        <v>L10 ODS Motor</v>
      </c>
      <c r="N5" s="39" t="str">
        <f t="shared" si="11"/>
        <v>L10 ODS Motor</v>
      </c>
      <c r="O5" s="39" t="str">
        <f t="shared" si="12"/>
        <v>L10 ODS Motor</v>
      </c>
      <c r="P5" s="39" t="str">
        <f t="shared" si="13"/>
        <v>L10 ODS Motor</v>
      </c>
      <c r="Q5" s="39" t="str">
        <f t="shared" si="14"/>
        <v>L10 ODS Motor</v>
      </c>
      <c r="R5" s="39" t="str">
        <f t="shared" si="15"/>
        <v>L10 ODS Motor</v>
      </c>
      <c r="S5" s="39" t="str">
        <f t="shared" si="16"/>
        <v>L10 ODS Motor</v>
      </c>
      <c r="T5" s="39" t="str">
        <f t="shared" si="17"/>
        <v>L10 ODS Motor</v>
      </c>
      <c r="U5" s="39" t="str">
        <f t="shared" si="18"/>
        <v>L10 ODS Motor</v>
      </c>
      <c r="V5" s="39" t="str">
        <f t="shared" si="19"/>
        <v>L10 ODS Motor</v>
      </c>
      <c r="W5" s="39" t="str">
        <f t="shared" si="20"/>
        <v>L10 ODS Motor</v>
      </c>
      <c r="X5" s="39" t="str">
        <f t="shared" si="21"/>
        <v>L10 ODS Motor</v>
      </c>
      <c r="Y5" s="39" t="str">
        <f t="shared" si="22"/>
        <v>L10 ODS Motor</v>
      </c>
      <c r="Z5" t="str">
        <f>IFERROR(TRIM(INDEX(MSSR240vG,MATCH('Job Sheet'!$J$11,MSSR240vD,1),MATCH('Job Sheet'!$I$11,MSSR240vW,1))),"")</f>
        <v>Somfy Altus 50 RTS 15/17</v>
      </c>
    </row>
    <row r="6" spans="1:26" ht="14.4">
      <c r="A6" s="98">
        <v>980</v>
      </c>
      <c r="B6" s="39" t="s">
        <v>263</v>
      </c>
      <c r="C6" s="39" t="str">
        <f t="shared" si="0"/>
        <v>L10 ODS Motor</v>
      </c>
      <c r="D6" s="39" t="str">
        <f t="shared" si="1"/>
        <v>L10 ODS Motor</v>
      </c>
      <c r="E6" s="39" t="str">
        <f t="shared" si="2"/>
        <v>L10 ODS Motor</v>
      </c>
      <c r="F6" s="39" t="str">
        <f t="shared" si="3"/>
        <v>L10 ODS Motor</v>
      </c>
      <c r="G6" s="39" t="str">
        <f t="shared" si="4"/>
        <v>L10 ODS Motor</v>
      </c>
      <c r="H6" s="39" t="str">
        <f t="shared" si="5"/>
        <v>L10 ODS Motor</v>
      </c>
      <c r="I6" s="39" t="str">
        <f t="shared" si="6"/>
        <v>L10 ODS Motor</v>
      </c>
      <c r="J6" s="39" t="str">
        <f t="shared" si="7"/>
        <v>L10 ODS Motor</v>
      </c>
      <c r="K6" s="39" t="str">
        <f t="shared" si="8"/>
        <v>L10 ODS Motor</v>
      </c>
      <c r="L6" s="39" t="str">
        <f t="shared" si="9"/>
        <v>L10 ODS Motor</v>
      </c>
      <c r="M6" s="39" t="str">
        <f t="shared" si="10"/>
        <v>L10 ODS Motor</v>
      </c>
      <c r="N6" s="39" t="str">
        <f t="shared" si="11"/>
        <v>L10 ODS Motor</v>
      </c>
      <c r="O6" s="39" t="str">
        <f t="shared" si="12"/>
        <v>L10 ODS Motor</v>
      </c>
      <c r="P6" s="39" t="str">
        <f t="shared" si="13"/>
        <v>L10 ODS Motor</v>
      </c>
      <c r="Q6" s="39" t="str">
        <f t="shared" si="14"/>
        <v>L10 ODS Motor</v>
      </c>
      <c r="R6" s="39" t="str">
        <f t="shared" si="15"/>
        <v>L10 ODS Motor</v>
      </c>
      <c r="S6" s="39" t="str">
        <f t="shared" si="16"/>
        <v>L10 ODS Motor</v>
      </c>
      <c r="T6" s="39" t="str">
        <f t="shared" si="17"/>
        <v>L10 ODS Motor</v>
      </c>
      <c r="U6" s="39" t="str">
        <f t="shared" si="18"/>
        <v>L10 ODS Motor</v>
      </c>
      <c r="V6" s="39" t="str">
        <f t="shared" si="19"/>
        <v>L10 ODS Motor</v>
      </c>
      <c r="W6" s="39" t="str">
        <f t="shared" si="20"/>
        <v>L10 ODS Motor</v>
      </c>
      <c r="X6" s="39" t="str">
        <f t="shared" si="21"/>
        <v>L10 ODS Motor</v>
      </c>
      <c r="Y6" s="39" t="str">
        <f t="shared" si="22"/>
        <v>L10 ODS Motor</v>
      </c>
      <c r="Z6" t="str">
        <f>IFERROR(TRIM(INDEX(MSSS240vG,MATCH('Job Sheet'!$J$11,MSSS240vD,1),MATCH('Job Sheet'!$I$11,MSSS240vW,1))),"")</f>
        <v>Somfy Orea 50 WT 40/17</v>
      </c>
    </row>
    <row r="7" spans="1:26" ht="14.4">
      <c r="A7" s="98">
        <v>1080</v>
      </c>
      <c r="B7" s="39" t="s">
        <v>263</v>
      </c>
      <c r="C7" s="39" t="str">
        <f t="shared" si="0"/>
        <v>L10 ODS Motor</v>
      </c>
      <c r="D7" s="39" t="str">
        <f t="shared" si="1"/>
        <v>L10 ODS Motor</v>
      </c>
      <c r="E7" s="39" t="str">
        <f t="shared" si="2"/>
        <v>L10 ODS Motor</v>
      </c>
      <c r="F7" s="39" t="str">
        <f t="shared" si="3"/>
        <v>L10 ODS Motor</v>
      </c>
      <c r="G7" s="39" t="str">
        <f t="shared" si="4"/>
        <v>L10 ODS Motor</v>
      </c>
      <c r="H7" s="39" t="str">
        <f t="shared" si="5"/>
        <v>L10 ODS Motor</v>
      </c>
      <c r="I7" s="39" t="str">
        <f t="shared" si="6"/>
        <v>L10 ODS Motor</v>
      </c>
      <c r="J7" s="39" t="str">
        <f t="shared" si="7"/>
        <v>L10 ODS Motor</v>
      </c>
      <c r="K7" s="39" t="str">
        <f t="shared" si="8"/>
        <v>L10 ODS Motor</v>
      </c>
      <c r="L7" s="39" t="str">
        <f t="shared" si="9"/>
        <v>L10 ODS Motor</v>
      </c>
      <c r="M7" s="39" t="str">
        <f t="shared" si="10"/>
        <v>L10 ODS Motor</v>
      </c>
      <c r="N7" s="39" t="str">
        <f t="shared" si="11"/>
        <v>L10 ODS Motor</v>
      </c>
      <c r="O7" s="39" t="str">
        <f t="shared" si="12"/>
        <v>L10 ODS Motor</v>
      </c>
      <c r="P7" s="39" t="str">
        <f t="shared" si="13"/>
        <v>L10 ODS Motor</v>
      </c>
      <c r="Q7" s="39" t="str">
        <f t="shared" si="14"/>
        <v>L10 ODS Motor</v>
      </c>
      <c r="R7" s="39" t="str">
        <f t="shared" si="15"/>
        <v>L10 ODS Motor</v>
      </c>
      <c r="S7" s="39" t="str">
        <f t="shared" si="16"/>
        <v>L10 ODS Motor</v>
      </c>
      <c r="T7" s="39" t="str">
        <f t="shared" si="17"/>
        <v>L10 ODS Motor</v>
      </c>
      <c r="U7" s="39" t="str">
        <f t="shared" si="18"/>
        <v>L10 ODS Motor</v>
      </c>
      <c r="V7" s="39" t="str">
        <f t="shared" si="19"/>
        <v>L10 ODS Motor</v>
      </c>
      <c r="W7" s="39" t="str">
        <f t="shared" si="20"/>
        <v>L10 ODS Motor</v>
      </c>
      <c r="X7" s="39" t="str">
        <f t="shared" si="21"/>
        <v>L10 ODS Motor</v>
      </c>
      <c r="Y7" s="39" t="str">
        <f t="shared" si="22"/>
        <v>L10 ODS Motor</v>
      </c>
      <c r="Z7" t="str">
        <f>IFERROR(TRIM(INDEX(MF12vG,MATCH('Job Sheet'!$J$11,MF12vD,1),MATCH('Job Sheet'!$I$11,MF12vW,1))),"")</f>
        <v>T35 ODS Motor</v>
      </c>
    </row>
    <row r="8" spans="1:26" ht="14.4">
      <c r="A8" s="98">
        <v>1180</v>
      </c>
      <c r="B8" s="39" t="s">
        <v>263</v>
      </c>
      <c r="C8" s="39" t="str">
        <f t="shared" si="0"/>
        <v>L10 ODS Motor</v>
      </c>
      <c r="D8" s="39" t="str">
        <f t="shared" si="1"/>
        <v>L10 ODS Motor</v>
      </c>
      <c r="E8" s="39" t="str">
        <f t="shared" si="2"/>
        <v>L10 ODS Motor</v>
      </c>
      <c r="F8" s="39" t="str">
        <f t="shared" si="3"/>
        <v>L10 ODS Motor</v>
      </c>
      <c r="G8" s="39" t="str">
        <f t="shared" si="4"/>
        <v>L10 ODS Motor</v>
      </c>
      <c r="H8" s="39" t="str">
        <f t="shared" si="5"/>
        <v>L10 ODS Motor</v>
      </c>
      <c r="I8" s="39" t="str">
        <f t="shared" si="6"/>
        <v>L10 ODS Motor</v>
      </c>
      <c r="J8" s="39" t="str">
        <f t="shared" si="7"/>
        <v>L10 ODS Motor</v>
      </c>
      <c r="K8" s="39" t="str">
        <f t="shared" si="8"/>
        <v>L10 ODS Motor</v>
      </c>
      <c r="L8" s="39" t="str">
        <f t="shared" si="9"/>
        <v>L10 ODS Motor</v>
      </c>
      <c r="M8" s="39" t="str">
        <f t="shared" si="10"/>
        <v>L10 ODS Motor</v>
      </c>
      <c r="N8" s="39" t="str">
        <f t="shared" si="11"/>
        <v>L10 ODS Motor</v>
      </c>
      <c r="O8" s="39" t="str">
        <f t="shared" si="12"/>
        <v>L10 ODS Motor</v>
      </c>
      <c r="P8" s="39" t="str">
        <f t="shared" si="13"/>
        <v>L10 ODS Motor</v>
      </c>
      <c r="Q8" s="39" t="str">
        <f t="shared" si="14"/>
        <v>L10 ODS Motor</v>
      </c>
      <c r="R8" s="39" t="str">
        <f t="shared" si="15"/>
        <v>L10 ODS Motor</v>
      </c>
      <c r="S8" s="39" t="str">
        <f t="shared" si="16"/>
        <v>L10 ODS Motor</v>
      </c>
      <c r="T8" s="39" t="str">
        <f t="shared" si="17"/>
        <v>L10 ODS Motor</v>
      </c>
      <c r="U8" s="39" t="str">
        <f t="shared" si="18"/>
        <v>L10 ODS Motor</v>
      </c>
      <c r="V8" s="39" t="str">
        <f t="shared" si="19"/>
        <v>L10 ODS Motor</v>
      </c>
      <c r="W8" s="39" t="str">
        <f t="shared" si="20"/>
        <v>L10 ODS Motor</v>
      </c>
      <c r="X8" s="39" t="str">
        <f t="shared" si="21"/>
        <v>L10 ODS Motor</v>
      </c>
      <c r="Y8" s="39" t="str">
        <f t="shared" si="22"/>
        <v>L10 ODS Motor</v>
      </c>
      <c r="Z8" t="str">
        <f>IFERROR(TRIM(INDEX(MFCWR240vG,MATCH('Job Sheet'!$J$11,MFCWR240vD,1),MATCH('Job Sheet'!$I$11,MFCWR240vW,1))),"")</f>
        <v>CW5 Supplied with Shutter</v>
      </c>
    </row>
    <row r="9" spans="1:26" ht="14.4">
      <c r="A9" s="98">
        <v>1280</v>
      </c>
      <c r="B9" s="39" t="s">
        <v>263</v>
      </c>
      <c r="C9" s="39" t="str">
        <f t="shared" si="0"/>
        <v>L10 ODS Motor</v>
      </c>
      <c r="D9" s="39" t="str">
        <f t="shared" si="1"/>
        <v>L10 ODS Motor</v>
      </c>
      <c r="E9" s="39" t="str">
        <f t="shared" si="2"/>
        <v>L10 ODS Motor</v>
      </c>
      <c r="F9" s="39" t="str">
        <f t="shared" si="3"/>
        <v>L10 ODS Motor</v>
      </c>
      <c r="G9" s="39" t="str">
        <f t="shared" si="4"/>
        <v>L10 ODS Motor</v>
      </c>
      <c r="H9" s="39" t="str">
        <f t="shared" si="5"/>
        <v>L10 ODS Motor</v>
      </c>
      <c r="I9" s="39" t="str">
        <f t="shared" si="6"/>
        <v>L10 ODS Motor</v>
      </c>
      <c r="J9" s="39" t="str">
        <f t="shared" si="7"/>
        <v>L10 ODS Motor</v>
      </c>
      <c r="K9" s="39" t="str">
        <f t="shared" si="8"/>
        <v>L10 ODS Motor</v>
      </c>
      <c r="L9" s="39" t="str">
        <f t="shared" si="9"/>
        <v>L10 ODS Motor</v>
      </c>
      <c r="M9" s="39" t="str">
        <f t="shared" si="10"/>
        <v>L10 ODS Motor</v>
      </c>
      <c r="N9" s="39" t="str">
        <f t="shared" si="11"/>
        <v>L10 ODS Motor</v>
      </c>
      <c r="O9" s="39" t="str">
        <f t="shared" si="12"/>
        <v>L10 ODS Motor</v>
      </c>
      <c r="P9" s="39" t="str">
        <f t="shared" si="13"/>
        <v>L10 ODS Motor</v>
      </c>
      <c r="Q9" s="39" t="str">
        <f t="shared" si="14"/>
        <v>L10 ODS Motor</v>
      </c>
      <c r="R9" s="39" t="str">
        <f t="shared" si="15"/>
        <v>L10 ODS Motor</v>
      </c>
      <c r="S9" s="39" t="str">
        <f t="shared" si="16"/>
        <v>L10 ODS Motor</v>
      </c>
      <c r="T9" s="39" t="str">
        <f t="shared" si="17"/>
        <v>L10 ODS Motor</v>
      </c>
      <c r="U9" s="39" t="str">
        <f t="shared" si="18"/>
        <v>L10 ODS Motor</v>
      </c>
      <c r="V9" s="39" t="str">
        <f t="shared" si="19"/>
        <v>L10 ODS Motor</v>
      </c>
      <c r="W9" s="39" t="str">
        <f t="shared" si="20"/>
        <v>L10 ODS Motor</v>
      </c>
      <c r="X9" s="39" t="str">
        <f t="shared" si="21"/>
        <v>L10 ODS Motor</v>
      </c>
      <c r="Y9" s="39" t="str">
        <f t="shared" si="22"/>
        <v>T20 ODS Motor</v>
      </c>
      <c r="Z9" t="str">
        <f>IFERROR(TRIM(INDEX(MFCWS240vG,MATCH('Job Sheet'!$J$11,MFCWS240D,1),MATCH('Job Sheet'!$I$11,MFCWS240vW,1))),"")</f>
        <v>CW5 Supplied with Shutter</v>
      </c>
    </row>
    <row r="10" spans="1:26" ht="14.4">
      <c r="A10" s="98">
        <v>1380</v>
      </c>
      <c r="B10" s="39" t="s">
        <v>263</v>
      </c>
      <c r="C10" s="39" t="str">
        <f t="shared" si="0"/>
        <v>L10 ODS Motor</v>
      </c>
      <c r="D10" s="39" t="str">
        <f t="shared" si="1"/>
        <v>L10 ODS Motor</v>
      </c>
      <c r="E10" s="39" t="str">
        <f t="shared" si="2"/>
        <v>L10 ODS Motor</v>
      </c>
      <c r="F10" s="39" t="str">
        <f t="shared" si="3"/>
        <v>L10 ODS Motor</v>
      </c>
      <c r="G10" s="39" t="str">
        <f t="shared" si="4"/>
        <v>L10 ODS Motor</v>
      </c>
      <c r="H10" s="39" t="str">
        <f t="shared" si="5"/>
        <v>L10 ODS Motor</v>
      </c>
      <c r="I10" s="39" t="str">
        <f t="shared" si="6"/>
        <v>L10 ODS Motor</v>
      </c>
      <c r="J10" s="39" t="str">
        <f t="shared" si="7"/>
        <v>L10 ODS Motor</v>
      </c>
      <c r="K10" s="39" t="str">
        <f t="shared" si="8"/>
        <v>L10 ODS Motor</v>
      </c>
      <c r="L10" s="39" t="str">
        <f t="shared" si="9"/>
        <v>L10 ODS Motor</v>
      </c>
      <c r="M10" s="39" t="str">
        <f t="shared" si="10"/>
        <v>L10 ODS Motor</v>
      </c>
      <c r="N10" s="39" t="str">
        <f t="shared" si="11"/>
        <v>L10 ODS Motor</v>
      </c>
      <c r="O10" s="39" t="str">
        <f t="shared" si="12"/>
        <v>L10 ODS Motor</v>
      </c>
      <c r="P10" s="39" t="str">
        <f t="shared" si="13"/>
        <v>L10 ODS Motor</v>
      </c>
      <c r="Q10" s="39" t="str">
        <f t="shared" si="14"/>
        <v>L10 ODS Motor</v>
      </c>
      <c r="R10" s="39" t="str">
        <f t="shared" si="15"/>
        <v>L10 ODS Motor</v>
      </c>
      <c r="S10" s="39" t="str">
        <f t="shared" si="16"/>
        <v>L10 ODS Motor</v>
      </c>
      <c r="T10" s="39" t="str">
        <f t="shared" si="17"/>
        <v>L10 ODS Motor</v>
      </c>
      <c r="U10" s="39" t="str">
        <f t="shared" si="18"/>
        <v>L10 ODS Motor</v>
      </c>
      <c r="V10" s="39" t="str">
        <f t="shared" si="19"/>
        <v>L10 ODS Motor</v>
      </c>
      <c r="W10" s="39" t="str">
        <f t="shared" si="20"/>
        <v>T20 ODS Motor</v>
      </c>
      <c r="X10" s="39" t="str">
        <f t="shared" si="21"/>
        <v>T20 ODS Motor</v>
      </c>
      <c r="Y10" s="39" t="str">
        <f t="shared" si="22"/>
        <v>T20 ODS Motor</v>
      </c>
      <c r="Z10" t="str">
        <f>IFERROR(TRIM(INDEX(MFSR240vG,MATCH('Job Sheet'!$J$11,MFSR240vD,1),MATCH('Job Sheet'!$I$11,MFSR240vW,1))),"")</f>
        <v>Supplied with Shutter</v>
      </c>
    </row>
    <row r="11" spans="1:26" ht="14.4">
      <c r="A11" s="98">
        <v>1480</v>
      </c>
      <c r="B11" s="39" t="s">
        <v>263</v>
      </c>
      <c r="C11" s="39" t="str">
        <f t="shared" si="0"/>
        <v>L10 ODS Motor</v>
      </c>
      <c r="D11" s="39" t="str">
        <f t="shared" si="1"/>
        <v>L10 ODS Motor</v>
      </c>
      <c r="E11" s="39" t="str">
        <f t="shared" si="2"/>
        <v>L10 ODS Motor</v>
      </c>
      <c r="F11" s="39" t="str">
        <f t="shared" si="3"/>
        <v>L10 ODS Motor</v>
      </c>
      <c r="G11" s="39" t="str">
        <f t="shared" si="4"/>
        <v>L10 ODS Motor</v>
      </c>
      <c r="H11" s="39" t="str">
        <f t="shared" si="5"/>
        <v>L10 ODS Motor</v>
      </c>
      <c r="I11" s="39" t="str">
        <f t="shared" si="6"/>
        <v>L10 ODS Motor</v>
      </c>
      <c r="J11" s="39" t="str">
        <f t="shared" si="7"/>
        <v>L10 ODS Motor</v>
      </c>
      <c r="K11" s="39" t="str">
        <f t="shared" si="8"/>
        <v>L10 ODS Motor</v>
      </c>
      <c r="L11" s="39" t="str">
        <f t="shared" si="9"/>
        <v>L10 ODS Motor</v>
      </c>
      <c r="M11" s="39" t="str">
        <f t="shared" si="10"/>
        <v>L10 ODS Motor</v>
      </c>
      <c r="N11" s="39" t="str">
        <f t="shared" si="11"/>
        <v>L10 ODS Motor</v>
      </c>
      <c r="O11" s="39" t="str">
        <f t="shared" si="12"/>
        <v>L10 ODS Motor</v>
      </c>
      <c r="P11" s="39" t="str">
        <f t="shared" si="13"/>
        <v>L10 ODS Motor</v>
      </c>
      <c r="Q11" s="39" t="str">
        <f t="shared" si="14"/>
        <v>L10 ODS Motor</v>
      </c>
      <c r="R11" s="39" t="str">
        <f t="shared" si="15"/>
        <v>L10 ODS Motor</v>
      </c>
      <c r="S11" s="39" t="str">
        <f t="shared" si="16"/>
        <v>L10 ODS Motor</v>
      </c>
      <c r="T11" s="39" t="str">
        <f t="shared" si="17"/>
        <v>T20 ODS Motor</v>
      </c>
      <c r="U11" s="39" t="str">
        <f t="shared" si="18"/>
        <v>T20 ODS Motor</v>
      </c>
      <c r="V11" s="39" t="str">
        <f t="shared" si="19"/>
        <v>T20 ODS Motor</v>
      </c>
      <c r="W11" s="39" t="str">
        <f t="shared" si="20"/>
        <v>T20 ODS Motor</v>
      </c>
      <c r="X11" s="39" t="str">
        <f t="shared" si="21"/>
        <v>T20 ODS Motor</v>
      </c>
      <c r="Y11" s="39" t="str">
        <f t="shared" si="22"/>
        <v>T20 ODS Motor</v>
      </c>
      <c r="Z11" t="str">
        <f>IFERROR(TRIM(INDEX(MFSS240vG,MATCH('Job Sheet'!$J$11,MFSS240vD,1),MATCH('Job Sheet'!$I$11,MFSS240vW,1))),"")</f>
        <v>Supplied with Shutter</v>
      </c>
    </row>
    <row r="12" spans="1:26" ht="14.4">
      <c r="A12" s="98">
        <v>1580</v>
      </c>
      <c r="B12" s="39" t="s">
        <v>263</v>
      </c>
      <c r="C12" s="39" t="str">
        <f t="shared" si="0"/>
        <v>L10 ODS Motor</v>
      </c>
      <c r="D12" s="39" t="str">
        <f t="shared" si="1"/>
        <v>L10 ODS Motor</v>
      </c>
      <c r="E12" s="39" t="str">
        <f t="shared" si="2"/>
        <v>L10 ODS Motor</v>
      </c>
      <c r="F12" s="39" t="str">
        <f t="shared" si="3"/>
        <v>L10 ODS Motor</v>
      </c>
      <c r="G12" s="39" t="str">
        <f t="shared" si="4"/>
        <v>L10 ODS Motor</v>
      </c>
      <c r="H12" s="39" t="str">
        <f t="shared" si="5"/>
        <v>L10 ODS Motor</v>
      </c>
      <c r="I12" s="39" t="str">
        <f t="shared" si="6"/>
        <v>L10 ODS Motor</v>
      </c>
      <c r="J12" s="39" t="str">
        <f t="shared" si="7"/>
        <v>L10 ODS Motor</v>
      </c>
      <c r="K12" s="39" t="str">
        <f t="shared" si="8"/>
        <v>L10 ODS Motor</v>
      </c>
      <c r="L12" s="39" t="str">
        <f t="shared" si="9"/>
        <v>L10 ODS Motor</v>
      </c>
      <c r="M12" s="39" t="str">
        <f t="shared" si="10"/>
        <v>L10 ODS Motor</v>
      </c>
      <c r="N12" s="39" t="str">
        <f t="shared" si="11"/>
        <v>L10 ODS Motor</v>
      </c>
      <c r="O12" s="39" t="str">
        <f t="shared" si="12"/>
        <v>L10 ODS Motor</v>
      </c>
      <c r="P12" s="39" t="str">
        <f t="shared" si="13"/>
        <v>L10 ODS Motor</v>
      </c>
      <c r="Q12" s="39" t="str">
        <f t="shared" si="14"/>
        <v>L10 ODS Motor</v>
      </c>
      <c r="R12" s="39" t="str">
        <f t="shared" si="15"/>
        <v>T20 ODS Motor</v>
      </c>
      <c r="S12" s="39" t="str">
        <f t="shared" si="16"/>
        <v>T20 ODS Motor</v>
      </c>
      <c r="T12" s="39" t="str">
        <f t="shared" si="17"/>
        <v>T20 ODS Motor</v>
      </c>
      <c r="U12" s="39" t="str">
        <f t="shared" si="18"/>
        <v>T20 ODS Motor</v>
      </c>
      <c r="V12" s="39" t="str">
        <f t="shared" si="19"/>
        <v>T20 ODS Motor</v>
      </c>
      <c r="W12" s="39" t="str">
        <f t="shared" si="20"/>
        <v>T20 ODS Motor</v>
      </c>
      <c r="X12" s="39" t="str">
        <f t="shared" si="21"/>
        <v>T20 ODS Motor</v>
      </c>
      <c r="Y12" s="39" t="str">
        <f t="shared" si="22"/>
        <v>T20 ODS Motor</v>
      </c>
      <c r="Z12" t="str">
        <f>IFERROR(TRIM(INDEX(MSCWP240vMOG,MATCH('Job Sheet'!$J$11,MSCWP240vMOD,1),MATCH('Job Sheet'!$I$11,MSCWP240vMOW,1))),"")</f>
        <v>CWP Manual Override 30Nm Motor with Inline Receiver</v>
      </c>
    </row>
    <row r="13" spans="1:26" ht="14.4">
      <c r="A13" s="98">
        <v>1680</v>
      </c>
      <c r="B13" s="39" t="s">
        <v>263</v>
      </c>
      <c r="C13" s="39" t="str">
        <f t="shared" si="0"/>
        <v>L10 ODS Motor</v>
      </c>
      <c r="D13" s="39" t="str">
        <f t="shared" si="1"/>
        <v>L10 ODS Motor</v>
      </c>
      <c r="E13" s="39" t="str">
        <f t="shared" si="2"/>
        <v>L10 ODS Motor</v>
      </c>
      <c r="F13" s="39" t="str">
        <f t="shared" si="3"/>
        <v>L10 ODS Motor</v>
      </c>
      <c r="G13" s="39" t="str">
        <f t="shared" si="4"/>
        <v>L10 ODS Motor</v>
      </c>
      <c r="H13" s="39" t="str">
        <f t="shared" si="5"/>
        <v>L10 ODS Motor</v>
      </c>
      <c r="I13" s="39" t="str">
        <f t="shared" si="6"/>
        <v>L10 ODS Motor</v>
      </c>
      <c r="J13" s="39" t="str">
        <f t="shared" si="7"/>
        <v>L10 ODS Motor</v>
      </c>
      <c r="K13" s="39" t="str">
        <f t="shared" si="8"/>
        <v>L10 ODS Motor</v>
      </c>
      <c r="L13" s="39" t="str">
        <f t="shared" si="9"/>
        <v>L10 ODS Motor</v>
      </c>
      <c r="M13" s="39" t="str">
        <f t="shared" si="10"/>
        <v>L10 ODS Motor</v>
      </c>
      <c r="N13" s="39" t="str">
        <f t="shared" si="11"/>
        <v>L10 ODS Motor</v>
      </c>
      <c r="O13" s="39" t="str">
        <f t="shared" si="12"/>
        <v>L10 ODS Motor</v>
      </c>
      <c r="P13" s="39" t="str">
        <f t="shared" si="13"/>
        <v>L10 ODS Motor</v>
      </c>
      <c r="Q13" s="39" t="str">
        <f t="shared" si="14"/>
        <v>T20 ODS Motor</v>
      </c>
      <c r="R13" s="39" t="str">
        <f t="shared" si="15"/>
        <v>T20 ODS Motor</v>
      </c>
      <c r="S13" s="39" t="str">
        <f t="shared" si="16"/>
        <v>T20 ODS Motor</v>
      </c>
      <c r="T13" s="39" t="str">
        <f t="shared" si="17"/>
        <v>T20 ODS Motor</v>
      </c>
      <c r="U13" s="39" t="str">
        <f t="shared" si="18"/>
        <v>T20 ODS Motor</v>
      </c>
      <c r="V13" s="39" t="str">
        <f t="shared" si="19"/>
        <v>T20 ODS Motor</v>
      </c>
      <c r="W13" s="39" t="str">
        <f t="shared" si="20"/>
        <v>T20 ODS Motor</v>
      </c>
      <c r="X13" s="39" t="str">
        <f t="shared" si="21"/>
        <v>T20 ODS Motor</v>
      </c>
      <c r="Y13" s="39" t="str">
        <f t="shared" si="22"/>
        <v>T20 ODS Motor</v>
      </c>
      <c r="Z13" t="str">
        <f>IFERROR(TRIM(INDEX(MFSIMSG,MATCH('Job Sheet'!$J$11,MFSIMSD,1),MATCH('Job Sheet'!$I$11,MFSIMSW,1))),"")</f>
        <v/>
      </c>
    </row>
    <row r="14" spans="1:26" ht="14.4">
      <c r="A14" s="98">
        <v>1780</v>
      </c>
      <c r="B14" s="39" t="s">
        <v>263</v>
      </c>
      <c r="C14" s="39" t="str">
        <f t="shared" si="0"/>
        <v>L10 ODS Motor</v>
      </c>
      <c r="D14" s="39" t="str">
        <f t="shared" si="1"/>
        <v>L10 ODS Motor</v>
      </c>
      <c r="E14" s="39" t="str">
        <f t="shared" si="2"/>
        <v>L10 ODS Motor</v>
      </c>
      <c r="F14" s="39" t="str">
        <f t="shared" si="3"/>
        <v>L10 ODS Motor</v>
      </c>
      <c r="G14" s="39" t="str">
        <f t="shared" si="4"/>
        <v>L10 ODS Motor</v>
      </c>
      <c r="H14" s="39" t="str">
        <f t="shared" si="5"/>
        <v>L10 ODS Motor</v>
      </c>
      <c r="I14" s="39" t="str">
        <f t="shared" si="6"/>
        <v>L10 ODS Motor</v>
      </c>
      <c r="J14" s="39" t="str">
        <f t="shared" si="7"/>
        <v>L10 ODS Motor</v>
      </c>
      <c r="K14" s="39" t="str">
        <f t="shared" si="8"/>
        <v>L10 ODS Motor</v>
      </c>
      <c r="L14" s="39" t="str">
        <f t="shared" si="9"/>
        <v>L10 ODS Motor</v>
      </c>
      <c r="M14" s="39" t="str">
        <f t="shared" si="10"/>
        <v>L10 ODS Motor</v>
      </c>
      <c r="N14" s="39" t="str">
        <f t="shared" si="11"/>
        <v>L10 ODS Motor</v>
      </c>
      <c r="O14" s="39" t="str">
        <f t="shared" si="12"/>
        <v>T20 ODS Motor</v>
      </c>
      <c r="P14" s="39" t="str">
        <f t="shared" si="13"/>
        <v>T20 ODS Motor</v>
      </c>
      <c r="Q14" s="39" t="str">
        <f t="shared" si="14"/>
        <v>T20 ODS Motor</v>
      </c>
      <c r="R14" s="39" t="str">
        <f t="shared" si="15"/>
        <v>T20 ODS Motor</v>
      </c>
      <c r="S14" s="39" t="str">
        <f t="shared" si="16"/>
        <v>T20 ODS Motor</v>
      </c>
      <c r="T14" s="39" t="str">
        <f t="shared" si="17"/>
        <v>T20 ODS Motor</v>
      </c>
      <c r="U14" s="39" t="str">
        <f t="shared" si="18"/>
        <v>T20 ODS Motor</v>
      </c>
      <c r="V14" s="39" t="str">
        <f t="shared" si="19"/>
        <v>T20 ODS Motor</v>
      </c>
      <c r="W14" s="39" t="str">
        <f t="shared" si="20"/>
        <v>T20 ODS Motor</v>
      </c>
      <c r="X14" s="39" t="str">
        <f t="shared" si="21"/>
        <v>T20 ODS Motor</v>
      </c>
      <c r="Y14" s="39" t="str">
        <f t="shared" si="22"/>
        <v>T20 ODS Motor</v>
      </c>
      <c r="Z14" t="str">
        <f>IFERROR(TRIM(INDEX(MFCWPMOG,MATCH('Job Sheet'!$J$11,MFCWPMOD,1),MATCH('Job Sheet'!$I$11,MFCWPMOW,1))),"")</f>
        <v>CWP Manual Override Motor Supplied with Shutter</v>
      </c>
    </row>
    <row r="15" spans="1:26" ht="14.4">
      <c r="A15" s="98">
        <v>1880</v>
      </c>
      <c r="B15" s="39" t="s">
        <v>263</v>
      </c>
      <c r="C15" s="39" t="str">
        <f t="shared" si="0"/>
        <v>L10 ODS Motor</v>
      </c>
      <c r="D15" s="39" t="str">
        <f t="shared" si="1"/>
        <v>L10 ODS Motor</v>
      </c>
      <c r="E15" s="39" t="str">
        <f t="shared" si="2"/>
        <v>L10 ODS Motor</v>
      </c>
      <c r="F15" s="39" t="str">
        <f t="shared" si="3"/>
        <v>L10 ODS Motor</v>
      </c>
      <c r="G15" s="39" t="str">
        <f t="shared" si="4"/>
        <v>L10 ODS Motor</v>
      </c>
      <c r="H15" s="39" t="str">
        <f t="shared" si="5"/>
        <v>L10 ODS Motor</v>
      </c>
      <c r="I15" s="39" t="str">
        <f t="shared" si="6"/>
        <v>L10 ODS Motor</v>
      </c>
      <c r="J15" s="39" t="str">
        <f t="shared" si="7"/>
        <v>L10 ODS Motor</v>
      </c>
      <c r="K15" s="39" t="str">
        <f t="shared" si="8"/>
        <v>L10 ODS Motor</v>
      </c>
      <c r="L15" s="39" t="str">
        <f t="shared" si="9"/>
        <v>L10 ODS Motor</v>
      </c>
      <c r="M15" s="39" t="str">
        <f t="shared" si="10"/>
        <v>L10 ODS Motor</v>
      </c>
      <c r="N15" s="39" t="str">
        <f t="shared" si="11"/>
        <v>T20 ODS Motor</v>
      </c>
      <c r="O15" s="39" t="str">
        <f t="shared" si="12"/>
        <v>T20 ODS Motor</v>
      </c>
      <c r="P15" s="39" t="str">
        <f t="shared" si="13"/>
        <v>T20 ODS Motor</v>
      </c>
      <c r="Q15" s="39" t="str">
        <f t="shared" si="14"/>
        <v>T20 ODS Motor</v>
      </c>
      <c r="R15" s="39" t="str">
        <f t="shared" si="15"/>
        <v>T20 ODS Motor</v>
      </c>
      <c r="S15" s="39" t="str">
        <f t="shared" si="16"/>
        <v>T20 ODS Motor</v>
      </c>
      <c r="T15" s="39" t="str">
        <f t="shared" si="17"/>
        <v>T20 ODS Motor</v>
      </c>
      <c r="U15" s="39" t="str">
        <f t="shared" si="18"/>
        <v>T20 ODS Motor</v>
      </c>
      <c r="V15" s="39" t="str">
        <f t="shared" si="19"/>
        <v>T20 ODS Motor</v>
      </c>
      <c r="W15" s="39" t="str">
        <f t="shared" si="20"/>
        <v>T20 ODS Motor</v>
      </c>
      <c r="X15" s="39" t="str">
        <f t="shared" si="21"/>
        <v>T20 ODS Motor</v>
      </c>
      <c r="Y15" s="39" t="str">
        <f t="shared" si="22"/>
        <v>T20 ODS Motor</v>
      </c>
      <c r="Z15" t="str">
        <f>IFERROR(TRIM(INDEX(MSA240vG,MATCH('Job Sheet'!$J$11,MSA240vD,1),MATCH('Job Sheet'!$I$11,MSA240vW,1))),"")</f>
        <v>Acmeda External 15nm Remote Motor</v>
      </c>
    </row>
    <row r="16" spans="1:26" ht="14.4">
      <c r="A16" s="98">
        <v>1980</v>
      </c>
      <c r="B16" s="39" t="s">
        <v>263</v>
      </c>
      <c r="C16" s="39" t="str">
        <f t="shared" si="0"/>
        <v>L10 ODS Motor</v>
      </c>
      <c r="D16" s="39" t="str">
        <f t="shared" si="1"/>
        <v>L10 ODS Motor</v>
      </c>
      <c r="E16" s="39" t="str">
        <f t="shared" si="2"/>
        <v>L10 ODS Motor</v>
      </c>
      <c r="F16" s="39" t="str">
        <f t="shared" si="3"/>
        <v>L10 ODS Motor</v>
      </c>
      <c r="G16" s="39" t="str">
        <f t="shared" si="4"/>
        <v>L10 ODS Motor</v>
      </c>
      <c r="H16" s="39" t="str">
        <f t="shared" si="5"/>
        <v>L10 ODS Motor</v>
      </c>
      <c r="I16" s="39" t="str">
        <f t="shared" si="6"/>
        <v>L10 ODS Motor</v>
      </c>
      <c r="J16" s="39" t="str">
        <f t="shared" si="7"/>
        <v>L10 ODS Motor</v>
      </c>
      <c r="K16" s="39" t="str">
        <f t="shared" si="8"/>
        <v>L10 ODS Motor</v>
      </c>
      <c r="L16" s="39" t="str">
        <f t="shared" si="9"/>
        <v>L10 ODS Motor</v>
      </c>
      <c r="M16" s="39" t="str">
        <f t="shared" si="10"/>
        <v>T20 ODS Motor</v>
      </c>
      <c r="N16" s="39" t="str">
        <f t="shared" si="11"/>
        <v>T20 ODS Motor</v>
      </c>
      <c r="O16" s="39" t="str">
        <f t="shared" si="12"/>
        <v>T20 ODS Motor</v>
      </c>
      <c r="P16" s="39" t="str">
        <f t="shared" si="13"/>
        <v>T20 ODS Motor</v>
      </c>
      <c r="Q16" s="39" t="str">
        <f t="shared" si="14"/>
        <v>T20 ODS Motor</v>
      </c>
      <c r="R16" s="39" t="str">
        <f t="shared" si="15"/>
        <v>T20 ODS Motor</v>
      </c>
      <c r="S16" s="39" t="str">
        <f t="shared" si="16"/>
        <v>T20 ODS Motor</v>
      </c>
      <c r="T16" s="39" t="str">
        <f t="shared" si="17"/>
        <v>T20 ODS Motor</v>
      </c>
      <c r="U16" s="39" t="str">
        <f t="shared" si="18"/>
        <v>T20 ODS Motor</v>
      </c>
      <c r="V16" s="39" t="str">
        <f t="shared" si="19"/>
        <v>T20 ODS Motor</v>
      </c>
      <c r="W16" s="39" t="str">
        <f t="shared" si="20"/>
        <v>T20 ODS Motor</v>
      </c>
      <c r="X16" s="39" t="str">
        <f t="shared" si="21"/>
        <v>T20 ODS Motor</v>
      </c>
      <c r="Y16" s="39" t="str">
        <f t="shared" si="22"/>
        <v>T20 ODS Motor</v>
      </c>
      <c r="Z16" t="str">
        <f>IFERROR(TRIM(INDEX(MFA240vG,MATCH('Job Sheet'!$J$11,MFA240vD,1),MATCH('Job Sheet'!$I$11,MFA240vW,1))),"")</f>
        <v>Acmeda External 30nm Remote Motor</v>
      </c>
    </row>
    <row r="17" spans="1:25" ht="14.4">
      <c r="A17" s="98">
        <v>2080</v>
      </c>
      <c r="B17" s="39" t="s">
        <v>263</v>
      </c>
      <c r="C17" s="39" t="str">
        <f t="shared" si="0"/>
        <v>L10 ODS Motor</v>
      </c>
      <c r="D17" s="39" t="str">
        <f t="shared" si="1"/>
        <v>L10 ODS Motor</v>
      </c>
      <c r="E17" s="39" t="str">
        <f t="shared" si="2"/>
        <v>L10 ODS Motor</v>
      </c>
      <c r="F17" s="39" t="str">
        <f t="shared" si="3"/>
        <v>L10 ODS Motor</v>
      </c>
      <c r="G17" s="39" t="str">
        <f t="shared" si="4"/>
        <v>L10 ODS Motor</v>
      </c>
      <c r="H17" s="39" t="str">
        <f t="shared" si="5"/>
        <v>L10 ODS Motor</v>
      </c>
      <c r="I17" s="39" t="str">
        <f t="shared" si="6"/>
        <v>L10 ODS Motor</v>
      </c>
      <c r="J17" s="39" t="str">
        <f t="shared" si="7"/>
        <v>L10 ODS Motor</v>
      </c>
      <c r="K17" s="39" t="str">
        <f t="shared" si="8"/>
        <v>T20 ODS Motor</v>
      </c>
      <c r="L17" s="39" t="str">
        <f t="shared" si="9"/>
        <v>T20 ODS Motor</v>
      </c>
      <c r="M17" s="39" t="str">
        <f t="shared" si="10"/>
        <v>T20 ODS Motor</v>
      </c>
      <c r="N17" s="39" t="str">
        <f t="shared" si="11"/>
        <v>T20 ODS Motor</v>
      </c>
      <c r="O17" s="39" t="str">
        <f t="shared" si="12"/>
        <v>T20 ODS Motor</v>
      </c>
      <c r="P17" s="39" t="str">
        <f t="shared" si="13"/>
        <v>T20 ODS Motor</v>
      </c>
      <c r="Q17" s="39" t="str">
        <f t="shared" si="14"/>
        <v>T20 ODS Motor</v>
      </c>
      <c r="R17" s="39" t="str">
        <f t="shared" si="15"/>
        <v>T20 ODS Motor</v>
      </c>
      <c r="S17" s="39" t="str">
        <f t="shared" si="16"/>
        <v>T20 ODS Motor</v>
      </c>
      <c r="T17" s="39" t="str">
        <f t="shared" si="17"/>
        <v>T20 ODS Motor</v>
      </c>
      <c r="U17" s="39" t="str">
        <f t="shared" si="18"/>
        <v>T20 ODS Motor</v>
      </c>
      <c r="V17" s="39" t="str">
        <f t="shared" si="19"/>
        <v>T20 ODS Motor</v>
      </c>
      <c r="W17" s="39" t="str">
        <f t="shared" si="20"/>
        <v>T20 ODS Motor</v>
      </c>
      <c r="X17" s="39" t="str">
        <f t="shared" si="21"/>
        <v>T20 ODS Motor</v>
      </c>
      <c r="Y17" s="39" t="str">
        <f t="shared" si="22"/>
        <v>T20 ODS Motor</v>
      </c>
    </row>
    <row r="18" spans="1:25" ht="14.4">
      <c r="A18" s="98">
        <v>2180</v>
      </c>
      <c r="B18" s="39" t="s">
        <v>263</v>
      </c>
      <c r="C18" s="39" t="str">
        <f t="shared" si="0"/>
        <v>L10 ODS Motor</v>
      </c>
      <c r="D18" s="39" t="str">
        <f t="shared" si="1"/>
        <v>L10 ODS Motor</v>
      </c>
      <c r="E18" s="39" t="str">
        <f t="shared" si="2"/>
        <v>L10 ODS Motor</v>
      </c>
      <c r="F18" s="39" t="str">
        <f t="shared" si="3"/>
        <v>L10 ODS Motor</v>
      </c>
      <c r="G18" s="39" t="str">
        <f t="shared" si="4"/>
        <v>L10 ODS Motor</v>
      </c>
      <c r="H18" s="39" t="str">
        <f t="shared" si="5"/>
        <v>L10 ODS Motor</v>
      </c>
      <c r="I18" s="39" t="str">
        <f t="shared" si="6"/>
        <v>L10 ODS Motor</v>
      </c>
      <c r="J18" s="39" t="str">
        <f t="shared" si="7"/>
        <v>T20 ODS Motor</v>
      </c>
      <c r="K18" s="39" t="str">
        <f t="shared" si="8"/>
        <v>T20 ODS Motor</v>
      </c>
      <c r="L18" s="39" t="str">
        <f t="shared" si="9"/>
        <v>T20 ODS Motor</v>
      </c>
      <c r="M18" s="39" t="str">
        <f t="shared" si="10"/>
        <v>T20 ODS Motor</v>
      </c>
      <c r="N18" s="39" t="str">
        <f t="shared" si="11"/>
        <v>T20 ODS Motor</v>
      </c>
      <c r="O18" s="39" t="str">
        <f t="shared" si="12"/>
        <v>T20 ODS Motor</v>
      </c>
      <c r="P18" s="39" t="str">
        <f t="shared" si="13"/>
        <v>T20 ODS Motor</v>
      </c>
      <c r="Q18" s="39" t="str">
        <f t="shared" si="14"/>
        <v>T20 ODS Motor</v>
      </c>
      <c r="R18" s="39" t="str">
        <f t="shared" si="15"/>
        <v>T20 ODS Motor</v>
      </c>
      <c r="S18" s="39" t="str">
        <f t="shared" si="16"/>
        <v>T20 ODS Motor</v>
      </c>
      <c r="T18" s="39" t="str">
        <f t="shared" si="17"/>
        <v>T20 ODS Motor</v>
      </c>
      <c r="U18" s="39" t="str">
        <f t="shared" si="18"/>
        <v>T20 ODS Motor</v>
      </c>
      <c r="V18" s="39" t="str">
        <f t="shared" si="19"/>
        <v>T20 ODS Motor</v>
      </c>
      <c r="W18" s="39" t="str">
        <f t="shared" si="20"/>
        <v>T20 ODS Motor</v>
      </c>
      <c r="X18" s="39" t="str">
        <f t="shared" si="21"/>
        <v>T20 ODS Motor</v>
      </c>
      <c r="Y18" s="39" t="str">
        <f t="shared" si="22"/>
        <v>T20 ODS Motor</v>
      </c>
    </row>
    <row r="19" spans="1:25" ht="14.4">
      <c r="A19" s="98">
        <v>2280</v>
      </c>
      <c r="B19" s="39" t="s">
        <v>263</v>
      </c>
      <c r="C19" s="39" t="str">
        <f t="shared" si="0"/>
        <v>L10 ODS Motor</v>
      </c>
      <c r="D19" s="39" t="str">
        <f t="shared" si="1"/>
        <v>L10 ODS Motor</v>
      </c>
      <c r="E19" s="39" t="str">
        <f t="shared" si="2"/>
        <v>L10 ODS Motor</v>
      </c>
      <c r="F19" s="39" t="str">
        <f t="shared" si="3"/>
        <v>L10 ODS Motor</v>
      </c>
      <c r="G19" s="39" t="str">
        <f t="shared" si="4"/>
        <v>L10 ODS Motor</v>
      </c>
      <c r="H19" s="39" t="str">
        <f t="shared" si="5"/>
        <v>L10 ODS Motor</v>
      </c>
      <c r="I19" s="39" t="str">
        <f t="shared" si="6"/>
        <v>L10 ODS Motor</v>
      </c>
      <c r="J19" s="39" t="str">
        <f t="shared" si="7"/>
        <v>T20 ODS Motor</v>
      </c>
      <c r="K19" s="39" t="str">
        <f t="shared" si="8"/>
        <v>T20 ODS Motor</v>
      </c>
      <c r="L19" s="39" t="str">
        <f t="shared" si="9"/>
        <v>T20 ODS Motor</v>
      </c>
      <c r="M19" s="39" t="str">
        <f t="shared" si="10"/>
        <v>T20 ODS Motor</v>
      </c>
      <c r="N19" s="39" t="str">
        <f t="shared" si="11"/>
        <v>T20 ODS Motor</v>
      </c>
      <c r="O19" s="39" t="str">
        <f t="shared" si="12"/>
        <v>T20 ODS Motor</v>
      </c>
      <c r="P19" s="39" t="str">
        <f t="shared" si="13"/>
        <v>T20 ODS Motor</v>
      </c>
      <c r="Q19" s="39" t="str">
        <f t="shared" si="14"/>
        <v>T20 ODS Motor</v>
      </c>
      <c r="R19" s="39" t="str">
        <f t="shared" si="15"/>
        <v>T20 ODS Motor</v>
      </c>
      <c r="S19" s="39" t="str">
        <f t="shared" si="16"/>
        <v>T20 ODS Motor</v>
      </c>
      <c r="T19" s="39" t="str">
        <f t="shared" si="17"/>
        <v>T20 ODS Motor</v>
      </c>
      <c r="U19" s="39" t="str">
        <f t="shared" si="18"/>
        <v>T20 ODS Motor</v>
      </c>
      <c r="V19" s="39" t="str">
        <f t="shared" si="19"/>
        <v>T20 ODS Motor</v>
      </c>
      <c r="W19" s="39" t="str">
        <f t="shared" si="20"/>
        <v>T20 ODS Motor</v>
      </c>
      <c r="X19" s="39" t="str">
        <f t="shared" si="21"/>
        <v>T20 ODS Motor</v>
      </c>
      <c r="Y19" s="39" t="str">
        <f t="shared" si="22"/>
        <v>T20 ODS Motor</v>
      </c>
    </row>
    <row r="20" spans="1:25" ht="14.4">
      <c r="A20" s="98">
        <v>2380</v>
      </c>
      <c r="B20" s="39" t="s">
        <v>263</v>
      </c>
      <c r="C20" s="39" t="str">
        <f t="shared" si="0"/>
        <v>L10 ODS Motor</v>
      </c>
      <c r="D20" s="39" t="str">
        <f t="shared" si="1"/>
        <v>L10 ODS Motor</v>
      </c>
      <c r="E20" s="39" t="str">
        <f t="shared" si="2"/>
        <v>L10 ODS Motor</v>
      </c>
      <c r="F20" s="39" t="str">
        <f t="shared" si="3"/>
        <v>L10 ODS Motor</v>
      </c>
      <c r="G20" s="39" t="str">
        <f t="shared" si="4"/>
        <v>L10 ODS Motor</v>
      </c>
      <c r="H20" s="39" t="str">
        <f t="shared" si="5"/>
        <v>L10 ODS Motor</v>
      </c>
      <c r="I20" s="39" t="str">
        <f t="shared" si="6"/>
        <v>T20 ODS Motor</v>
      </c>
      <c r="J20" s="39" t="str">
        <f t="shared" si="7"/>
        <v>T20 ODS Motor</v>
      </c>
      <c r="K20" s="39" t="str">
        <f t="shared" si="8"/>
        <v>T20 ODS Motor</v>
      </c>
      <c r="L20" s="39" t="str">
        <f t="shared" si="9"/>
        <v>T20 ODS Motor</v>
      </c>
      <c r="M20" s="39" t="str">
        <f t="shared" si="10"/>
        <v>T20 ODS Motor</v>
      </c>
      <c r="N20" s="39" t="str">
        <f t="shared" si="11"/>
        <v>T20 ODS Motor</v>
      </c>
      <c r="O20" s="39" t="str">
        <f t="shared" si="12"/>
        <v>T20 ODS Motor</v>
      </c>
      <c r="P20" s="39" t="str">
        <f t="shared" si="13"/>
        <v>T20 ODS Motor</v>
      </c>
      <c r="Q20" s="39" t="str">
        <f t="shared" si="14"/>
        <v>T20 ODS Motor</v>
      </c>
      <c r="R20" s="39" t="str">
        <f t="shared" si="15"/>
        <v>T20 ODS Motor</v>
      </c>
      <c r="S20" s="39" t="str">
        <f t="shared" si="16"/>
        <v>T20 ODS Motor</v>
      </c>
      <c r="T20" s="39" t="str">
        <f t="shared" si="17"/>
        <v>T20 ODS Motor</v>
      </c>
      <c r="U20" s="39" t="str">
        <f t="shared" si="18"/>
        <v>T20 ODS Motor</v>
      </c>
      <c r="V20" s="39" t="str">
        <f t="shared" si="19"/>
        <v>T20 ODS Motor</v>
      </c>
      <c r="W20" s="39" t="str">
        <f t="shared" si="20"/>
        <v>T20 ODS Motor</v>
      </c>
      <c r="X20" s="39" t="str">
        <f t="shared" si="21"/>
        <v>T20 ODS Motor</v>
      </c>
      <c r="Y20" s="39" t="str">
        <f t="shared" si="22"/>
        <v>T20 ODS Motor</v>
      </c>
    </row>
    <row r="21" spans="1:25" ht="14.4">
      <c r="A21" s="98">
        <v>2480</v>
      </c>
      <c r="B21" s="39" t="s">
        <v>263</v>
      </c>
      <c r="C21" s="39" t="str">
        <f t="shared" si="0"/>
        <v>L10 ODS Motor</v>
      </c>
      <c r="D21" s="39" t="str">
        <f t="shared" si="1"/>
        <v>L10 ODS Motor</v>
      </c>
      <c r="E21" s="39" t="str">
        <f t="shared" si="2"/>
        <v>L10 ODS Motor</v>
      </c>
      <c r="F21" s="39" t="str">
        <f t="shared" si="3"/>
        <v>L10 ODS Motor</v>
      </c>
      <c r="G21" s="39" t="str">
        <f t="shared" si="4"/>
        <v>L10 ODS Motor</v>
      </c>
      <c r="H21" s="39" t="str">
        <f t="shared" si="5"/>
        <v>T20 ODS Motor</v>
      </c>
      <c r="I21" s="39" t="str">
        <f t="shared" si="6"/>
        <v>T20 ODS Motor</v>
      </c>
      <c r="J21" s="39" t="str">
        <f t="shared" si="7"/>
        <v>T20 ODS Motor</v>
      </c>
      <c r="K21" s="39" t="str">
        <f t="shared" si="8"/>
        <v>T20 ODS Motor</v>
      </c>
      <c r="L21" s="39" t="str">
        <f t="shared" si="9"/>
        <v>T20 ODS Motor</v>
      </c>
      <c r="M21" s="39" t="str">
        <f t="shared" si="10"/>
        <v>T20 ODS Motor</v>
      </c>
      <c r="N21" s="39" t="str">
        <f t="shared" si="11"/>
        <v>T20 ODS Motor</v>
      </c>
      <c r="O21" s="39" t="str">
        <f t="shared" si="12"/>
        <v>T20 ODS Motor</v>
      </c>
      <c r="P21" s="39" t="str">
        <f t="shared" si="13"/>
        <v>T20 ODS Motor</v>
      </c>
      <c r="Q21" s="39" t="str">
        <f t="shared" si="14"/>
        <v>T20 ODS Motor</v>
      </c>
      <c r="R21" s="39" t="str">
        <f t="shared" si="15"/>
        <v>T20 ODS Motor</v>
      </c>
      <c r="S21" s="39" t="str">
        <f t="shared" si="16"/>
        <v>T20 ODS Motor</v>
      </c>
      <c r="T21" s="39" t="str">
        <f t="shared" si="17"/>
        <v>T20 ODS Motor</v>
      </c>
      <c r="U21" s="39" t="str">
        <f t="shared" si="18"/>
        <v>T20 ODS Motor</v>
      </c>
      <c r="V21" s="39" t="str">
        <f t="shared" si="19"/>
        <v>T20 ODS Motor</v>
      </c>
      <c r="W21" s="39" t="str">
        <f t="shared" si="20"/>
        <v>T20 ODS Motor</v>
      </c>
      <c r="X21" s="39" t="str">
        <f t="shared" si="21"/>
        <v>T20 ODS Motor</v>
      </c>
      <c r="Y21" s="39" t="str">
        <f t="shared" si="22"/>
        <v>T20 ODS Motor</v>
      </c>
    </row>
    <row r="22" spans="1:25" ht="14.4">
      <c r="A22" s="98">
        <v>2580</v>
      </c>
      <c r="B22" s="39" t="s">
        <v>263</v>
      </c>
      <c r="C22" s="39" t="str">
        <f t="shared" si="0"/>
        <v>L10 ODS Motor</v>
      </c>
      <c r="D22" s="39" t="str">
        <f t="shared" si="1"/>
        <v>L10 ODS Motor</v>
      </c>
      <c r="E22" s="39" t="str">
        <f t="shared" si="2"/>
        <v>L10 ODS Motor</v>
      </c>
      <c r="F22" s="39" t="str">
        <f t="shared" si="3"/>
        <v>L10 ODS Motor</v>
      </c>
      <c r="G22" s="39" t="str">
        <f t="shared" si="4"/>
        <v>T20 ODS Motor</v>
      </c>
      <c r="H22" s="39" t="str">
        <f t="shared" si="5"/>
        <v>T20 ODS Motor</v>
      </c>
      <c r="I22" s="39" t="str">
        <f t="shared" si="6"/>
        <v>T20 ODS Motor</v>
      </c>
      <c r="J22" s="39" t="str">
        <f t="shared" si="7"/>
        <v>T20 ODS Motor</v>
      </c>
      <c r="K22" s="39" t="str">
        <f t="shared" si="8"/>
        <v>T20 ODS Motor</v>
      </c>
      <c r="L22" s="39" t="str">
        <f t="shared" si="9"/>
        <v>T20 ODS Motor</v>
      </c>
      <c r="M22" s="39" t="str">
        <f t="shared" si="10"/>
        <v>T20 ODS Motor</v>
      </c>
      <c r="N22" s="39" t="str">
        <f t="shared" si="11"/>
        <v>T20 ODS Motor</v>
      </c>
      <c r="O22" s="39" t="str">
        <f t="shared" si="12"/>
        <v>T20 ODS Motor</v>
      </c>
      <c r="P22" s="39" t="str">
        <f t="shared" si="13"/>
        <v>T20 ODS Motor</v>
      </c>
      <c r="Q22" s="39" t="str">
        <f t="shared" si="14"/>
        <v>T20 ODS Motor</v>
      </c>
      <c r="R22" s="39" t="str">
        <f t="shared" si="15"/>
        <v>T20 ODS Motor</v>
      </c>
      <c r="S22" s="39" t="str">
        <f t="shared" si="16"/>
        <v>T20 ODS Motor</v>
      </c>
      <c r="T22" s="39" t="str">
        <f t="shared" si="17"/>
        <v>T20 ODS Motor</v>
      </c>
      <c r="U22" s="39" t="str">
        <f t="shared" si="18"/>
        <v>T20 ODS Motor</v>
      </c>
      <c r="V22" s="39" t="str">
        <f t="shared" si="19"/>
        <v>T20 ODS Motor</v>
      </c>
      <c r="W22" s="39" t="str">
        <f t="shared" si="20"/>
        <v>T20 ODS Motor</v>
      </c>
      <c r="X22" s="39" t="str">
        <f t="shared" si="21"/>
        <v>T20 ODS Motor</v>
      </c>
      <c r="Y22" s="39" t="str">
        <f t="shared" si="22"/>
        <v>T35 ODS Motor</v>
      </c>
    </row>
    <row r="23" spans="1:25" ht="14.4">
      <c r="A23" s="98">
        <v>2680</v>
      </c>
      <c r="B23" s="39" t="s">
        <v>263</v>
      </c>
      <c r="C23" s="39" t="str">
        <f t="shared" si="0"/>
        <v>L10 ODS Motor</v>
      </c>
      <c r="D23" s="39" t="str">
        <f t="shared" si="1"/>
        <v>L10 ODS Motor</v>
      </c>
      <c r="E23" s="39" t="str">
        <f t="shared" si="2"/>
        <v>L10 ODS Motor</v>
      </c>
      <c r="F23" s="39" t="str">
        <f t="shared" si="3"/>
        <v>L10 ODS Motor</v>
      </c>
      <c r="G23" s="39" t="str">
        <f t="shared" si="4"/>
        <v>T20 ODS Motor</v>
      </c>
      <c r="H23" s="39" t="str">
        <f t="shared" si="5"/>
        <v>T20 ODS Motor</v>
      </c>
      <c r="I23" s="39" t="str">
        <f t="shared" si="6"/>
        <v>T20 ODS Motor</v>
      </c>
      <c r="J23" s="39" t="str">
        <f t="shared" si="7"/>
        <v>T20 ODS Motor</v>
      </c>
      <c r="K23" s="39" t="str">
        <f t="shared" si="8"/>
        <v>T20 ODS Motor</v>
      </c>
      <c r="L23" s="39" t="str">
        <f t="shared" si="9"/>
        <v>T20 ODS Motor</v>
      </c>
      <c r="M23" s="39" t="str">
        <f t="shared" si="10"/>
        <v>T20 ODS Motor</v>
      </c>
      <c r="N23" s="39" t="str">
        <f t="shared" si="11"/>
        <v>T20 ODS Motor</v>
      </c>
      <c r="O23" s="39" t="str">
        <f t="shared" si="12"/>
        <v>T20 ODS Motor</v>
      </c>
      <c r="P23" s="39" t="str">
        <f t="shared" si="13"/>
        <v>T20 ODS Motor</v>
      </c>
      <c r="Q23" s="39" t="str">
        <f t="shared" si="14"/>
        <v>T20 ODS Motor</v>
      </c>
      <c r="R23" s="39" t="str">
        <f t="shared" si="15"/>
        <v>T20 ODS Motor</v>
      </c>
      <c r="S23" s="39" t="str">
        <f t="shared" si="16"/>
        <v>T20 ODS Motor</v>
      </c>
      <c r="T23" s="39" t="str">
        <f t="shared" si="17"/>
        <v>T20 ODS Motor</v>
      </c>
      <c r="U23" s="39" t="str">
        <f t="shared" si="18"/>
        <v>T20 ODS Motor</v>
      </c>
      <c r="V23" s="39" t="str">
        <f t="shared" si="19"/>
        <v>T20 ODS Motor</v>
      </c>
      <c r="W23" s="39" t="str">
        <f t="shared" si="20"/>
        <v>T20 ODS Motor</v>
      </c>
      <c r="X23" s="39" t="str">
        <f t="shared" si="21"/>
        <v>T35 ODS Motor</v>
      </c>
      <c r="Y23" s="39" t="str">
        <f t="shared" si="22"/>
        <v>T35 ODS Motor</v>
      </c>
    </row>
    <row r="24" spans="1:25" ht="14.4">
      <c r="A24" s="98">
        <v>2780</v>
      </c>
      <c r="B24" s="39" t="s">
        <v>263</v>
      </c>
      <c r="C24" s="39" t="str">
        <f t="shared" si="0"/>
        <v>L10 ODS Motor</v>
      </c>
      <c r="D24" s="39" t="str">
        <f t="shared" si="1"/>
        <v>L10 ODS Motor</v>
      </c>
      <c r="E24" s="39" t="str">
        <f t="shared" si="2"/>
        <v>L10 ODS Motor</v>
      </c>
      <c r="F24" s="39" t="str">
        <f t="shared" si="3"/>
        <v>T20 ODS Motor</v>
      </c>
      <c r="G24" s="39" t="str">
        <f t="shared" si="4"/>
        <v>T20 ODS Motor</v>
      </c>
      <c r="H24" s="39" t="str">
        <f t="shared" si="5"/>
        <v>T20 ODS Motor</v>
      </c>
      <c r="I24" s="39" t="str">
        <f t="shared" si="6"/>
        <v>T20 ODS Motor</v>
      </c>
      <c r="J24" s="39" t="str">
        <f t="shared" si="7"/>
        <v>T20 ODS Motor</v>
      </c>
      <c r="K24" s="39" t="str">
        <f t="shared" si="8"/>
        <v>T20 ODS Motor</v>
      </c>
      <c r="L24" s="39" t="str">
        <f t="shared" si="9"/>
        <v>T20 ODS Motor</v>
      </c>
      <c r="M24" s="39" t="str">
        <f t="shared" si="10"/>
        <v>T20 ODS Motor</v>
      </c>
      <c r="N24" s="39" t="str">
        <f t="shared" si="11"/>
        <v>T20 ODS Motor</v>
      </c>
      <c r="O24" s="39" t="str">
        <f t="shared" si="12"/>
        <v>T20 ODS Motor</v>
      </c>
      <c r="P24" s="39" t="str">
        <f t="shared" si="13"/>
        <v>T20 ODS Motor</v>
      </c>
      <c r="Q24" s="39" t="str">
        <f t="shared" si="14"/>
        <v>T20 ODS Motor</v>
      </c>
      <c r="R24" s="39" t="str">
        <f t="shared" si="15"/>
        <v>T20 ODS Motor</v>
      </c>
      <c r="S24" s="39" t="str">
        <f t="shared" si="16"/>
        <v>T20 ODS Motor</v>
      </c>
      <c r="T24" s="39" t="str">
        <f t="shared" si="17"/>
        <v>T20 ODS Motor</v>
      </c>
      <c r="U24" s="39" t="str">
        <f t="shared" si="18"/>
        <v>T20 ODS Motor</v>
      </c>
      <c r="V24" s="39" t="str">
        <f t="shared" si="19"/>
        <v>T35 ODS Motor</v>
      </c>
      <c r="W24" s="39" t="str">
        <f t="shared" si="20"/>
        <v>T35 ODS Motor</v>
      </c>
      <c r="X24" s="39" t="str">
        <f t="shared" si="21"/>
        <v>T35 ODS Motor</v>
      </c>
      <c r="Y24" s="39" t="str">
        <f t="shared" si="22"/>
        <v>T35 ODS Motor</v>
      </c>
    </row>
    <row r="25" spans="1:25" ht="14.4">
      <c r="A25" s="98">
        <v>2880</v>
      </c>
      <c r="B25" s="39" t="s">
        <v>263</v>
      </c>
      <c r="C25" s="39" t="str">
        <f t="shared" si="0"/>
        <v>L10 ODS Motor</v>
      </c>
      <c r="D25" s="39" t="str">
        <f t="shared" si="1"/>
        <v>L10 ODS Motor</v>
      </c>
      <c r="E25" s="39" t="str">
        <f t="shared" si="2"/>
        <v>T20 ODS Motor</v>
      </c>
      <c r="F25" s="39" t="str">
        <f t="shared" si="3"/>
        <v>T20 ODS Motor</v>
      </c>
      <c r="G25" s="39" t="str">
        <f t="shared" si="4"/>
        <v>T20 ODS Motor</v>
      </c>
      <c r="H25" s="39" t="str">
        <f t="shared" si="5"/>
        <v>T20 ODS Motor</v>
      </c>
      <c r="I25" s="39" t="str">
        <f t="shared" si="6"/>
        <v>T20 ODS Motor</v>
      </c>
      <c r="J25" s="39" t="str">
        <f t="shared" si="7"/>
        <v>T20 ODS Motor</v>
      </c>
      <c r="K25" s="39" t="str">
        <f t="shared" si="8"/>
        <v>T20 ODS Motor</v>
      </c>
      <c r="L25" s="39" t="str">
        <f t="shared" si="9"/>
        <v>T20 ODS Motor</v>
      </c>
      <c r="M25" s="39" t="str">
        <f t="shared" si="10"/>
        <v>T20 ODS Motor</v>
      </c>
      <c r="N25" s="39" t="str">
        <f t="shared" si="11"/>
        <v>T20 ODS Motor</v>
      </c>
      <c r="O25" s="39" t="str">
        <f t="shared" si="12"/>
        <v>T20 ODS Motor</v>
      </c>
      <c r="P25" s="39" t="str">
        <f t="shared" si="13"/>
        <v>T20 ODS Motor</v>
      </c>
      <c r="Q25" s="39" t="str">
        <f t="shared" si="14"/>
        <v>T20 ODS Motor</v>
      </c>
      <c r="R25" s="39" t="str">
        <f t="shared" si="15"/>
        <v>T20 ODS Motor</v>
      </c>
      <c r="S25" s="39" t="str">
        <f t="shared" si="16"/>
        <v>T20 ODS Motor</v>
      </c>
      <c r="T25" s="39" t="str">
        <f t="shared" si="17"/>
        <v>T20 ODS Motor</v>
      </c>
      <c r="U25" s="39" t="str">
        <f t="shared" si="18"/>
        <v>T35 ODS Motor</v>
      </c>
      <c r="V25" s="39" t="str">
        <f t="shared" si="19"/>
        <v>T35 ODS Motor</v>
      </c>
      <c r="W25" s="39" t="str">
        <f t="shared" si="20"/>
        <v>T35 ODS Motor</v>
      </c>
      <c r="X25" s="39" t="str">
        <f t="shared" si="21"/>
        <v>T35 ODS Motor</v>
      </c>
      <c r="Y25" s="39" t="str">
        <f t="shared" si="22"/>
        <v>T35 ODS Motor</v>
      </c>
    </row>
    <row r="26" spans="1:25" ht="14.4">
      <c r="A26" s="98">
        <v>2980</v>
      </c>
      <c r="B26" s="39" t="s">
        <v>263</v>
      </c>
      <c r="C26" s="39" t="str">
        <f t="shared" si="0"/>
        <v>L10 ODS Motor</v>
      </c>
      <c r="D26" s="39" t="str">
        <f t="shared" si="1"/>
        <v>L10 ODS Motor</v>
      </c>
      <c r="E26" s="39" t="str">
        <f t="shared" si="2"/>
        <v>T20 ODS Motor</v>
      </c>
      <c r="F26" s="39" t="str">
        <f t="shared" si="3"/>
        <v>T20 ODS Motor</v>
      </c>
      <c r="G26" s="39" t="str">
        <f t="shared" si="4"/>
        <v>T20 ODS Motor</v>
      </c>
      <c r="H26" s="39" t="str">
        <f t="shared" si="5"/>
        <v>T20 ODS Motor</v>
      </c>
      <c r="I26" s="39" t="str">
        <f t="shared" si="6"/>
        <v>T20 ODS Motor</v>
      </c>
      <c r="J26" s="39" t="str">
        <f t="shared" si="7"/>
        <v>T20 ODS Motor</v>
      </c>
      <c r="K26" s="39" t="str">
        <f t="shared" si="8"/>
        <v>T20 ODS Motor</v>
      </c>
      <c r="L26" s="39" t="str">
        <f t="shared" si="9"/>
        <v>T20 ODS Motor</v>
      </c>
      <c r="M26" s="39" t="str">
        <f t="shared" si="10"/>
        <v>T20 ODS Motor</v>
      </c>
      <c r="N26" s="39" t="str">
        <f t="shared" si="11"/>
        <v>T20 ODS Motor</v>
      </c>
      <c r="O26" s="39" t="str">
        <f t="shared" si="12"/>
        <v>T20 ODS Motor</v>
      </c>
      <c r="P26" s="39" t="str">
        <f t="shared" si="13"/>
        <v>T20 ODS Motor</v>
      </c>
      <c r="Q26" s="39" t="str">
        <f t="shared" si="14"/>
        <v>T20 ODS Motor</v>
      </c>
      <c r="R26" s="39" t="str">
        <f t="shared" si="15"/>
        <v>T20 ODS Motor</v>
      </c>
      <c r="S26" s="39" t="str">
        <f t="shared" si="16"/>
        <v>T20 ODS Motor</v>
      </c>
      <c r="T26" s="39" t="str">
        <f t="shared" si="17"/>
        <v>T35 ODS Motor</v>
      </c>
      <c r="U26" s="39" t="str">
        <f t="shared" si="18"/>
        <v>T35 ODS Motor</v>
      </c>
      <c r="V26" s="39" t="str">
        <f t="shared" si="19"/>
        <v>T35 ODS Motor</v>
      </c>
      <c r="W26" s="39" t="str">
        <f t="shared" si="20"/>
        <v>T35 ODS Motor</v>
      </c>
      <c r="X26" s="39" t="str">
        <f t="shared" si="21"/>
        <v>T35 ODS Motor</v>
      </c>
      <c r="Y26" s="39" t="str">
        <f t="shared" si="22"/>
        <v>T35 ODS Motor</v>
      </c>
    </row>
    <row r="29" spans="1:22" ht="13.2">
      <c r="A29" s="312" t="s">
        <v>289</v>
      </c>
      <c r="B29" s="312"/>
      <c r="C29" s="312"/>
      <c r="D29" s="312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312"/>
      <c r="P29" s="312"/>
      <c r="Q29" s="312"/>
      <c r="R29" s="312"/>
      <c r="S29" s="312"/>
      <c r="T29" s="312"/>
      <c r="U29" s="312"/>
      <c r="V29" s="312"/>
    </row>
    <row r="30" spans="1:22" ht="14.4">
      <c r="A30" s="98" t="s">
        <v>262</v>
      </c>
      <c r="B30" s="98">
        <v>0</v>
      </c>
      <c r="C30" s="98">
        <v>450</v>
      </c>
      <c r="D30" s="98">
        <v>615</v>
      </c>
      <c r="E30" s="98">
        <v>690</v>
      </c>
      <c r="F30" s="98">
        <v>1900</v>
      </c>
      <c r="G30" s="98">
        <v>2000</v>
      </c>
      <c r="H30" s="98">
        <v>2100</v>
      </c>
      <c r="I30" s="98">
        <v>2200</v>
      </c>
      <c r="J30" s="98">
        <v>2300</v>
      </c>
      <c r="K30" s="98">
        <v>2400</v>
      </c>
      <c r="L30" s="98">
        <v>2500</v>
      </c>
      <c r="M30" s="98">
        <v>2600</v>
      </c>
      <c r="N30" s="98">
        <v>2700</v>
      </c>
      <c r="O30" s="98">
        <v>2800</v>
      </c>
      <c r="P30" s="98">
        <v>2900</v>
      </c>
      <c r="Q30" s="98">
        <v>3000</v>
      </c>
      <c r="R30" s="98">
        <v>3100</v>
      </c>
      <c r="S30" s="98">
        <v>3200</v>
      </c>
      <c r="T30" s="98">
        <v>3300</v>
      </c>
      <c r="U30" s="98">
        <v>3400</v>
      </c>
      <c r="V30" s="98">
        <v>3500</v>
      </c>
    </row>
    <row r="31" spans="1:22" ht="14.4">
      <c r="A31" s="98">
        <v>0</v>
      </c>
      <c r="B31" s="39" t="s">
        <v>798</v>
      </c>
      <c r="C31" s="39" t="s">
        <v>336</v>
      </c>
      <c r="D31" s="39" t="s">
        <v>824</v>
      </c>
      <c r="E31" s="39" t="str">
        <f t="shared" si="23" ref="E31:E54">IF(((($E$30)*(A31))/1000000*3.5)&lt;16,"Maxim 10nm Remote Motor",IF(((($E$30)*(A31))/1000000*3.5)&lt;=32,"Maxim 20nm Remote Motor","CW5R 50nm Remote Motor"))</f>
        <v>Maxim 10nm Remote Motor</v>
      </c>
      <c r="F31" s="39" t="str">
        <f t="shared" si="24" ref="F31:F54">IF(((($F$30)*(A31))/1000000*3.5)&lt;16,"Maxim 10nm Remote Motor",IF(((($F$30)*(A31))/1000000*3.5)&lt;=32,"Maxim 20nm Remote Motor","CW5R 50nm Remote Motor"))</f>
        <v>Maxim 10nm Remote Motor</v>
      </c>
      <c r="G31" s="39" t="str">
        <f t="shared" si="25" ref="G31:G54">IF(((($G$30)*(A31))/1000000*3.5)&lt;16,"Maxim 10nm Remote Motor",IF(((($G$30)*(A31))/1000000*3.5)&lt;=32,"Maxim 20nm Remote Motor","CW5R 50nm Remote Motor"))</f>
        <v>Maxim 10nm Remote Motor</v>
      </c>
      <c r="H31" s="39" t="str">
        <f t="shared" si="26" ref="H31:H54">IF(((($H$30)*(A31))/1000000*3.5)&lt;16,"Maxim 10nm Remote Motor",IF(((($H$30)*(A31))/1000000*3.5)&lt;=32,"Maxim 20nm Remote Motor","CW5R 50nm Remote Motor"))</f>
        <v>Maxim 10nm Remote Motor</v>
      </c>
      <c r="I31" s="39" t="str">
        <f t="shared" si="27" ref="I31:I54">IF(((($I$30)*(A31))/1000000*3.5)&lt;16,"Maxim 10nm Remote Motor",IF(((($I$30)*(A31))/1000000*3.5)&lt;=32,"Maxim 20nm Remote Motor","CW5R 50nm Remote Motor"))</f>
        <v>Maxim 10nm Remote Motor</v>
      </c>
      <c r="J31" s="39" t="str">
        <f t="shared" si="28" ref="J31:J54">IF(((($J$30)*(A31))/1000000*3.5)&lt;16,"Maxim 10nm Remote Motor",IF(((($J$30)*(A31))/1000000*3.5)&lt;=32,"Maxim 20nm Remote Motor","CW5R 50nm Remote Motor"))</f>
        <v>Maxim 10nm Remote Motor</v>
      </c>
      <c r="K31" s="39" t="str">
        <f t="shared" si="29" ref="K31:K54">IF(((($K$30)*(A31))/1000000*3.5)&lt;16,"Maxim 10nm Remote Motor",IF(((($K$30)*(A31))/1000000*3.5)&lt;=32,"Maxim 20nm Remote Motor","CW5R 50nm Remote Motor"))</f>
        <v>Maxim 10nm Remote Motor</v>
      </c>
      <c r="L31" s="39" t="str">
        <f t="shared" si="30" ref="L31:L54">IF(((($L$30)*(A31))/1000000*3.5)&lt;16,"Maxim 10nm Remote Motor",IF(((($L$30)*(A31))/1000000*3.5)&lt;=32,"Maxim 20nm Remote Motor","CW5R 50nm Remote Motor"))</f>
        <v>Maxim 10nm Remote Motor</v>
      </c>
      <c r="M31" s="39" t="str">
        <f t="shared" si="31" ref="M31:M54">IF(((($M$30)*(A31))/1000000*3.5)&lt;16,"Maxim 10nm Remote Motor",IF(((($M$30)*(A31))/1000000*3.5)&lt;=32,"Maxim 20nm Remote Motor","CW5R 50nm Remote Motor"))</f>
        <v>Maxim 10nm Remote Motor</v>
      </c>
      <c r="N31" s="39" t="str">
        <f t="shared" si="32" ref="N31:N54">IF(((($N$30)*(A31))/1000000*3.5)&lt;16,"Maxim 10nm Remote Motor",IF(((($N$30)*(A31))/1000000*3.5)&lt;=32,"Maxim 20nm Remote Motor","CW5R 50nm Remote Motor"))</f>
        <v>Maxim 10nm Remote Motor</v>
      </c>
      <c r="O31" s="39" t="str">
        <f t="shared" si="33" ref="O31:O54">IF(((($O$30)*(A31))/1000000*3.5)&lt;16,"Maxim 10nm Remote Motor",IF(((($O$30)*(A31))/1000000*3.5)&lt;=32,"Maxim 20nm Remote Motor","CW5R 50nm Remote Motor"))</f>
        <v>Maxim 10nm Remote Motor</v>
      </c>
      <c r="P31" s="39" t="str">
        <f t="shared" si="34" ref="P31:P54">IF(((($P$30)*(A31))/1000000*3.5)&lt;16,"Maxim 10nm Remote Motor",IF(((($P$30)*(A31))/1000000*3.5)&lt;=32,"Maxim 20nm Remote Motor","CW5R 50nm Remote Motor"))</f>
        <v>Maxim 10nm Remote Motor</v>
      </c>
      <c r="Q31" s="39" t="str">
        <f t="shared" si="35" ref="Q31:Q54">IF(((($Q$30)*(A31))/1000000*3.5)&lt;16,"Maxim 10nm Remote Motor",IF(((($Q$30)*(A31))/1000000*3.5)&lt;=32,"Maxim 20nm Remote Motor","CW5R 50nm Remote Motor"))</f>
        <v>Maxim 10nm Remote Motor</v>
      </c>
      <c r="R31" s="39" t="str">
        <f t="shared" si="36" ref="R31:R54">IF(((($R$30)*(A31))/1000000*3.5)&lt;16,"Maxim 10nm Remote Motor",IF(((($R$30)*(A31))/1000000*3.5)&lt;=32,"Maxim 20nm Remote Motor","CW5R 50nm Remote Motor"))</f>
        <v>Maxim 10nm Remote Motor</v>
      </c>
      <c r="S31" s="39" t="str">
        <f t="shared" si="37" ref="S31:S54">IF(((($S$30)*(A31))/1000000*3.5)&lt;16,"Maxim 10nm Remote Motor",IF(((($S$30)*(A31))/1000000*3.5)&lt;=32,"Maxim 20nm Remote Motor","CW5R 50nm Remote Motor"))</f>
        <v>Maxim 10nm Remote Motor</v>
      </c>
      <c r="T31" s="39" t="str">
        <f t="shared" si="38" ref="T31:T54">IF(((($T$30)*(A31))/1000000*3.5)&lt;16,"Maxim 10nm Remote Motor",IF(((($T$30)*(A31))/1000000*3.5)&lt;=32,"Maxim 20nm Remote Motor","CW5R 50nm Remote Motor"))</f>
        <v>Maxim 10nm Remote Motor</v>
      </c>
      <c r="U31" s="39" t="str">
        <f t="shared" si="39" ref="U31:U54">IF(((($U$30)*(A31))/1000000*3.5)&lt;16,"Maxim 10nm Remote Motor",IF(((($U$30)*(A31))/1000000*3.5)&lt;=32,"Maxim 20nm Remote Motor","CW5R 50nm Remote Motor"))</f>
        <v>Maxim 10nm Remote Motor</v>
      </c>
      <c r="V31" s="39" t="str">
        <f t="shared" si="40" ref="V31:V54">IF(((($V$30)*(A31))/1000000*3.5)&lt;16,"Maxim 10nm Remote Motor",IF(((($V$30)*(A31))/1000000*3.5)&lt;=32,"Maxim 20nm Remote Motor","CW5R 50nm Remote Motor"))</f>
        <v>Maxim 10nm Remote Motor</v>
      </c>
    </row>
    <row r="32" spans="1:22" ht="14.4">
      <c r="A32" s="98">
        <v>780</v>
      </c>
      <c r="B32" s="39" t="s">
        <v>798</v>
      </c>
      <c r="C32" s="39" t="s">
        <v>336</v>
      </c>
      <c r="D32" s="39" t="s">
        <v>824</v>
      </c>
      <c r="E32" s="39" t="str">
        <f t="shared" si="23"/>
        <v>Maxim 10nm Remote Motor</v>
      </c>
      <c r="F32" s="39" t="str">
        <f t="shared" si="24"/>
        <v>Maxim 10nm Remote Motor</v>
      </c>
      <c r="G32" s="39" t="str">
        <f t="shared" si="25"/>
        <v>Maxim 10nm Remote Motor</v>
      </c>
      <c r="H32" s="39" t="str">
        <f t="shared" si="26"/>
        <v>Maxim 10nm Remote Motor</v>
      </c>
      <c r="I32" s="39" t="str">
        <f t="shared" si="27"/>
        <v>Maxim 10nm Remote Motor</v>
      </c>
      <c r="J32" s="39" t="str">
        <f t="shared" si="28"/>
        <v>Maxim 10nm Remote Motor</v>
      </c>
      <c r="K32" s="39" t="str">
        <f t="shared" si="29"/>
        <v>Maxim 10nm Remote Motor</v>
      </c>
      <c r="L32" s="39" t="str">
        <f t="shared" si="30"/>
        <v>Maxim 10nm Remote Motor</v>
      </c>
      <c r="M32" s="39" t="str">
        <f t="shared" si="31"/>
        <v>Maxim 10nm Remote Motor</v>
      </c>
      <c r="N32" s="39" t="str">
        <f t="shared" si="32"/>
        <v>Maxim 10nm Remote Motor</v>
      </c>
      <c r="O32" s="39" t="str">
        <f t="shared" si="33"/>
        <v>Maxim 10nm Remote Motor</v>
      </c>
      <c r="P32" s="39" t="str">
        <f t="shared" si="34"/>
        <v>Maxim 10nm Remote Motor</v>
      </c>
      <c r="Q32" s="39" t="str">
        <f t="shared" si="35"/>
        <v>Maxim 10nm Remote Motor</v>
      </c>
      <c r="R32" s="39" t="str">
        <f t="shared" si="36"/>
        <v>Maxim 10nm Remote Motor</v>
      </c>
      <c r="S32" s="39" t="str">
        <f t="shared" si="37"/>
        <v>Maxim 10nm Remote Motor</v>
      </c>
      <c r="T32" s="39" t="str">
        <f t="shared" si="38"/>
        <v>Maxim 10nm Remote Motor</v>
      </c>
      <c r="U32" s="39" t="str">
        <f t="shared" si="39"/>
        <v>Maxim 10nm Remote Motor</v>
      </c>
      <c r="V32" s="39" t="str">
        <f t="shared" si="40"/>
        <v>Maxim 10nm Remote Motor</v>
      </c>
    </row>
    <row r="33" spans="1:22" ht="14.4">
      <c r="A33" s="98">
        <v>880</v>
      </c>
      <c r="B33" s="39" t="s">
        <v>798</v>
      </c>
      <c r="C33" s="39" t="s">
        <v>336</v>
      </c>
      <c r="D33" s="39" t="s">
        <v>824</v>
      </c>
      <c r="E33" s="39" t="str">
        <f t="shared" si="23"/>
        <v>Maxim 10nm Remote Motor</v>
      </c>
      <c r="F33" s="39" t="str">
        <f t="shared" si="24"/>
        <v>Maxim 10nm Remote Motor</v>
      </c>
      <c r="G33" s="39" t="str">
        <f t="shared" si="25"/>
        <v>Maxim 10nm Remote Motor</v>
      </c>
      <c r="H33" s="39" t="str">
        <f t="shared" si="26"/>
        <v>Maxim 10nm Remote Motor</v>
      </c>
      <c r="I33" s="39" t="str">
        <f t="shared" si="27"/>
        <v>Maxim 10nm Remote Motor</v>
      </c>
      <c r="J33" s="39" t="str">
        <f t="shared" si="28"/>
        <v>Maxim 10nm Remote Motor</v>
      </c>
      <c r="K33" s="39" t="str">
        <f t="shared" si="29"/>
        <v>Maxim 10nm Remote Motor</v>
      </c>
      <c r="L33" s="39" t="str">
        <f t="shared" si="30"/>
        <v>Maxim 10nm Remote Motor</v>
      </c>
      <c r="M33" s="39" t="str">
        <f t="shared" si="31"/>
        <v>Maxim 10nm Remote Motor</v>
      </c>
      <c r="N33" s="39" t="str">
        <f t="shared" si="32"/>
        <v>Maxim 10nm Remote Motor</v>
      </c>
      <c r="O33" s="39" t="str">
        <f t="shared" si="33"/>
        <v>Maxim 10nm Remote Motor</v>
      </c>
      <c r="P33" s="39" t="str">
        <f t="shared" si="34"/>
        <v>Maxim 10nm Remote Motor</v>
      </c>
      <c r="Q33" s="39" t="str">
        <f t="shared" si="35"/>
        <v>Maxim 10nm Remote Motor</v>
      </c>
      <c r="R33" s="39" t="str">
        <f t="shared" si="36"/>
        <v>Maxim 10nm Remote Motor</v>
      </c>
      <c r="S33" s="39" t="str">
        <f t="shared" si="37"/>
        <v>Maxim 10nm Remote Motor</v>
      </c>
      <c r="T33" s="39" t="str">
        <f t="shared" si="38"/>
        <v>Maxim 10nm Remote Motor</v>
      </c>
      <c r="U33" s="39" t="str">
        <f t="shared" si="39"/>
        <v>Maxim 10nm Remote Motor</v>
      </c>
      <c r="V33" s="39" t="str">
        <f t="shared" si="40"/>
        <v>Maxim 10nm Remote Motor</v>
      </c>
    </row>
    <row r="34" spans="1:22" ht="14.4">
      <c r="A34" s="98">
        <v>980</v>
      </c>
      <c r="B34" s="39" t="s">
        <v>798</v>
      </c>
      <c r="C34" s="39" t="s">
        <v>336</v>
      </c>
      <c r="D34" s="39" t="s">
        <v>824</v>
      </c>
      <c r="E34" s="39" t="str">
        <f t="shared" si="23"/>
        <v>Maxim 10nm Remote Motor</v>
      </c>
      <c r="F34" s="39" t="str">
        <f t="shared" si="24"/>
        <v>Maxim 10nm Remote Motor</v>
      </c>
      <c r="G34" s="39" t="str">
        <f t="shared" si="25"/>
        <v>Maxim 10nm Remote Motor</v>
      </c>
      <c r="H34" s="39" t="str">
        <f t="shared" si="26"/>
        <v>Maxim 10nm Remote Motor</v>
      </c>
      <c r="I34" s="39" t="str">
        <f t="shared" si="27"/>
        <v>Maxim 10nm Remote Motor</v>
      </c>
      <c r="J34" s="39" t="str">
        <f t="shared" si="28"/>
        <v>Maxim 10nm Remote Motor</v>
      </c>
      <c r="K34" s="39" t="str">
        <f t="shared" si="29"/>
        <v>Maxim 10nm Remote Motor</v>
      </c>
      <c r="L34" s="39" t="str">
        <f t="shared" si="30"/>
        <v>Maxim 10nm Remote Motor</v>
      </c>
      <c r="M34" s="39" t="str">
        <f t="shared" si="31"/>
        <v>Maxim 10nm Remote Motor</v>
      </c>
      <c r="N34" s="39" t="str">
        <f t="shared" si="32"/>
        <v>Maxim 10nm Remote Motor</v>
      </c>
      <c r="O34" s="39" t="str">
        <f t="shared" si="33"/>
        <v>Maxim 10nm Remote Motor</v>
      </c>
      <c r="P34" s="39" t="str">
        <f t="shared" si="34"/>
        <v>Maxim 10nm Remote Motor</v>
      </c>
      <c r="Q34" s="39" t="str">
        <f t="shared" si="35"/>
        <v>Maxim 10nm Remote Motor</v>
      </c>
      <c r="R34" s="39" t="str">
        <f t="shared" si="36"/>
        <v>Maxim 10nm Remote Motor</v>
      </c>
      <c r="S34" s="39" t="str">
        <f t="shared" si="37"/>
        <v>Maxim 10nm Remote Motor</v>
      </c>
      <c r="T34" s="39" t="str">
        <f t="shared" si="38"/>
        <v>Maxim 10nm Remote Motor</v>
      </c>
      <c r="U34" s="39" t="str">
        <f t="shared" si="39"/>
        <v>Maxim 10nm Remote Motor</v>
      </c>
      <c r="V34" s="39" t="str">
        <f t="shared" si="40"/>
        <v>Maxim 10nm Remote Motor</v>
      </c>
    </row>
    <row r="35" spans="1:22" ht="14.4">
      <c r="A35" s="98">
        <v>1080</v>
      </c>
      <c r="B35" s="39" t="s">
        <v>798</v>
      </c>
      <c r="C35" s="39" t="s">
        <v>336</v>
      </c>
      <c r="D35" s="39" t="s">
        <v>824</v>
      </c>
      <c r="E35" s="39" t="str">
        <f t="shared" si="23"/>
        <v>Maxim 10nm Remote Motor</v>
      </c>
      <c r="F35" s="39" t="str">
        <f t="shared" si="24"/>
        <v>Maxim 10nm Remote Motor</v>
      </c>
      <c r="G35" s="39" t="str">
        <f t="shared" si="25"/>
        <v>Maxim 10nm Remote Motor</v>
      </c>
      <c r="H35" s="39" t="str">
        <f t="shared" si="26"/>
        <v>Maxim 10nm Remote Motor</v>
      </c>
      <c r="I35" s="39" t="str">
        <f t="shared" si="27"/>
        <v>Maxim 10nm Remote Motor</v>
      </c>
      <c r="J35" s="39" t="str">
        <f t="shared" si="28"/>
        <v>Maxim 10nm Remote Motor</v>
      </c>
      <c r="K35" s="39" t="str">
        <f t="shared" si="29"/>
        <v>Maxim 10nm Remote Motor</v>
      </c>
      <c r="L35" s="39" t="str">
        <f t="shared" si="30"/>
        <v>Maxim 10nm Remote Motor</v>
      </c>
      <c r="M35" s="39" t="str">
        <f t="shared" si="31"/>
        <v>Maxim 10nm Remote Motor</v>
      </c>
      <c r="N35" s="39" t="str">
        <f t="shared" si="32"/>
        <v>Maxim 10nm Remote Motor</v>
      </c>
      <c r="O35" s="39" t="str">
        <f t="shared" si="33"/>
        <v>Maxim 10nm Remote Motor</v>
      </c>
      <c r="P35" s="39" t="str">
        <f t="shared" si="34"/>
        <v>Maxim 10nm Remote Motor</v>
      </c>
      <c r="Q35" s="39" t="str">
        <f t="shared" si="35"/>
        <v>Maxim 10nm Remote Motor</v>
      </c>
      <c r="R35" s="39" t="str">
        <f t="shared" si="36"/>
        <v>Maxim 10nm Remote Motor</v>
      </c>
      <c r="S35" s="39" t="str">
        <f t="shared" si="37"/>
        <v>Maxim 10nm Remote Motor</v>
      </c>
      <c r="T35" s="39" t="str">
        <f t="shared" si="38"/>
        <v>Maxim 10nm Remote Motor</v>
      </c>
      <c r="U35" s="39" t="str">
        <f t="shared" si="39"/>
        <v>Maxim 10nm Remote Motor</v>
      </c>
      <c r="V35" s="39" t="str">
        <f t="shared" si="40"/>
        <v>Maxim 10nm Remote Motor</v>
      </c>
    </row>
    <row r="36" spans="1:22" ht="14.4">
      <c r="A36" s="98">
        <v>1180</v>
      </c>
      <c r="B36" s="39" t="s">
        <v>798</v>
      </c>
      <c r="C36" s="39" t="s">
        <v>336</v>
      </c>
      <c r="D36" s="39" t="s">
        <v>824</v>
      </c>
      <c r="E36" s="39" t="str">
        <f t="shared" si="23"/>
        <v>Maxim 10nm Remote Motor</v>
      </c>
      <c r="F36" s="39" t="str">
        <f t="shared" si="24"/>
        <v>Maxim 10nm Remote Motor</v>
      </c>
      <c r="G36" s="39" t="str">
        <f t="shared" si="25"/>
        <v>Maxim 10nm Remote Motor</v>
      </c>
      <c r="H36" s="39" t="str">
        <f t="shared" si="26"/>
        <v>Maxim 10nm Remote Motor</v>
      </c>
      <c r="I36" s="39" t="str">
        <f t="shared" si="27"/>
        <v>Maxim 10nm Remote Motor</v>
      </c>
      <c r="J36" s="39" t="str">
        <f t="shared" si="28"/>
        <v>Maxim 10nm Remote Motor</v>
      </c>
      <c r="K36" s="39" t="str">
        <f t="shared" si="29"/>
        <v>Maxim 10nm Remote Motor</v>
      </c>
      <c r="L36" s="39" t="str">
        <f t="shared" si="30"/>
        <v>Maxim 10nm Remote Motor</v>
      </c>
      <c r="M36" s="39" t="str">
        <f t="shared" si="31"/>
        <v>Maxim 10nm Remote Motor</v>
      </c>
      <c r="N36" s="39" t="str">
        <f t="shared" si="32"/>
        <v>Maxim 10nm Remote Motor</v>
      </c>
      <c r="O36" s="39" t="str">
        <f t="shared" si="33"/>
        <v>Maxim 10nm Remote Motor</v>
      </c>
      <c r="P36" s="39" t="str">
        <f t="shared" si="34"/>
        <v>Maxim 10nm Remote Motor</v>
      </c>
      <c r="Q36" s="39" t="str">
        <f t="shared" si="35"/>
        <v>Maxim 10nm Remote Motor</v>
      </c>
      <c r="R36" s="39" t="str">
        <f t="shared" si="36"/>
        <v>Maxim 10nm Remote Motor</v>
      </c>
      <c r="S36" s="39" t="str">
        <f t="shared" si="37"/>
        <v>Maxim 10nm Remote Motor</v>
      </c>
      <c r="T36" s="39" t="str">
        <f t="shared" si="38"/>
        <v>Maxim 10nm Remote Motor</v>
      </c>
      <c r="U36" s="39" t="str">
        <f t="shared" si="39"/>
        <v>Maxim 10nm Remote Motor</v>
      </c>
      <c r="V36" s="39" t="str">
        <f t="shared" si="40"/>
        <v>Maxim 10nm Remote Motor</v>
      </c>
    </row>
    <row r="37" spans="1:22" ht="14.4">
      <c r="A37" s="98">
        <v>1280</v>
      </c>
      <c r="B37" s="39" t="s">
        <v>798</v>
      </c>
      <c r="C37" s="39" t="s">
        <v>336</v>
      </c>
      <c r="D37" s="39" t="s">
        <v>824</v>
      </c>
      <c r="E37" s="39" t="str">
        <f t="shared" si="23"/>
        <v>Maxim 10nm Remote Motor</v>
      </c>
      <c r="F37" s="39" t="str">
        <f t="shared" si="24"/>
        <v>Maxim 10nm Remote Motor</v>
      </c>
      <c r="G37" s="39" t="str">
        <f t="shared" si="25"/>
        <v>Maxim 10nm Remote Motor</v>
      </c>
      <c r="H37" s="39" t="str">
        <f t="shared" si="26"/>
        <v>Maxim 10nm Remote Motor</v>
      </c>
      <c r="I37" s="39" t="str">
        <f t="shared" si="27"/>
        <v>Maxim 10nm Remote Motor</v>
      </c>
      <c r="J37" s="39" t="str">
        <f t="shared" si="28"/>
        <v>Maxim 10nm Remote Motor</v>
      </c>
      <c r="K37" s="39" t="str">
        <f t="shared" si="29"/>
        <v>Maxim 10nm Remote Motor</v>
      </c>
      <c r="L37" s="39" t="str">
        <f t="shared" si="30"/>
        <v>Maxim 10nm Remote Motor</v>
      </c>
      <c r="M37" s="39" t="str">
        <f t="shared" si="31"/>
        <v>Maxim 10nm Remote Motor</v>
      </c>
      <c r="N37" s="39" t="str">
        <f t="shared" si="32"/>
        <v>Maxim 10nm Remote Motor</v>
      </c>
      <c r="O37" s="39" t="str">
        <f t="shared" si="33"/>
        <v>Maxim 10nm Remote Motor</v>
      </c>
      <c r="P37" s="39" t="str">
        <f t="shared" si="34"/>
        <v>Maxim 10nm Remote Motor</v>
      </c>
      <c r="Q37" s="39" t="str">
        <f t="shared" si="35"/>
        <v>Maxim 10nm Remote Motor</v>
      </c>
      <c r="R37" s="39" t="str">
        <f t="shared" si="36"/>
        <v>Maxim 10nm Remote Motor</v>
      </c>
      <c r="S37" s="39" t="str">
        <f t="shared" si="37"/>
        <v>Maxim 10nm Remote Motor</v>
      </c>
      <c r="T37" s="39" t="str">
        <f t="shared" si="38"/>
        <v>Maxim 10nm Remote Motor</v>
      </c>
      <c r="U37" s="39" t="str">
        <f t="shared" si="39"/>
        <v>Maxim 10nm Remote Motor</v>
      </c>
      <c r="V37" s="39" t="str">
        <f t="shared" si="40"/>
        <v>Maxim 10nm Remote Motor</v>
      </c>
    </row>
    <row r="38" spans="1:22" ht="14.4">
      <c r="A38" s="98">
        <v>1380</v>
      </c>
      <c r="B38" s="39" t="s">
        <v>798</v>
      </c>
      <c r="C38" s="39" t="s">
        <v>336</v>
      </c>
      <c r="D38" s="39" t="s">
        <v>824</v>
      </c>
      <c r="E38" s="39" t="str">
        <f t="shared" si="23"/>
        <v>Maxim 10nm Remote Motor</v>
      </c>
      <c r="F38" s="39" t="str">
        <f t="shared" si="24"/>
        <v>Maxim 10nm Remote Motor</v>
      </c>
      <c r="G38" s="39" t="str">
        <f t="shared" si="25"/>
        <v>Maxim 10nm Remote Motor</v>
      </c>
      <c r="H38" s="39" t="str">
        <f t="shared" si="26"/>
        <v>Maxim 10nm Remote Motor</v>
      </c>
      <c r="I38" s="39" t="str">
        <f t="shared" si="27"/>
        <v>Maxim 10nm Remote Motor</v>
      </c>
      <c r="J38" s="39" t="str">
        <f t="shared" si="28"/>
        <v>Maxim 10nm Remote Motor</v>
      </c>
      <c r="K38" s="39" t="str">
        <f t="shared" si="29"/>
        <v>Maxim 10nm Remote Motor</v>
      </c>
      <c r="L38" s="39" t="str">
        <f t="shared" si="30"/>
        <v>Maxim 10nm Remote Motor</v>
      </c>
      <c r="M38" s="39" t="str">
        <f t="shared" si="31"/>
        <v>Maxim 10nm Remote Motor</v>
      </c>
      <c r="N38" s="39" t="str">
        <f t="shared" si="32"/>
        <v>Maxim 10nm Remote Motor</v>
      </c>
      <c r="O38" s="39" t="str">
        <f t="shared" si="33"/>
        <v>Maxim 10nm Remote Motor</v>
      </c>
      <c r="P38" s="39" t="str">
        <f t="shared" si="34"/>
        <v>Maxim 10nm Remote Motor</v>
      </c>
      <c r="Q38" s="39" t="str">
        <f t="shared" si="35"/>
        <v>Maxim 10nm Remote Motor</v>
      </c>
      <c r="R38" s="39" t="str">
        <f t="shared" si="36"/>
        <v>Maxim 10nm Remote Motor</v>
      </c>
      <c r="S38" s="39" t="str">
        <f t="shared" si="37"/>
        <v>Maxim 10nm Remote Motor</v>
      </c>
      <c r="T38" s="39" t="str">
        <f t="shared" si="38"/>
        <v>Maxim 10nm Remote Motor</v>
      </c>
      <c r="U38" s="39" t="str">
        <f t="shared" si="39"/>
        <v>Maxim 20nm Remote Motor</v>
      </c>
      <c r="V38" s="39" t="str">
        <f t="shared" si="40"/>
        <v>Maxim 20nm Remote Motor</v>
      </c>
    </row>
    <row r="39" spans="1:22" ht="14.4">
      <c r="A39" s="98">
        <v>1480</v>
      </c>
      <c r="B39" s="39" t="s">
        <v>798</v>
      </c>
      <c r="C39" s="39" t="s">
        <v>336</v>
      </c>
      <c r="D39" s="39" t="s">
        <v>824</v>
      </c>
      <c r="E39" s="39" t="str">
        <f t="shared" si="23"/>
        <v>Maxim 10nm Remote Motor</v>
      </c>
      <c r="F39" s="39" t="str">
        <f t="shared" si="24"/>
        <v>Maxim 10nm Remote Motor</v>
      </c>
      <c r="G39" s="39" t="str">
        <f t="shared" si="25"/>
        <v>Maxim 10nm Remote Motor</v>
      </c>
      <c r="H39" s="39" t="str">
        <f t="shared" si="26"/>
        <v>Maxim 10nm Remote Motor</v>
      </c>
      <c r="I39" s="39" t="str">
        <f t="shared" si="27"/>
        <v>Maxim 10nm Remote Motor</v>
      </c>
      <c r="J39" s="39" t="str">
        <f t="shared" si="28"/>
        <v>Maxim 10nm Remote Motor</v>
      </c>
      <c r="K39" s="39" t="str">
        <f t="shared" si="29"/>
        <v>Maxim 10nm Remote Motor</v>
      </c>
      <c r="L39" s="39" t="str">
        <f t="shared" si="30"/>
        <v>Maxim 10nm Remote Motor</v>
      </c>
      <c r="M39" s="39" t="str">
        <f t="shared" si="31"/>
        <v>Maxim 10nm Remote Motor</v>
      </c>
      <c r="N39" s="39" t="str">
        <f t="shared" si="32"/>
        <v>Maxim 10nm Remote Motor</v>
      </c>
      <c r="O39" s="39" t="str">
        <f t="shared" si="33"/>
        <v>Maxim 10nm Remote Motor</v>
      </c>
      <c r="P39" s="39" t="str">
        <f t="shared" si="34"/>
        <v>Maxim 10nm Remote Motor</v>
      </c>
      <c r="Q39" s="39" t="str">
        <f t="shared" si="35"/>
        <v>Maxim 10nm Remote Motor</v>
      </c>
      <c r="R39" s="39" t="str">
        <f t="shared" si="36"/>
        <v>Maxim 20nm Remote Motor</v>
      </c>
      <c r="S39" s="39" t="str">
        <f t="shared" si="37"/>
        <v>Maxim 20nm Remote Motor</v>
      </c>
      <c r="T39" s="39" t="str">
        <f t="shared" si="38"/>
        <v>Maxim 20nm Remote Motor</v>
      </c>
      <c r="U39" s="39" t="str">
        <f t="shared" si="39"/>
        <v>Maxim 20nm Remote Motor</v>
      </c>
      <c r="V39" s="39" t="str">
        <f t="shared" si="40"/>
        <v>Maxim 20nm Remote Motor</v>
      </c>
    </row>
    <row r="40" spans="1:22" ht="14.4">
      <c r="A40" s="98">
        <v>1580</v>
      </c>
      <c r="B40" s="39" t="s">
        <v>798</v>
      </c>
      <c r="C40" s="39" t="s">
        <v>336</v>
      </c>
      <c r="D40" s="39" t="s">
        <v>824</v>
      </c>
      <c r="E40" s="39" t="str">
        <f t="shared" si="23"/>
        <v>Maxim 10nm Remote Motor</v>
      </c>
      <c r="F40" s="39" t="str">
        <f t="shared" si="24"/>
        <v>Maxim 10nm Remote Motor</v>
      </c>
      <c r="G40" s="39" t="str">
        <f t="shared" si="25"/>
        <v>Maxim 10nm Remote Motor</v>
      </c>
      <c r="H40" s="39" t="str">
        <f t="shared" si="26"/>
        <v>Maxim 10nm Remote Motor</v>
      </c>
      <c r="I40" s="39" t="str">
        <f t="shared" si="27"/>
        <v>Maxim 10nm Remote Motor</v>
      </c>
      <c r="J40" s="39" t="str">
        <f t="shared" si="28"/>
        <v>Maxim 10nm Remote Motor</v>
      </c>
      <c r="K40" s="39" t="str">
        <f t="shared" si="29"/>
        <v>Maxim 10nm Remote Motor</v>
      </c>
      <c r="L40" s="39" t="str">
        <f t="shared" si="30"/>
        <v>Maxim 10nm Remote Motor</v>
      </c>
      <c r="M40" s="39" t="str">
        <f t="shared" si="31"/>
        <v>Maxim 10nm Remote Motor</v>
      </c>
      <c r="N40" s="39" t="str">
        <f t="shared" si="32"/>
        <v>Maxim 10nm Remote Motor</v>
      </c>
      <c r="O40" s="39" t="str">
        <f t="shared" si="33"/>
        <v>Maxim 10nm Remote Motor</v>
      </c>
      <c r="P40" s="39" t="str">
        <f t="shared" si="34"/>
        <v>Maxim 20nm Remote Motor</v>
      </c>
      <c r="Q40" s="39" t="str">
        <f t="shared" si="35"/>
        <v>Maxim 20nm Remote Motor</v>
      </c>
      <c r="R40" s="39" t="str">
        <f t="shared" si="36"/>
        <v>Maxim 20nm Remote Motor</v>
      </c>
      <c r="S40" s="39" t="str">
        <f t="shared" si="37"/>
        <v>Maxim 20nm Remote Motor</v>
      </c>
      <c r="T40" s="39" t="str">
        <f t="shared" si="38"/>
        <v>Maxim 20nm Remote Motor</v>
      </c>
      <c r="U40" s="39" t="str">
        <f t="shared" si="39"/>
        <v>Maxim 20nm Remote Motor</v>
      </c>
      <c r="V40" s="39" t="str">
        <f t="shared" si="40"/>
        <v>Maxim 20nm Remote Motor</v>
      </c>
    </row>
    <row r="41" spans="1:22" ht="14.4">
      <c r="A41" s="98">
        <v>1680</v>
      </c>
      <c r="B41" s="39" t="s">
        <v>798</v>
      </c>
      <c r="C41" s="39" t="s">
        <v>336</v>
      </c>
      <c r="D41" s="39" t="s">
        <v>824</v>
      </c>
      <c r="E41" s="39" t="str">
        <f t="shared" si="23"/>
        <v>Maxim 10nm Remote Motor</v>
      </c>
      <c r="F41" s="39" t="str">
        <f t="shared" si="24"/>
        <v>Maxim 10nm Remote Motor</v>
      </c>
      <c r="G41" s="39" t="str">
        <f t="shared" si="25"/>
        <v>Maxim 10nm Remote Motor</v>
      </c>
      <c r="H41" s="39" t="str">
        <f t="shared" si="26"/>
        <v>Maxim 10nm Remote Motor</v>
      </c>
      <c r="I41" s="39" t="str">
        <f t="shared" si="27"/>
        <v>Maxim 10nm Remote Motor</v>
      </c>
      <c r="J41" s="39" t="str">
        <f t="shared" si="28"/>
        <v>Maxim 10nm Remote Motor</v>
      </c>
      <c r="K41" s="39" t="str">
        <f t="shared" si="29"/>
        <v>Maxim 10nm Remote Motor</v>
      </c>
      <c r="L41" s="39" t="str">
        <f t="shared" si="30"/>
        <v>Maxim 10nm Remote Motor</v>
      </c>
      <c r="M41" s="39" t="str">
        <f t="shared" si="31"/>
        <v>Maxim 10nm Remote Motor</v>
      </c>
      <c r="N41" s="39" t="str">
        <f t="shared" si="32"/>
        <v>Maxim 10nm Remote Motor</v>
      </c>
      <c r="O41" s="39" t="str">
        <f t="shared" si="33"/>
        <v>Maxim 20nm Remote Motor</v>
      </c>
      <c r="P41" s="39" t="str">
        <f t="shared" si="34"/>
        <v>Maxim 20nm Remote Motor</v>
      </c>
      <c r="Q41" s="39" t="str">
        <f t="shared" si="35"/>
        <v>Maxim 20nm Remote Motor</v>
      </c>
      <c r="R41" s="39" t="str">
        <f t="shared" si="36"/>
        <v>Maxim 20nm Remote Motor</v>
      </c>
      <c r="S41" s="39" t="str">
        <f t="shared" si="37"/>
        <v>Maxim 20nm Remote Motor</v>
      </c>
      <c r="T41" s="39" t="str">
        <f t="shared" si="38"/>
        <v>Maxim 20nm Remote Motor</v>
      </c>
      <c r="U41" s="39" t="str">
        <f t="shared" si="39"/>
        <v>Maxim 20nm Remote Motor</v>
      </c>
      <c r="V41" s="39" t="str">
        <f t="shared" si="40"/>
        <v>Maxim 20nm Remote Motor</v>
      </c>
    </row>
    <row r="42" spans="1:22" ht="14.4">
      <c r="A42" s="98">
        <v>1780</v>
      </c>
      <c r="B42" s="39" t="s">
        <v>798</v>
      </c>
      <c r="C42" s="39" t="s">
        <v>336</v>
      </c>
      <c r="D42" s="39" t="s">
        <v>824</v>
      </c>
      <c r="E42" s="39" t="str">
        <f t="shared" si="23"/>
        <v>Maxim 10nm Remote Motor</v>
      </c>
      <c r="F42" s="39" t="str">
        <f t="shared" si="24"/>
        <v>Maxim 10nm Remote Motor</v>
      </c>
      <c r="G42" s="39" t="str">
        <f t="shared" si="25"/>
        <v>Maxim 10nm Remote Motor</v>
      </c>
      <c r="H42" s="39" t="str">
        <f t="shared" si="26"/>
        <v>Maxim 10nm Remote Motor</v>
      </c>
      <c r="I42" s="39" t="str">
        <f t="shared" si="27"/>
        <v>Maxim 10nm Remote Motor</v>
      </c>
      <c r="J42" s="39" t="str">
        <f t="shared" si="28"/>
        <v>Maxim 10nm Remote Motor</v>
      </c>
      <c r="K42" s="39" t="str">
        <f t="shared" si="29"/>
        <v>Maxim 10nm Remote Motor</v>
      </c>
      <c r="L42" s="39" t="str">
        <f t="shared" si="30"/>
        <v>Maxim 10nm Remote Motor</v>
      </c>
      <c r="M42" s="39" t="str">
        <f t="shared" si="31"/>
        <v>Maxim 20nm Remote Motor</v>
      </c>
      <c r="N42" s="39" t="str">
        <f t="shared" si="32"/>
        <v>Maxim 20nm Remote Motor</v>
      </c>
      <c r="O42" s="39" t="str">
        <f t="shared" si="33"/>
        <v>Maxim 20nm Remote Motor</v>
      </c>
      <c r="P42" s="39" t="str">
        <f t="shared" si="34"/>
        <v>Maxim 20nm Remote Motor</v>
      </c>
      <c r="Q42" s="39" t="str">
        <f t="shared" si="35"/>
        <v>Maxim 20nm Remote Motor</v>
      </c>
      <c r="R42" s="39" t="str">
        <f t="shared" si="36"/>
        <v>Maxim 20nm Remote Motor</v>
      </c>
      <c r="S42" s="39" t="str">
        <f t="shared" si="37"/>
        <v>Maxim 20nm Remote Motor</v>
      </c>
      <c r="T42" s="39" t="str">
        <f t="shared" si="38"/>
        <v>Maxim 20nm Remote Motor</v>
      </c>
      <c r="U42" s="39" t="str">
        <f t="shared" si="39"/>
        <v>Maxim 20nm Remote Motor</v>
      </c>
      <c r="V42" s="39" t="str">
        <f t="shared" si="40"/>
        <v>Maxim 20nm Remote Motor</v>
      </c>
    </row>
    <row r="43" spans="1:22" ht="14.4">
      <c r="A43" s="98">
        <v>1880</v>
      </c>
      <c r="B43" s="39" t="s">
        <v>798</v>
      </c>
      <c r="C43" s="39" t="s">
        <v>336</v>
      </c>
      <c r="D43" s="39" t="s">
        <v>824</v>
      </c>
      <c r="E43" s="39" t="str">
        <f t="shared" si="23"/>
        <v>Maxim 10nm Remote Motor</v>
      </c>
      <c r="F43" s="39" t="str">
        <f t="shared" si="24"/>
        <v>Maxim 10nm Remote Motor</v>
      </c>
      <c r="G43" s="39" t="str">
        <f t="shared" si="25"/>
        <v>Maxim 10nm Remote Motor</v>
      </c>
      <c r="H43" s="39" t="str">
        <f t="shared" si="26"/>
        <v>Maxim 10nm Remote Motor</v>
      </c>
      <c r="I43" s="39" t="str">
        <f t="shared" si="27"/>
        <v>Maxim 10nm Remote Motor</v>
      </c>
      <c r="J43" s="39" t="str">
        <f t="shared" si="28"/>
        <v>Maxim 10nm Remote Motor</v>
      </c>
      <c r="K43" s="39" t="str">
        <f t="shared" si="29"/>
        <v>Maxim 10nm Remote Motor</v>
      </c>
      <c r="L43" s="39" t="str">
        <f t="shared" si="30"/>
        <v>Maxim 20nm Remote Motor</v>
      </c>
      <c r="M43" s="39" t="str">
        <f t="shared" si="31"/>
        <v>Maxim 20nm Remote Motor</v>
      </c>
      <c r="N43" s="39" t="str">
        <f t="shared" si="32"/>
        <v>Maxim 20nm Remote Motor</v>
      </c>
      <c r="O43" s="39" t="str">
        <f t="shared" si="33"/>
        <v>Maxim 20nm Remote Motor</v>
      </c>
      <c r="P43" s="39" t="str">
        <f t="shared" si="34"/>
        <v>Maxim 20nm Remote Motor</v>
      </c>
      <c r="Q43" s="39" t="str">
        <f t="shared" si="35"/>
        <v>Maxim 20nm Remote Motor</v>
      </c>
      <c r="R43" s="39" t="str">
        <f t="shared" si="36"/>
        <v>Maxim 20nm Remote Motor</v>
      </c>
      <c r="S43" s="39" t="str">
        <f t="shared" si="37"/>
        <v>Maxim 20nm Remote Motor</v>
      </c>
      <c r="T43" s="39" t="str">
        <f t="shared" si="38"/>
        <v>Maxim 20nm Remote Motor</v>
      </c>
      <c r="U43" s="39" t="str">
        <f t="shared" si="39"/>
        <v>Maxim 20nm Remote Motor</v>
      </c>
      <c r="V43" s="39" t="str">
        <f t="shared" si="40"/>
        <v>Maxim 20nm Remote Motor</v>
      </c>
    </row>
    <row r="44" spans="1:22" ht="14.4">
      <c r="A44" s="98">
        <v>1980</v>
      </c>
      <c r="B44" s="39" t="s">
        <v>798</v>
      </c>
      <c r="C44" s="39" t="s">
        <v>336</v>
      </c>
      <c r="D44" s="39" t="s">
        <v>824</v>
      </c>
      <c r="E44" s="39" t="str">
        <f t="shared" si="23"/>
        <v>Maxim 10nm Remote Motor</v>
      </c>
      <c r="F44" s="39" t="str">
        <f t="shared" si="24"/>
        <v>Maxim 10nm Remote Motor</v>
      </c>
      <c r="G44" s="39" t="str">
        <f t="shared" si="25"/>
        <v>Maxim 10nm Remote Motor</v>
      </c>
      <c r="H44" s="39" t="str">
        <f t="shared" si="26"/>
        <v>Maxim 10nm Remote Motor</v>
      </c>
      <c r="I44" s="39" t="str">
        <f t="shared" si="27"/>
        <v>Maxim 10nm Remote Motor</v>
      </c>
      <c r="J44" s="39" t="str">
        <f t="shared" si="28"/>
        <v>Maxim 10nm Remote Motor</v>
      </c>
      <c r="K44" s="39" t="str">
        <f t="shared" si="29"/>
        <v>Maxim 20nm Remote Motor</v>
      </c>
      <c r="L44" s="39" t="str">
        <f t="shared" si="30"/>
        <v>Maxim 20nm Remote Motor</v>
      </c>
      <c r="M44" s="39" t="str">
        <f t="shared" si="31"/>
        <v>Maxim 20nm Remote Motor</v>
      </c>
      <c r="N44" s="39" t="str">
        <f t="shared" si="32"/>
        <v>Maxim 20nm Remote Motor</v>
      </c>
      <c r="O44" s="39" t="str">
        <f t="shared" si="33"/>
        <v>Maxim 20nm Remote Motor</v>
      </c>
      <c r="P44" s="39" t="str">
        <f t="shared" si="34"/>
        <v>Maxim 20nm Remote Motor</v>
      </c>
      <c r="Q44" s="39" t="str">
        <f t="shared" si="35"/>
        <v>Maxim 20nm Remote Motor</v>
      </c>
      <c r="R44" s="39" t="str">
        <f t="shared" si="36"/>
        <v>Maxim 20nm Remote Motor</v>
      </c>
      <c r="S44" s="39" t="str">
        <f t="shared" si="37"/>
        <v>Maxim 20nm Remote Motor</v>
      </c>
      <c r="T44" s="39" t="str">
        <f t="shared" si="38"/>
        <v>Maxim 20nm Remote Motor</v>
      </c>
      <c r="U44" s="39" t="str">
        <f t="shared" si="39"/>
        <v>Maxim 20nm Remote Motor</v>
      </c>
      <c r="V44" s="39" t="str">
        <f t="shared" si="40"/>
        <v>Maxim 20nm Remote Motor</v>
      </c>
    </row>
    <row r="45" spans="1:22" ht="14.4">
      <c r="A45" s="98">
        <v>2080</v>
      </c>
      <c r="B45" s="39" t="s">
        <v>798</v>
      </c>
      <c r="C45" s="39" t="s">
        <v>336</v>
      </c>
      <c r="D45" s="39" t="s">
        <v>824</v>
      </c>
      <c r="E45" s="39" t="str">
        <f t="shared" si="23"/>
        <v>Maxim 10nm Remote Motor</v>
      </c>
      <c r="F45" s="39" t="str">
        <f t="shared" si="24"/>
        <v>Maxim 10nm Remote Motor</v>
      </c>
      <c r="G45" s="39" t="str">
        <f t="shared" si="25"/>
        <v>Maxim 10nm Remote Motor</v>
      </c>
      <c r="H45" s="39" t="str">
        <f t="shared" si="26"/>
        <v>Maxim 10nm Remote Motor</v>
      </c>
      <c r="I45" s="39" t="str">
        <f t="shared" si="27"/>
        <v>Maxim 20nm Remote Motor</v>
      </c>
      <c r="J45" s="39" t="str">
        <f t="shared" si="28"/>
        <v>Maxim 20nm Remote Motor</v>
      </c>
      <c r="K45" s="39" t="str">
        <f t="shared" si="29"/>
        <v>Maxim 20nm Remote Motor</v>
      </c>
      <c r="L45" s="39" t="str">
        <f t="shared" si="30"/>
        <v>Maxim 20nm Remote Motor</v>
      </c>
      <c r="M45" s="39" t="str">
        <f t="shared" si="31"/>
        <v>Maxim 20nm Remote Motor</v>
      </c>
      <c r="N45" s="39" t="str">
        <f t="shared" si="32"/>
        <v>Maxim 20nm Remote Motor</v>
      </c>
      <c r="O45" s="39" t="str">
        <f t="shared" si="33"/>
        <v>Maxim 20nm Remote Motor</v>
      </c>
      <c r="P45" s="39" t="str">
        <f t="shared" si="34"/>
        <v>Maxim 20nm Remote Motor</v>
      </c>
      <c r="Q45" s="39" t="str">
        <f t="shared" si="35"/>
        <v>Maxim 20nm Remote Motor</v>
      </c>
      <c r="R45" s="39" t="str">
        <f t="shared" si="36"/>
        <v>Maxim 20nm Remote Motor</v>
      </c>
      <c r="S45" s="39" t="str">
        <f t="shared" si="37"/>
        <v>Maxim 20nm Remote Motor</v>
      </c>
      <c r="T45" s="39" t="str">
        <f t="shared" si="38"/>
        <v>Maxim 20nm Remote Motor</v>
      </c>
      <c r="U45" s="39" t="str">
        <f t="shared" si="39"/>
        <v>Maxim 20nm Remote Motor</v>
      </c>
      <c r="V45" s="39" t="str">
        <f t="shared" si="40"/>
        <v>Maxim 20nm Remote Motor</v>
      </c>
    </row>
    <row r="46" spans="1:22" ht="14.4">
      <c r="A46" s="98">
        <v>2180</v>
      </c>
      <c r="B46" s="39" t="s">
        <v>798</v>
      </c>
      <c r="C46" s="39" t="s">
        <v>336</v>
      </c>
      <c r="D46" s="39" t="s">
        <v>824</v>
      </c>
      <c r="E46" s="39" t="str">
        <f t="shared" si="23"/>
        <v>Maxim 10nm Remote Motor</v>
      </c>
      <c r="F46" s="39" t="str">
        <f t="shared" si="24"/>
        <v>Maxim 10nm Remote Motor</v>
      </c>
      <c r="G46" s="39" t="str">
        <f t="shared" si="25"/>
        <v>Maxim 10nm Remote Motor</v>
      </c>
      <c r="H46" s="39" t="str">
        <f t="shared" si="26"/>
        <v>Maxim 20nm Remote Motor</v>
      </c>
      <c r="I46" s="39" t="str">
        <f t="shared" si="27"/>
        <v>Maxim 20nm Remote Motor</v>
      </c>
      <c r="J46" s="39" t="str">
        <f t="shared" si="28"/>
        <v>Maxim 20nm Remote Motor</v>
      </c>
      <c r="K46" s="39" t="str">
        <f t="shared" si="29"/>
        <v>Maxim 20nm Remote Motor</v>
      </c>
      <c r="L46" s="39" t="str">
        <f t="shared" si="30"/>
        <v>Maxim 20nm Remote Motor</v>
      </c>
      <c r="M46" s="39" t="str">
        <f t="shared" si="31"/>
        <v>Maxim 20nm Remote Motor</v>
      </c>
      <c r="N46" s="39" t="str">
        <f t="shared" si="32"/>
        <v>Maxim 20nm Remote Motor</v>
      </c>
      <c r="O46" s="39" t="str">
        <f t="shared" si="33"/>
        <v>Maxim 20nm Remote Motor</v>
      </c>
      <c r="P46" s="39" t="str">
        <f t="shared" si="34"/>
        <v>Maxim 20nm Remote Motor</v>
      </c>
      <c r="Q46" s="39" t="str">
        <f t="shared" si="35"/>
        <v>Maxim 20nm Remote Motor</v>
      </c>
      <c r="R46" s="39" t="str">
        <f t="shared" si="36"/>
        <v>Maxim 20nm Remote Motor</v>
      </c>
      <c r="S46" s="39" t="str">
        <f t="shared" si="37"/>
        <v>Maxim 20nm Remote Motor</v>
      </c>
      <c r="T46" s="39" t="str">
        <f t="shared" si="38"/>
        <v>Maxim 20nm Remote Motor</v>
      </c>
      <c r="U46" s="39" t="str">
        <f t="shared" si="39"/>
        <v>Maxim 20nm Remote Motor</v>
      </c>
      <c r="V46" s="39" t="str">
        <f t="shared" si="40"/>
        <v>Maxim 20nm Remote Motor</v>
      </c>
    </row>
    <row r="47" spans="1:22" ht="14.4">
      <c r="A47" s="98">
        <v>2280</v>
      </c>
      <c r="B47" s="39" t="s">
        <v>798</v>
      </c>
      <c r="C47" s="39" t="s">
        <v>336</v>
      </c>
      <c r="D47" s="39" t="s">
        <v>824</v>
      </c>
      <c r="E47" s="39" t="str">
        <f t="shared" si="23"/>
        <v>Maxim 10nm Remote Motor</v>
      </c>
      <c r="F47" s="39" t="str">
        <f t="shared" si="24"/>
        <v>Maxim 10nm Remote Motor</v>
      </c>
      <c r="G47" s="39" t="str">
        <f t="shared" si="25"/>
        <v>Maxim 10nm Remote Motor</v>
      </c>
      <c r="H47" s="39" t="str">
        <f t="shared" si="26"/>
        <v>Maxim 20nm Remote Motor</v>
      </c>
      <c r="I47" s="39" t="str">
        <f t="shared" si="27"/>
        <v>Maxim 20nm Remote Motor</v>
      </c>
      <c r="J47" s="39" t="str">
        <f t="shared" si="28"/>
        <v>Maxim 20nm Remote Motor</v>
      </c>
      <c r="K47" s="39" t="str">
        <f t="shared" si="29"/>
        <v>Maxim 20nm Remote Motor</v>
      </c>
      <c r="L47" s="39" t="str">
        <f t="shared" si="30"/>
        <v>Maxim 20nm Remote Motor</v>
      </c>
      <c r="M47" s="39" t="str">
        <f t="shared" si="31"/>
        <v>Maxim 20nm Remote Motor</v>
      </c>
      <c r="N47" s="39" t="str">
        <f t="shared" si="32"/>
        <v>Maxim 20nm Remote Motor</v>
      </c>
      <c r="O47" s="39" t="str">
        <f t="shared" si="33"/>
        <v>Maxim 20nm Remote Motor</v>
      </c>
      <c r="P47" s="39" t="str">
        <f t="shared" si="34"/>
        <v>Maxim 20nm Remote Motor</v>
      </c>
      <c r="Q47" s="39" t="str">
        <f t="shared" si="35"/>
        <v>Maxim 20nm Remote Motor</v>
      </c>
      <c r="R47" s="39" t="str">
        <f t="shared" si="36"/>
        <v>Maxim 20nm Remote Motor</v>
      </c>
      <c r="S47" s="39" t="str">
        <f t="shared" si="37"/>
        <v>Maxim 20nm Remote Motor</v>
      </c>
      <c r="T47" s="39" t="str">
        <f t="shared" si="38"/>
        <v>Maxim 20nm Remote Motor</v>
      </c>
      <c r="U47" s="39" t="str">
        <f t="shared" si="39"/>
        <v>Maxim 20nm Remote Motor</v>
      </c>
      <c r="V47" s="39" t="str">
        <f t="shared" si="40"/>
        <v>Maxim 20nm Remote Motor</v>
      </c>
    </row>
    <row r="48" spans="1:22" ht="14.4">
      <c r="A48" s="98">
        <v>2380</v>
      </c>
      <c r="B48" s="39" t="s">
        <v>798</v>
      </c>
      <c r="C48" s="39" t="s">
        <v>336</v>
      </c>
      <c r="D48" s="39" t="s">
        <v>824</v>
      </c>
      <c r="E48" s="39" t="str">
        <f t="shared" si="23"/>
        <v>Maxim 10nm Remote Motor</v>
      </c>
      <c r="F48" s="39" t="str">
        <f t="shared" si="24"/>
        <v>Maxim 10nm Remote Motor</v>
      </c>
      <c r="G48" s="39" t="str">
        <f t="shared" si="25"/>
        <v>Maxim 20nm Remote Motor</v>
      </c>
      <c r="H48" s="39" t="str">
        <f t="shared" si="26"/>
        <v>Maxim 20nm Remote Motor</v>
      </c>
      <c r="I48" s="39" t="str">
        <f t="shared" si="27"/>
        <v>Maxim 20nm Remote Motor</v>
      </c>
      <c r="J48" s="39" t="str">
        <f t="shared" si="28"/>
        <v>Maxim 20nm Remote Motor</v>
      </c>
      <c r="K48" s="39" t="str">
        <f t="shared" si="29"/>
        <v>Maxim 20nm Remote Motor</v>
      </c>
      <c r="L48" s="39" t="str">
        <f t="shared" si="30"/>
        <v>Maxim 20nm Remote Motor</v>
      </c>
      <c r="M48" s="39" t="str">
        <f t="shared" si="31"/>
        <v>Maxim 20nm Remote Motor</v>
      </c>
      <c r="N48" s="39" t="str">
        <f t="shared" si="32"/>
        <v>Maxim 20nm Remote Motor</v>
      </c>
      <c r="O48" s="39" t="str">
        <f t="shared" si="33"/>
        <v>Maxim 20nm Remote Motor</v>
      </c>
      <c r="P48" s="39" t="str">
        <f t="shared" si="34"/>
        <v>Maxim 20nm Remote Motor</v>
      </c>
      <c r="Q48" s="39" t="str">
        <f t="shared" si="35"/>
        <v>Maxim 20nm Remote Motor</v>
      </c>
      <c r="R48" s="39" t="str">
        <f t="shared" si="36"/>
        <v>Maxim 20nm Remote Motor</v>
      </c>
      <c r="S48" s="39" t="str">
        <f t="shared" si="37"/>
        <v>Maxim 20nm Remote Motor</v>
      </c>
      <c r="T48" s="39" t="str">
        <f t="shared" si="38"/>
        <v>Maxim 20nm Remote Motor</v>
      </c>
      <c r="U48" s="39" t="str">
        <f t="shared" si="39"/>
        <v>Maxim 20nm Remote Motor</v>
      </c>
      <c r="V48" s="39" t="str">
        <f t="shared" si="40"/>
        <v>Maxim 20nm Remote Motor</v>
      </c>
    </row>
    <row r="49" spans="1:22" ht="14.4">
      <c r="A49" s="98">
        <v>2480</v>
      </c>
      <c r="B49" s="39" t="s">
        <v>798</v>
      </c>
      <c r="C49" s="39" t="s">
        <v>336</v>
      </c>
      <c r="D49" s="39" t="s">
        <v>824</v>
      </c>
      <c r="E49" s="39" t="str">
        <f t="shared" si="23"/>
        <v>Maxim 10nm Remote Motor</v>
      </c>
      <c r="F49" s="39" t="str">
        <f t="shared" si="24"/>
        <v>Maxim 20nm Remote Motor</v>
      </c>
      <c r="G49" s="39" t="str">
        <f t="shared" si="25"/>
        <v>Maxim 20nm Remote Motor</v>
      </c>
      <c r="H49" s="39" t="str">
        <f t="shared" si="26"/>
        <v>Maxim 20nm Remote Motor</v>
      </c>
      <c r="I49" s="39" t="str">
        <f t="shared" si="27"/>
        <v>Maxim 20nm Remote Motor</v>
      </c>
      <c r="J49" s="39" t="str">
        <f t="shared" si="28"/>
        <v>Maxim 20nm Remote Motor</v>
      </c>
      <c r="K49" s="39" t="str">
        <f t="shared" si="29"/>
        <v>Maxim 20nm Remote Motor</v>
      </c>
      <c r="L49" s="39" t="str">
        <f t="shared" si="30"/>
        <v>Maxim 20nm Remote Motor</v>
      </c>
      <c r="M49" s="39" t="str">
        <f t="shared" si="31"/>
        <v>Maxim 20nm Remote Motor</v>
      </c>
      <c r="N49" s="39" t="str">
        <f t="shared" si="32"/>
        <v>Maxim 20nm Remote Motor</v>
      </c>
      <c r="O49" s="39" t="str">
        <f t="shared" si="33"/>
        <v>Maxim 20nm Remote Motor</v>
      </c>
      <c r="P49" s="39" t="str">
        <f t="shared" si="34"/>
        <v>Maxim 20nm Remote Motor</v>
      </c>
      <c r="Q49" s="39" t="str">
        <f t="shared" si="35"/>
        <v>Maxim 20nm Remote Motor</v>
      </c>
      <c r="R49" s="39" t="str">
        <f t="shared" si="36"/>
        <v>Maxim 20nm Remote Motor</v>
      </c>
      <c r="S49" s="39" t="str">
        <f t="shared" si="37"/>
        <v>Maxim 20nm Remote Motor</v>
      </c>
      <c r="T49" s="39" t="str">
        <f t="shared" si="38"/>
        <v>Maxim 20nm Remote Motor</v>
      </c>
      <c r="U49" s="39" t="str">
        <f t="shared" si="39"/>
        <v>Maxim 20nm Remote Motor</v>
      </c>
      <c r="V49" s="39" t="str">
        <f t="shared" si="40"/>
        <v>Maxim 20nm Remote Motor</v>
      </c>
    </row>
    <row r="50" spans="1:22" ht="14.4">
      <c r="A50" s="98">
        <v>2580</v>
      </c>
      <c r="B50" s="39" t="s">
        <v>798</v>
      </c>
      <c r="C50" s="39" t="s">
        <v>336</v>
      </c>
      <c r="D50" s="39" t="s">
        <v>824</v>
      </c>
      <c r="E50" s="39" t="str">
        <f t="shared" si="23"/>
        <v>Maxim 10nm Remote Motor</v>
      </c>
      <c r="F50" s="39" t="str">
        <f t="shared" si="24"/>
        <v>Maxim 20nm Remote Motor</v>
      </c>
      <c r="G50" s="39" t="str">
        <f t="shared" si="25"/>
        <v>Maxim 20nm Remote Motor</v>
      </c>
      <c r="H50" s="39" t="str">
        <f t="shared" si="26"/>
        <v>Maxim 20nm Remote Motor</v>
      </c>
      <c r="I50" s="39" t="str">
        <f t="shared" si="27"/>
        <v>Maxim 20nm Remote Motor</v>
      </c>
      <c r="J50" s="39" t="str">
        <f t="shared" si="28"/>
        <v>Maxim 20nm Remote Motor</v>
      </c>
      <c r="K50" s="39" t="str">
        <f t="shared" si="29"/>
        <v>Maxim 20nm Remote Motor</v>
      </c>
      <c r="L50" s="39" t="str">
        <f t="shared" si="30"/>
        <v>Maxim 20nm Remote Motor</v>
      </c>
      <c r="M50" s="39" t="str">
        <f t="shared" si="31"/>
        <v>Maxim 20nm Remote Motor</v>
      </c>
      <c r="N50" s="39" t="str">
        <f t="shared" si="32"/>
        <v>Maxim 20nm Remote Motor</v>
      </c>
      <c r="O50" s="39" t="str">
        <f t="shared" si="33"/>
        <v>Maxim 20nm Remote Motor</v>
      </c>
      <c r="P50" s="39" t="str">
        <f t="shared" si="34"/>
        <v>Maxim 20nm Remote Motor</v>
      </c>
      <c r="Q50" s="39" t="str">
        <f t="shared" si="35"/>
        <v>Maxim 20nm Remote Motor</v>
      </c>
      <c r="R50" s="39" t="str">
        <f t="shared" si="36"/>
        <v>Maxim 20nm Remote Motor</v>
      </c>
      <c r="S50" s="39" t="str">
        <f t="shared" si="37"/>
        <v>Maxim 20nm Remote Motor</v>
      </c>
      <c r="T50" s="39" t="str">
        <f t="shared" si="38"/>
        <v>Maxim 20nm Remote Motor</v>
      </c>
      <c r="U50" s="39" t="str">
        <f t="shared" si="39"/>
        <v>Maxim 20nm Remote Motor</v>
      </c>
      <c r="V50" s="39" t="str">
        <f t="shared" si="40"/>
        <v>Maxim 20nm Remote Motor</v>
      </c>
    </row>
    <row r="51" spans="1:22" ht="14.4">
      <c r="A51" s="98">
        <v>2680</v>
      </c>
      <c r="B51" s="39" t="s">
        <v>798</v>
      </c>
      <c r="C51" s="39" t="s">
        <v>336</v>
      </c>
      <c r="D51" s="39" t="s">
        <v>824</v>
      </c>
      <c r="E51" s="39" t="str">
        <f t="shared" si="23"/>
        <v>Maxim 10nm Remote Motor</v>
      </c>
      <c r="F51" s="39" t="str">
        <f t="shared" si="24"/>
        <v>Maxim 20nm Remote Motor</v>
      </c>
      <c r="G51" s="39" t="str">
        <f t="shared" si="25"/>
        <v>Maxim 20nm Remote Motor</v>
      </c>
      <c r="H51" s="39" t="str">
        <f t="shared" si="26"/>
        <v>Maxim 20nm Remote Motor</v>
      </c>
      <c r="I51" s="39" t="str">
        <f t="shared" si="27"/>
        <v>Maxim 20nm Remote Motor</v>
      </c>
      <c r="J51" s="39" t="str">
        <f t="shared" si="28"/>
        <v>Maxim 20nm Remote Motor</v>
      </c>
      <c r="K51" s="39" t="str">
        <f t="shared" si="29"/>
        <v>Maxim 20nm Remote Motor</v>
      </c>
      <c r="L51" s="39" t="str">
        <f t="shared" si="30"/>
        <v>Maxim 20nm Remote Motor</v>
      </c>
      <c r="M51" s="39" t="str">
        <f t="shared" si="31"/>
        <v>Maxim 20nm Remote Motor</v>
      </c>
      <c r="N51" s="39" t="str">
        <f t="shared" si="32"/>
        <v>Maxim 20nm Remote Motor</v>
      </c>
      <c r="O51" s="39" t="str">
        <f t="shared" si="33"/>
        <v>Maxim 20nm Remote Motor</v>
      </c>
      <c r="P51" s="39" t="str">
        <f t="shared" si="34"/>
        <v>Maxim 20nm Remote Motor</v>
      </c>
      <c r="Q51" s="39" t="str">
        <f t="shared" si="35"/>
        <v>Maxim 20nm Remote Motor</v>
      </c>
      <c r="R51" s="39" t="str">
        <f t="shared" si="36"/>
        <v>Maxim 20nm Remote Motor</v>
      </c>
      <c r="S51" s="39" t="str">
        <f t="shared" si="37"/>
        <v>Maxim 20nm Remote Motor</v>
      </c>
      <c r="T51" s="39" t="str">
        <f t="shared" si="38"/>
        <v>Maxim 20nm Remote Motor</v>
      </c>
      <c r="U51" s="39" t="str">
        <f t="shared" si="39"/>
        <v>Maxim 20nm Remote Motor</v>
      </c>
      <c r="V51" s="39" t="str">
        <f t="shared" si="40"/>
        <v>CW5R 50nm Remote Motor</v>
      </c>
    </row>
    <row r="52" spans="1:22" ht="14.4">
      <c r="A52" s="98">
        <v>2780</v>
      </c>
      <c r="B52" s="39" t="s">
        <v>798</v>
      </c>
      <c r="C52" s="39" t="s">
        <v>336</v>
      </c>
      <c r="D52" s="39" t="s">
        <v>824</v>
      </c>
      <c r="E52" s="39" t="str">
        <f t="shared" si="23"/>
        <v>Maxim 10nm Remote Motor</v>
      </c>
      <c r="F52" s="39" t="str">
        <f t="shared" si="24"/>
        <v>Maxim 20nm Remote Motor</v>
      </c>
      <c r="G52" s="39" t="str">
        <f t="shared" si="25"/>
        <v>Maxim 20nm Remote Motor</v>
      </c>
      <c r="H52" s="39" t="str">
        <f t="shared" si="26"/>
        <v>Maxim 20nm Remote Motor</v>
      </c>
      <c r="I52" s="39" t="str">
        <f t="shared" si="27"/>
        <v>Maxim 20nm Remote Motor</v>
      </c>
      <c r="J52" s="39" t="str">
        <f t="shared" si="28"/>
        <v>Maxim 20nm Remote Motor</v>
      </c>
      <c r="K52" s="39" t="str">
        <f t="shared" si="29"/>
        <v>Maxim 20nm Remote Motor</v>
      </c>
      <c r="L52" s="39" t="str">
        <f t="shared" si="30"/>
        <v>Maxim 20nm Remote Motor</v>
      </c>
      <c r="M52" s="39" t="str">
        <f t="shared" si="31"/>
        <v>Maxim 20nm Remote Motor</v>
      </c>
      <c r="N52" s="39" t="str">
        <f t="shared" si="32"/>
        <v>Maxim 20nm Remote Motor</v>
      </c>
      <c r="O52" s="39" t="str">
        <f t="shared" si="33"/>
        <v>Maxim 20nm Remote Motor</v>
      </c>
      <c r="P52" s="39" t="str">
        <f t="shared" si="34"/>
        <v>Maxim 20nm Remote Motor</v>
      </c>
      <c r="Q52" s="39" t="str">
        <f t="shared" si="35"/>
        <v>Maxim 20nm Remote Motor</v>
      </c>
      <c r="R52" s="39" t="str">
        <f t="shared" si="36"/>
        <v>Maxim 20nm Remote Motor</v>
      </c>
      <c r="S52" s="39" t="str">
        <f t="shared" si="37"/>
        <v>Maxim 20nm Remote Motor</v>
      </c>
      <c r="T52" s="39" t="str">
        <f t="shared" si="38"/>
        <v>CW5R 50nm Remote Motor</v>
      </c>
      <c r="U52" s="39" t="str">
        <f t="shared" si="39"/>
        <v>CW5R 50nm Remote Motor</v>
      </c>
      <c r="V52" s="39" t="str">
        <f t="shared" si="40"/>
        <v>CW5R 50nm Remote Motor</v>
      </c>
    </row>
    <row r="53" spans="1:22" ht="14.4">
      <c r="A53" s="98">
        <v>2880</v>
      </c>
      <c r="B53" s="39" t="s">
        <v>798</v>
      </c>
      <c r="C53" s="39" t="s">
        <v>336</v>
      </c>
      <c r="D53" s="39" t="s">
        <v>824</v>
      </c>
      <c r="E53" s="39" t="str">
        <f t="shared" si="23"/>
        <v>Maxim 10nm Remote Motor</v>
      </c>
      <c r="F53" s="39" t="str">
        <f t="shared" si="24"/>
        <v>Maxim 20nm Remote Motor</v>
      </c>
      <c r="G53" s="39" t="str">
        <f t="shared" si="25"/>
        <v>Maxim 20nm Remote Motor</v>
      </c>
      <c r="H53" s="39" t="str">
        <f t="shared" si="26"/>
        <v>Maxim 20nm Remote Motor</v>
      </c>
      <c r="I53" s="39" t="str">
        <f t="shared" si="27"/>
        <v>Maxim 20nm Remote Motor</v>
      </c>
      <c r="J53" s="39" t="str">
        <f t="shared" si="28"/>
        <v>Maxim 20nm Remote Motor</v>
      </c>
      <c r="K53" s="39" t="str">
        <f t="shared" si="29"/>
        <v>Maxim 20nm Remote Motor</v>
      </c>
      <c r="L53" s="39" t="str">
        <f t="shared" si="30"/>
        <v>Maxim 20nm Remote Motor</v>
      </c>
      <c r="M53" s="39" t="str">
        <f t="shared" si="31"/>
        <v>Maxim 20nm Remote Motor</v>
      </c>
      <c r="N53" s="39" t="str">
        <f t="shared" si="32"/>
        <v>Maxim 20nm Remote Motor</v>
      </c>
      <c r="O53" s="39" t="str">
        <f t="shared" si="33"/>
        <v>Maxim 20nm Remote Motor</v>
      </c>
      <c r="P53" s="39" t="str">
        <f t="shared" si="34"/>
        <v>Maxim 20nm Remote Motor</v>
      </c>
      <c r="Q53" s="39" t="str">
        <f t="shared" si="35"/>
        <v>Maxim 20nm Remote Motor</v>
      </c>
      <c r="R53" s="39" t="str">
        <f t="shared" si="36"/>
        <v>Maxim 20nm Remote Motor</v>
      </c>
      <c r="S53" s="39" t="str">
        <f t="shared" si="37"/>
        <v>CW5R 50nm Remote Motor</v>
      </c>
      <c r="T53" s="39" t="str">
        <f t="shared" si="38"/>
        <v>CW5R 50nm Remote Motor</v>
      </c>
      <c r="U53" s="39" t="str">
        <f t="shared" si="39"/>
        <v>CW5R 50nm Remote Motor</v>
      </c>
      <c r="V53" s="39" t="str">
        <f t="shared" si="40"/>
        <v>CW5R 50nm Remote Motor</v>
      </c>
    </row>
    <row r="54" spans="1:22" ht="14.4">
      <c r="A54" s="98">
        <v>2980</v>
      </c>
      <c r="B54" s="39" t="s">
        <v>798</v>
      </c>
      <c r="C54" s="39" t="s">
        <v>336</v>
      </c>
      <c r="D54" s="39" t="s">
        <v>824</v>
      </c>
      <c r="E54" s="39" t="str">
        <f t="shared" si="23"/>
        <v>Maxim 10nm Remote Motor</v>
      </c>
      <c r="F54" s="39" t="str">
        <f t="shared" si="24"/>
        <v>Maxim 20nm Remote Motor</v>
      </c>
      <c r="G54" s="39" t="str">
        <f t="shared" si="25"/>
        <v>Maxim 20nm Remote Motor</v>
      </c>
      <c r="H54" s="39" t="str">
        <f t="shared" si="26"/>
        <v>Maxim 20nm Remote Motor</v>
      </c>
      <c r="I54" s="39" t="str">
        <f t="shared" si="27"/>
        <v>Maxim 20nm Remote Motor</v>
      </c>
      <c r="J54" s="39" t="str">
        <f t="shared" si="28"/>
        <v>Maxim 20nm Remote Motor</v>
      </c>
      <c r="K54" s="39" t="str">
        <f t="shared" si="29"/>
        <v>Maxim 20nm Remote Motor</v>
      </c>
      <c r="L54" s="39" t="str">
        <f t="shared" si="30"/>
        <v>Maxim 20nm Remote Motor</v>
      </c>
      <c r="M54" s="39" t="str">
        <f t="shared" si="31"/>
        <v>Maxim 20nm Remote Motor</v>
      </c>
      <c r="N54" s="39" t="str">
        <f t="shared" si="32"/>
        <v>Maxim 20nm Remote Motor</v>
      </c>
      <c r="O54" s="39" t="str">
        <f t="shared" si="33"/>
        <v>Maxim 20nm Remote Motor</v>
      </c>
      <c r="P54" s="39" t="str">
        <f t="shared" si="34"/>
        <v>Maxim 20nm Remote Motor</v>
      </c>
      <c r="Q54" s="39" t="str">
        <f t="shared" si="35"/>
        <v>Maxim 20nm Remote Motor</v>
      </c>
      <c r="R54" s="39" t="str">
        <f t="shared" si="36"/>
        <v>CW5R 50nm Remote Motor</v>
      </c>
      <c r="S54" s="39" t="str">
        <f t="shared" si="37"/>
        <v>CW5R 50nm Remote Motor</v>
      </c>
      <c r="T54" s="39" t="str">
        <f t="shared" si="38"/>
        <v>CW5R 50nm Remote Motor</v>
      </c>
      <c r="U54" s="39" t="str">
        <f t="shared" si="39"/>
        <v>CW5R 50nm Remote Motor</v>
      </c>
      <c r="V54" s="39" t="str">
        <f t="shared" si="40"/>
        <v>CW5R 50nm Remote Motor</v>
      </c>
    </row>
    <row r="57" spans="1:22" ht="13.2">
      <c r="A57" s="306" t="s">
        <v>290</v>
      </c>
      <c r="B57" s="306"/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</row>
    <row r="58" spans="1:21" ht="14.4">
      <c r="A58" s="98" t="s">
        <v>262</v>
      </c>
      <c r="B58" s="98">
        <v>0</v>
      </c>
      <c r="C58" s="98">
        <v>450</v>
      </c>
      <c r="D58" s="98">
        <v>615</v>
      </c>
      <c r="E58" s="98">
        <v>1900</v>
      </c>
      <c r="F58" s="98">
        <v>2000</v>
      </c>
      <c r="G58" s="98">
        <v>2100</v>
      </c>
      <c r="H58" s="98">
        <v>2200</v>
      </c>
      <c r="I58" s="98">
        <v>2300</v>
      </c>
      <c r="J58" s="98">
        <v>2400</v>
      </c>
      <c r="K58" s="98">
        <v>2500</v>
      </c>
      <c r="L58" s="98">
        <v>2600</v>
      </c>
      <c r="M58" s="98">
        <v>2700</v>
      </c>
      <c r="N58" s="98">
        <v>2800</v>
      </c>
      <c r="O58" s="98">
        <v>2900</v>
      </c>
      <c r="P58" s="98">
        <v>3000</v>
      </c>
      <c r="Q58" s="98">
        <v>3100</v>
      </c>
      <c r="R58" s="98">
        <v>3200</v>
      </c>
      <c r="S58" s="98">
        <v>3300</v>
      </c>
      <c r="T58" s="98">
        <v>3400</v>
      </c>
      <c r="U58" s="98">
        <v>3500</v>
      </c>
    </row>
    <row r="59" spans="1:21" ht="14.4">
      <c r="A59" s="98">
        <v>0</v>
      </c>
      <c r="B59" s="39" t="s">
        <v>798</v>
      </c>
      <c r="C59" s="39" t="s">
        <v>276</v>
      </c>
      <c r="D59" s="39" t="str">
        <f t="shared" si="41" ref="D59:D82">IF(((($D$58)*(A59))/1000000*3.5)&lt;16,"Maxim 10nm Switch Motor",IF(((($D$58)*(A59))/1000000*3.5)&lt;=32,"Maxim 20nm Switch Motor","Maxim 20nm Switch Motor"))</f>
        <v>Maxim 10nm Switch Motor</v>
      </c>
      <c r="E59" s="39" t="str">
        <f t="shared" si="42" ref="E59:E82">IF(((($E$58)*(A59))/1000000*3.5)&lt;16,"Maxim 10nm Switch Motor",IF(((($E$58)*(A59))/1000000*3.5)&lt;=32,"Maxim 20nm Switch Motor","Maxim 20nm Switch Motor"))</f>
        <v>Maxim 10nm Switch Motor</v>
      </c>
      <c r="F59" s="39" t="str">
        <f t="shared" si="43" ref="F59:F82">IF(((($F$58)*(A59))/1000000*3.5)&lt;16,"Maxim 10nm Switch Motor",IF(((($F$58)*(A59))/1000000*3.5)&lt;=32,"Maxim 20nm Switch Motor","Maxim 20nm Switch Motor"))</f>
        <v>Maxim 10nm Switch Motor</v>
      </c>
      <c r="G59" s="39" t="str">
        <f t="shared" si="44" ref="G59:G82">IF(((($G$58)*(A59))/1000000*3.5)&lt;16,"Maxim 10nm Switch Motor",IF(((($G$58)*(A59))/1000000*3.5)&lt;=32,"Maxim 20nm Switch Motor","Maxim 20nm Switch Motor"))</f>
        <v>Maxim 10nm Switch Motor</v>
      </c>
      <c r="H59" s="39" t="str">
        <f t="shared" si="45" ref="H59:H82">IF(((($H$58)*(A59))/1000000*3.5)&lt;16,"Maxim 10nm Switch Motor",IF(((($H$58)*(A59))/1000000*3.5)&lt;=32,"Maxim 20nm Switch Motor","Maxim 20nm Switch Motor"))</f>
        <v>Maxim 10nm Switch Motor</v>
      </c>
      <c r="I59" s="39" t="str">
        <f t="shared" si="46" ref="I59:I82">IF(((($I$58)*(A59))/1000000*3.5)&lt;16,"Maxim 10nm Switch Motor",IF(((($I$58)*(A59))/1000000*3.5)&lt;=32,"Maxim 20nm Switch Motor","Maxim 20nm Switch Motor"))</f>
        <v>Maxim 10nm Switch Motor</v>
      </c>
      <c r="J59" s="39" t="str">
        <f t="shared" si="47" ref="J59:J82">IF(((($J$58)*(A59))/1000000*3.5)&lt;16,"Maxim 10nm Switch Motor",IF(((($J$58)*(A59))/1000000*3.5)&lt;=32,"Maxim 20nm Switch Motor","Maxim 20nm Switch Motor"))</f>
        <v>Maxim 10nm Switch Motor</v>
      </c>
      <c r="K59" s="39" t="str">
        <f t="shared" si="48" ref="K59:K82">IF(((($K$58)*(A59))/1000000*3.5)&lt;16,"Maxim 10nm Switch Motor",IF(((($K$58)*(A59))/1000000*3.5)&lt;=32,"Maxim 20nm Switch Motor","Maxim 20nm Switch Motor"))</f>
        <v>Maxim 10nm Switch Motor</v>
      </c>
      <c r="L59" s="39" t="str">
        <f t="shared" si="49" ref="L59:L82">IF(((($L$58)*(A59))/1000000*3.5)&lt;16,"Maxim 10nm Switch Motor",IF(((($L$58)*(A59))/1000000*3.5)&lt;=32,"Maxim 20nm Switch Motor","Maxim 20nm Switch Motor"))</f>
        <v>Maxim 10nm Switch Motor</v>
      </c>
      <c r="M59" s="39" t="str">
        <f t="shared" si="50" ref="M59:M82">IF(((($M$58)*(A59))/1000000*3.5)&lt;16,"Maxim 10nm Switch Motor",IF(((($M$58)*(A59))/1000000*3.5)&lt;=32,"Maxim 20nm Switch Motor","Maxim 20nm Switch Motor"))</f>
        <v>Maxim 10nm Switch Motor</v>
      </c>
      <c r="N59" s="39" t="str">
        <f t="shared" si="51" ref="N59:N82">IF(((($N$58)*(A59))/1000000*3.5)&lt;16,"Maxim 10nm Switch Motor",IF(((($N$58)*(A59))/1000000*3.5)&lt;=32,"Maxim 20nm Switch Motor","Maxim 20nm Switch Motor"))</f>
        <v>Maxim 10nm Switch Motor</v>
      </c>
      <c r="O59" s="39" t="str">
        <f t="shared" si="52" ref="O59:O82">IF(((($O$58)*(A59))/1000000*3.5)&lt;16,"Maxim 10nm Switch Motor",IF(((($O$58)*(A59))/1000000*3.5)&lt;=32,"Maxim 20nm Switch Motor","Maxim 20nm Switch Motor"))</f>
        <v>Maxim 10nm Switch Motor</v>
      </c>
      <c r="P59" s="39" t="str">
        <f t="shared" si="53" ref="P59:P82">IF(((($P$58)*(A59))/1000000*3.5)&lt;16,"Maxim 10nm Switch Motor",IF(((($P$58)*(A59))/1000000*3.5)&lt;=32,"Maxim 20nm Switch Motor","Maxim 20nm Switch Motor"))</f>
        <v>Maxim 10nm Switch Motor</v>
      </c>
      <c r="Q59" s="39" t="str">
        <f t="shared" si="54" ref="Q59:Q82">IF(((($Q$58)*(A59))/1000000*3.5)&lt;16,"Maxim 10nm Switch Motor",IF(((($Q$58)*(A59))/1000000*3.5)&lt;=32,"Maxim 20nm Switch Motor","Maxim 20nm Switch Motor"))</f>
        <v>Maxim 10nm Switch Motor</v>
      </c>
      <c r="R59" s="39" t="str">
        <f t="shared" si="55" ref="R59:R82">IF(((($R$58)*(A59))/1000000*3.5)&lt;16,"Maxim 10nm Switch Motor",IF(((($R$58)*(A59))/1000000*3.5)&lt;=32,"Maxim 20nm Switch Motor","Maxim 20nm Switch Motor"))</f>
        <v>Maxim 10nm Switch Motor</v>
      </c>
      <c r="S59" s="39" t="str">
        <f t="shared" si="56" ref="S59:S82">IF(((($S$58)*(A59))/1000000*3.5)&lt;16,"Maxim 10nm Switch Motor",IF(((($S$58)*(A59))/1000000*3.5)&lt;=32,"Maxim 20nm Switch Motor","Maxim 20nm Switch Motor"))</f>
        <v>Maxim 10nm Switch Motor</v>
      </c>
      <c r="T59" s="39" t="str">
        <f t="shared" si="57" ref="T59:T82">IF(((($T$58)*(A59))/1000000*3.5)&lt;16,"Maxim 10nm Switch Motor",IF(((($T$58)*(A59))/1000000*3.5)&lt;=32,"Maxim 20nm Switch Motor","Maxim 20nm Switch Motor"))</f>
        <v>Maxim 10nm Switch Motor</v>
      </c>
      <c r="U59" s="39" t="str">
        <f t="shared" si="58" ref="U59:U82">IF(((($U$58)*(A59))/1000000*3.5)&lt;16,"Maxim 10nm Switch Motor",IF(((($U$58)*(A59))/1000000*3.5)&lt;=32,"Maxim 20nm Switch Motor","Maxim 20nm Switch Motor"))</f>
        <v>Maxim 10nm Switch Motor</v>
      </c>
    </row>
    <row r="60" spans="1:21" ht="14.4">
      <c r="A60" s="98">
        <v>780</v>
      </c>
      <c r="B60" s="39" t="s">
        <v>798</v>
      </c>
      <c r="C60" s="39" t="s">
        <v>276</v>
      </c>
      <c r="D60" s="39" t="str">
        <f t="shared" si="41"/>
        <v>Maxim 10nm Switch Motor</v>
      </c>
      <c r="E60" s="39" t="str">
        <f t="shared" si="42"/>
        <v>Maxim 10nm Switch Motor</v>
      </c>
      <c r="F60" s="39" t="str">
        <f t="shared" si="43"/>
        <v>Maxim 10nm Switch Motor</v>
      </c>
      <c r="G60" s="39" t="str">
        <f t="shared" si="44"/>
        <v>Maxim 10nm Switch Motor</v>
      </c>
      <c r="H60" s="39" t="str">
        <f t="shared" si="45"/>
        <v>Maxim 10nm Switch Motor</v>
      </c>
      <c r="I60" s="39" t="str">
        <f t="shared" si="46"/>
        <v>Maxim 10nm Switch Motor</v>
      </c>
      <c r="J60" s="39" t="str">
        <f t="shared" si="47"/>
        <v>Maxim 10nm Switch Motor</v>
      </c>
      <c r="K60" s="39" t="str">
        <f t="shared" si="48"/>
        <v>Maxim 10nm Switch Motor</v>
      </c>
      <c r="L60" s="39" t="str">
        <f t="shared" si="49"/>
        <v>Maxim 10nm Switch Motor</v>
      </c>
      <c r="M60" s="39" t="str">
        <f t="shared" si="50"/>
        <v>Maxim 10nm Switch Motor</v>
      </c>
      <c r="N60" s="39" t="str">
        <f t="shared" si="51"/>
        <v>Maxim 10nm Switch Motor</v>
      </c>
      <c r="O60" s="39" t="str">
        <f t="shared" si="52"/>
        <v>Maxim 10nm Switch Motor</v>
      </c>
      <c r="P60" s="39" t="str">
        <f t="shared" si="53"/>
        <v>Maxim 10nm Switch Motor</v>
      </c>
      <c r="Q60" s="39" t="str">
        <f t="shared" si="54"/>
        <v>Maxim 10nm Switch Motor</v>
      </c>
      <c r="R60" s="39" t="str">
        <f t="shared" si="55"/>
        <v>Maxim 10nm Switch Motor</v>
      </c>
      <c r="S60" s="39" t="str">
        <f t="shared" si="56"/>
        <v>Maxim 10nm Switch Motor</v>
      </c>
      <c r="T60" s="39" t="str">
        <f t="shared" si="57"/>
        <v>Maxim 10nm Switch Motor</v>
      </c>
      <c r="U60" s="39" t="str">
        <f t="shared" si="58"/>
        <v>Maxim 10nm Switch Motor</v>
      </c>
    </row>
    <row r="61" spans="1:21" ht="14.4">
      <c r="A61" s="98">
        <v>880</v>
      </c>
      <c r="B61" s="39" t="s">
        <v>798</v>
      </c>
      <c r="C61" s="39" t="s">
        <v>276</v>
      </c>
      <c r="D61" s="39" t="str">
        <f t="shared" si="41"/>
        <v>Maxim 10nm Switch Motor</v>
      </c>
      <c r="E61" s="39" t="str">
        <f t="shared" si="42"/>
        <v>Maxim 10nm Switch Motor</v>
      </c>
      <c r="F61" s="39" t="str">
        <f t="shared" si="43"/>
        <v>Maxim 10nm Switch Motor</v>
      </c>
      <c r="G61" s="39" t="str">
        <f t="shared" si="44"/>
        <v>Maxim 10nm Switch Motor</v>
      </c>
      <c r="H61" s="39" t="str">
        <f t="shared" si="45"/>
        <v>Maxim 10nm Switch Motor</v>
      </c>
      <c r="I61" s="39" t="str">
        <f t="shared" si="46"/>
        <v>Maxim 10nm Switch Motor</v>
      </c>
      <c r="J61" s="39" t="str">
        <f t="shared" si="47"/>
        <v>Maxim 10nm Switch Motor</v>
      </c>
      <c r="K61" s="39" t="str">
        <f t="shared" si="48"/>
        <v>Maxim 10nm Switch Motor</v>
      </c>
      <c r="L61" s="39" t="str">
        <f t="shared" si="49"/>
        <v>Maxim 10nm Switch Motor</v>
      </c>
      <c r="M61" s="39" t="str">
        <f t="shared" si="50"/>
        <v>Maxim 10nm Switch Motor</v>
      </c>
      <c r="N61" s="39" t="str">
        <f t="shared" si="51"/>
        <v>Maxim 10nm Switch Motor</v>
      </c>
      <c r="O61" s="39" t="str">
        <f t="shared" si="52"/>
        <v>Maxim 10nm Switch Motor</v>
      </c>
      <c r="P61" s="39" t="str">
        <f t="shared" si="53"/>
        <v>Maxim 10nm Switch Motor</v>
      </c>
      <c r="Q61" s="39" t="str">
        <f t="shared" si="54"/>
        <v>Maxim 10nm Switch Motor</v>
      </c>
      <c r="R61" s="39" t="str">
        <f t="shared" si="55"/>
        <v>Maxim 10nm Switch Motor</v>
      </c>
      <c r="S61" s="39" t="str">
        <f t="shared" si="56"/>
        <v>Maxim 10nm Switch Motor</v>
      </c>
      <c r="T61" s="39" t="str">
        <f t="shared" si="57"/>
        <v>Maxim 10nm Switch Motor</v>
      </c>
      <c r="U61" s="39" t="str">
        <f t="shared" si="58"/>
        <v>Maxim 10nm Switch Motor</v>
      </c>
    </row>
    <row r="62" spans="1:21" ht="14.4">
      <c r="A62" s="98">
        <v>980</v>
      </c>
      <c r="B62" s="39" t="s">
        <v>798</v>
      </c>
      <c r="C62" s="39" t="s">
        <v>276</v>
      </c>
      <c r="D62" s="39" t="str">
        <f t="shared" si="41"/>
        <v>Maxim 10nm Switch Motor</v>
      </c>
      <c r="E62" s="39" t="str">
        <f t="shared" si="42"/>
        <v>Maxim 10nm Switch Motor</v>
      </c>
      <c r="F62" s="39" t="str">
        <f t="shared" si="43"/>
        <v>Maxim 10nm Switch Motor</v>
      </c>
      <c r="G62" s="39" t="str">
        <f t="shared" si="44"/>
        <v>Maxim 10nm Switch Motor</v>
      </c>
      <c r="H62" s="39" t="str">
        <f t="shared" si="45"/>
        <v>Maxim 10nm Switch Motor</v>
      </c>
      <c r="I62" s="39" t="str">
        <f t="shared" si="46"/>
        <v>Maxim 10nm Switch Motor</v>
      </c>
      <c r="J62" s="39" t="str">
        <f t="shared" si="47"/>
        <v>Maxim 10nm Switch Motor</v>
      </c>
      <c r="K62" s="39" t="str">
        <f t="shared" si="48"/>
        <v>Maxim 10nm Switch Motor</v>
      </c>
      <c r="L62" s="39" t="str">
        <f t="shared" si="49"/>
        <v>Maxim 10nm Switch Motor</v>
      </c>
      <c r="M62" s="39" t="str">
        <f t="shared" si="50"/>
        <v>Maxim 10nm Switch Motor</v>
      </c>
      <c r="N62" s="39" t="str">
        <f t="shared" si="51"/>
        <v>Maxim 10nm Switch Motor</v>
      </c>
      <c r="O62" s="39" t="str">
        <f t="shared" si="52"/>
        <v>Maxim 10nm Switch Motor</v>
      </c>
      <c r="P62" s="39" t="str">
        <f t="shared" si="53"/>
        <v>Maxim 10nm Switch Motor</v>
      </c>
      <c r="Q62" s="39" t="str">
        <f t="shared" si="54"/>
        <v>Maxim 10nm Switch Motor</v>
      </c>
      <c r="R62" s="39" t="str">
        <f t="shared" si="55"/>
        <v>Maxim 10nm Switch Motor</v>
      </c>
      <c r="S62" s="39" t="str">
        <f t="shared" si="56"/>
        <v>Maxim 10nm Switch Motor</v>
      </c>
      <c r="T62" s="39" t="str">
        <f t="shared" si="57"/>
        <v>Maxim 10nm Switch Motor</v>
      </c>
      <c r="U62" s="39" t="str">
        <f t="shared" si="58"/>
        <v>Maxim 10nm Switch Motor</v>
      </c>
    </row>
    <row r="63" spans="1:21" ht="14.4">
      <c r="A63" s="98">
        <v>1080</v>
      </c>
      <c r="B63" s="39" t="s">
        <v>798</v>
      </c>
      <c r="C63" s="39" t="s">
        <v>276</v>
      </c>
      <c r="D63" s="39" t="str">
        <f t="shared" si="41"/>
        <v>Maxim 10nm Switch Motor</v>
      </c>
      <c r="E63" s="39" t="str">
        <f t="shared" si="42"/>
        <v>Maxim 10nm Switch Motor</v>
      </c>
      <c r="F63" s="39" t="str">
        <f t="shared" si="43"/>
        <v>Maxim 10nm Switch Motor</v>
      </c>
      <c r="G63" s="39" t="str">
        <f t="shared" si="44"/>
        <v>Maxim 10nm Switch Motor</v>
      </c>
      <c r="H63" s="39" t="str">
        <f t="shared" si="45"/>
        <v>Maxim 10nm Switch Motor</v>
      </c>
      <c r="I63" s="39" t="str">
        <f t="shared" si="46"/>
        <v>Maxim 10nm Switch Motor</v>
      </c>
      <c r="J63" s="39" t="str">
        <f t="shared" si="47"/>
        <v>Maxim 10nm Switch Motor</v>
      </c>
      <c r="K63" s="39" t="str">
        <f t="shared" si="48"/>
        <v>Maxim 10nm Switch Motor</v>
      </c>
      <c r="L63" s="39" t="str">
        <f t="shared" si="49"/>
        <v>Maxim 10nm Switch Motor</v>
      </c>
      <c r="M63" s="39" t="str">
        <f t="shared" si="50"/>
        <v>Maxim 10nm Switch Motor</v>
      </c>
      <c r="N63" s="39" t="str">
        <f t="shared" si="51"/>
        <v>Maxim 10nm Switch Motor</v>
      </c>
      <c r="O63" s="39" t="str">
        <f t="shared" si="52"/>
        <v>Maxim 10nm Switch Motor</v>
      </c>
      <c r="P63" s="39" t="str">
        <f t="shared" si="53"/>
        <v>Maxim 10nm Switch Motor</v>
      </c>
      <c r="Q63" s="39" t="str">
        <f t="shared" si="54"/>
        <v>Maxim 10nm Switch Motor</v>
      </c>
      <c r="R63" s="39" t="str">
        <f t="shared" si="55"/>
        <v>Maxim 10nm Switch Motor</v>
      </c>
      <c r="S63" s="39" t="str">
        <f t="shared" si="56"/>
        <v>Maxim 10nm Switch Motor</v>
      </c>
      <c r="T63" s="39" t="str">
        <f t="shared" si="57"/>
        <v>Maxim 10nm Switch Motor</v>
      </c>
      <c r="U63" s="39" t="str">
        <f t="shared" si="58"/>
        <v>Maxim 10nm Switch Motor</v>
      </c>
    </row>
    <row r="64" spans="1:21" ht="14.4">
      <c r="A64" s="98">
        <v>1180</v>
      </c>
      <c r="B64" s="39" t="s">
        <v>798</v>
      </c>
      <c r="C64" s="39" t="s">
        <v>276</v>
      </c>
      <c r="D64" s="39" t="str">
        <f t="shared" si="41"/>
        <v>Maxim 10nm Switch Motor</v>
      </c>
      <c r="E64" s="39" t="str">
        <f t="shared" si="42"/>
        <v>Maxim 10nm Switch Motor</v>
      </c>
      <c r="F64" s="39" t="str">
        <f t="shared" si="43"/>
        <v>Maxim 10nm Switch Motor</v>
      </c>
      <c r="G64" s="39" t="str">
        <f t="shared" si="44"/>
        <v>Maxim 10nm Switch Motor</v>
      </c>
      <c r="H64" s="39" t="str">
        <f t="shared" si="45"/>
        <v>Maxim 10nm Switch Motor</v>
      </c>
      <c r="I64" s="39" t="str">
        <f t="shared" si="46"/>
        <v>Maxim 10nm Switch Motor</v>
      </c>
      <c r="J64" s="39" t="str">
        <f t="shared" si="47"/>
        <v>Maxim 10nm Switch Motor</v>
      </c>
      <c r="K64" s="39" t="str">
        <f t="shared" si="48"/>
        <v>Maxim 10nm Switch Motor</v>
      </c>
      <c r="L64" s="39" t="str">
        <f t="shared" si="49"/>
        <v>Maxim 10nm Switch Motor</v>
      </c>
      <c r="M64" s="39" t="str">
        <f t="shared" si="50"/>
        <v>Maxim 10nm Switch Motor</v>
      </c>
      <c r="N64" s="39" t="str">
        <f t="shared" si="51"/>
        <v>Maxim 10nm Switch Motor</v>
      </c>
      <c r="O64" s="39" t="str">
        <f t="shared" si="52"/>
        <v>Maxim 10nm Switch Motor</v>
      </c>
      <c r="P64" s="39" t="str">
        <f t="shared" si="53"/>
        <v>Maxim 10nm Switch Motor</v>
      </c>
      <c r="Q64" s="39" t="str">
        <f t="shared" si="54"/>
        <v>Maxim 10nm Switch Motor</v>
      </c>
      <c r="R64" s="39" t="str">
        <f t="shared" si="55"/>
        <v>Maxim 10nm Switch Motor</v>
      </c>
      <c r="S64" s="39" t="str">
        <f t="shared" si="56"/>
        <v>Maxim 10nm Switch Motor</v>
      </c>
      <c r="T64" s="39" t="str">
        <f t="shared" si="57"/>
        <v>Maxim 10nm Switch Motor</v>
      </c>
      <c r="U64" s="39" t="str">
        <f t="shared" si="58"/>
        <v>Maxim 10nm Switch Motor</v>
      </c>
    </row>
    <row r="65" spans="1:21" ht="14.4">
      <c r="A65" s="98">
        <v>1280</v>
      </c>
      <c r="B65" s="39" t="s">
        <v>798</v>
      </c>
      <c r="C65" s="39" t="s">
        <v>276</v>
      </c>
      <c r="D65" s="39" t="str">
        <f t="shared" si="41"/>
        <v>Maxim 10nm Switch Motor</v>
      </c>
      <c r="E65" s="39" t="str">
        <f t="shared" si="42"/>
        <v>Maxim 10nm Switch Motor</v>
      </c>
      <c r="F65" s="39" t="str">
        <f t="shared" si="43"/>
        <v>Maxim 10nm Switch Motor</v>
      </c>
      <c r="G65" s="39" t="str">
        <f t="shared" si="44"/>
        <v>Maxim 10nm Switch Motor</v>
      </c>
      <c r="H65" s="39" t="str">
        <f t="shared" si="45"/>
        <v>Maxim 10nm Switch Motor</v>
      </c>
      <c r="I65" s="39" t="str">
        <f t="shared" si="46"/>
        <v>Maxim 10nm Switch Motor</v>
      </c>
      <c r="J65" s="39" t="str">
        <f t="shared" si="47"/>
        <v>Maxim 10nm Switch Motor</v>
      </c>
      <c r="K65" s="39" t="str">
        <f t="shared" si="48"/>
        <v>Maxim 10nm Switch Motor</v>
      </c>
      <c r="L65" s="39" t="str">
        <f t="shared" si="49"/>
        <v>Maxim 10nm Switch Motor</v>
      </c>
      <c r="M65" s="39" t="str">
        <f t="shared" si="50"/>
        <v>Maxim 10nm Switch Motor</v>
      </c>
      <c r="N65" s="39" t="str">
        <f t="shared" si="51"/>
        <v>Maxim 10nm Switch Motor</v>
      </c>
      <c r="O65" s="39" t="str">
        <f t="shared" si="52"/>
        <v>Maxim 10nm Switch Motor</v>
      </c>
      <c r="P65" s="39" t="str">
        <f t="shared" si="53"/>
        <v>Maxim 10nm Switch Motor</v>
      </c>
      <c r="Q65" s="39" t="str">
        <f t="shared" si="54"/>
        <v>Maxim 10nm Switch Motor</v>
      </c>
      <c r="R65" s="39" t="str">
        <f t="shared" si="55"/>
        <v>Maxim 10nm Switch Motor</v>
      </c>
      <c r="S65" s="39" t="str">
        <f t="shared" si="56"/>
        <v>Maxim 10nm Switch Motor</v>
      </c>
      <c r="T65" s="39" t="str">
        <f t="shared" si="57"/>
        <v>Maxim 10nm Switch Motor</v>
      </c>
      <c r="U65" s="39" t="str">
        <f t="shared" si="58"/>
        <v>Maxim 10nm Switch Motor</v>
      </c>
    </row>
    <row r="66" spans="1:21" ht="14.4">
      <c r="A66" s="98">
        <v>1380</v>
      </c>
      <c r="B66" s="39" t="s">
        <v>798</v>
      </c>
      <c r="C66" s="39" t="s">
        <v>276</v>
      </c>
      <c r="D66" s="39" t="str">
        <f t="shared" si="41"/>
        <v>Maxim 10nm Switch Motor</v>
      </c>
      <c r="E66" s="39" t="str">
        <f t="shared" si="42"/>
        <v>Maxim 10nm Switch Motor</v>
      </c>
      <c r="F66" s="39" t="str">
        <f t="shared" si="43"/>
        <v>Maxim 10nm Switch Motor</v>
      </c>
      <c r="G66" s="39" t="str">
        <f t="shared" si="44"/>
        <v>Maxim 10nm Switch Motor</v>
      </c>
      <c r="H66" s="39" t="str">
        <f t="shared" si="45"/>
        <v>Maxim 10nm Switch Motor</v>
      </c>
      <c r="I66" s="39" t="str">
        <f t="shared" si="46"/>
        <v>Maxim 10nm Switch Motor</v>
      </c>
      <c r="J66" s="39" t="str">
        <f t="shared" si="47"/>
        <v>Maxim 10nm Switch Motor</v>
      </c>
      <c r="K66" s="39" t="str">
        <f t="shared" si="48"/>
        <v>Maxim 10nm Switch Motor</v>
      </c>
      <c r="L66" s="39" t="str">
        <f t="shared" si="49"/>
        <v>Maxim 10nm Switch Motor</v>
      </c>
      <c r="M66" s="39" t="str">
        <f t="shared" si="50"/>
        <v>Maxim 10nm Switch Motor</v>
      </c>
      <c r="N66" s="39" t="str">
        <f t="shared" si="51"/>
        <v>Maxim 10nm Switch Motor</v>
      </c>
      <c r="O66" s="39" t="str">
        <f t="shared" si="52"/>
        <v>Maxim 10nm Switch Motor</v>
      </c>
      <c r="P66" s="39" t="str">
        <f t="shared" si="53"/>
        <v>Maxim 10nm Switch Motor</v>
      </c>
      <c r="Q66" s="39" t="str">
        <f t="shared" si="54"/>
        <v>Maxim 10nm Switch Motor</v>
      </c>
      <c r="R66" s="39" t="str">
        <f t="shared" si="55"/>
        <v>Maxim 10nm Switch Motor</v>
      </c>
      <c r="S66" s="39" t="str">
        <f t="shared" si="56"/>
        <v>Maxim 10nm Switch Motor</v>
      </c>
      <c r="T66" s="39" t="str">
        <f t="shared" si="57"/>
        <v>Maxim 20nm Switch Motor</v>
      </c>
      <c r="U66" s="39" t="str">
        <f t="shared" si="58"/>
        <v>Maxim 20nm Switch Motor</v>
      </c>
    </row>
    <row r="67" spans="1:21" ht="14.4">
      <c r="A67" s="98">
        <v>1480</v>
      </c>
      <c r="B67" s="39" t="s">
        <v>798</v>
      </c>
      <c r="C67" s="39" t="s">
        <v>276</v>
      </c>
      <c r="D67" s="39" t="str">
        <f t="shared" si="41"/>
        <v>Maxim 10nm Switch Motor</v>
      </c>
      <c r="E67" s="39" t="str">
        <f t="shared" si="42"/>
        <v>Maxim 10nm Switch Motor</v>
      </c>
      <c r="F67" s="39" t="str">
        <f t="shared" si="43"/>
        <v>Maxim 10nm Switch Motor</v>
      </c>
      <c r="G67" s="39" t="str">
        <f t="shared" si="44"/>
        <v>Maxim 10nm Switch Motor</v>
      </c>
      <c r="H67" s="39" t="str">
        <f t="shared" si="45"/>
        <v>Maxim 10nm Switch Motor</v>
      </c>
      <c r="I67" s="39" t="str">
        <f t="shared" si="46"/>
        <v>Maxim 10nm Switch Motor</v>
      </c>
      <c r="J67" s="39" t="str">
        <f t="shared" si="47"/>
        <v>Maxim 10nm Switch Motor</v>
      </c>
      <c r="K67" s="39" t="str">
        <f t="shared" si="48"/>
        <v>Maxim 10nm Switch Motor</v>
      </c>
      <c r="L67" s="39" t="str">
        <f t="shared" si="49"/>
        <v>Maxim 10nm Switch Motor</v>
      </c>
      <c r="M67" s="39" t="str">
        <f t="shared" si="50"/>
        <v>Maxim 10nm Switch Motor</v>
      </c>
      <c r="N67" s="39" t="str">
        <f t="shared" si="51"/>
        <v>Maxim 10nm Switch Motor</v>
      </c>
      <c r="O67" s="39" t="str">
        <f t="shared" si="52"/>
        <v>Maxim 10nm Switch Motor</v>
      </c>
      <c r="P67" s="39" t="str">
        <f t="shared" si="53"/>
        <v>Maxim 10nm Switch Motor</v>
      </c>
      <c r="Q67" s="39" t="str">
        <f t="shared" si="54"/>
        <v>Maxim 20nm Switch Motor</v>
      </c>
      <c r="R67" s="39" t="str">
        <f t="shared" si="55"/>
        <v>Maxim 20nm Switch Motor</v>
      </c>
      <c r="S67" s="39" t="str">
        <f t="shared" si="56"/>
        <v>Maxim 20nm Switch Motor</v>
      </c>
      <c r="T67" s="39" t="str">
        <f t="shared" si="57"/>
        <v>Maxim 20nm Switch Motor</v>
      </c>
      <c r="U67" s="39" t="str">
        <f t="shared" si="58"/>
        <v>Maxim 20nm Switch Motor</v>
      </c>
    </row>
    <row r="68" spans="1:21" ht="14.4">
      <c r="A68" s="98">
        <v>1580</v>
      </c>
      <c r="B68" s="39" t="s">
        <v>798</v>
      </c>
      <c r="C68" s="39" t="s">
        <v>276</v>
      </c>
      <c r="D68" s="39" t="str">
        <f t="shared" si="41"/>
        <v>Maxim 10nm Switch Motor</v>
      </c>
      <c r="E68" s="39" t="str">
        <f t="shared" si="42"/>
        <v>Maxim 10nm Switch Motor</v>
      </c>
      <c r="F68" s="39" t="str">
        <f t="shared" si="43"/>
        <v>Maxim 10nm Switch Motor</v>
      </c>
      <c r="G68" s="39" t="str">
        <f t="shared" si="44"/>
        <v>Maxim 10nm Switch Motor</v>
      </c>
      <c r="H68" s="39" t="str">
        <f t="shared" si="45"/>
        <v>Maxim 10nm Switch Motor</v>
      </c>
      <c r="I68" s="39" t="str">
        <f t="shared" si="46"/>
        <v>Maxim 10nm Switch Motor</v>
      </c>
      <c r="J68" s="39" t="str">
        <f t="shared" si="47"/>
        <v>Maxim 10nm Switch Motor</v>
      </c>
      <c r="K68" s="39" t="str">
        <f t="shared" si="48"/>
        <v>Maxim 10nm Switch Motor</v>
      </c>
      <c r="L68" s="39" t="str">
        <f t="shared" si="49"/>
        <v>Maxim 10nm Switch Motor</v>
      </c>
      <c r="M68" s="39" t="str">
        <f t="shared" si="50"/>
        <v>Maxim 10nm Switch Motor</v>
      </c>
      <c r="N68" s="39" t="str">
        <f t="shared" si="51"/>
        <v>Maxim 10nm Switch Motor</v>
      </c>
      <c r="O68" s="39" t="str">
        <f t="shared" si="52"/>
        <v>Maxim 20nm Switch Motor</v>
      </c>
      <c r="P68" s="39" t="str">
        <f t="shared" si="53"/>
        <v>Maxim 20nm Switch Motor</v>
      </c>
      <c r="Q68" s="39" t="str">
        <f t="shared" si="54"/>
        <v>Maxim 20nm Switch Motor</v>
      </c>
      <c r="R68" s="39" t="str">
        <f t="shared" si="55"/>
        <v>Maxim 20nm Switch Motor</v>
      </c>
      <c r="S68" s="39" t="str">
        <f t="shared" si="56"/>
        <v>Maxim 20nm Switch Motor</v>
      </c>
      <c r="T68" s="39" t="str">
        <f t="shared" si="57"/>
        <v>Maxim 20nm Switch Motor</v>
      </c>
      <c r="U68" s="39" t="str">
        <f t="shared" si="58"/>
        <v>Maxim 20nm Switch Motor</v>
      </c>
    </row>
    <row r="69" spans="1:21" ht="14.4">
      <c r="A69" s="98">
        <v>1680</v>
      </c>
      <c r="B69" s="39" t="s">
        <v>798</v>
      </c>
      <c r="C69" s="39" t="s">
        <v>276</v>
      </c>
      <c r="D69" s="39" t="str">
        <f t="shared" si="41"/>
        <v>Maxim 10nm Switch Motor</v>
      </c>
      <c r="E69" s="39" t="str">
        <f t="shared" si="42"/>
        <v>Maxim 10nm Switch Motor</v>
      </c>
      <c r="F69" s="39" t="str">
        <f t="shared" si="43"/>
        <v>Maxim 10nm Switch Motor</v>
      </c>
      <c r="G69" s="39" t="str">
        <f t="shared" si="44"/>
        <v>Maxim 10nm Switch Motor</v>
      </c>
      <c r="H69" s="39" t="str">
        <f t="shared" si="45"/>
        <v>Maxim 10nm Switch Motor</v>
      </c>
      <c r="I69" s="39" t="str">
        <f t="shared" si="46"/>
        <v>Maxim 10nm Switch Motor</v>
      </c>
      <c r="J69" s="39" t="str">
        <f t="shared" si="47"/>
        <v>Maxim 10nm Switch Motor</v>
      </c>
      <c r="K69" s="39" t="str">
        <f t="shared" si="48"/>
        <v>Maxim 10nm Switch Motor</v>
      </c>
      <c r="L69" s="39" t="str">
        <f t="shared" si="49"/>
        <v>Maxim 10nm Switch Motor</v>
      </c>
      <c r="M69" s="39" t="str">
        <f t="shared" si="50"/>
        <v>Maxim 10nm Switch Motor</v>
      </c>
      <c r="N69" s="39" t="str">
        <f t="shared" si="51"/>
        <v>Maxim 20nm Switch Motor</v>
      </c>
      <c r="O69" s="39" t="str">
        <f t="shared" si="52"/>
        <v>Maxim 20nm Switch Motor</v>
      </c>
      <c r="P69" s="39" t="str">
        <f t="shared" si="53"/>
        <v>Maxim 20nm Switch Motor</v>
      </c>
      <c r="Q69" s="39" t="str">
        <f t="shared" si="54"/>
        <v>Maxim 20nm Switch Motor</v>
      </c>
      <c r="R69" s="39" t="str">
        <f t="shared" si="55"/>
        <v>Maxim 20nm Switch Motor</v>
      </c>
      <c r="S69" s="39" t="str">
        <f t="shared" si="56"/>
        <v>Maxim 20nm Switch Motor</v>
      </c>
      <c r="T69" s="39" t="str">
        <f t="shared" si="57"/>
        <v>Maxim 20nm Switch Motor</v>
      </c>
      <c r="U69" s="39" t="str">
        <f t="shared" si="58"/>
        <v>Maxim 20nm Switch Motor</v>
      </c>
    </row>
    <row r="70" spans="1:21" ht="14.4">
      <c r="A70" s="98">
        <v>1780</v>
      </c>
      <c r="B70" s="39" t="s">
        <v>798</v>
      </c>
      <c r="C70" s="39" t="s">
        <v>276</v>
      </c>
      <c r="D70" s="39" t="str">
        <f t="shared" si="41"/>
        <v>Maxim 10nm Switch Motor</v>
      </c>
      <c r="E70" s="39" t="str">
        <f t="shared" si="42"/>
        <v>Maxim 10nm Switch Motor</v>
      </c>
      <c r="F70" s="39" t="str">
        <f t="shared" si="43"/>
        <v>Maxim 10nm Switch Motor</v>
      </c>
      <c r="G70" s="39" t="str">
        <f t="shared" si="44"/>
        <v>Maxim 10nm Switch Motor</v>
      </c>
      <c r="H70" s="39" t="str">
        <f t="shared" si="45"/>
        <v>Maxim 10nm Switch Motor</v>
      </c>
      <c r="I70" s="39" t="str">
        <f t="shared" si="46"/>
        <v>Maxim 10nm Switch Motor</v>
      </c>
      <c r="J70" s="39" t="str">
        <f t="shared" si="47"/>
        <v>Maxim 10nm Switch Motor</v>
      </c>
      <c r="K70" s="39" t="str">
        <f t="shared" si="48"/>
        <v>Maxim 10nm Switch Motor</v>
      </c>
      <c r="L70" s="39" t="str">
        <f t="shared" si="49"/>
        <v>Maxim 20nm Switch Motor</v>
      </c>
      <c r="M70" s="39" t="str">
        <f t="shared" si="50"/>
        <v>Maxim 20nm Switch Motor</v>
      </c>
      <c r="N70" s="39" t="str">
        <f t="shared" si="51"/>
        <v>Maxim 20nm Switch Motor</v>
      </c>
      <c r="O70" s="39" t="str">
        <f t="shared" si="52"/>
        <v>Maxim 20nm Switch Motor</v>
      </c>
      <c r="P70" s="39" t="str">
        <f t="shared" si="53"/>
        <v>Maxim 20nm Switch Motor</v>
      </c>
      <c r="Q70" s="39" t="str">
        <f t="shared" si="54"/>
        <v>Maxim 20nm Switch Motor</v>
      </c>
      <c r="R70" s="39" t="str">
        <f t="shared" si="55"/>
        <v>Maxim 20nm Switch Motor</v>
      </c>
      <c r="S70" s="39" t="str">
        <f t="shared" si="56"/>
        <v>Maxim 20nm Switch Motor</v>
      </c>
      <c r="T70" s="39" t="str">
        <f t="shared" si="57"/>
        <v>Maxim 20nm Switch Motor</v>
      </c>
      <c r="U70" s="39" t="str">
        <f t="shared" si="58"/>
        <v>Maxim 20nm Switch Motor</v>
      </c>
    </row>
    <row r="71" spans="1:21" ht="14.4">
      <c r="A71" s="98">
        <v>1880</v>
      </c>
      <c r="B71" s="39" t="s">
        <v>798</v>
      </c>
      <c r="C71" s="39" t="s">
        <v>276</v>
      </c>
      <c r="D71" s="39" t="str">
        <f t="shared" si="41"/>
        <v>Maxim 10nm Switch Motor</v>
      </c>
      <c r="E71" s="39" t="str">
        <f t="shared" si="42"/>
        <v>Maxim 10nm Switch Motor</v>
      </c>
      <c r="F71" s="39" t="str">
        <f t="shared" si="43"/>
        <v>Maxim 10nm Switch Motor</v>
      </c>
      <c r="G71" s="39" t="str">
        <f t="shared" si="44"/>
        <v>Maxim 10nm Switch Motor</v>
      </c>
      <c r="H71" s="39" t="str">
        <f t="shared" si="45"/>
        <v>Maxim 10nm Switch Motor</v>
      </c>
      <c r="I71" s="39" t="str">
        <f t="shared" si="46"/>
        <v>Maxim 10nm Switch Motor</v>
      </c>
      <c r="J71" s="39" t="str">
        <f t="shared" si="47"/>
        <v>Maxim 10nm Switch Motor</v>
      </c>
      <c r="K71" s="39" t="str">
        <f t="shared" si="48"/>
        <v>Maxim 20nm Switch Motor</v>
      </c>
      <c r="L71" s="39" t="str">
        <f t="shared" si="49"/>
        <v>Maxim 20nm Switch Motor</v>
      </c>
      <c r="M71" s="39" t="str">
        <f t="shared" si="50"/>
        <v>Maxim 20nm Switch Motor</v>
      </c>
      <c r="N71" s="39" t="str">
        <f t="shared" si="51"/>
        <v>Maxim 20nm Switch Motor</v>
      </c>
      <c r="O71" s="39" t="str">
        <f t="shared" si="52"/>
        <v>Maxim 20nm Switch Motor</v>
      </c>
      <c r="P71" s="39" t="str">
        <f t="shared" si="53"/>
        <v>Maxim 20nm Switch Motor</v>
      </c>
      <c r="Q71" s="39" t="str">
        <f t="shared" si="54"/>
        <v>Maxim 20nm Switch Motor</v>
      </c>
      <c r="R71" s="39" t="str">
        <f t="shared" si="55"/>
        <v>Maxim 20nm Switch Motor</v>
      </c>
      <c r="S71" s="39" t="str">
        <f t="shared" si="56"/>
        <v>Maxim 20nm Switch Motor</v>
      </c>
      <c r="T71" s="39" t="str">
        <f t="shared" si="57"/>
        <v>Maxim 20nm Switch Motor</v>
      </c>
      <c r="U71" s="39" t="str">
        <f t="shared" si="58"/>
        <v>Maxim 20nm Switch Motor</v>
      </c>
    </row>
    <row r="72" spans="1:21" ht="14.4">
      <c r="A72" s="98">
        <v>1980</v>
      </c>
      <c r="B72" s="39" t="s">
        <v>798</v>
      </c>
      <c r="C72" s="39" t="s">
        <v>276</v>
      </c>
      <c r="D72" s="39" t="str">
        <f t="shared" si="41"/>
        <v>Maxim 10nm Switch Motor</v>
      </c>
      <c r="E72" s="39" t="str">
        <f t="shared" si="42"/>
        <v>Maxim 10nm Switch Motor</v>
      </c>
      <c r="F72" s="39" t="str">
        <f t="shared" si="43"/>
        <v>Maxim 10nm Switch Motor</v>
      </c>
      <c r="G72" s="39" t="str">
        <f t="shared" si="44"/>
        <v>Maxim 10nm Switch Motor</v>
      </c>
      <c r="H72" s="39" t="str">
        <f t="shared" si="45"/>
        <v>Maxim 10nm Switch Motor</v>
      </c>
      <c r="I72" s="39" t="str">
        <f t="shared" si="46"/>
        <v>Maxim 10nm Switch Motor</v>
      </c>
      <c r="J72" s="39" t="str">
        <f t="shared" si="47"/>
        <v>Maxim 20nm Switch Motor</v>
      </c>
      <c r="K72" s="39" t="str">
        <f t="shared" si="48"/>
        <v>Maxim 20nm Switch Motor</v>
      </c>
      <c r="L72" s="39" t="str">
        <f t="shared" si="49"/>
        <v>Maxim 20nm Switch Motor</v>
      </c>
      <c r="M72" s="39" t="str">
        <f t="shared" si="50"/>
        <v>Maxim 20nm Switch Motor</v>
      </c>
      <c r="N72" s="39" t="str">
        <f t="shared" si="51"/>
        <v>Maxim 20nm Switch Motor</v>
      </c>
      <c r="O72" s="39" t="str">
        <f t="shared" si="52"/>
        <v>Maxim 20nm Switch Motor</v>
      </c>
      <c r="P72" s="39" t="str">
        <f t="shared" si="53"/>
        <v>Maxim 20nm Switch Motor</v>
      </c>
      <c r="Q72" s="39" t="str">
        <f t="shared" si="54"/>
        <v>Maxim 20nm Switch Motor</v>
      </c>
      <c r="R72" s="39" t="str">
        <f t="shared" si="55"/>
        <v>Maxim 20nm Switch Motor</v>
      </c>
      <c r="S72" s="39" t="str">
        <f t="shared" si="56"/>
        <v>Maxim 20nm Switch Motor</v>
      </c>
      <c r="T72" s="39" t="str">
        <f t="shared" si="57"/>
        <v>Maxim 20nm Switch Motor</v>
      </c>
      <c r="U72" s="39" t="str">
        <f t="shared" si="58"/>
        <v>Maxim 20nm Switch Motor</v>
      </c>
    </row>
    <row r="73" spans="1:21" ht="14.4">
      <c r="A73" s="98">
        <v>2080</v>
      </c>
      <c r="B73" s="39" t="s">
        <v>798</v>
      </c>
      <c r="C73" s="39" t="s">
        <v>276</v>
      </c>
      <c r="D73" s="39" t="str">
        <f t="shared" si="41"/>
        <v>Maxim 10nm Switch Motor</v>
      </c>
      <c r="E73" s="39" t="str">
        <f t="shared" si="42"/>
        <v>Maxim 10nm Switch Motor</v>
      </c>
      <c r="F73" s="39" t="str">
        <f t="shared" si="43"/>
        <v>Maxim 10nm Switch Motor</v>
      </c>
      <c r="G73" s="39" t="str">
        <f t="shared" si="44"/>
        <v>Maxim 10nm Switch Motor</v>
      </c>
      <c r="H73" s="39" t="str">
        <f t="shared" si="45"/>
        <v>Maxim 20nm Switch Motor</v>
      </c>
      <c r="I73" s="39" t="str">
        <f t="shared" si="46"/>
        <v>Maxim 20nm Switch Motor</v>
      </c>
      <c r="J73" s="39" t="str">
        <f t="shared" si="47"/>
        <v>Maxim 20nm Switch Motor</v>
      </c>
      <c r="K73" s="39" t="str">
        <f t="shared" si="48"/>
        <v>Maxim 20nm Switch Motor</v>
      </c>
      <c r="L73" s="39" t="str">
        <f t="shared" si="49"/>
        <v>Maxim 20nm Switch Motor</v>
      </c>
      <c r="M73" s="39" t="str">
        <f t="shared" si="50"/>
        <v>Maxim 20nm Switch Motor</v>
      </c>
      <c r="N73" s="39" t="str">
        <f t="shared" si="51"/>
        <v>Maxim 20nm Switch Motor</v>
      </c>
      <c r="O73" s="39" t="str">
        <f t="shared" si="52"/>
        <v>Maxim 20nm Switch Motor</v>
      </c>
      <c r="P73" s="39" t="str">
        <f t="shared" si="53"/>
        <v>Maxim 20nm Switch Motor</v>
      </c>
      <c r="Q73" s="39" t="str">
        <f t="shared" si="54"/>
        <v>Maxim 20nm Switch Motor</v>
      </c>
      <c r="R73" s="39" t="str">
        <f t="shared" si="55"/>
        <v>Maxim 20nm Switch Motor</v>
      </c>
      <c r="S73" s="39" t="str">
        <f t="shared" si="56"/>
        <v>Maxim 20nm Switch Motor</v>
      </c>
      <c r="T73" s="39" t="str">
        <f t="shared" si="57"/>
        <v>Maxim 20nm Switch Motor</v>
      </c>
      <c r="U73" s="39" t="str">
        <f t="shared" si="58"/>
        <v>Maxim 20nm Switch Motor</v>
      </c>
    </row>
    <row r="74" spans="1:21" ht="14.4">
      <c r="A74" s="98">
        <v>2180</v>
      </c>
      <c r="B74" s="39" t="s">
        <v>798</v>
      </c>
      <c r="C74" s="39" t="s">
        <v>276</v>
      </c>
      <c r="D74" s="39" t="str">
        <f t="shared" si="41"/>
        <v>Maxim 10nm Switch Motor</v>
      </c>
      <c r="E74" s="39" t="str">
        <f t="shared" si="42"/>
        <v>Maxim 10nm Switch Motor</v>
      </c>
      <c r="F74" s="39" t="str">
        <f t="shared" si="43"/>
        <v>Maxim 10nm Switch Motor</v>
      </c>
      <c r="G74" s="39" t="str">
        <f t="shared" si="44"/>
        <v>Maxim 20nm Switch Motor</v>
      </c>
      <c r="H74" s="39" t="str">
        <f t="shared" si="45"/>
        <v>Maxim 20nm Switch Motor</v>
      </c>
      <c r="I74" s="39" t="str">
        <f t="shared" si="46"/>
        <v>Maxim 20nm Switch Motor</v>
      </c>
      <c r="J74" s="39" t="str">
        <f t="shared" si="47"/>
        <v>Maxim 20nm Switch Motor</v>
      </c>
      <c r="K74" s="39" t="str">
        <f t="shared" si="48"/>
        <v>Maxim 20nm Switch Motor</v>
      </c>
      <c r="L74" s="39" t="str">
        <f t="shared" si="49"/>
        <v>Maxim 20nm Switch Motor</v>
      </c>
      <c r="M74" s="39" t="str">
        <f t="shared" si="50"/>
        <v>Maxim 20nm Switch Motor</v>
      </c>
      <c r="N74" s="39" t="str">
        <f t="shared" si="51"/>
        <v>Maxim 20nm Switch Motor</v>
      </c>
      <c r="O74" s="39" t="str">
        <f t="shared" si="52"/>
        <v>Maxim 20nm Switch Motor</v>
      </c>
      <c r="P74" s="39" t="str">
        <f t="shared" si="53"/>
        <v>Maxim 20nm Switch Motor</v>
      </c>
      <c r="Q74" s="39" t="str">
        <f t="shared" si="54"/>
        <v>Maxim 20nm Switch Motor</v>
      </c>
      <c r="R74" s="39" t="str">
        <f t="shared" si="55"/>
        <v>Maxim 20nm Switch Motor</v>
      </c>
      <c r="S74" s="39" t="str">
        <f t="shared" si="56"/>
        <v>Maxim 20nm Switch Motor</v>
      </c>
      <c r="T74" s="39" t="str">
        <f t="shared" si="57"/>
        <v>Maxim 20nm Switch Motor</v>
      </c>
      <c r="U74" s="39" t="str">
        <f t="shared" si="58"/>
        <v>Maxim 20nm Switch Motor</v>
      </c>
    </row>
    <row r="75" spans="1:21" ht="14.4">
      <c r="A75" s="98">
        <v>2280</v>
      </c>
      <c r="B75" s="39" t="s">
        <v>798</v>
      </c>
      <c r="C75" s="39" t="s">
        <v>276</v>
      </c>
      <c r="D75" s="39" t="str">
        <f t="shared" si="41"/>
        <v>Maxim 10nm Switch Motor</v>
      </c>
      <c r="E75" s="39" t="str">
        <f t="shared" si="42"/>
        <v>Maxim 10nm Switch Motor</v>
      </c>
      <c r="F75" s="39" t="str">
        <f t="shared" si="43"/>
        <v>Maxim 10nm Switch Motor</v>
      </c>
      <c r="G75" s="39" t="str">
        <f t="shared" si="44"/>
        <v>Maxim 20nm Switch Motor</v>
      </c>
      <c r="H75" s="39" t="str">
        <f t="shared" si="45"/>
        <v>Maxim 20nm Switch Motor</v>
      </c>
      <c r="I75" s="39" t="str">
        <f t="shared" si="46"/>
        <v>Maxim 20nm Switch Motor</v>
      </c>
      <c r="J75" s="39" t="str">
        <f t="shared" si="47"/>
        <v>Maxim 20nm Switch Motor</v>
      </c>
      <c r="K75" s="39" t="str">
        <f t="shared" si="48"/>
        <v>Maxim 20nm Switch Motor</v>
      </c>
      <c r="L75" s="39" t="str">
        <f t="shared" si="49"/>
        <v>Maxim 20nm Switch Motor</v>
      </c>
      <c r="M75" s="39" t="str">
        <f t="shared" si="50"/>
        <v>Maxim 20nm Switch Motor</v>
      </c>
      <c r="N75" s="39" t="str">
        <f t="shared" si="51"/>
        <v>Maxim 20nm Switch Motor</v>
      </c>
      <c r="O75" s="39" t="str">
        <f t="shared" si="52"/>
        <v>Maxim 20nm Switch Motor</v>
      </c>
      <c r="P75" s="39" t="str">
        <f t="shared" si="53"/>
        <v>Maxim 20nm Switch Motor</v>
      </c>
      <c r="Q75" s="39" t="str">
        <f t="shared" si="54"/>
        <v>Maxim 20nm Switch Motor</v>
      </c>
      <c r="R75" s="39" t="str">
        <f t="shared" si="55"/>
        <v>Maxim 20nm Switch Motor</v>
      </c>
      <c r="S75" s="39" t="str">
        <f t="shared" si="56"/>
        <v>Maxim 20nm Switch Motor</v>
      </c>
      <c r="T75" s="39" t="str">
        <f t="shared" si="57"/>
        <v>Maxim 20nm Switch Motor</v>
      </c>
      <c r="U75" s="39" t="str">
        <f t="shared" si="58"/>
        <v>Maxim 20nm Switch Motor</v>
      </c>
    </row>
    <row r="76" spans="1:21" ht="14.4">
      <c r="A76" s="98">
        <v>2380</v>
      </c>
      <c r="B76" s="39" t="s">
        <v>798</v>
      </c>
      <c r="C76" s="39" t="s">
        <v>276</v>
      </c>
      <c r="D76" s="39" t="str">
        <f t="shared" si="41"/>
        <v>Maxim 10nm Switch Motor</v>
      </c>
      <c r="E76" s="39" t="str">
        <f t="shared" si="42"/>
        <v>Maxim 10nm Switch Motor</v>
      </c>
      <c r="F76" s="39" t="str">
        <f t="shared" si="43"/>
        <v>Maxim 20nm Switch Motor</v>
      </c>
      <c r="G76" s="39" t="str">
        <f t="shared" si="44"/>
        <v>Maxim 20nm Switch Motor</v>
      </c>
      <c r="H76" s="39" t="str">
        <f t="shared" si="45"/>
        <v>Maxim 20nm Switch Motor</v>
      </c>
      <c r="I76" s="39" t="str">
        <f t="shared" si="46"/>
        <v>Maxim 20nm Switch Motor</v>
      </c>
      <c r="J76" s="39" t="str">
        <f t="shared" si="47"/>
        <v>Maxim 20nm Switch Motor</v>
      </c>
      <c r="K76" s="39" t="str">
        <f t="shared" si="48"/>
        <v>Maxim 20nm Switch Motor</v>
      </c>
      <c r="L76" s="39" t="str">
        <f t="shared" si="49"/>
        <v>Maxim 20nm Switch Motor</v>
      </c>
      <c r="M76" s="39" t="str">
        <f t="shared" si="50"/>
        <v>Maxim 20nm Switch Motor</v>
      </c>
      <c r="N76" s="39" t="str">
        <f t="shared" si="51"/>
        <v>Maxim 20nm Switch Motor</v>
      </c>
      <c r="O76" s="39" t="str">
        <f t="shared" si="52"/>
        <v>Maxim 20nm Switch Motor</v>
      </c>
      <c r="P76" s="39" t="str">
        <f t="shared" si="53"/>
        <v>Maxim 20nm Switch Motor</v>
      </c>
      <c r="Q76" s="39" t="str">
        <f t="shared" si="54"/>
        <v>Maxim 20nm Switch Motor</v>
      </c>
      <c r="R76" s="39" t="str">
        <f t="shared" si="55"/>
        <v>Maxim 20nm Switch Motor</v>
      </c>
      <c r="S76" s="39" t="str">
        <f t="shared" si="56"/>
        <v>Maxim 20nm Switch Motor</v>
      </c>
      <c r="T76" s="39" t="str">
        <f t="shared" si="57"/>
        <v>Maxim 20nm Switch Motor</v>
      </c>
      <c r="U76" s="39" t="str">
        <f t="shared" si="58"/>
        <v>Maxim 20nm Switch Motor</v>
      </c>
    </row>
    <row r="77" spans="1:21" ht="14.4">
      <c r="A77" s="98">
        <v>2480</v>
      </c>
      <c r="B77" s="39" t="s">
        <v>798</v>
      </c>
      <c r="C77" s="39" t="s">
        <v>276</v>
      </c>
      <c r="D77" s="39" t="str">
        <f t="shared" si="41"/>
        <v>Maxim 10nm Switch Motor</v>
      </c>
      <c r="E77" s="39" t="str">
        <f t="shared" si="42"/>
        <v>Maxim 20nm Switch Motor</v>
      </c>
      <c r="F77" s="39" t="str">
        <f t="shared" si="43"/>
        <v>Maxim 20nm Switch Motor</v>
      </c>
      <c r="G77" s="39" t="str">
        <f t="shared" si="44"/>
        <v>Maxim 20nm Switch Motor</v>
      </c>
      <c r="H77" s="39" t="str">
        <f t="shared" si="45"/>
        <v>Maxim 20nm Switch Motor</v>
      </c>
      <c r="I77" s="39" t="str">
        <f t="shared" si="46"/>
        <v>Maxim 20nm Switch Motor</v>
      </c>
      <c r="J77" s="39" t="str">
        <f t="shared" si="47"/>
        <v>Maxim 20nm Switch Motor</v>
      </c>
      <c r="K77" s="39" t="str">
        <f t="shared" si="48"/>
        <v>Maxim 20nm Switch Motor</v>
      </c>
      <c r="L77" s="39" t="str">
        <f t="shared" si="49"/>
        <v>Maxim 20nm Switch Motor</v>
      </c>
      <c r="M77" s="39" t="str">
        <f t="shared" si="50"/>
        <v>Maxim 20nm Switch Motor</v>
      </c>
      <c r="N77" s="39" t="str">
        <f t="shared" si="51"/>
        <v>Maxim 20nm Switch Motor</v>
      </c>
      <c r="O77" s="39" t="str">
        <f t="shared" si="52"/>
        <v>Maxim 20nm Switch Motor</v>
      </c>
      <c r="P77" s="39" t="str">
        <f t="shared" si="53"/>
        <v>Maxim 20nm Switch Motor</v>
      </c>
      <c r="Q77" s="39" t="str">
        <f t="shared" si="54"/>
        <v>Maxim 20nm Switch Motor</v>
      </c>
      <c r="R77" s="39" t="str">
        <f t="shared" si="55"/>
        <v>Maxim 20nm Switch Motor</v>
      </c>
      <c r="S77" s="39" t="str">
        <f t="shared" si="56"/>
        <v>Maxim 20nm Switch Motor</v>
      </c>
      <c r="T77" s="39" t="str">
        <f t="shared" si="57"/>
        <v>Maxim 20nm Switch Motor</v>
      </c>
      <c r="U77" s="39" t="str">
        <f t="shared" si="58"/>
        <v>Maxim 20nm Switch Motor</v>
      </c>
    </row>
    <row r="78" spans="1:21" ht="14.4">
      <c r="A78" s="98">
        <v>2580</v>
      </c>
      <c r="B78" s="39" t="s">
        <v>798</v>
      </c>
      <c r="C78" s="39" t="s">
        <v>276</v>
      </c>
      <c r="D78" s="39" t="str">
        <f t="shared" si="41"/>
        <v>Maxim 10nm Switch Motor</v>
      </c>
      <c r="E78" s="39" t="str">
        <f t="shared" si="42"/>
        <v>Maxim 20nm Switch Motor</v>
      </c>
      <c r="F78" s="39" t="str">
        <f t="shared" si="43"/>
        <v>Maxim 20nm Switch Motor</v>
      </c>
      <c r="G78" s="39" t="str">
        <f t="shared" si="44"/>
        <v>Maxim 20nm Switch Motor</v>
      </c>
      <c r="H78" s="39" t="str">
        <f t="shared" si="45"/>
        <v>Maxim 20nm Switch Motor</v>
      </c>
      <c r="I78" s="39" t="str">
        <f t="shared" si="46"/>
        <v>Maxim 20nm Switch Motor</v>
      </c>
      <c r="J78" s="39" t="str">
        <f t="shared" si="47"/>
        <v>Maxim 20nm Switch Motor</v>
      </c>
      <c r="K78" s="39" t="str">
        <f t="shared" si="48"/>
        <v>Maxim 20nm Switch Motor</v>
      </c>
      <c r="L78" s="39" t="str">
        <f t="shared" si="49"/>
        <v>Maxim 20nm Switch Motor</v>
      </c>
      <c r="M78" s="39" t="str">
        <f t="shared" si="50"/>
        <v>Maxim 20nm Switch Motor</v>
      </c>
      <c r="N78" s="39" t="str">
        <f t="shared" si="51"/>
        <v>Maxim 20nm Switch Motor</v>
      </c>
      <c r="O78" s="39" t="str">
        <f t="shared" si="52"/>
        <v>Maxim 20nm Switch Motor</v>
      </c>
      <c r="P78" s="39" t="str">
        <f t="shared" si="53"/>
        <v>Maxim 20nm Switch Motor</v>
      </c>
      <c r="Q78" s="39" t="str">
        <f t="shared" si="54"/>
        <v>Maxim 20nm Switch Motor</v>
      </c>
      <c r="R78" s="39" t="str">
        <f t="shared" si="55"/>
        <v>Maxim 20nm Switch Motor</v>
      </c>
      <c r="S78" s="39" t="str">
        <f t="shared" si="56"/>
        <v>Maxim 20nm Switch Motor</v>
      </c>
      <c r="T78" s="39" t="str">
        <f t="shared" si="57"/>
        <v>Maxim 20nm Switch Motor</v>
      </c>
      <c r="U78" s="39" t="str">
        <f t="shared" si="58"/>
        <v>Maxim 20nm Switch Motor</v>
      </c>
    </row>
    <row r="79" spans="1:21" ht="14.4">
      <c r="A79" s="98">
        <v>2680</v>
      </c>
      <c r="B79" s="39" t="s">
        <v>798</v>
      </c>
      <c r="C79" s="39" t="s">
        <v>276</v>
      </c>
      <c r="D79" s="39" t="str">
        <f t="shared" si="41"/>
        <v>Maxim 10nm Switch Motor</v>
      </c>
      <c r="E79" s="39" t="str">
        <f t="shared" si="42"/>
        <v>Maxim 20nm Switch Motor</v>
      </c>
      <c r="F79" s="39" t="str">
        <f t="shared" si="43"/>
        <v>Maxim 20nm Switch Motor</v>
      </c>
      <c r="G79" s="39" t="str">
        <f t="shared" si="44"/>
        <v>Maxim 20nm Switch Motor</v>
      </c>
      <c r="H79" s="39" t="str">
        <f t="shared" si="45"/>
        <v>Maxim 20nm Switch Motor</v>
      </c>
      <c r="I79" s="39" t="str">
        <f t="shared" si="46"/>
        <v>Maxim 20nm Switch Motor</v>
      </c>
      <c r="J79" s="39" t="str">
        <f t="shared" si="47"/>
        <v>Maxim 20nm Switch Motor</v>
      </c>
      <c r="K79" s="39" t="str">
        <f t="shared" si="48"/>
        <v>Maxim 20nm Switch Motor</v>
      </c>
      <c r="L79" s="39" t="str">
        <f t="shared" si="49"/>
        <v>Maxim 20nm Switch Motor</v>
      </c>
      <c r="M79" s="39" t="str">
        <f t="shared" si="50"/>
        <v>Maxim 20nm Switch Motor</v>
      </c>
      <c r="N79" s="39" t="str">
        <f t="shared" si="51"/>
        <v>Maxim 20nm Switch Motor</v>
      </c>
      <c r="O79" s="39" t="str">
        <f t="shared" si="52"/>
        <v>Maxim 20nm Switch Motor</v>
      </c>
      <c r="P79" s="39" t="str">
        <f t="shared" si="53"/>
        <v>Maxim 20nm Switch Motor</v>
      </c>
      <c r="Q79" s="39" t="str">
        <f t="shared" si="54"/>
        <v>Maxim 20nm Switch Motor</v>
      </c>
      <c r="R79" s="39" t="str">
        <f t="shared" si="55"/>
        <v>Maxim 20nm Switch Motor</v>
      </c>
      <c r="S79" s="39" t="str">
        <f t="shared" si="56"/>
        <v>Maxim 20nm Switch Motor</v>
      </c>
      <c r="T79" s="39" t="str">
        <f t="shared" si="57"/>
        <v>Maxim 20nm Switch Motor</v>
      </c>
      <c r="U79" s="39" t="str">
        <f t="shared" si="58"/>
        <v>Maxim 20nm Switch Motor</v>
      </c>
    </row>
    <row r="80" spans="1:21" ht="14.4">
      <c r="A80" s="98">
        <v>2780</v>
      </c>
      <c r="B80" s="39" t="s">
        <v>798</v>
      </c>
      <c r="C80" s="39" t="s">
        <v>276</v>
      </c>
      <c r="D80" s="39" t="str">
        <f t="shared" si="41"/>
        <v>Maxim 10nm Switch Motor</v>
      </c>
      <c r="E80" s="39" t="str">
        <f t="shared" si="42"/>
        <v>Maxim 20nm Switch Motor</v>
      </c>
      <c r="F80" s="39" t="str">
        <f t="shared" si="43"/>
        <v>Maxim 20nm Switch Motor</v>
      </c>
      <c r="G80" s="39" t="str">
        <f t="shared" si="44"/>
        <v>Maxim 20nm Switch Motor</v>
      </c>
      <c r="H80" s="39" t="str">
        <f t="shared" si="45"/>
        <v>Maxim 20nm Switch Motor</v>
      </c>
      <c r="I80" s="39" t="str">
        <f t="shared" si="46"/>
        <v>Maxim 20nm Switch Motor</v>
      </c>
      <c r="J80" s="39" t="str">
        <f t="shared" si="47"/>
        <v>Maxim 20nm Switch Motor</v>
      </c>
      <c r="K80" s="39" t="str">
        <f t="shared" si="48"/>
        <v>Maxim 20nm Switch Motor</v>
      </c>
      <c r="L80" s="39" t="str">
        <f t="shared" si="49"/>
        <v>Maxim 20nm Switch Motor</v>
      </c>
      <c r="M80" s="39" t="str">
        <f t="shared" si="50"/>
        <v>Maxim 20nm Switch Motor</v>
      </c>
      <c r="N80" s="39" t="str">
        <f t="shared" si="51"/>
        <v>Maxim 20nm Switch Motor</v>
      </c>
      <c r="O80" s="39" t="str">
        <f t="shared" si="52"/>
        <v>Maxim 20nm Switch Motor</v>
      </c>
      <c r="P80" s="39" t="str">
        <f t="shared" si="53"/>
        <v>Maxim 20nm Switch Motor</v>
      </c>
      <c r="Q80" s="39" t="str">
        <f t="shared" si="54"/>
        <v>Maxim 20nm Switch Motor</v>
      </c>
      <c r="R80" s="39" t="str">
        <f t="shared" si="55"/>
        <v>Maxim 20nm Switch Motor</v>
      </c>
      <c r="S80" s="39" t="str">
        <f t="shared" si="56"/>
        <v>Maxim 20nm Switch Motor</v>
      </c>
      <c r="T80" s="39" t="str">
        <f t="shared" si="57"/>
        <v>Maxim 20nm Switch Motor</v>
      </c>
      <c r="U80" s="39" t="str">
        <f t="shared" si="58"/>
        <v>Maxim 20nm Switch Motor</v>
      </c>
    </row>
    <row r="81" spans="1:21" ht="14.4">
      <c r="A81" s="98">
        <v>2880</v>
      </c>
      <c r="B81" s="39" t="s">
        <v>798</v>
      </c>
      <c r="C81" s="39" t="s">
        <v>276</v>
      </c>
      <c r="D81" s="39" t="str">
        <f t="shared" si="41"/>
        <v>Maxim 10nm Switch Motor</v>
      </c>
      <c r="E81" s="39" t="str">
        <f t="shared" si="42"/>
        <v>Maxim 20nm Switch Motor</v>
      </c>
      <c r="F81" s="39" t="str">
        <f t="shared" si="43"/>
        <v>Maxim 20nm Switch Motor</v>
      </c>
      <c r="G81" s="39" t="str">
        <f t="shared" si="44"/>
        <v>Maxim 20nm Switch Motor</v>
      </c>
      <c r="H81" s="39" t="str">
        <f t="shared" si="45"/>
        <v>Maxim 20nm Switch Motor</v>
      </c>
      <c r="I81" s="39" t="str">
        <f t="shared" si="46"/>
        <v>Maxim 20nm Switch Motor</v>
      </c>
      <c r="J81" s="39" t="str">
        <f t="shared" si="47"/>
        <v>Maxim 20nm Switch Motor</v>
      </c>
      <c r="K81" s="39" t="str">
        <f t="shared" si="48"/>
        <v>Maxim 20nm Switch Motor</v>
      </c>
      <c r="L81" s="39" t="str">
        <f t="shared" si="49"/>
        <v>Maxim 20nm Switch Motor</v>
      </c>
      <c r="M81" s="39" t="str">
        <f t="shared" si="50"/>
        <v>Maxim 20nm Switch Motor</v>
      </c>
      <c r="N81" s="39" t="str">
        <f t="shared" si="51"/>
        <v>Maxim 20nm Switch Motor</v>
      </c>
      <c r="O81" s="39" t="str">
        <f t="shared" si="52"/>
        <v>Maxim 20nm Switch Motor</v>
      </c>
      <c r="P81" s="39" t="str">
        <f t="shared" si="53"/>
        <v>Maxim 20nm Switch Motor</v>
      </c>
      <c r="Q81" s="39" t="str">
        <f t="shared" si="54"/>
        <v>Maxim 20nm Switch Motor</v>
      </c>
      <c r="R81" s="39" t="str">
        <f t="shared" si="55"/>
        <v>Maxim 20nm Switch Motor</v>
      </c>
      <c r="S81" s="39" t="str">
        <f t="shared" si="56"/>
        <v>Maxim 20nm Switch Motor</v>
      </c>
      <c r="T81" s="39" t="str">
        <f t="shared" si="57"/>
        <v>Maxim 20nm Switch Motor</v>
      </c>
      <c r="U81" s="39" t="str">
        <f t="shared" si="58"/>
        <v>Maxim 20nm Switch Motor</v>
      </c>
    </row>
    <row r="82" spans="1:21" ht="14.4">
      <c r="A82" s="98">
        <v>2980</v>
      </c>
      <c r="B82" s="39" t="s">
        <v>798</v>
      </c>
      <c r="C82" s="39" t="s">
        <v>276</v>
      </c>
      <c r="D82" s="39" t="str">
        <f t="shared" si="41"/>
        <v>Maxim 10nm Switch Motor</v>
      </c>
      <c r="E82" s="39" t="str">
        <f t="shared" si="42"/>
        <v>Maxim 20nm Switch Motor</v>
      </c>
      <c r="F82" s="39" t="str">
        <f t="shared" si="43"/>
        <v>Maxim 20nm Switch Motor</v>
      </c>
      <c r="G82" s="39" t="str">
        <f t="shared" si="44"/>
        <v>Maxim 20nm Switch Motor</v>
      </c>
      <c r="H82" s="39" t="str">
        <f t="shared" si="45"/>
        <v>Maxim 20nm Switch Motor</v>
      </c>
      <c r="I82" s="39" t="str">
        <f t="shared" si="46"/>
        <v>Maxim 20nm Switch Motor</v>
      </c>
      <c r="J82" s="39" t="str">
        <f t="shared" si="47"/>
        <v>Maxim 20nm Switch Motor</v>
      </c>
      <c r="K82" s="39" t="str">
        <f t="shared" si="48"/>
        <v>Maxim 20nm Switch Motor</v>
      </c>
      <c r="L82" s="39" t="str">
        <f t="shared" si="49"/>
        <v>Maxim 20nm Switch Motor</v>
      </c>
      <c r="M82" s="39" t="str">
        <f t="shared" si="50"/>
        <v>Maxim 20nm Switch Motor</v>
      </c>
      <c r="N82" s="39" t="str">
        <f t="shared" si="51"/>
        <v>Maxim 20nm Switch Motor</v>
      </c>
      <c r="O82" s="39" t="str">
        <f t="shared" si="52"/>
        <v>Maxim 20nm Switch Motor</v>
      </c>
      <c r="P82" s="39" t="str">
        <f t="shared" si="53"/>
        <v>Maxim 20nm Switch Motor</v>
      </c>
      <c r="Q82" s="39" t="str">
        <f t="shared" si="54"/>
        <v>Maxim 20nm Switch Motor</v>
      </c>
      <c r="R82" s="39" t="str">
        <f t="shared" si="55"/>
        <v>Maxim 20nm Switch Motor</v>
      </c>
      <c r="S82" s="39" t="str">
        <f t="shared" si="56"/>
        <v>Maxim 20nm Switch Motor</v>
      </c>
      <c r="T82" s="39" t="str">
        <f t="shared" si="57"/>
        <v>Maxim 20nm Switch Motor</v>
      </c>
      <c r="U82" s="39" t="str">
        <f t="shared" si="58"/>
        <v>Maxim 20nm Switch Motor</v>
      </c>
    </row>
    <row r="85" spans="1:23" ht="13.2">
      <c r="A85" s="306" t="s">
        <v>291</v>
      </c>
      <c r="B85" s="306"/>
      <c r="C85" s="306"/>
      <c r="D85" s="306"/>
      <c r="E85" s="306"/>
      <c r="F85" s="306"/>
      <c r="G85" s="306"/>
      <c r="H85" s="306"/>
      <c r="I85" s="306"/>
      <c r="J85" s="306"/>
      <c r="K85" s="306"/>
      <c r="L85" s="306"/>
      <c r="M85" s="306"/>
      <c r="N85" s="306"/>
      <c r="O85" s="306"/>
      <c r="P85" s="306"/>
      <c r="Q85" s="306"/>
      <c r="R85" s="306"/>
      <c r="S85" s="306"/>
      <c r="T85" s="306"/>
      <c r="U85" s="306"/>
      <c r="V85" s="306"/>
      <c r="W85" s="306"/>
    </row>
    <row r="86" spans="1:22" ht="14.4">
      <c r="A86" s="98" t="s">
        <v>262</v>
      </c>
      <c r="B86" s="98">
        <v>0</v>
      </c>
      <c r="C86" s="98">
        <v>528</v>
      </c>
      <c r="D86" s="98">
        <v>615</v>
      </c>
      <c r="E86" s="98">
        <v>850</v>
      </c>
      <c r="F86" s="98">
        <v>1900</v>
      </c>
      <c r="G86" s="98">
        <v>2000</v>
      </c>
      <c r="H86" s="98">
        <v>2100</v>
      </c>
      <c r="I86" s="98">
        <v>2200</v>
      </c>
      <c r="J86" s="98">
        <v>2300</v>
      </c>
      <c r="K86" s="98">
        <v>2400</v>
      </c>
      <c r="L86" s="98">
        <v>2500</v>
      </c>
      <c r="M86" s="98">
        <v>2600</v>
      </c>
      <c r="N86" s="98">
        <v>2700</v>
      </c>
      <c r="O86" s="98">
        <v>2800</v>
      </c>
      <c r="P86" s="98">
        <v>2900</v>
      </c>
      <c r="Q86" s="98">
        <v>3000</v>
      </c>
      <c r="R86" s="98">
        <v>3100</v>
      </c>
      <c r="S86" s="98">
        <v>3200</v>
      </c>
      <c r="T86" s="98">
        <v>3300</v>
      </c>
      <c r="U86" s="98">
        <v>3400</v>
      </c>
      <c r="V86" s="98">
        <v>3500</v>
      </c>
    </row>
    <row r="87" spans="1:22" ht="14.4">
      <c r="A87" s="98">
        <v>0</v>
      </c>
      <c r="B87" s="39" t="s">
        <v>297</v>
      </c>
      <c r="C87" s="39" t="s">
        <v>297</v>
      </c>
      <c r="D87" s="39" t="str">
        <f t="shared" si="59" ref="D87:D110">IF(((($D$86)*(A87))/1000000*3.5)&lt;10,"Somfy Altus 50 RTS 6/17",IF(((($D$86)*(A87))/1000000*3.5)&lt;=16,"Somfy Altus 50 RTS 10/17",IF(((($D$86)*(A87))/1000000*3.5)&lt;=24,"Somfy Altus 50 RTS 15/17","Somfy Altus 50 RTS 25/17")))</f>
        <v>Somfy Altus 50 RTS 6/17</v>
      </c>
      <c r="E87" s="39" t="str">
        <f t="shared" si="60" ref="E87:E110">IF(((($E$86)*(A87))/1000000*3.5)&lt;10,"Somfy Altus 50 RTS 6/17",IF(((($E$86)*(A87))/1000000*3.5)&lt;=16,"Somfy Altus 50 RTS 10/17",IF(((($E$86)*(A87))/1000000*3.5)&lt;=24,"Somfy Altus 50 RTS 15/17","Somfy Altus 50 RTS 25/17")))</f>
        <v>Somfy Altus 50 RTS 6/17</v>
      </c>
      <c r="F87" s="39" t="str">
        <f t="shared" si="61" ref="F87:F110">IF(((($F$86)*(A87))/1000000*3.5)&lt;10,"Somfy Altus 50 RTS 6/17",IF(((($F$86)*(A87))/1000000*3.5)&lt;=16,"Somfy Altus 50 RTS 10/17",IF(((($F$86)*(A87))/1000000*3.5)&lt;=24,"Somfy Altus 50 RTS 15/17","Somfy Altus 50 RTS 25/17")))</f>
        <v>Somfy Altus 50 RTS 6/17</v>
      </c>
      <c r="G87" s="39" t="str">
        <f t="shared" si="62" ref="G87:G110">IF(((($G$86)*(A87))/1000000*3.5)&lt;10,"Somfy Altus 50 RTS 6/17",IF(((($G$86)*(A87))/1000000*3.5)&lt;=16,"Somfy Altus 50 RTS 10/17",IF(((($G$86)*(A87))/1000000*3.5)&lt;=24,"Somfy Altus 50 RTS 15/17","Somfy Altus 50 RTS 25/17")))</f>
        <v>Somfy Altus 50 RTS 6/17</v>
      </c>
      <c r="H87" s="39" t="str">
        <f t="shared" si="63" ref="H87:H110">IF(((($H$86)*(A87))/1000000*3.5)&lt;10,"Somfy Altus 50 RTS 6/17",IF(((($H$86)*(A87))/1000000*3.5)&lt;=16,"Somfy Altus 50 RTS 10/17",IF(((($H$86)*(A87))/1000000*3.5)&lt;=24,"Somfy Altus 50 RTS 15/17","Somfy Altus 50 RTS 25/17")))</f>
        <v>Somfy Altus 50 RTS 6/17</v>
      </c>
      <c r="I87" s="39" t="str">
        <f t="shared" si="64" ref="I87:I110">IF(((($I$86)*(A87))/1000000*3.5)&lt;10,"Somfy Altus 50 RTS 6/17",IF(((($I$86)*(A87))/1000000*3.5)&lt;=16,"Somfy Altus 50 RTS 10/17",IF(((($I$86)*(A87))/1000000*3.5)&lt;=24,"Somfy Altus 50 RTS 15/17","Somfy Altus 50 RTS 25/17")))</f>
        <v>Somfy Altus 50 RTS 6/17</v>
      </c>
      <c r="J87" s="39" t="str">
        <f t="shared" si="65" ref="J87:J110">IF(((($J$86)*(A87))/1000000*3.5)&lt;10,"Somfy Altus 50 RTS 6/17",IF(((($J$86)*(A87))/1000000*3.5)&lt;=16,"Somfy Altus 50 RTS 10/17",IF(((($J$86)*(A87))/1000000*3.5)&lt;=24,"Somfy Altus 50 RTS 15/17","Somfy Altus 50 RTS 25/17")))</f>
        <v>Somfy Altus 50 RTS 6/17</v>
      </c>
      <c r="K87" s="39" t="str">
        <f t="shared" si="66" ref="K87:K110">IF(((($K$86)*(A87))/1000000*3.5)&lt;10,"Somfy Altus 50 RTS 6/17",IF(((($K$86)*(A87))/1000000*3.5)&lt;=16,"Somfy Altus 50 RTS 10/17",IF(((($K$86)*(A87))/1000000*3.5)&lt;=24,"Somfy Altus 50 RTS 15/17","Somfy Altus 50 RTS 25/17")))</f>
        <v>Somfy Altus 50 RTS 6/17</v>
      </c>
      <c r="L87" s="39" t="str">
        <f t="shared" si="67" ref="L87:L110">IF(((($L$86)*(A87))/1000000*3.5)&lt;10,"Somfy Altus 50 RTS 6/17",IF(((($L$86)*(A87))/1000000*3.5)&lt;=16,"Somfy Altus 50 RTS 10/17",IF(((($L$86)*(A87))/1000000*3.5)&lt;=24,"Somfy Altus 50 RTS 15/17","Somfy Altus 50 RTS 25/17")))</f>
        <v>Somfy Altus 50 RTS 6/17</v>
      </c>
      <c r="M87" s="39" t="str">
        <f t="shared" si="68" ref="M87:M110">IF(((($M$86)*(A87))/1000000*3.5)&lt;10,"Somfy Altus 50 RTS 6/17",IF(((($M$86)*(A87))/1000000*3.5)&lt;=16,"Somfy Altus 50 RTS 10/17",IF(((($M$86)*(A87))/1000000*3.5)&lt;=24,"Somfy Altus 50 RTS 15/17","Somfy Altus 50 RTS 25/17")))</f>
        <v>Somfy Altus 50 RTS 6/17</v>
      </c>
      <c r="N87" s="39" t="str">
        <f t="shared" si="69" ref="N87:N110">IF(((($N$86)*(A87))/1000000*3.5)&lt;10,"Somfy Altus 50 RTS 6/17",IF(((($N$86)*(A87))/1000000*3.5)&lt;=16,"Somfy Altus 50 RTS 10/17",IF(((($N$86)*(A87))/1000000*3.5)&lt;=24,"Somfy Altus 50 RTS 15/17","Somfy Altus 50 RTS 25/17")))</f>
        <v>Somfy Altus 50 RTS 6/17</v>
      </c>
      <c r="O87" s="39" t="str">
        <f t="shared" si="70" ref="O87:O110">IF(((($O$86)*(A87))/1000000*3.5)&lt;10,"Somfy Altus 50 RTS 6/17",IF(((($O$86)*(A87))/1000000*3.5)&lt;=16,"Somfy Altus 50 RTS 10/17",IF(((($O$86)*(A87))/1000000*3.5)&lt;=24,"Somfy Altus 50 RTS 15/17","Somfy Altus 50 RTS 25/17")))</f>
        <v>Somfy Altus 50 RTS 6/17</v>
      </c>
      <c r="P87" s="39" t="str">
        <f t="shared" si="71" ref="P87:P110">IF(((($P$86)*(A87))/1000000*3.5)&lt;10,"Somfy Altus 50 RTS 6/17",IF(((($P$86)*(A87))/1000000*3.5)&lt;=16,"Somfy Altus 50 RTS 10/17",IF(((($P$86)*(A87))/1000000*3.5)&lt;=24,"Somfy Altus 50 RTS 15/17","Somfy Altus 50 RTS 25/17")))</f>
        <v>Somfy Altus 50 RTS 6/17</v>
      </c>
      <c r="Q87" s="39" t="str">
        <f t="shared" si="72" ref="Q87:Q110">IF(((($Q$86)*(A87))/1000000*3.5)&lt;10,"Somfy Altus 50 RTS 6/17",IF(((($Q$86)*(A87))/1000000*3.5)&lt;=16,"Somfy Altus 50 RTS 10/17",IF(((($Q$86)*(A87))/1000000*3.5)&lt;=24,"Somfy Altus 50 RTS 15/17","Somfy Altus 50 RTS 25/17")))</f>
        <v>Somfy Altus 50 RTS 6/17</v>
      </c>
      <c r="R87" s="39" t="str">
        <f t="shared" si="73" ref="R87:R110">IF(((($R$86)*(A87))/1000000*3.5)&lt;10,"Somfy Altus 50 RTS 6/17",IF(((($R$86)*(A87))/1000000*3.5)&lt;=16,"Somfy Altus 50 RTS 10/17",IF(((($R$86)*(A87))/1000000*3.5)&lt;=24,"Somfy Altus 50 RTS 15/17","Somfy Altus 50 RTS 25/17")))</f>
        <v>Somfy Altus 50 RTS 6/17</v>
      </c>
      <c r="S87" s="39" t="str">
        <f t="shared" si="74" ref="S87:S110">IF(((($S$86)*(A87))/1000000*3.5)&lt;10,"Somfy Altus 50 RTS 6/17",IF(((($S$86)*(A87))/1000000*3.5)&lt;=16,"Somfy Altus 50 RTS 10/17",IF(((($S$86)*(A87))/1000000*3.5)&lt;=24,"Somfy Altus 50 RTS 15/17","Somfy Altus 50 RTS 25/17")))</f>
        <v>Somfy Altus 50 RTS 6/17</v>
      </c>
      <c r="T87" s="39" t="str">
        <f t="shared" si="75" ref="T87:T110">IF(((($T$86)*(A87))/1000000*3.5)&lt;10,"Somfy Altus 50 RTS 6/17",IF(((($T$86)*(A87))/1000000*3.5)&lt;=16,"Somfy Altus 50 RTS 10/17",IF(((($T$86)*(A87))/1000000*3.5)&lt;=24,"Somfy Altus 50 RTS 15/17","Somfy Altus 50 RTS 25/17")))</f>
        <v>Somfy Altus 50 RTS 6/17</v>
      </c>
      <c r="U87" s="39" t="str">
        <f t="shared" si="76" ref="U87:U110">IF(((($U$86)*(A87))/1000000*3.5)&lt;10,"Somfy Altus 50 RTS 6/17",IF(((($U$86)*(A87))/1000000*3.5)&lt;=16,"Somfy Altus 50 RTS 10/17",IF(((($U$86)*(A87))/1000000*3.5)&lt;=24,"Somfy Altus 50 RTS 15/17","Somfy Altus 50 RTS 25/17")))</f>
        <v>Somfy Altus 50 RTS 6/17</v>
      </c>
      <c r="V87" s="39" t="str">
        <f t="shared" si="77" ref="V87:V110">IF(((($V$86)*(A87))/1000000*3.5)&lt;10,"Somfy Altus 50 RTS 6/17",IF(((($V$86)*(A87))/1000000*3.5)&lt;=16,"Somfy Altus 50 RTS 10/17",IF(((($V$86)*(A87))/1000000*3.5)&lt;=24,"Somfy Altus 50 RTS 15/17","Somfy Altus 50 RTS 25/17")))</f>
        <v>Somfy Altus 50 RTS 6/17</v>
      </c>
    </row>
    <row r="88" spans="1:22" ht="14.4">
      <c r="A88" s="98">
        <v>780</v>
      </c>
      <c r="B88" s="39" t="s">
        <v>297</v>
      </c>
      <c r="C88" s="39" t="s">
        <v>297</v>
      </c>
      <c r="D88" s="39" t="str">
        <f t="shared" si="59"/>
        <v>Somfy Altus 50 RTS 6/17</v>
      </c>
      <c r="E88" s="39" t="str">
        <f t="shared" si="60"/>
        <v>Somfy Altus 50 RTS 6/17</v>
      </c>
      <c r="F88" s="39" t="str">
        <f t="shared" si="61"/>
        <v>Somfy Altus 50 RTS 6/17</v>
      </c>
      <c r="G88" s="39" t="str">
        <f t="shared" si="62"/>
        <v>Somfy Altus 50 RTS 6/17</v>
      </c>
      <c r="H88" s="39" t="str">
        <f t="shared" si="63"/>
        <v>Somfy Altus 50 RTS 6/17</v>
      </c>
      <c r="I88" s="39" t="str">
        <f t="shared" si="64"/>
        <v>Somfy Altus 50 RTS 6/17</v>
      </c>
      <c r="J88" s="39" t="str">
        <f t="shared" si="65"/>
        <v>Somfy Altus 50 RTS 6/17</v>
      </c>
      <c r="K88" s="39" t="str">
        <f t="shared" si="66"/>
        <v>Somfy Altus 50 RTS 6/17</v>
      </c>
      <c r="L88" s="39" t="str">
        <f t="shared" si="67"/>
        <v>Somfy Altus 50 RTS 6/17</v>
      </c>
      <c r="M88" s="39" t="str">
        <f t="shared" si="68"/>
        <v>Somfy Altus 50 RTS 6/17</v>
      </c>
      <c r="N88" s="39" t="str">
        <f t="shared" si="69"/>
        <v>Somfy Altus 50 RTS 6/17</v>
      </c>
      <c r="O88" s="39" t="str">
        <f t="shared" si="70"/>
        <v>Somfy Altus 50 RTS 6/17</v>
      </c>
      <c r="P88" s="39" t="str">
        <f t="shared" si="71"/>
        <v>Somfy Altus 50 RTS 6/17</v>
      </c>
      <c r="Q88" s="39" t="str">
        <f t="shared" si="72"/>
        <v>Somfy Altus 50 RTS 6/17</v>
      </c>
      <c r="R88" s="39" t="str">
        <f t="shared" si="73"/>
        <v>Somfy Altus 50 RTS 6/17</v>
      </c>
      <c r="S88" s="39" t="str">
        <f t="shared" si="74"/>
        <v>Somfy Altus 50 RTS 6/17</v>
      </c>
      <c r="T88" s="39" t="str">
        <f t="shared" si="75"/>
        <v>Somfy Altus 50 RTS 6/17</v>
      </c>
      <c r="U88" s="39" t="str">
        <f t="shared" si="76"/>
        <v>Somfy Altus 50 RTS 6/17</v>
      </c>
      <c r="V88" s="39" t="str">
        <f t="shared" si="77"/>
        <v>Somfy Altus 50 RTS 6/17</v>
      </c>
    </row>
    <row r="89" spans="1:22" ht="14.4">
      <c r="A89" s="98">
        <v>880</v>
      </c>
      <c r="B89" s="39" t="s">
        <v>297</v>
      </c>
      <c r="C89" s="39" t="s">
        <v>297</v>
      </c>
      <c r="D89" s="39" t="str">
        <f t="shared" si="59"/>
        <v>Somfy Altus 50 RTS 6/17</v>
      </c>
      <c r="E89" s="39" t="str">
        <f t="shared" si="60"/>
        <v>Somfy Altus 50 RTS 6/17</v>
      </c>
      <c r="F89" s="39" t="str">
        <f t="shared" si="61"/>
        <v>Somfy Altus 50 RTS 6/17</v>
      </c>
      <c r="G89" s="39" t="str">
        <f t="shared" si="62"/>
        <v>Somfy Altus 50 RTS 6/17</v>
      </c>
      <c r="H89" s="39" t="str">
        <f t="shared" si="63"/>
        <v>Somfy Altus 50 RTS 6/17</v>
      </c>
      <c r="I89" s="39" t="str">
        <f t="shared" si="64"/>
        <v>Somfy Altus 50 RTS 6/17</v>
      </c>
      <c r="J89" s="39" t="str">
        <f t="shared" si="65"/>
        <v>Somfy Altus 50 RTS 6/17</v>
      </c>
      <c r="K89" s="39" t="str">
        <f t="shared" si="66"/>
        <v>Somfy Altus 50 RTS 6/17</v>
      </c>
      <c r="L89" s="39" t="str">
        <f t="shared" si="67"/>
        <v>Somfy Altus 50 RTS 6/17</v>
      </c>
      <c r="M89" s="39" t="str">
        <f t="shared" si="68"/>
        <v>Somfy Altus 50 RTS 6/17</v>
      </c>
      <c r="N89" s="39" t="str">
        <f t="shared" si="69"/>
        <v>Somfy Altus 50 RTS 6/17</v>
      </c>
      <c r="O89" s="39" t="str">
        <f t="shared" si="70"/>
        <v>Somfy Altus 50 RTS 6/17</v>
      </c>
      <c r="P89" s="39" t="str">
        <f t="shared" si="71"/>
        <v>Somfy Altus 50 RTS 6/17</v>
      </c>
      <c r="Q89" s="39" t="str">
        <f t="shared" si="72"/>
        <v>Somfy Altus 50 RTS 6/17</v>
      </c>
      <c r="R89" s="39" t="str">
        <f t="shared" si="73"/>
        <v>Somfy Altus 50 RTS 6/17</v>
      </c>
      <c r="S89" s="39" t="str">
        <f t="shared" si="74"/>
        <v>Somfy Altus 50 RTS 6/17</v>
      </c>
      <c r="T89" s="39" t="str">
        <f t="shared" si="75"/>
        <v>Somfy Altus 50 RTS 10/17</v>
      </c>
      <c r="U89" s="39" t="str">
        <f t="shared" si="76"/>
        <v>Somfy Altus 50 RTS 10/17</v>
      </c>
      <c r="V89" s="39" t="str">
        <f t="shared" si="77"/>
        <v>Somfy Altus 50 RTS 10/17</v>
      </c>
    </row>
    <row r="90" spans="1:22" ht="14.4">
      <c r="A90" s="98">
        <v>980</v>
      </c>
      <c r="B90" s="39" t="s">
        <v>297</v>
      </c>
      <c r="C90" s="39" t="s">
        <v>297</v>
      </c>
      <c r="D90" s="39" t="str">
        <f t="shared" si="59"/>
        <v>Somfy Altus 50 RTS 6/17</v>
      </c>
      <c r="E90" s="39" t="str">
        <f t="shared" si="60"/>
        <v>Somfy Altus 50 RTS 6/17</v>
      </c>
      <c r="F90" s="39" t="str">
        <f t="shared" si="61"/>
        <v>Somfy Altus 50 RTS 6/17</v>
      </c>
      <c r="G90" s="39" t="str">
        <f t="shared" si="62"/>
        <v>Somfy Altus 50 RTS 6/17</v>
      </c>
      <c r="H90" s="39" t="str">
        <f t="shared" si="63"/>
        <v>Somfy Altus 50 RTS 6/17</v>
      </c>
      <c r="I90" s="39" t="str">
        <f t="shared" si="64"/>
        <v>Somfy Altus 50 RTS 6/17</v>
      </c>
      <c r="J90" s="39" t="str">
        <f t="shared" si="65"/>
        <v>Somfy Altus 50 RTS 6/17</v>
      </c>
      <c r="K90" s="39" t="str">
        <f t="shared" si="66"/>
        <v>Somfy Altus 50 RTS 6/17</v>
      </c>
      <c r="L90" s="39" t="str">
        <f t="shared" si="67"/>
        <v>Somfy Altus 50 RTS 6/17</v>
      </c>
      <c r="M90" s="39" t="str">
        <f t="shared" si="68"/>
        <v>Somfy Altus 50 RTS 6/17</v>
      </c>
      <c r="N90" s="39" t="str">
        <f t="shared" si="69"/>
        <v>Somfy Altus 50 RTS 6/17</v>
      </c>
      <c r="O90" s="39" t="str">
        <f t="shared" si="70"/>
        <v>Somfy Altus 50 RTS 6/17</v>
      </c>
      <c r="P90" s="39" t="str">
        <f t="shared" si="71"/>
        <v>Somfy Altus 50 RTS 6/17</v>
      </c>
      <c r="Q90" s="39" t="str">
        <f t="shared" si="72"/>
        <v>Somfy Altus 50 RTS 10/17</v>
      </c>
      <c r="R90" s="39" t="str">
        <f t="shared" si="73"/>
        <v>Somfy Altus 50 RTS 10/17</v>
      </c>
      <c r="S90" s="39" t="str">
        <f t="shared" si="74"/>
        <v>Somfy Altus 50 RTS 10/17</v>
      </c>
      <c r="T90" s="39" t="str">
        <f t="shared" si="75"/>
        <v>Somfy Altus 50 RTS 10/17</v>
      </c>
      <c r="U90" s="39" t="str">
        <f t="shared" si="76"/>
        <v>Somfy Altus 50 RTS 10/17</v>
      </c>
      <c r="V90" s="39" t="str">
        <f t="shared" si="77"/>
        <v>Somfy Altus 50 RTS 10/17</v>
      </c>
    </row>
    <row r="91" spans="1:22" ht="14.4">
      <c r="A91" s="98">
        <v>1080</v>
      </c>
      <c r="B91" s="39" t="s">
        <v>297</v>
      </c>
      <c r="C91" s="39" t="s">
        <v>297</v>
      </c>
      <c r="D91" s="39" t="str">
        <f t="shared" si="59"/>
        <v>Somfy Altus 50 RTS 6/17</v>
      </c>
      <c r="E91" s="39" t="str">
        <f t="shared" si="60"/>
        <v>Somfy Altus 50 RTS 6/17</v>
      </c>
      <c r="F91" s="39" t="str">
        <f t="shared" si="61"/>
        <v>Somfy Altus 50 RTS 6/17</v>
      </c>
      <c r="G91" s="39" t="str">
        <f t="shared" si="62"/>
        <v>Somfy Altus 50 RTS 6/17</v>
      </c>
      <c r="H91" s="39" t="str">
        <f t="shared" si="63"/>
        <v>Somfy Altus 50 RTS 6/17</v>
      </c>
      <c r="I91" s="39" t="str">
        <f t="shared" si="64"/>
        <v>Somfy Altus 50 RTS 6/17</v>
      </c>
      <c r="J91" s="39" t="str">
        <f t="shared" si="65"/>
        <v>Somfy Altus 50 RTS 6/17</v>
      </c>
      <c r="K91" s="39" t="str">
        <f t="shared" si="66"/>
        <v>Somfy Altus 50 RTS 6/17</v>
      </c>
      <c r="L91" s="39" t="str">
        <f t="shared" si="67"/>
        <v>Somfy Altus 50 RTS 6/17</v>
      </c>
      <c r="M91" s="39" t="str">
        <f t="shared" si="68"/>
        <v>Somfy Altus 50 RTS 6/17</v>
      </c>
      <c r="N91" s="39" t="str">
        <f t="shared" si="69"/>
        <v>Somfy Altus 50 RTS 10/17</v>
      </c>
      <c r="O91" s="39" t="str">
        <f t="shared" si="70"/>
        <v>Somfy Altus 50 RTS 10/17</v>
      </c>
      <c r="P91" s="39" t="str">
        <f t="shared" si="71"/>
        <v>Somfy Altus 50 RTS 10/17</v>
      </c>
      <c r="Q91" s="39" t="str">
        <f t="shared" si="72"/>
        <v>Somfy Altus 50 RTS 10/17</v>
      </c>
      <c r="R91" s="39" t="str">
        <f t="shared" si="73"/>
        <v>Somfy Altus 50 RTS 10/17</v>
      </c>
      <c r="S91" s="39" t="str">
        <f t="shared" si="74"/>
        <v>Somfy Altus 50 RTS 10/17</v>
      </c>
      <c r="T91" s="39" t="str">
        <f t="shared" si="75"/>
        <v>Somfy Altus 50 RTS 10/17</v>
      </c>
      <c r="U91" s="39" t="str">
        <f t="shared" si="76"/>
        <v>Somfy Altus 50 RTS 10/17</v>
      </c>
      <c r="V91" s="39" t="str">
        <f t="shared" si="77"/>
        <v>Somfy Altus 50 RTS 10/17</v>
      </c>
    </row>
    <row r="92" spans="1:22" ht="14.4">
      <c r="A92" s="98">
        <v>1180</v>
      </c>
      <c r="B92" s="39" t="s">
        <v>297</v>
      </c>
      <c r="C92" s="39" t="s">
        <v>297</v>
      </c>
      <c r="D92" s="39" t="str">
        <f t="shared" si="59"/>
        <v>Somfy Altus 50 RTS 6/17</v>
      </c>
      <c r="E92" s="39" t="str">
        <f t="shared" si="60"/>
        <v>Somfy Altus 50 RTS 6/17</v>
      </c>
      <c r="F92" s="39" t="str">
        <f t="shared" si="61"/>
        <v>Somfy Altus 50 RTS 6/17</v>
      </c>
      <c r="G92" s="39" t="str">
        <f t="shared" si="62"/>
        <v>Somfy Altus 50 RTS 6/17</v>
      </c>
      <c r="H92" s="39" t="str">
        <f t="shared" si="63"/>
        <v>Somfy Altus 50 RTS 6/17</v>
      </c>
      <c r="I92" s="39" t="str">
        <f t="shared" si="64"/>
        <v>Somfy Altus 50 RTS 6/17</v>
      </c>
      <c r="J92" s="39" t="str">
        <f t="shared" si="65"/>
        <v>Somfy Altus 50 RTS 6/17</v>
      </c>
      <c r="K92" s="39" t="str">
        <f t="shared" si="66"/>
        <v>Somfy Altus 50 RTS 6/17</v>
      </c>
      <c r="L92" s="39" t="str">
        <f t="shared" si="67"/>
        <v>Somfy Altus 50 RTS 10/17</v>
      </c>
      <c r="M92" s="39" t="str">
        <f t="shared" si="68"/>
        <v>Somfy Altus 50 RTS 10/17</v>
      </c>
      <c r="N92" s="39" t="str">
        <f t="shared" si="69"/>
        <v>Somfy Altus 50 RTS 10/17</v>
      </c>
      <c r="O92" s="39" t="str">
        <f t="shared" si="70"/>
        <v>Somfy Altus 50 RTS 10/17</v>
      </c>
      <c r="P92" s="39" t="str">
        <f t="shared" si="71"/>
        <v>Somfy Altus 50 RTS 10/17</v>
      </c>
      <c r="Q92" s="39" t="str">
        <f t="shared" si="72"/>
        <v>Somfy Altus 50 RTS 10/17</v>
      </c>
      <c r="R92" s="39" t="str">
        <f t="shared" si="73"/>
        <v>Somfy Altus 50 RTS 10/17</v>
      </c>
      <c r="S92" s="39" t="str">
        <f t="shared" si="74"/>
        <v>Somfy Altus 50 RTS 10/17</v>
      </c>
      <c r="T92" s="39" t="str">
        <f t="shared" si="75"/>
        <v>Somfy Altus 50 RTS 10/17</v>
      </c>
      <c r="U92" s="39" t="str">
        <f t="shared" si="76"/>
        <v>Somfy Altus 50 RTS 10/17</v>
      </c>
      <c r="V92" s="39" t="str">
        <f t="shared" si="77"/>
        <v>Somfy Altus 50 RTS 10/17</v>
      </c>
    </row>
    <row r="93" spans="1:22" ht="14.4">
      <c r="A93" s="98">
        <v>1280</v>
      </c>
      <c r="B93" s="39" t="s">
        <v>297</v>
      </c>
      <c r="C93" s="39" t="s">
        <v>297</v>
      </c>
      <c r="D93" s="39" t="str">
        <f t="shared" si="59"/>
        <v>Somfy Altus 50 RTS 6/17</v>
      </c>
      <c r="E93" s="39" t="str">
        <f t="shared" si="60"/>
        <v>Somfy Altus 50 RTS 6/17</v>
      </c>
      <c r="F93" s="39" t="str">
        <f t="shared" si="61"/>
        <v>Somfy Altus 50 RTS 6/17</v>
      </c>
      <c r="G93" s="39" t="str">
        <f t="shared" si="62"/>
        <v>Somfy Altus 50 RTS 6/17</v>
      </c>
      <c r="H93" s="39" t="str">
        <f t="shared" si="63"/>
        <v>Somfy Altus 50 RTS 6/17</v>
      </c>
      <c r="I93" s="39" t="str">
        <f t="shared" si="64"/>
        <v>Somfy Altus 50 RTS 6/17</v>
      </c>
      <c r="J93" s="39" t="str">
        <f t="shared" si="65"/>
        <v>Somfy Altus 50 RTS 10/17</v>
      </c>
      <c r="K93" s="39" t="str">
        <f t="shared" si="66"/>
        <v>Somfy Altus 50 RTS 10/17</v>
      </c>
      <c r="L93" s="39" t="str">
        <f t="shared" si="67"/>
        <v>Somfy Altus 50 RTS 10/17</v>
      </c>
      <c r="M93" s="39" t="str">
        <f t="shared" si="68"/>
        <v>Somfy Altus 50 RTS 10/17</v>
      </c>
      <c r="N93" s="39" t="str">
        <f t="shared" si="69"/>
        <v>Somfy Altus 50 RTS 10/17</v>
      </c>
      <c r="O93" s="39" t="str">
        <f t="shared" si="70"/>
        <v>Somfy Altus 50 RTS 10/17</v>
      </c>
      <c r="P93" s="39" t="str">
        <f t="shared" si="71"/>
        <v>Somfy Altus 50 RTS 10/17</v>
      </c>
      <c r="Q93" s="39" t="str">
        <f t="shared" si="72"/>
        <v>Somfy Altus 50 RTS 10/17</v>
      </c>
      <c r="R93" s="39" t="str">
        <f t="shared" si="73"/>
        <v>Somfy Altus 50 RTS 10/17</v>
      </c>
      <c r="S93" s="39" t="str">
        <f t="shared" si="74"/>
        <v>Somfy Altus 50 RTS 10/17</v>
      </c>
      <c r="T93" s="39" t="str">
        <f t="shared" si="75"/>
        <v>Somfy Altus 50 RTS 10/17</v>
      </c>
      <c r="U93" s="39" t="str">
        <f t="shared" si="76"/>
        <v>Somfy Altus 50 RTS 10/17</v>
      </c>
      <c r="V93" s="39" t="str">
        <f t="shared" si="77"/>
        <v>Somfy Altus 50 RTS 10/17</v>
      </c>
    </row>
    <row r="94" spans="1:22" ht="14.4">
      <c r="A94" s="98">
        <v>1380</v>
      </c>
      <c r="B94" s="39" t="s">
        <v>297</v>
      </c>
      <c r="C94" s="39" t="s">
        <v>297</v>
      </c>
      <c r="D94" s="39" t="str">
        <f t="shared" si="59"/>
        <v>Somfy Altus 50 RTS 6/17</v>
      </c>
      <c r="E94" s="39" t="str">
        <f t="shared" si="60"/>
        <v>Somfy Altus 50 RTS 6/17</v>
      </c>
      <c r="F94" s="39" t="str">
        <f t="shared" si="61"/>
        <v>Somfy Altus 50 RTS 6/17</v>
      </c>
      <c r="G94" s="39" t="str">
        <f t="shared" si="62"/>
        <v>Somfy Altus 50 RTS 6/17</v>
      </c>
      <c r="H94" s="39" t="str">
        <f t="shared" si="63"/>
        <v>Somfy Altus 50 RTS 10/17</v>
      </c>
      <c r="I94" s="39" t="str">
        <f t="shared" si="64"/>
        <v>Somfy Altus 50 RTS 10/17</v>
      </c>
      <c r="J94" s="39" t="str">
        <f t="shared" si="65"/>
        <v>Somfy Altus 50 RTS 10/17</v>
      </c>
      <c r="K94" s="39" t="str">
        <f t="shared" si="66"/>
        <v>Somfy Altus 50 RTS 10/17</v>
      </c>
      <c r="L94" s="39" t="str">
        <f t="shared" si="67"/>
        <v>Somfy Altus 50 RTS 10/17</v>
      </c>
      <c r="M94" s="39" t="str">
        <f t="shared" si="68"/>
        <v>Somfy Altus 50 RTS 10/17</v>
      </c>
      <c r="N94" s="39" t="str">
        <f t="shared" si="69"/>
        <v>Somfy Altus 50 RTS 10/17</v>
      </c>
      <c r="O94" s="39" t="str">
        <f t="shared" si="70"/>
        <v>Somfy Altus 50 RTS 10/17</v>
      </c>
      <c r="P94" s="39" t="str">
        <f t="shared" si="71"/>
        <v>Somfy Altus 50 RTS 10/17</v>
      </c>
      <c r="Q94" s="39" t="str">
        <f t="shared" si="72"/>
        <v>Somfy Altus 50 RTS 10/17</v>
      </c>
      <c r="R94" s="39" t="str">
        <f t="shared" si="73"/>
        <v>Somfy Altus 50 RTS 10/17</v>
      </c>
      <c r="S94" s="39" t="str">
        <f t="shared" si="74"/>
        <v>Somfy Altus 50 RTS 10/17</v>
      </c>
      <c r="T94" s="39" t="str">
        <f t="shared" si="75"/>
        <v>Somfy Altus 50 RTS 10/17</v>
      </c>
      <c r="U94" s="39" t="str">
        <f t="shared" si="76"/>
        <v>Somfy Altus 50 RTS 15/17</v>
      </c>
      <c r="V94" s="39" t="str">
        <f t="shared" si="77"/>
        <v>Somfy Altus 50 RTS 15/17</v>
      </c>
    </row>
    <row r="95" spans="1:22" ht="14.4">
      <c r="A95" s="98">
        <v>1480</v>
      </c>
      <c r="B95" s="39" t="s">
        <v>297</v>
      </c>
      <c r="C95" s="39" t="s">
        <v>297</v>
      </c>
      <c r="D95" s="39" t="str">
        <f t="shared" si="59"/>
        <v>Somfy Altus 50 RTS 6/17</v>
      </c>
      <c r="E95" s="39" t="str">
        <f t="shared" si="60"/>
        <v>Somfy Altus 50 RTS 6/17</v>
      </c>
      <c r="F95" s="39" t="str">
        <f t="shared" si="61"/>
        <v>Somfy Altus 50 RTS 6/17</v>
      </c>
      <c r="G95" s="39" t="str">
        <f t="shared" si="62"/>
        <v>Somfy Altus 50 RTS 10/17</v>
      </c>
      <c r="H95" s="39" t="str">
        <f t="shared" si="63"/>
        <v>Somfy Altus 50 RTS 10/17</v>
      </c>
      <c r="I95" s="39" t="str">
        <f t="shared" si="64"/>
        <v>Somfy Altus 50 RTS 10/17</v>
      </c>
      <c r="J95" s="39" t="str">
        <f t="shared" si="65"/>
        <v>Somfy Altus 50 RTS 10/17</v>
      </c>
      <c r="K95" s="39" t="str">
        <f t="shared" si="66"/>
        <v>Somfy Altus 50 RTS 10/17</v>
      </c>
      <c r="L95" s="39" t="str">
        <f t="shared" si="67"/>
        <v>Somfy Altus 50 RTS 10/17</v>
      </c>
      <c r="M95" s="39" t="str">
        <f t="shared" si="68"/>
        <v>Somfy Altus 50 RTS 10/17</v>
      </c>
      <c r="N95" s="39" t="str">
        <f t="shared" si="69"/>
        <v>Somfy Altus 50 RTS 10/17</v>
      </c>
      <c r="O95" s="39" t="str">
        <f t="shared" si="70"/>
        <v>Somfy Altus 50 RTS 10/17</v>
      </c>
      <c r="P95" s="39" t="str">
        <f t="shared" si="71"/>
        <v>Somfy Altus 50 RTS 10/17</v>
      </c>
      <c r="Q95" s="39" t="str">
        <f t="shared" si="72"/>
        <v>Somfy Altus 50 RTS 10/17</v>
      </c>
      <c r="R95" s="39" t="str">
        <f t="shared" si="73"/>
        <v>Somfy Altus 50 RTS 15/17</v>
      </c>
      <c r="S95" s="39" t="str">
        <f t="shared" si="74"/>
        <v>Somfy Altus 50 RTS 15/17</v>
      </c>
      <c r="T95" s="39" t="str">
        <f t="shared" si="75"/>
        <v>Somfy Altus 50 RTS 15/17</v>
      </c>
      <c r="U95" s="39" t="str">
        <f t="shared" si="76"/>
        <v>Somfy Altus 50 RTS 15/17</v>
      </c>
      <c r="V95" s="39" t="str">
        <f t="shared" si="77"/>
        <v>Somfy Altus 50 RTS 15/17</v>
      </c>
    </row>
    <row r="96" spans="1:22" ht="14.4">
      <c r="A96" s="98">
        <v>1580</v>
      </c>
      <c r="B96" s="39" t="s">
        <v>297</v>
      </c>
      <c r="C96" s="39" t="s">
        <v>297</v>
      </c>
      <c r="D96" s="39" t="str">
        <f t="shared" si="59"/>
        <v>Somfy Altus 50 RTS 6/17</v>
      </c>
      <c r="E96" s="39" t="str">
        <f t="shared" si="60"/>
        <v>Somfy Altus 50 RTS 6/17</v>
      </c>
      <c r="F96" s="39" t="str">
        <f t="shared" si="61"/>
        <v>Somfy Altus 50 RTS 10/17</v>
      </c>
      <c r="G96" s="39" t="str">
        <f t="shared" si="62"/>
        <v>Somfy Altus 50 RTS 10/17</v>
      </c>
      <c r="H96" s="39" t="str">
        <f t="shared" si="63"/>
        <v>Somfy Altus 50 RTS 10/17</v>
      </c>
      <c r="I96" s="39" t="str">
        <f t="shared" si="64"/>
        <v>Somfy Altus 50 RTS 10/17</v>
      </c>
      <c r="J96" s="39" t="str">
        <f t="shared" si="65"/>
        <v>Somfy Altus 50 RTS 10/17</v>
      </c>
      <c r="K96" s="39" t="str">
        <f t="shared" si="66"/>
        <v>Somfy Altus 50 RTS 10/17</v>
      </c>
      <c r="L96" s="39" t="str">
        <f t="shared" si="67"/>
        <v>Somfy Altus 50 RTS 10/17</v>
      </c>
      <c r="M96" s="39" t="str">
        <f t="shared" si="68"/>
        <v>Somfy Altus 50 RTS 10/17</v>
      </c>
      <c r="N96" s="39" t="str">
        <f t="shared" si="69"/>
        <v>Somfy Altus 50 RTS 10/17</v>
      </c>
      <c r="O96" s="39" t="str">
        <f t="shared" si="70"/>
        <v>Somfy Altus 50 RTS 10/17</v>
      </c>
      <c r="P96" s="39" t="str">
        <f t="shared" si="71"/>
        <v>Somfy Altus 50 RTS 15/17</v>
      </c>
      <c r="Q96" s="39" t="str">
        <f t="shared" si="72"/>
        <v>Somfy Altus 50 RTS 15/17</v>
      </c>
      <c r="R96" s="39" t="str">
        <f t="shared" si="73"/>
        <v>Somfy Altus 50 RTS 15/17</v>
      </c>
      <c r="S96" s="39" t="str">
        <f t="shared" si="74"/>
        <v>Somfy Altus 50 RTS 15/17</v>
      </c>
      <c r="T96" s="39" t="str">
        <f t="shared" si="75"/>
        <v>Somfy Altus 50 RTS 15/17</v>
      </c>
      <c r="U96" s="39" t="str">
        <f t="shared" si="76"/>
        <v>Somfy Altus 50 RTS 15/17</v>
      </c>
      <c r="V96" s="39" t="str">
        <f t="shared" si="77"/>
        <v>Somfy Altus 50 RTS 15/17</v>
      </c>
    </row>
    <row r="97" spans="1:22" ht="14.4">
      <c r="A97" s="98">
        <v>1680</v>
      </c>
      <c r="B97" s="39" t="s">
        <v>297</v>
      </c>
      <c r="C97" s="39" t="s">
        <v>297</v>
      </c>
      <c r="D97" s="39" t="str">
        <f t="shared" si="59"/>
        <v>Somfy Altus 50 RTS 6/17</v>
      </c>
      <c r="E97" s="39" t="str">
        <f t="shared" si="60"/>
        <v>Somfy Altus 50 RTS 6/17</v>
      </c>
      <c r="F97" s="39" t="str">
        <f t="shared" si="61"/>
        <v>Somfy Altus 50 RTS 10/17</v>
      </c>
      <c r="G97" s="39" t="str">
        <f t="shared" si="62"/>
        <v>Somfy Altus 50 RTS 10/17</v>
      </c>
      <c r="H97" s="39" t="str">
        <f t="shared" si="63"/>
        <v>Somfy Altus 50 RTS 10/17</v>
      </c>
      <c r="I97" s="39" t="str">
        <f t="shared" si="64"/>
        <v>Somfy Altus 50 RTS 10/17</v>
      </c>
      <c r="J97" s="39" t="str">
        <f t="shared" si="65"/>
        <v>Somfy Altus 50 RTS 10/17</v>
      </c>
      <c r="K97" s="39" t="str">
        <f t="shared" si="66"/>
        <v>Somfy Altus 50 RTS 10/17</v>
      </c>
      <c r="L97" s="39" t="str">
        <f t="shared" si="67"/>
        <v>Somfy Altus 50 RTS 10/17</v>
      </c>
      <c r="M97" s="39" t="str">
        <f t="shared" si="68"/>
        <v>Somfy Altus 50 RTS 10/17</v>
      </c>
      <c r="N97" s="39" t="str">
        <f t="shared" si="69"/>
        <v>Somfy Altus 50 RTS 10/17</v>
      </c>
      <c r="O97" s="39" t="str">
        <f t="shared" si="70"/>
        <v>Somfy Altus 50 RTS 15/17</v>
      </c>
      <c r="P97" s="39" t="str">
        <f t="shared" si="71"/>
        <v>Somfy Altus 50 RTS 15/17</v>
      </c>
      <c r="Q97" s="39" t="str">
        <f t="shared" si="72"/>
        <v>Somfy Altus 50 RTS 15/17</v>
      </c>
      <c r="R97" s="39" t="str">
        <f t="shared" si="73"/>
        <v>Somfy Altus 50 RTS 15/17</v>
      </c>
      <c r="S97" s="39" t="str">
        <f t="shared" si="74"/>
        <v>Somfy Altus 50 RTS 15/17</v>
      </c>
      <c r="T97" s="39" t="str">
        <f t="shared" si="75"/>
        <v>Somfy Altus 50 RTS 15/17</v>
      </c>
      <c r="U97" s="39" t="str">
        <f t="shared" si="76"/>
        <v>Somfy Altus 50 RTS 15/17</v>
      </c>
      <c r="V97" s="39" t="str">
        <f t="shared" si="77"/>
        <v>Somfy Altus 50 RTS 15/17</v>
      </c>
    </row>
    <row r="98" spans="1:22" ht="14.4">
      <c r="A98" s="98">
        <v>1780</v>
      </c>
      <c r="B98" s="39" t="s">
        <v>297</v>
      </c>
      <c r="C98" s="39" t="s">
        <v>297</v>
      </c>
      <c r="D98" s="39" t="str">
        <f t="shared" si="59"/>
        <v>Somfy Altus 50 RTS 6/17</v>
      </c>
      <c r="E98" s="39" t="str">
        <f t="shared" si="60"/>
        <v>Somfy Altus 50 RTS 6/17</v>
      </c>
      <c r="F98" s="39" t="str">
        <f t="shared" si="61"/>
        <v>Somfy Altus 50 RTS 10/17</v>
      </c>
      <c r="G98" s="39" t="str">
        <f t="shared" si="62"/>
        <v>Somfy Altus 50 RTS 10/17</v>
      </c>
      <c r="H98" s="39" t="str">
        <f t="shared" si="63"/>
        <v>Somfy Altus 50 RTS 10/17</v>
      </c>
      <c r="I98" s="39" t="str">
        <f t="shared" si="64"/>
        <v>Somfy Altus 50 RTS 10/17</v>
      </c>
      <c r="J98" s="39" t="str">
        <f t="shared" si="65"/>
        <v>Somfy Altus 50 RTS 10/17</v>
      </c>
      <c r="K98" s="39" t="str">
        <f t="shared" si="66"/>
        <v>Somfy Altus 50 RTS 10/17</v>
      </c>
      <c r="L98" s="39" t="str">
        <f t="shared" si="67"/>
        <v>Somfy Altus 50 RTS 10/17</v>
      </c>
      <c r="M98" s="39" t="str">
        <f t="shared" si="68"/>
        <v>Somfy Altus 50 RTS 15/17</v>
      </c>
      <c r="N98" s="39" t="str">
        <f t="shared" si="69"/>
        <v>Somfy Altus 50 RTS 15/17</v>
      </c>
      <c r="O98" s="39" t="str">
        <f t="shared" si="70"/>
        <v>Somfy Altus 50 RTS 15/17</v>
      </c>
      <c r="P98" s="39" t="str">
        <f t="shared" si="71"/>
        <v>Somfy Altus 50 RTS 15/17</v>
      </c>
      <c r="Q98" s="39" t="str">
        <f t="shared" si="72"/>
        <v>Somfy Altus 50 RTS 15/17</v>
      </c>
      <c r="R98" s="39" t="str">
        <f t="shared" si="73"/>
        <v>Somfy Altus 50 RTS 15/17</v>
      </c>
      <c r="S98" s="39" t="str">
        <f t="shared" si="74"/>
        <v>Somfy Altus 50 RTS 15/17</v>
      </c>
      <c r="T98" s="39" t="str">
        <f t="shared" si="75"/>
        <v>Somfy Altus 50 RTS 15/17</v>
      </c>
      <c r="U98" s="39" t="str">
        <f t="shared" si="76"/>
        <v>Somfy Altus 50 RTS 15/17</v>
      </c>
      <c r="V98" s="39" t="str">
        <f t="shared" si="77"/>
        <v>Somfy Altus 50 RTS 15/17</v>
      </c>
    </row>
    <row r="99" spans="1:22" ht="14.4">
      <c r="A99" s="98">
        <v>1880</v>
      </c>
      <c r="B99" s="39" t="s">
        <v>297</v>
      </c>
      <c r="C99" s="39" t="s">
        <v>297</v>
      </c>
      <c r="D99" s="39" t="str">
        <f t="shared" si="59"/>
        <v>Somfy Altus 50 RTS 6/17</v>
      </c>
      <c r="E99" s="39" t="str">
        <f t="shared" si="60"/>
        <v>Somfy Altus 50 RTS 6/17</v>
      </c>
      <c r="F99" s="39" t="str">
        <f t="shared" si="61"/>
        <v>Somfy Altus 50 RTS 10/17</v>
      </c>
      <c r="G99" s="39" t="str">
        <f t="shared" si="62"/>
        <v>Somfy Altus 50 RTS 10/17</v>
      </c>
      <c r="H99" s="39" t="str">
        <f t="shared" si="63"/>
        <v>Somfy Altus 50 RTS 10/17</v>
      </c>
      <c r="I99" s="39" t="str">
        <f t="shared" si="64"/>
        <v>Somfy Altus 50 RTS 10/17</v>
      </c>
      <c r="J99" s="39" t="str">
        <f t="shared" si="65"/>
        <v>Somfy Altus 50 RTS 10/17</v>
      </c>
      <c r="K99" s="39" t="str">
        <f t="shared" si="66"/>
        <v>Somfy Altus 50 RTS 10/17</v>
      </c>
      <c r="L99" s="39" t="str">
        <f t="shared" si="67"/>
        <v>Somfy Altus 50 RTS 15/17</v>
      </c>
      <c r="M99" s="39" t="str">
        <f t="shared" si="68"/>
        <v>Somfy Altus 50 RTS 15/17</v>
      </c>
      <c r="N99" s="39" t="str">
        <f t="shared" si="69"/>
        <v>Somfy Altus 50 RTS 15/17</v>
      </c>
      <c r="O99" s="39" t="str">
        <f t="shared" si="70"/>
        <v>Somfy Altus 50 RTS 15/17</v>
      </c>
      <c r="P99" s="39" t="str">
        <f t="shared" si="71"/>
        <v>Somfy Altus 50 RTS 15/17</v>
      </c>
      <c r="Q99" s="39" t="str">
        <f t="shared" si="72"/>
        <v>Somfy Altus 50 RTS 15/17</v>
      </c>
      <c r="R99" s="39" t="str">
        <f t="shared" si="73"/>
        <v>Somfy Altus 50 RTS 15/17</v>
      </c>
      <c r="S99" s="39" t="str">
        <f t="shared" si="74"/>
        <v>Somfy Altus 50 RTS 15/17</v>
      </c>
      <c r="T99" s="39" t="str">
        <f t="shared" si="75"/>
        <v>Somfy Altus 50 RTS 15/17</v>
      </c>
      <c r="U99" s="39" t="str">
        <f t="shared" si="76"/>
        <v>Somfy Altus 50 RTS 15/17</v>
      </c>
      <c r="V99" s="39" t="str">
        <f t="shared" si="77"/>
        <v>Somfy Altus 50 RTS 15/17</v>
      </c>
    </row>
    <row r="100" spans="1:22" ht="14.4">
      <c r="A100" s="98">
        <v>1980</v>
      </c>
      <c r="B100" s="39" t="s">
        <v>297</v>
      </c>
      <c r="C100" s="39" t="s">
        <v>297</v>
      </c>
      <c r="D100" s="39" t="str">
        <f t="shared" si="59"/>
        <v>Somfy Altus 50 RTS 6/17</v>
      </c>
      <c r="E100" s="39" t="str">
        <f t="shared" si="60"/>
        <v>Somfy Altus 50 RTS 6/17</v>
      </c>
      <c r="F100" s="39" t="str">
        <f t="shared" si="61"/>
        <v>Somfy Altus 50 RTS 10/17</v>
      </c>
      <c r="G100" s="39" t="str">
        <f t="shared" si="62"/>
        <v>Somfy Altus 50 RTS 10/17</v>
      </c>
      <c r="H100" s="39" t="str">
        <f t="shared" si="63"/>
        <v>Somfy Altus 50 RTS 10/17</v>
      </c>
      <c r="I100" s="39" t="str">
        <f t="shared" si="64"/>
        <v>Somfy Altus 50 RTS 10/17</v>
      </c>
      <c r="J100" s="39" t="str">
        <f t="shared" si="65"/>
        <v>Somfy Altus 50 RTS 10/17</v>
      </c>
      <c r="K100" s="39" t="str">
        <f t="shared" si="66"/>
        <v>Somfy Altus 50 RTS 15/17</v>
      </c>
      <c r="L100" s="39" t="str">
        <f t="shared" si="67"/>
        <v>Somfy Altus 50 RTS 15/17</v>
      </c>
      <c r="M100" s="39" t="str">
        <f t="shared" si="68"/>
        <v>Somfy Altus 50 RTS 15/17</v>
      </c>
      <c r="N100" s="39" t="str">
        <f t="shared" si="69"/>
        <v>Somfy Altus 50 RTS 15/17</v>
      </c>
      <c r="O100" s="39" t="str">
        <f t="shared" si="70"/>
        <v>Somfy Altus 50 RTS 15/17</v>
      </c>
      <c r="P100" s="39" t="str">
        <f t="shared" si="71"/>
        <v>Somfy Altus 50 RTS 15/17</v>
      </c>
      <c r="Q100" s="39" t="str">
        <f t="shared" si="72"/>
        <v>Somfy Altus 50 RTS 15/17</v>
      </c>
      <c r="R100" s="39" t="str">
        <f t="shared" si="73"/>
        <v>Somfy Altus 50 RTS 15/17</v>
      </c>
      <c r="S100" s="39" t="str">
        <f t="shared" si="74"/>
        <v>Somfy Altus 50 RTS 15/17</v>
      </c>
      <c r="T100" s="39" t="str">
        <f t="shared" si="75"/>
        <v>Somfy Altus 50 RTS 15/17</v>
      </c>
      <c r="U100" s="39" t="str">
        <f t="shared" si="76"/>
        <v>Somfy Altus 50 RTS 15/17</v>
      </c>
      <c r="V100" s="39" t="str">
        <f t="shared" si="77"/>
        <v>Somfy Altus 50 RTS 25/17</v>
      </c>
    </row>
    <row r="101" spans="1:22" ht="14.4">
      <c r="A101" s="98">
        <v>2080</v>
      </c>
      <c r="B101" s="39" t="s">
        <v>297</v>
      </c>
      <c r="C101" s="39" t="s">
        <v>297</v>
      </c>
      <c r="D101" s="39" t="str">
        <f t="shared" si="59"/>
        <v>Somfy Altus 50 RTS 6/17</v>
      </c>
      <c r="E101" s="39" t="str">
        <f t="shared" si="60"/>
        <v>Somfy Altus 50 RTS 6/17</v>
      </c>
      <c r="F101" s="39" t="str">
        <f t="shared" si="61"/>
        <v>Somfy Altus 50 RTS 10/17</v>
      </c>
      <c r="G101" s="39" t="str">
        <f t="shared" si="62"/>
        <v>Somfy Altus 50 RTS 10/17</v>
      </c>
      <c r="H101" s="39" t="str">
        <f t="shared" si="63"/>
        <v>Somfy Altus 50 RTS 10/17</v>
      </c>
      <c r="I101" s="39" t="str">
        <f t="shared" si="64"/>
        <v>Somfy Altus 50 RTS 15/17</v>
      </c>
      <c r="J101" s="39" t="str">
        <f t="shared" si="65"/>
        <v>Somfy Altus 50 RTS 15/17</v>
      </c>
      <c r="K101" s="39" t="str">
        <f t="shared" si="66"/>
        <v>Somfy Altus 50 RTS 15/17</v>
      </c>
      <c r="L101" s="39" t="str">
        <f t="shared" si="67"/>
        <v>Somfy Altus 50 RTS 15/17</v>
      </c>
      <c r="M101" s="39" t="str">
        <f t="shared" si="68"/>
        <v>Somfy Altus 50 RTS 15/17</v>
      </c>
      <c r="N101" s="39" t="str">
        <f t="shared" si="69"/>
        <v>Somfy Altus 50 RTS 15/17</v>
      </c>
      <c r="O101" s="39" t="str">
        <f t="shared" si="70"/>
        <v>Somfy Altus 50 RTS 15/17</v>
      </c>
      <c r="P101" s="39" t="str">
        <f t="shared" si="71"/>
        <v>Somfy Altus 50 RTS 15/17</v>
      </c>
      <c r="Q101" s="39" t="str">
        <f t="shared" si="72"/>
        <v>Somfy Altus 50 RTS 15/17</v>
      </c>
      <c r="R101" s="39" t="str">
        <f t="shared" si="73"/>
        <v>Somfy Altus 50 RTS 15/17</v>
      </c>
      <c r="S101" s="39" t="str">
        <f t="shared" si="74"/>
        <v>Somfy Altus 50 RTS 15/17</v>
      </c>
      <c r="T101" s="39" t="str">
        <f t="shared" si="75"/>
        <v>Somfy Altus 50 RTS 25/17</v>
      </c>
      <c r="U101" s="39" t="str">
        <f t="shared" si="76"/>
        <v>Somfy Altus 50 RTS 25/17</v>
      </c>
      <c r="V101" s="39" t="str">
        <f t="shared" si="77"/>
        <v>Somfy Altus 50 RTS 25/17</v>
      </c>
    </row>
    <row r="102" spans="1:22" ht="14.4">
      <c r="A102" s="98">
        <v>2180</v>
      </c>
      <c r="B102" s="39" t="s">
        <v>297</v>
      </c>
      <c r="C102" s="39" t="s">
        <v>297</v>
      </c>
      <c r="D102" s="39" t="str">
        <f t="shared" si="59"/>
        <v>Somfy Altus 50 RTS 6/17</v>
      </c>
      <c r="E102" s="39" t="str">
        <f t="shared" si="60"/>
        <v>Somfy Altus 50 RTS 6/17</v>
      </c>
      <c r="F102" s="39" t="str">
        <f t="shared" si="61"/>
        <v>Somfy Altus 50 RTS 10/17</v>
      </c>
      <c r="G102" s="39" t="str">
        <f t="shared" si="62"/>
        <v>Somfy Altus 50 RTS 10/17</v>
      </c>
      <c r="H102" s="39" t="str">
        <f t="shared" si="63"/>
        <v>Somfy Altus 50 RTS 15/17</v>
      </c>
      <c r="I102" s="39" t="str">
        <f t="shared" si="64"/>
        <v>Somfy Altus 50 RTS 15/17</v>
      </c>
      <c r="J102" s="39" t="str">
        <f t="shared" si="65"/>
        <v>Somfy Altus 50 RTS 15/17</v>
      </c>
      <c r="K102" s="39" t="str">
        <f t="shared" si="66"/>
        <v>Somfy Altus 50 RTS 15/17</v>
      </c>
      <c r="L102" s="39" t="str">
        <f t="shared" si="67"/>
        <v>Somfy Altus 50 RTS 15/17</v>
      </c>
      <c r="M102" s="39" t="str">
        <f t="shared" si="68"/>
        <v>Somfy Altus 50 RTS 15/17</v>
      </c>
      <c r="N102" s="39" t="str">
        <f t="shared" si="69"/>
        <v>Somfy Altus 50 RTS 15/17</v>
      </c>
      <c r="O102" s="39" t="str">
        <f t="shared" si="70"/>
        <v>Somfy Altus 50 RTS 15/17</v>
      </c>
      <c r="P102" s="39" t="str">
        <f t="shared" si="71"/>
        <v>Somfy Altus 50 RTS 15/17</v>
      </c>
      <c r="Q102" s="39" t="str">
        <f t="shared" si="72"/>
        <v>Somfy Altus 50 RTS 15/17</v>
      </c>
      <c r="R102" s="39" t="str">
        <f t="shared" si="73"/>
        <v>Somfy Altus 50 RTS 15/17</v>
      </c>
      <c r="S102" s="39" t="str">
        <f t="shared" si="74"/>
        <v>Somfy Altus 50 RTS 25/17</v>
      </c>
      <c r="T102" s="39" t="str">
        <f t="shared" si="75"/>
        <v>Somfy Altus 50 RTS 25/17</v>
      </c>
      <c r="U102" s="39" t="str">
        <f t="shared" si="76"/>
        <v>Somfy Altus 50 RTS 25/17</v>
      </c>
      <c r="V102" s="39" t="str">
        <f t="shared" si="77"/>
        <v>Somfy Altus 50 RTS 25/17</v>
      </c>
    </row>
    <row r="103" spans="1:22" ht="14.4">
      <c r="A103" s="98">
        <v>2280</v>
      </c>
      <c r="B103" s="39" t="s">
        <v>297</v>
      </c>
      <c r="C103" s="39" t="s">
        <v>297</v>
      </c>
      <c r="D103" s="39" t="str">
        <f t="shared" si="59"/>
        <v>Somfy Altus 50 RTS 6/17</v>
      </c>
      <c r="E103" s="39" t="str">
        <f t="shared" si="60"/>
        <v>Somfy Altus 50 RTS 6/17</v>
      </c>
      <c r="F103" s="39" t="str">
        <f t="shared" si="61"/>
        <v>Somfy Altus 50 RTS 10/17</v>
      </c>
      <c r="G103" s="39" t="str">
        <f t="shared" si="62"/>
        <v>Somfy Altus 50 RTS 10/17</v>
      </c>
      <c r="H103" s="39" t="str">
        <f t="shared" si="63"/>
        <v>Somfy Altus 50 RTS 15/17</v>
      </c>
      <c r="I103" s="39" t="str">
        <f t="shared" si="64"/>
        <v>Somfy Altus 50 RTS 15/17</v>
      </c>
      <c r="J103" s="39" t="str">
        <f t="shared" si="65"/>
        <v>Somfy Altus 50 RTS 15/17</v>
      </c>
      <c r="K103" s="39" t="str">
        <f t="shared" si="66"/>
        <v>Somfy Altus 50 RTS 15/17</v>
      </c>
      <c r="L103" s="39" t="str">
        <f t="shared" si="67"/>
        <v>Somfy Altus 50 RTS 15/17</v>
      </c>
      <c r="M103" s="39" t="str">
        <f t="shared" si="68"/>
        <v>Somfy Altus 50 RTS 15/17</v>
      </c>
      <c r="N103" s="39" t="str">
        <f t="shared" si="69"/>
        <v>Somfy Altus 50 RTS 15/17</v>
      </c>
      <c r="O103" s="39" t="str">
        <f t="shared" si="70"/>
        <v>Somfy Altus 50 RTS 15/17</v>
      </c>
      <c r="P103" s="39" t="str">
        <f t="shared" si="71"/>
        <v>Somfy Altus 50 RTS 15/17</v>
      </c>
      <c r="Q103" s="39" t="str">
        <f t="shared" si="72"/>
        <v>Somfy Altus 50 RTS 15/17</v>
      </c>
      <c r="R103" s="39" t="str">
        <f t="shared" si="73"/>
        <v>Somfy Altus 50 RTS 25/17</v>
      </c>
      <c r="S103" s="39" t="str">
        <f t="shared" si="74"/>
        <v>Somfy Altus 50 RTS 25/17</v>
      </c>
      <c r="T103" s="39" t="str">
        <f t="shared" si="75"/>
        <v>Somfy Altus 50 RTS 25/17</v>
      </c>
      <c r="U103" s="39" t="str">
        <f t="shared" si="76"/>
        <v>Somfy Altus 50 RTS 25/17</v>
      </c>
      <c r="V103" s="39" t="str">
        <f t="shared" si="77"/>
        <v>Somfy Altus 50 RTS 25/17</v>
      </c>
    </row>
    <row r="104" spans="1:22" ht="14.4">
      <c r="A104" s="98">
        <v>2380</v>
      </c>
      <c r="B104" s="39" t="s">
        <v>297</v>
      </c>
      <c r="C104" s="39" t="s">
        <v>297</v>
      </c>
      <c r="D104" s="39" t="str">
        <f t="shared" si="59"/>
        <v>Somfy Altus 50 RTS 6/17</v>
      </c>
      <c r="E104" s="39" t="str">
        <f t="shared" si="60"/>
        <v>Somfy Altus 50 RTS 6/17</v>
      </c>
      <c r="F104" s="39" t="str">
        <f t="shared" si="61"/>
        <v>Somfy Altus 50 RTS 10/17</v>
      </c>
      <c r="G104" s="39" t="str">
        <f t="shared" si="62"/>
        <v>Somfy Altus 50 RTS 15/17</v>
      </c>
      <c r="H104" s="39" t="str">
        <f t="shared" si="63"/>
        <v>Somfy Altus 50 RTS 15/17</v>
      </c>
      <c r="I104" s="39" t="str">
        <f t="shared" si="64"/>
        <v>Somfy Altus 50 RTS 15/17</v>
      </c>
      <c r="J104" s="39" t="str">
        <f t="shared" si="65"/>
        <v>Somfy Altus 50 RTS 15/17</v>
      </c>
      <c r="K104" s="39" t="str">
        <f t="shared" si="66"/>
        <v>Somfy Altus 50 RTS 15/17</v>
      </c>
      <c r="L104" s="39" t="str">
        <f t="shared" si="67"/>
        <v>Somfy Altus 50 RTS 15/17</v>
      </c>
      <c r="M104" s="39" t="str">
        <f t="shared" si="68"/>
        <v>Somfy Altus 50 RTS 15/17</v>
      </c>
      <c r="N104" s="39" t="str">
        <f t="shared" si="69"/>
        <v>Somfy Altus 50 RTS 15/17</v>
      </c>
      <c r="O104" s="39" t="str">
        <f t="shared" si="70"/>
        <v>Somfy Altus 50 RTS 15/17</v>
      </c>
      <c r="P104" s="39" t="str">
        <f t="shared" si="71"/>
        <v>Somfy Altus 50 RTS 25/17</v>
      </c>
      <c r="Q104" s="39" t="str">
        <f t="shared" si="72"/>
        <v>Somfy Altus 50 RTS 25/17</v>
      </c>
      <c r="R104" s="39" t="str">
        <f t="shared" si="73"/>
        <v>Somfy Altus 50 RTS 25/17</v>
      </c>
      <c r="S104" s="39" t="str">
        <f t="shared" si="74"/>
        <v>Somfy Altus 50 RTS 25/17</v>
      </c>
      <c r="T104" s="39" t="str">
        <f t="shared" si="75"/>
        <v>Somfy Altus 50 RTS 25/17</v>
      </c>
      <c r="U104" s="39" t="str">
        <f t="shared" si="76"/>
        <v>Somfy Altus 50 RTS 25/17</v>
      </c>
      <c r="V104" s="39" t="str">
        <f t="shared" si="77"/>
        <v>Somfy Altus 50 RTS 25/17</v>
      </c>
    </row>
    <row r="105" spans="1:22" ht="14.4">
      <c r="A105" s="98">
        <v>2480</v>
      </c>
      <c r="B105" s="39" t="s">
        <v>297</v>
      </c>
      <c r="C105" s="39" t="s">
        <v>297</v>
      </c>
      <c r="D105" s="39" t="str">
        <f t="shared" si="59"/>
        <v>Somfy Altus 50 RTS 6/17</v>
      </c>
      <c r="E105" s="39" t="str">
        <f t="shared" si="60"/>
        <v>Somfy Altus 50 RTS 6/17</v>
      </c>
      <c r="F105" s="39" t="str">
        <f t="shared" si="61"/>
        <v>Somfy Altus 50 RTS 15/17</v>
      </c>
      <c r="G105" s="39" t="str">
        <f t="shared" si="62"/>
        <v>Somfy Altus 50 RTS 15/17</v>
      </c>
      <c r="H105" s="39" t="str">
        <f t="shared" si="63"/>
        <v>Somfy Altus 50 RTS 15/17</v>
      </c>
      <c r="I105" s="39" t="str">
        <f t="shared" si="64"/>
        <v>Somfy Altus 50 RTS 15/17</v>
      </c>
      <c r="J105" s="39" t="str">
        <f t="shared" si="65"/>
        <v>Somfy Altus 50 RTS 15/17</v>
      </c>
      <c r="K105" s="39" t="str">
        <f t="shared" si="66"/>
        <v>Somfy Altus 50 RTS 15/17</v>
      </c>
      <c r="L105" s="39" t="str">
        <f t="shared" si="67"/>
        <v>Somfy Altus 50 RTS 15/17</v>
      </c>
      <c r="M105" s="39" t="str">
        <f t="shared" si="68"/>
        <v>Somfy Altus 50 RTS 15/17</v>
      </c>
      <c r="N105" s="39" t="str">
        <f t="shared" si="69"/>
        <v>Somfy Altus 50 RTS 15/17</v>
      </c>
      <c r="O105" s="39" t="str">
        <f t="shared" si="70"/>
        <v>Somfy Altus 50 RTS 25/17</v>
      </c>
      <c r="P105" s="39" t="str">
        <f t="shared" si="71"/>
        <v>Somfy Altus 50 RTS 25/17</v>
      </c>
      <c r="Q105" s="39" t="str">
        <f t="shared" si="72"/>
        <v>Somfy Altus 50 RTS 25/17</v>
      </c>
      <c r="R105" s="39" t="str">
        <f t="shared" si="73"/>
        <v>Somfy Altus 50 RTS 25/17</v>
      </c>
      <c r="S105" s="39" t="str">
        <f t="shared" si="74"/>
        <v>Somfy Altus 50 RTS 25/17</v>
      </c>
      <c r="T105" s="39" t="str">
        <f t="shared" si="75"/>
        <v>Somfy Altus 50 RTS 25/17</v>
      </c>
      <c r="U105" s="39" t="str">
        <f t="shared" si="76"/>
        <v>Somfy Altus 50 RTS 25/17</v>
      </c>
      <c r="V105" s="39" t="str">
        <f t="shared" si="77"/>
        <v>Somfy Altus 50 RTS 25/17</v>
      </c>
    </row>
    <row r="106" spans="1:22" ht="14.4">
      <c r="A106" s="98">
        <v>2580</v>
      </c>
      <c r="B106" s="39" t="s">
        <v>297</v>
      </c>
      <c r="C106" s="39" t="s">
        <v>297</v>
      </c>
      <c r="D106" s="39" t="str">
        <f t="shared" si="59"/>
        <v>Somfy Altus 50 RTS 6/17</v>
      </c>
      <c r="E106" s="39" t="str">
        <f t="shared" si="60"/>
        <v>Somfy Altus 50 RTS 6/17</v>
      </c>
      <c r="F106" s="39" t="str">
        <f t="shared" si="61"/>
        <v>Somfy Altus 50 RTS 15/17</v>
      </c>
      <c r="G106" s="39" t="str">
        <f t="shared" si="62"/>
        <v>Somfy Altus 50 RTS 15/17</v>
      </c>
      <c r="H106" s="39" t="str">
        <f t="shared" si="63"/>
        <v>Somfy Altus 50 RTS 15/17</v>
      </c>
      <c r="I106" s="39" t="str">
        <f t="shared" si="64"/>
        <v>Somfy Altus 50 RTS 15/17</v>
      </c>
      <c r="J106" s="39" t="str">
        <f t="shared" si="65"/>
        <v>Somfy Altus 50 RTS 15/17</v>
      </c>
      <c r="K106" s="39" t="str">
        <f t="shared" si="66"/>
        <v>Somfy Altus 50 RTS 15/17</v>
      </c>
      <c r="L106" s="39" t="str">
        <f t="shared" si="67"/>
        <v>Somfy Altus 50 RTS 15/17</v>
      </c>
      <c r="M106" s="39" t="str">
        <f t="shared" si="68"/>
        <v>Somfy Altus 50 RTS 15/17</v>
      </c>
      <c r="N106" s="39" t="str">
        <f t="shared" si="69"/>
        <v>Somfy Altus 50 RTS 25/17</v>
      </c>
      <c r="O106" s="39" t="str">
        <f t="shared" si="70"/>
        <v>Somfy Altus 50 RTS 25/17</v>
      </c>
      <c r="P106" s="39" t="str">
        <f t="shared" si="71"/>
        <v>Somfy Altus 50 RTS 25/17</v>
      </c>
      <c r="Q106" s="39" t="str">
        <f t="shared" si="72"/>
        <v>Somfy Altus 50 RTS 25/17</v>
      </c>
      <c r="R106" s="39" t="str">
        <f t="shared" si="73"/>
        <v>Somfy Altus 50 RTS 25/17</v>
      </c>
      <c r="S106" s="39" t="str">
        <f t="shared" si="74"/>
        <v>Somfy Altus 50 RTS 25/17</v>
      </c>
      <c r="T106" s="39" t="str">
        <f t="shared" si="75"/>
        <v>Somfy Altus 50 RTS 25/17</v>
      </c>
      <c r="U106" s="39" t="str">
        <f t="shared" si="76"/>
        <v>Somfy Altus 50 RTS 25/17</v>
      </c>
      <c r="V106" s="39" t="str">
        <f t="shared" si="77"/>
        <v>Somfy Altus 50 RTS 25/17</v>
      </c>
    </row>
    <row r="107" spans="1:22" ht="14.4">
      <c r="A107" s="98">
        <v>2680</v>
      </c>
      <c r="B107" s="39" t="s">
        <v>297</v>
      </c>
      <c r="C107" s="39" t="s">
        <v>297</v>
      </c>
      <c r="D107" s="39" t="str">
        <f t="shared" si="59"/>
        <v>Somfy Altus 50 RTS 6/17</v>
      </c>
      <c r="E107" s="39" t="str">
        <f t="shared" si="60"/>
        <v>Somfy Altus 50 RTS 6/17</v>
      </c>
      <c r="F107" s="39" t="str">
        <f t="shared" si="61"/>
        <v>Somfy Altus 50 RTS 15/17</v>
      </c>
      <c r="G107" s="39" t="str">
        <f t="shared" si="62"/>
        <v>Somfy Altus 50 RTS 15/17</v>
      </c>
      <c r="H107" s="39" t="str">
        <f t="shared" si="63"/>
        <v>Somfy Altus 50 RTS 15/17</v>
      </c>
      <c r="I107" s="39" t="str">
        <f t="shared" si="64"/>
        <v>Somfy Altus 50 RTS 15/17</v>
      </c>
      <c r="J107" s="39" t="str">
        <f t="shared" si="65"/>
        <v>Somfy Altus 50 RTS 15/17</v>
      </c>
      <c r="K107" s="39" t="str">
        <f t="shared" si="66"/>
        <v>Somfy Altus 50 RTS 15/17</v>
      </c>
      <c r="L107" s="39" t="str">
        <f t="shared" si="67"/>
        <v>Somfy Altus 50 RTS 15/17</v>
      </c>
      <c r="M107" s="39" t="str">
        <f t="shared" si="68"/>
        <v>Somfy Altus 50 RTS 25/17</v>
      </c>
      <c r="N107" s="39" t="str">
        <f t="shared" si="69"/>
        <v>Somfy Altus 50 RTS 25/17</v>
      </c>
      <c r="O107" s="39" t="str">
        <f t="shared" si="70"/>
        <v>Somfy Altus 50 RTS 25/17</v>
      </c>
      <c r="P107" s="39" t="str">
        <f t="shared" si="71"/>
        <v>Somfy Altus 50 RTS 25/17</v>
      </c>
      <c r="Q107" s="39" t="str">
        <f t="shared" si="72"/>
        <v>Somfy Altus 50 RTS 25/17</v>
      </c>
      <c r="R107" s="39" t="str">
        <f t="shared" si="73"/>
        <v>Somfy Altus 50 RTS 25/17</v>
      </c>
      <c r="S107" s="39" t="str">
        <f t="shared" si="74"/>
        <v>Somfy Altus 50 RTS 25/17</v>
      </c>
      <c r="T107" s="39" t="str">
        <f t="shared" si="75"/>
        <v>Somfy Altus 50 RTS 25/17</v>
      </c>
      <c r="U107" s="39" t="str">
        <f t="shared" si="76"/>
        <v>Somfy Altus 50 RTS 25/17</v>
      </c>
      <c r="V107" s="39" t="str">
        <f t="shared" si="77"/>
        <v>Somfy Altus 50 RTS 25/17</v>
      </c>
    </row>
    <row r="108" spans="1:22" ht="14.4">
      <c r="A108" s="98">
        <v>2780</v>
      </c>
      <c r="B108" s="39" t="s">
        <v>297</v>
      </c>
      <c r="C108" s="39" t="s">
        <v>297</v>
      </c>
      <c r="D108" s="39" t="str">
        <f t="shared" si="59"/>
        <v>Somfy Altus 50 RTS 6/17</v>
      </c>
      <c r="E108" s="39" t="str">
        <f t="shared" si="60"/>
        <v>Somfy Altus 50 RTS 6/17</v>
      </c>
      <c r="F108" s="39" t="str">
        <f t="shared" si="61"/>
        <v>Somfy Altus 50 RTS 15/17</v>
      </c>
      <c r="G108" s="39" t="str">
        <f t="shared" si="62"/>
        <v>Somfy Altus 50 RTS 15/17</v>
      </c>
      <c r="H108" s="39" t="str">
        <f t="shared" si="63"/>
        <v>Somfy Altus 50 RTS 15/17</v>
      </c>
      <c r="I108" s="39" t="str">
        <f t="shared" si="64"/>
        <v>Somfy Altus 50 RTS 15/17</v>
      </c>
      <c r="J108" s="39" t="str">
        <f t="shared" si="65"/>
        <v>Somfy Altus 50 RTS 15/17</v>
      </c>
      <c r="K108" s="39" t="str">
        <f t="shared" si="66"/>
        <v>Somfy Altus 50 RTS 15/17</v>
      </c>
      <c r="L108" s="39" t="str">
        <f t="shared" si="67"/>
        <v>Somfy Altus 50 RTS 25/17</v>
      </c>
      <c r="M108" s="39" t="str">
        <f t="shared" si="68"/>
        <v>Somfy Altus 50 RTS 25/17</v>
      </c>
      <c r="N108" s="39" t="str">
        <f t="shared" si="69"/>
        <v>Somfy Altus 50 RTS 25/17</v>
      </c>
      <c r="O108" s="39" t="str">
        <f t="shared" si="70"/>
        <v>Somfy Altus 50 RTS 25/17</v>
      </c>
      <c r="P108" s="39" t="str">
        <f t="shared" si="71"/>
        <v>Somfy Altus 50 RTS 25/17</v>
      </c>
      <c r="Q108" s="39" t="str">
        <f t="shared" si="72"/>
        <v>Somfy Altus 50 RTS 25/17</v>
      </c>
      <c r="R108" s="39" t="str">
        <f t="shared" si="73"/>
        <v>Somfy Altus 50 RTS 25/17</v>
      </c>
      <c r="S108" s="39" t="str">
        <f t="shared" si="74"/>
        <v>Somfy Altus 50 RTS 25/17</v>
      </c>
      <c r="T108" s="39" t="str">
        <f t="shared" si="75"/>
        <v>Somfy Altus 50 RTS 25/17</v>
      </c>
      <c r="U108" s="39" t="str">
        <f t="shared" si="76"/>
        <v>Somfy Altus 50 RTS 25/17</v>
      </c>
      <c r="V108" s="39" t="str">
        <f t="shared" si="77"/>
        <v>Somfy Altus 50 RTS 25/17</v>
      </c>
    </row>
    <row r="109" spans="1:22" ht="14.4">
      <c r="A109" s="98">
        <v>2880</v>
      </c>
      <c r="B109" s="39" t="s">
        <v>297</v>
      </c>
      <c r="C109" s="39" t="s">
        <v>297</v>
      </c>
      <c r="D109" s="39" t="str">
        <f t="shared" si="59"/>
        <v>Somfy Altus 50 RTS 6/17</v>
      </c>
      <c r="E109" s="39" t="str">
        <f t="shared" si="60"/>
        <v>Somfy Altus 50 RTS 6/17</v>
      </c>
      <c r="F109" s="39" t="str">
        <f t="shared" si="61"/>
        <v>Somfy Altus 50 RTS 15/17</v>
      </c>
      <c r="G109" s="39" t="str">
        <f t="shared" si="62"/>
        <v>Somfy Altus 50 RTS 15/17</v>
      </c>
      <c r="H109" s="39" t="str">
        <f t="shared" si="63"/>
        <v>Somfy Altus 50 RTS 15/17</v>
      </c>
      <c r="I109" s="39" t="str">
        <f t="shared" si="64"/>
        <v>Somfy Altus 50 RTS 15/17</v>
      </c>
      <c r="J109" s="39" t="str">
        <f t="shared" si="65"/>
        <v>Somfy Altus 50 RTS 15/17</v>
      </c>
      <c r="K109" s="39" t="str">
        <f t="shared" si="66"/>
        <v>Somfy Altus 50 RTS 25/17</v>
      </c>
      <c r="L109" s="39" t="str">
        <f t="shared" si="67"/>
        <v>Somfy Altus 50 RTS 25/17</v>
      </c>
      <c r="M109" s="39" t="str">
        <f t="shared" si="68"/>
        <v>Somfy Altus 50 RTS 25/17</v>
      </c>
      <c r="N109" s="39" t="str">
        <f t="shared" si="69"/>
        <v>Somfy Altus 50 RTS 25/17</v>
      </c>
      <c r="O109" s="39" t="str">
        <f t="shared" si="70"/>
        <v>Somfy Altus 50 RTS 25/17</v>
      </c>
      <c r="P109" s="39" t="str">
        <f t="shared" si="71"/>
        <v>Somfy Altus 50 RTS 25/17</v>
      </c>
      <c r="Q109" s="39" t="str">
        <f t="shared" si="72"/>
        <v>Somfy Altus 50 RTS 25/17</v>
      </c>
      <c r="R109" s="39" t="str">
        <f t="shared" si="73"/>
        <v>Somfy Altus 50 RTS 25/17</v>
      </c>
      <c r="S109" s="39" t="str">
        <f t="shared" si="74"/>
        <v>Somfy Altus 50 RTS 25/17</v>
      </c>
      <c r="T109" s="39" t="str">
        <f t="shared" si="75"/>
        <v>Somfy Altus 50 RTS 25/17</v>
      </c>
      <c r="U109" s="39" t="str">
        <f t="shared" si="76"/>
        <v>Somfy Altus 50 RTS 25/17</v>
      </c>
      <c r="V109" s="39" t="str">
        <f t="shared" si="77"/>
        <v>Somfy Altus 50 RTS 25/17</v>
      </c>
    </row>
    <row r="110" spans="1:22" ht="14.4">
      <c r="A110" s="98">
        <v>2980</v>
      </c>
      <c r="B110" s="39" t="s">
        <v>297</v>
      </c>
      <c r="C110" s="39" t="s">
        <v>297</v>
      </c>
      <c r="D110" s="39" t="str">
        <f t="shared" si="59"/>
        <v>Somfy Altus 50 RTS 6/17</v>
      </c>
      <c r="E110" s="39" t="str">
        <f t="shared" si="60"/>
        <v>Somfy Altus 50 RTS 6/17</v>
      </c>
      <c r="F110" s="39" t="str">
        <f t="shared" si="61"/>
        <v>Somfy Altus 50 RTS 15/17</v>
      </c>
      <c r="G110" s="39" t="str">
        <f t="shared" si="62"/>
        <v>Somfy Altus 50 RTS 15/17</v>
      </c>
      <c r="H110" s="39" t="str">
        <f t="shared" si="63"/>
        <v>Somfy Altus 50 RTS 15/17</v>
      </c>
      <c r="I110" s="39" t="str">
        <f t="shared" si="64"/>
        <v>Somfy Altus 50 RTS 15/17</v>
      </c>
      <c r="J110" s="39" t="str">
        <f t="shared" si="65"/>
        <v>Somfy Altus 50 RTS 15/17</v>
      </c>
      <c r="K110" s="39" t="str">
        <f t="shared" si="66"/>
        <v>Somfy Altus 50 RTS 25/17</v>
      </c>
      <c r="L110" s="39" t="str">
        <f t="shared" si="67"/>
        <v>Somfy Altus 50 RTS 25/17</v>
      </c>
      <c r="M110" s="39" t="str">
        <f t="shared" si="68"/>
        <v>Somfy Altus 50 RTS 25/17</v>
      </c>
      <c r="N110" s="39" t="str">
        <f t="shared" si="69"/>
        <v>Somfy Altus 50 RTS 25/17</v>
      </c>
      <c r="O110" s="39" t="str">
        <f t="shared" si="70"/>
        <v>Somfy Altus 50 RTS 25/17</v>
      </c>
      <c r="P110" s="39" t="str">
        <f t="shared" si="71"/>
        <v>Somfy Altus 50 RTS 25/17</v>
      </c>
      <c r="Q110" s="39" t="str">
        <f t="shared" si="72"/>
        <v>Somfy Altus 50 RTS 25/17</v>
      </c>
      <c r="R110" s="39" t="str">
        <f t="shared" si="73"/>
        <v>Somfy Altus 50 RTS 25/17</v>
      </c>
      <c r="S110" s="39" t="str">
        <f t="shared" si="74"/>
        <v>Somfy Altus 50 RTS 25/17</v>
      </c>
      <c r="T110" s="39" t="str">
        <f t="shared" si="75"/>
        <v>Somfy Altus 50 RTS 25/17</v>
      </c>
      <c r="U110" s="39" t="str">
        <f t="shared" si="76"/>
        <v>Somfy Altus 50 RTS 25/17</v>
      </c>
      <c r="V110" s="39" t="str">
        <f t="shared" si="77"/>
        <v>Somfy Altus 50 RTS 25/17</v>
      </c>
    </row>
    <row r="113" spans="1:6" ht="13.2">
      <c r="A113" s="306" t="s">
        <v>292</v>
      </c>
      <c r="B113" s="306"/>
      <c r="C113" s="306"/>
      <c r="D113" s="306"/>
      <c r="E113" s="306"/>
      <c r="F113" s="306"/>
    </row>
    <row r="114" spans="1:6" ht="14.4">
      <c r="A114" s="98" t="s">
        <v>262</v>
      </c>
      <c r="B114" s="98">
        <v>0</v>
      </c>
      <c r="C114" s="98">
        <v>528</v>
      </c>
      <c r="D114" s="98">
        <v>615</v>
      </c>
      <c r="E114" s="98">
        <v>850</v>
      </c>
      <c r="F114" s="98">
        <v>3600</v>
      </c>
    </row>
    <row r="115" spans="1:6" ht="14.4">
      <c r="A115" s="98">
        <v>0</v>
      </c>
      <c r="B115" s="39" t="s">
        <v>297</v>
      </c>
      <c r="C115" s="39" t="s">
        <v>297</v>
      </c>
      <c r="D115" s="39" t="s">
        <v>297</v>
      </c>
      <c r="E115" s="39" t="s">
        <v>696</v>
      </c>
      <c r="F115" s="39" t="s">
        <v>696</v>
      </c>
    </row>
    <row r="116" spans="1:6" ht="14.4">
      <c r="A116" s="98">
        <v>780</v>
      </c>
      <c r="B116" s="39" t="s">
        <v>297</v>
      </c>
      <c r="C116" s="39" t="s">
        <v>297</v>
      </c>
      <c r="D116" s="39" t="s">
        <v>297</v>
      </c>
      <c r="E116" s="39" t="s">
        <v>696</v>
      </c>
      <c r="F116" s="39" t="s">
        <v>696</v>
      </c>
    </row>
    <row r="117" spans="1:6" ht="14.4">
      <c r="A117" s="98">
        <v>880</v>
      </c>
      <c r="B117" s="39" t="s">
        <v>297</v>
      </c>
      <c r="C117" s="39" t="s">
        <v>297</v>
      </c>
      <c r="D117" s="39" t="s">
        <v>297</v>
      </c>
      <c r="E117" s="39" t="s">
        <v>696</v>
      </c>
      <c r="F117" s="39" t="s">
        <v>696</v>
      </c>
    </row>
    <row r="118" spans="1:6" ht="14.4">
      <c r="A118" s="98">
        <v>980</v>
      </c>
      <c r="B118" s="39" t="s">
        <v>297</v>
      </c>
      <c r="C118" s="39" t="s">
        <v>297</v>
      </c>
      <c r="D118" s="39" t="s">
        <v>297</v>
      </c>
      <c r="E118" s="39" t="s">
        <v>696</v>
      </c>
      <c r="F118" s="39" t="s">
        <v>696</v>
      </c>
    </row>
    <row r="119" spans="1:6" ht="14.4">
      <c r="A119" s="98">
        <v>1080</v>
      </c>
      <c r="B119" s="39" t="s">
        <v>297</v>
      </c>
      <c r="C119" s="39" t="s">
        <v>297</v>
      </c>
      <c r="D119" s="39" t="s">
        <v>297</v>
      </c>
      <c r="E119" s="39" t="s">
        <v>696</v>
      </c>
      <c r="F119" s="39" t="s">
        <v>696</v>
      </c>
    </row>
    <row r="120" spans="1:6" ht="14.4">
      <c r="A120" s="98">
        <v>1180</v>
      </c>
      <c r="B120" s="39" t="s">
        <v>297</v>
      </c>
      <c r="C120" s="39" t="s">
        <v>297</v>
      </c>
      <c r="D120" s="39" t="s">
        <v>297</v>
      </c>
      <c r="E120" s="39" t="s">
        <v>696</v>
      </c>
      <c r="F120" s="39" t="s">
        <v>696</v>
      </c>
    </row>
    <row r="121" spans="1:6" ht="14.4">
      <c r="A121" s="98">
        <v>1280</v>
      </c>
      <c r="B121" s="39" t="s">
        <v>297</v>
      </c>
      <c r="C121" s="39" t="s">
        <v>297</v>
      </c>
      <c r="D121" s="39" t="s">
        <v>297</v>
      </c>
      <c r="E121" s="39" t="s">
        <v>696</v>
      </c>
      <c r="F121" s="39" t="s">
        <v>696</v>
      </c>
    </row>
    <row r="122" spans="1:6" ht="14.4">
      <c r="A122" s="98">
        <v>1380</v>
      </c>
      <c r="B122" s="39" t="s">
        <v>297</v>
      </c>
      <c r="C122" s="39" t="s">
        <v>297</v>
      </c>
      <c r="D122" s="39" t="s">
        <v>297</v>
      </c>
      <c r="E122" s="39" t="s">
        <v>696</v>
      </c>
      <c r="F122" s="39" t="s">
        <v>696</v>
      </c>
    </row>
    <row r="123" spans="1:6" ht="14.4">
      <c r="A123" s="98">
        <v>1480</v>
      </c>
      <c r="B123" s="39" t="s">
        <v>297</v>
      </c>
      <c r="C123" s="39" t="s">
        <v>297</v>
      </c>
      <c r="D123" s="39" t="s">
        <v>297</v>
      </c>
      <c r="E123" s="39" t="s">
        <v>696</v>
      </c>
      <c r="F123" s="39" t="s">
        <v>696</v>
      </c>
    </row>
    <row r="124" spans="1:6" ht="14.4">
      <c r="A124" s="98">
        <v>1580</v>
      </c>
      <c r="B124" s="39" t="s">
        <v>297</v>
      </c>
      <c r="C124" s="39" t="s">
        <v>297</v>
      </c>
      <c r="D124" s="39" t="s">
        <v>297</v>
      </c>
      <c r="E124" s="39" t="s">
        <v>696</v>
      </c>
      <c r="F124" s="39" t="s">
        <v>696</v>
      </c>
    </row>
    <row r="125" spans="1:6" ht="14.4">
      <c r="A125" s="98">
        <v>1680</v>
      </c>
      <c r="B125" s="39" t="s">
        <v>297</v>
      </c>
      <c r="C125" s="39" t="s">
        <v>297</v>
      </c>
      <c r="D125" s="39" t="s">
        <v>297</v>
      </c>
      <c r="E125" s="39" t="s">
        <v>696</v>
      </c>
      <c r="F125" s="39" t="s">
        <v>696</v>
      </c>
    </row>
    <row r="126" spans="1:6" ht="14.4">
      <c r="A126" s="98">
        <v>1780</v>
      </c>
      <c r="B126" s="39" t="s">
        <v>297</v>
      </c>
      <c r="C126" s="39" t="s">
        <v>297</v>
      </c>
      <c r="D126" s="39" t="s">
        <v>297</v>
      </c>
      <c r="E126" s="39" t="s">
        <v>696</v>
      </c>
      <c r="F126" s="39" t="s">
        <v>696</v>
      </c>
    </row>
    <row r="127" spans="1:6" ht="14.4">
      <c r="A127" s="98">
        <v>1880</v>
      </c>
      <c r="B127" s="39" t="s">
        <v>297</v>
      </c>
      <c r="C127" s="39" t="s">
        <v>297</v>
      </c>
      <c r="D127" s="39" t="s">
        <v>297</v>
      </c>
      <c r="E127" s="39" t="s">
        <v>696</v>
      </c>
      <c r="F127" s="39" t="s">
        <v>696</v>
      </c>
    </row>
    <row r="128" spans="1:6" ht="14.4">
      <c r="A128" s="98">
        <v>1980</v>
      </c>
      <c r="B128" s="39" t="s">
        <v>297</v>
      </c>
      <c r="C128" s="39" t="s">
        <v>297</v>
      </c>
      <c r="D128" s="39" t="s">
        <v>297</v>
      </c>
      <c r="E128" s="39" t="s">
        <v>696</v>
      </c>
      <c r="F128" s="39" t="s">
        <v>696</v>
      </c>
    </row>
    <row r="129" spans="1:6" ht="14.4">
      <c r="A129" s="98">
        <v>2080</v>
      </c>
      <c r="B129" s="39" t="s">
        <v>297</v>
      </c>
      <c r="C129" s="39" t="s">
        <v>297</v>
      </c>
      <c r="D129" s="39" t="s">
        <v>297</v>
      </c>
      <c r="E129" s="39" t="s">
        <v>696</v>
      </c>
      <c r="F129" s="39" t="s">
        <v>696</v>
      </c>
    </row>
    <row r="130" spans="1:6" ht="14.4">
      <c r="A130" s="98">
        <v>2180</v>
      </c>
      <c r="B130" s="39" t="s">
        <v>297</v>
      </c>
      <c r="C130" s="39" t="s">
        <v>297</v>
      </c>
      <c r="D130" s="39" t="s">
        <v>297</v>
      </c>
      <c r="E130" s="39" t="s">
        <v>696</v>
      </c>
      <c r="F130" s="39" t="s">
        <v>696</v>
      </c>
    </row>
    <row r="131" spans="1:6" ht="14.4">
      <c r="A131" s="98">
        <v>2280</v>
      </c>
      <c r="B131" s="39" t="s">
        <v>297</v>
      </c>
      <c r="C131" s="39" t="s">
        <v>297</v>
      </c>
      <c r="D131" s="39" t="s">
        <v>297</v>
      </c>
      <c r="E131" s="39" t="s">
        <v>696</v>
      </c>
      <c r="F131" s="39" t="s">
        <v>696</v>
      </c>
    </row>
    <row r="132" spans="1:6" ht="14.4">
      <c r="A132" s="98">
        <v>2380</v>
      </c>
      <c r="B132" s="39" t="s">
        <v>297</v>
      </c>
      <c r="C132" s="39" t="s">
        <v>297</v>
      </c>
      <c r="D132" s="39" t="s">
        <v>297</v>
      </c>
      <c r="E132" s="39" t="s">
        <v>696</v>
      </c>
      <c r="F132" s="39" t="s">
        <v>696</v>
      </c>
    </row>
    <row r="133" spans="1:6" ht="14.4">
      <c r="A133" s="98">
        <v>2480</v>
      </c>
      <c r="B133" s="39" t="s">
        <v>297</v>
      </c>
      <c r="C133" s="39" t="s">
        <v>297</v>
      </c>
      <c r="D133" s="39" t="s">
        <v>297</v>
      </c>
      <c r="E133" s="39" t="s">
        <v>696</v>
      </c>
      <c r="F133" s="39" t="s">
        <v>696</v>
      </c>
    </row>
    <row r="134" spans="1:6" ht="14.4">
      <c r="A134" s="98">
        <v>2580</v>
      </c>
      <c r="B134" s="39" t="s">
        <v>297</v>
      </c>
      <c r="C134" s="39" t="s">
        <v>297</v>
      </c>
      <c r="D134" s="39" t="s">
        <v>297</v>
      </c>
      <c r="E134" s="39" t="s">
        <v>696</v>
      </c>
      <c r="F134" s="39" t="s">
        <v>696</v>
      </c>
    </row>
    <row r="135" spans="1:6" ht="14.4">
      <c r="A135" s="98">
        <v>2680</v>
      </c>
      <c r="B135" s="39" t="s">
        <v>297</v>
      </c>
      <c r="C135" s="39" t="s">
        <v>297</v>
      </c>
      <c r="D135" s="39" t="s">
        <v>297</v>
      </c>
      <c r="E135" s="39" t="s">
        <v>696</v>
      </c>
      <c r="F135" s="39" t="s">
        <v>696</v>
      </c>
    </row>
    <row r="136" spans="1:6" ht="14.4">
      <c r="A136" s="98">
        <v>2780</v>
      </c>
      <c r="B136" s="39" t="s">
        <v>297</v>
      </c>
      <c r="C136" s="39" t="s">
        <v>297</v>
      </c>
      <c r="D136" s="39" t="s">
        <v>297</v>
      </c>
      <c r="E136" s="39" t="s">
        <v>696</v>
      </c>
      <c r="F136" s="39" t="s">
        <v>696</v>
      </c>
    </row>
    <row r="137" spans="1:6" ht="14.4">
      <c r="A137" s="98">
        <v>2880</v>
      </c>
      <c r="B137" s="39" t="s">
        <v>297</v>
      </c>
      <c r="C137" s="39" t="s">
        <v>297</v>
      </c>
      <c r="D137" s="39" t="s">
        <v>297</v>
      </c>
      <c r="E137" s="39" t="s">
        <v>696</v>
      </c>
      <c r="F137" s="39" t="s">
        <v>696</v>
      </c>
    </row>
    <row r="138" spans="1:6" ht="14.4">
      <c r="A138" s="98">
        <v>2980</v>
      </c>
      <c r="B138" s="39" t="s">
        <v>297</v>
      </c>
      <c r="C138" s="39" t="s">
        <v>297</v>
      </c>
      <c r="D138" s="39" t="s">
        <v>297</v>
      </c>
      <c r="E138" s="39" t="s">
        <v>696</v>
      </c>
      <c r="F138" s="39" t="s">
        <v>696</v>
      </c>
    </row>
    <row r="141" spans="1:36" ht="13.2">
      <c r="A141" s="306" t="s">
        <v>322</v>
      </c>
      <c r="B141" s="306"/>
      <c r="C141" s="306"/>
      <c r="D141" s="306"/>
      <c r="E141" s="306"/>
      <c r="F141" s="306"/>
      <c r="G141" s="306"/>
      <c r="H141" s="306"/>
      <c r="I141" s="306"/>
      <c r="J141" s="306"/>
      <c r="K141" s="306"/>
      <c r="L141" s="306"/>
      <c r="M141" s="306"/>
      <c r="N141" s="306"/>
      <c r="O141" s="306"/>
      <c r="P141" s="306"/>
      <c r="Q141" s="306"/>
      <c r="R141" s="306"/>
      <c r="S141" s="306"/>
      <c r="T141" s="306"/>
      <c r="U141" s="306"/>
      <c r="V141" s="306"/>
      <c r="W141" s="306"/>
      <c r="X141" s="306"/>
      <c r="Y141" s="306"/>
      <c r="Z141" s="306"/>
      <c r="AA141" s="306"/>
      <c r="AB141" s="306"/>
      <c r="AC141" s="306"/>
      <c r="AD141" s="306"/>
      <c r="AE141" s="306"/>
      <c r="AF141" s="306"/>
      <c r="AG141" s="306"/>
      <c r="AH141" s="306"/>
      <c r="AI141" s="306"/>
      <c r="AJ141" s="306"/>
    </row>
    <row r="142" spans="1:21" ht="14.4">
      <c r="A142" s="98" t="s">
        <v>262</v>
      </c>
      <c r="B142" s="98">
        <v>0</v>
      </c>
      <c r="C142" s="98">
        <v>528</v>
      </c>
      <c r="D142" s="98">
        <v>615</v>
      </c>
      <c r="E142" s="98">
        <v>1900</v>
      </c>
      <c r="F142" s="98">
        <v>2000</v>
      </c>
      <c r="G142" s="98">
        <v>2100</v>
      </c>
      <c r="H142" s="98">
        <v>2200</v>
      </c>
      <c r="I142" s="98">
        <v>2300</v>
      </c>
      <c r="J142" s="98">
        <v>2400</v>
      </c>
      <c r="K142" s="98">
        <v>2500</v>
      </c>
      <c r="L142" s="98">
        <v>2600</v>
      </c>
      <c r="M142" s="98">
        <v>2700</v>
      </c>
      <c r="N142" s="98">
        <v>2800</v>
      </c>
      <c r="O142" s="98">
        <v>2900</v>
      </c>
      <c r="P142" s="98">
        <v>3000</v>
      </c>
      <c r="Q142" s="98">
        <v>3100</v>
      </c>
      <c r="R142" s="98">
        <v>3200</v>
      </c>
      <c r="S142" s="98">
        <v>3300</v>
      </c>
      <c r="T142" s="98">
        <v>3400</v>
      </c>
      <c r="U142" s="98">
        <v>3500</v>
      </c>
    </row>
    <row r="143" spans="1:21" ht="14.4">
      <c r="A143" s="98">
        <v>0</v>
      </c>
      <c r="B143" s="39" t="s">
        <v>297</v>
      </c>
      <c r="C143" s="39" t="s">
        <v>297</v>
      </c>
      <c r="D143" s="39" t="s">
        <v>297</v>
      </c>
      <c r="E143" s="39" t="s">
        <v>702</v>
      </c>
      <c r="F143" s="39" t="s">
        <v>702</v>
      </c>
      <c r="G143" s="39" t="s">
        <v>702</v>
      </c>
      <c r="H143" s="39" t="s">
        <v>702</v>
      </c>
      <c r="I143" s="39" t="s">
        <v>702</v>
      </c>
      <c r="J143" s="39" t="s">
        <v>702</v>
      </c>
      <c r="K143" s="39" t="s">
        <v>702</v>
      </c>
      <c r="L143" s="39" t="s">
        <v>702</v>
      </c>
      <c r="M143" s="39" t="s">
        <v>702</v>
      </c>
      <c r="N143" s="39" t="s">
        <v>702</v>
      </c>
      <c r="O143" s="39" t="s">
        <v>702</v>
      </c>
      <c r="P143" s="39" t="s">
        <v>702</v>
      </c>
      <c r="Q143" s="39" t="s">
        <v>702</v>
      </c>
      <c r="R143" s="39" t="s">
        <v>702</v>
      </c>
      <c r="S143" s="39" t="s">
        <v>702</v>
      </c>
      <c r="T143" s="39" t="s">
        <v>702</v>
      </c>
      <c r="U143" s="39" t="s">
        <v>702</v>
      </c>
    </row>
    <row r="144" spans="1:21" ht="14.4">
      <c r="A144" s="98">
        <v>780</v>
      </c>
      <c r="B144" s="39" t="s">
        <v>297</v>
      </c>
      <c r="C144" s="39" t="s">
        <v>297</v>
      </c>
      <c r="D144" s="39" t="s">
        <v>297</v>
      </c>
      <c r="E144" s="39" t="s">
        <v>702</v>
      </c>
      <c r="F144" s="39" t="s">
        <v>702</v>
      </c>
      <c r="G144" s="39" t="s">
        <v>702</v>
      </c>
      <c r="H144" s="39" t="s">
        <v>702</v>
      </c>
      <c r="I144" s="39" t="s">
        <v>702</v>
      </c>
      <c r="J144" s="39" t="s">
        <v>702</v>
      </c>
      <c r="K144" s="39" t="s">
        <v>702</v>
      </c>
      <c r="L144" s="39" t="s">
        <v>702</v>
      </c>
      <c r="M144" s="39" t="s">
        <v>702</v>
      </c>
      <c r="N144" s="39" t="s">
        <v>702</v>
      </c>
      <c r="O144" s="39" t="s">
        <v>702</v>
      </c>
      <c r="P144" s="39" t="s">
        <v>702</v>
      </c>
      <c r="Q144" s="39" t="s">
        <v>702</v>
      </c>
      <c r="R144" s="39" t="s">
        <v>702</v>
      </c>
      <c r="S144" s="39" t="s">
        <v>702</v>
      </c>
      <c r="T144" s="39" t="s">
        <v>702</v>
      </c>
      <c r="U144" s="39" t="s">
        <v>702</v>
      </c>
    </row>
    <row r="145" spans="1:21" ht="14.4">
      <c r="A145" s="98">
        <v>880</v>
      </c>
      <c r="B145" s="39" t="s">
        <v>297</v>
      </c>
      <c r="C145" s="39" t="s">
        <v>297</v>
      </c>
      <c r="D145" s="39" t="s">
        <v>297</v>
      </c>
      <c r="E145" s="39" t="s">
        <v>702</v>
      </c>
      <c r="F145" s="39" t="s">
        <v>702</v>
      </c>
      <c r="G145" s="39" t="s">
        <v>702</v>
      </c>
      <c r="H145" s="39" t="s">
        <v>702</v>
      </c>
      <c r="I145" s="39" t="s">
        <v>702</v>
      </c>
      <c r="J145" s="39" t="s">
        <v>702</v>
      </c>
      <c r="K145" s="39" t="s">
        <v>702</v>
      </c>
      <c r="L145" s="39" t="s">
        <v>702</v>
      </c>
      <c r="M145" s="39" t="s">
        <v>702</v>
      </c>
      <c r="N145" s="39" t="s">
        <v>702</v>
      </c>
      <c r="O145" s="39" t="s">
        <v>702</v>
      </c>
      <c r="P145" s="39" t="s">
        <v>702</v>
      </c>
      <c r="Q145" s="39" t="s">
        <v>702</v>
      </c>
      <c r="R145" s="39" t="s">
        <v>702</v>
      </c>
      <c r="S145" s="39" t="s">
        <v>702</v>
      </c>
      <c r="T145" s="39" t="s">
        <v>702</v>
      </c>
      <c r="U145" s="39" t="s">
        <v>702</v>
      </c>
    </row>
    <row r="146" spans="1:21" ht="14.4">
      <c r="A146" s="98">
        <v>980</v>
      </c>
      <c r="B146" s="39" t="s">
        <v>297</v>
      </c>
      <c r="C146" s="39" t="s">
        <v>297</v>
      </c>
      <c r="D146" s="39" t="s">
        <v>297</v>
      </c>
      <c r="E146" s="39" t="s">
        <v>702</v>
      </c>
      <c r="F146" s="39" t="s">
        <v>702</v>
      </c>
      <c r="G146" s="39" t="s">
        <v>702</v>
      </c>
      <c r="H146" s="39" t="s">
        <v>702</v>
      </c>
      <c r="I146" s="39" t="s">
        <v>702</v>
      </c>
      <c r="J146" s="39" t="s">
        <v>702</v>
      </c>
      <c r="K146" s="39" t="s">
        <v>702</v>
      </c>
      <c r="L146" s="39" t="s">
        <v>702</v>
      </c>
      <c r="M146" s="39" t="s">
        <v>702</v>
      </c>
      <c r="N146" s="39" t="s">
        <v>702</v>
      </c>
      <c r="O146" s="39" t="s">
        <v>702</v>
      </c>
      <c r="P146" s="39" t="s">
        <v>702</v>
      </c>
      <c r="Q146" s="39" t="s">
        <v>702</v>
      </c>
      <c r="R146" s="39" t="s">
        <v>702</v>
      </c>
      <c r="S146" s="39" t="s">
        <v>702</v>
      </c>
      <c r="T146" s="39" t="s">
        <v>702</v>
      </c>
      <c r="U146" s="39" t="s">
        <v>702</v>
      </c>
    </row>
    <row r="147" spans="1:21" ht="14.4">
      <c r="A147" s="98">
        <v>1080</v>
      </c>
      <c r="B147" s="39" t="s">
        <v>297</v>
      </c>
      <c r="C147" s="39" t="s">
        <v>297</v>
      </c>
      <c r="D147" s="39" t="s">
        <v>297</v>
      </c>
      <c r="E147" s="39" t="s">
        <v>702</v>
      </c>
      <c r="F147" s="39" t="s">
        <v>702</v>
      </c>
      <c r="G147" s="39" t="s">
        <v>702</v>
      </c>
      <c r="H147" s="39" t="s">
        <v>702</v>
      </c>
      <c r="I147" s="39" t="s">
        <v>702</v>
      </c>
      <c r="J147" s="39" t="s">
        <v>702</v>
      </c>
      <c r="K147" s="39" t="s">
        <v>702</v>
      </c>
      <c r="L147" s="39" t="s">
        <v>702</v>
      </c>
      <c r="M147" s="39" t="s">
        <v>702</v>
      </c>
      <c r="N147" s="39" t="s">
        <v>702</v>
      </c>
      <c r="O147" s="39" t="s">
        <v>702</v>
      </c>
      <c r="P147" s="39" t="s">
        <v>702</v>
      </c>
      <c r="Q147" s="39" t="s">
        <v>702</v>
      </c>
      <c r="R147" s="39" t="s">
        <v>702</v>
      </c>
      <c r="S147" s="39" t="s">
        <v>702</v>
      </c>
      <c r="T147" s="39" t="s">
        <v>702</v>
      </c>
      <c r="U147" s="39" t="s">
        <v>702</v>
      </c>
    </row>
    <row r="148" spans="1:21" ht="14.4">
      <c r="A148" s="98">
        <v>1180</v>
      </c>
      <c r="B148" s="39" t="s">
        <v>297</v>
      </c>
      <c r="C148" s="39" t="s">
        <v>297</v>
      </c>
      <c r="D148" s="39" t="s">
        <v>297</v>
      </c>
      <c r="E148" s="39" t="s">
        <v>702</v>
      </c>
      <c r="F148" s="39" t="s">
        <v>702</v>
      </c>
      <c r="G148" s="39" t="s">
        <v>702</v>
      </c>
      <c r="H148" s="39" t="s">
        <v>702</v>
      </c>
      <c r="I148" s="39" t="s">
        <v>702</v>
      </c>
      <c r="J148" s="39" t="s">
        <v>702</v>
      </c>
      <c r="K148" s="39" t="s">
        <v>702</v>
      </c>
      <c r="L148" s="39" t="s">
        <v>702</v>
      </c>
      <c r="M148" s="39" t="s">
        <v>702</v>
      </c>
      <c r="N148" s="39" t="s">
        <v>702</v>
      </c>
      <c r="O148" s="39" t="s">
        <v>702</v>
      </c>
      <c r="P148" s="39" t="s">
        <v>702</v>
      </c>
      <c r="Q148" s="39" t="s">
        <v>702</v>
      </c>
      <c r="R148" s="39" t="s">
        <v>702</v>
      </c>
      <c r="S148" s="39" t="s">
        <v>702</v>
      </c>
      <c r="T148" s="39" t="s">
        <v>702</v>
      </c>
      <c r="U148" s="39" t="s">
        <v>702</v>
      </c>
    </row>
    <row r="149" spans="1:21" ht="14.4">
      <c r="A149" s="98">
        <v>1280</v>
      </c>
      <c r="B149" s="39" t="s">
        <v>297</v>
      </c>
      <c r="C149" s="39" t="s">
        <v>297</v>
      </c>
      <c r="D149" s="39" t="s">
        <v>297</v>
      </c>
      <c r="E149" s="39" t="s">
        <v>702</v>
      </c>
      <c r="F149" s="39" t="s">
        <v>702</v>
      </c>
      <c r="G149" s="39" t="s">
        <v>702</v>
      </c>
      <c r="H149" s="39" t="s">
        <v>702</v>
      </c>
      <c r="I149" s="39" t="s">
        <v>702</v>
      </c>
      <c r="J149" s="39" t="s">
        <v>702</v>
      </c>
      <c r="K149" s="39" t="s">
        <v>702</v>
      </c>
      <c r="L149" s="39" t="s">
        <v>702</v>
      </c>
      <c r="M149" s="39" t="s">
        <v>702</v>
      </c>
      <c r="N149" s="39" t="s">
        <v>702</v>
      </c>
      <c r="O149" s="39" t="s">
        <v>702</v>
      </c>
      <c r="P149" s="39" t="s">
        <v>702</v>
      </c>
      <c r="Q149" s="39" t="s">
        <v>702</v>
      </c>
      <c r="R149" s="39" t="s">
        <v>702</v>
      </c>
      <c r="S149" s="39" t="s">
        <v>702</v>
      </c>
      <c r="T149" s="39" t="s">
        <v>702</v>
      </c>
      <c r="U149" s="39" t="s">
        <v>702</v>
      </c>
    </row>
    <row r="150" spans="1:21" ht="14.4">
      <c r="A150" s="98">
        <v>1380</v>
      </c>
      <c r="B150" s="39" t="s">
        <v>297</v>
      </c>
      <c r="C150" s="39" t="s">
        <v>297</v>
      </c>
      <c r="D150" s="39" t="s">
        <v>297</v>
      </c>
      <c r="E150" s="39" t="s">
        <v>702</v>
      </c>
      <c r="F150" s="39" t="s">
        <v>702</v>
      </c>
      <c r="G150" s="39" t="s">
        <v>702</v>
      </c>
      <c r="H150" s="39" t="s">
        <v>702</v>
      </c>
      <c r="I150" s="39" t="s">
        <v>702</v>
      </c>
      <c r="J150" s="39" t="s">
        <v>702</v>
      </c>
      <c r="K150" s="39" t="s">
        <v>702</v>
      </c>
      <c r="L150" s="39" t="s">
        <v>702</v>
      </c>
      <c r="M150" s="39" t="s">
        <v>702</v>
      </c>
      <c r="N150" s="39" t="s">
        <v>702</v>
      </c>
      <c r="O150" s="39" t="s">
        <v>702</v>
      </c>
      <c r="P150" s="39" t="s">
        <v>702</v>
      </c>
      <c r="Q150" s="39" t="s">
        <v>702</v>
      </c>
      <c r="R150" s="39" t="s">
        <v>702</v>
      </c>
      <c r="S150" s="39" t="s">
        <v>702</v>
      </c>
      <c r="T150" s="39" t="s">
        <v>702</v>
      </c>
      <c r="U150" s="39" t="s">
        <v>702</v>
      </c>
    </row>
    <row r="151" spans="1:21" ht="14.4">
      <c r="A151" s="98">
        <v>1480</v>
      </c>
      <c r="B151" s="39" t="s">
        <v>297</v>
      </c>
      <c r="C151" s="39" t="s">
        <v>297</v>
      </c>
      <c r="D151" s="39" t="s">
        <v>297</v>
      </c>
      <c r="E151" s="39" t="s">
        <v>702</v>
      </c>
      <c r="F151" s="39" t="s">
        <v>702</v>
      </c>
      <c r="G151" s="39" t="s">
        <v>702</v>
      </c>
      <c r="H151" s="39" t="s">
        <v>702</v>
      </c>
      <c r="I151" s="39" t="s">
        <v>702</v>
      </c>
      <c r="J151" s="39" t="s">
        <v>702</v>
      </c>
      <c r="K151" s="39" t="s">
        <v>702</v>
      </c>
      <c r="L151" s="39" t="s">
        <v>702</v>
      </c>
      <c r="M151" s="39" t="s">
        <v>702</v>
      </c>
      <c r="N151" s="39" t="s">
        <v>702</v>
      </c>
      <c r="O151" s="39" t="s">
        <v>702</v>
      </c>
      <c r="P151" s="39" t="s">
        <v>702</v>
      </c>
      <c r="Q151" s="39" t="s">
        <v>702</v>
      </c>
      <c r="R151" s="39" t="s">
        <v>702</v>
      </c>
      <c r="S151" s="39" t="s">
        <v>702</v>
      </c>
      <c r="T151" s="39" t="s">
        <v>702</v>
      </c>
      <c r="U151" s="39" t="s">
        <v>702</v>
      </c>
    </row>
    <row r="152" spans="1:21" ht="14.4">
      <c r="A152" s="98">
        <v>1580</v>
      </c>
      <c r="B152" s="39" t="s">
        <v>297</v>
      </c>
      <c r="C152" s="39" t="s">
        <v>297</v>
      </c>
      <c r="D152" s="39" t="s">
        <v>297</v>
      </c>
      <c r="E152" s="39" t="s">
        <v>702</v>
      </c>
      <c r="F152" s="39" t="s">
        <v>702</v>
      </c>
      <c r="G152" s="39" t="s">
        <v>702</v>
      </c>
      <c r="H152" s="39" t="s">
        <v>702</v>
      </c>
      <c r="I152" s="39" t="s">
        <v>702</v>
      </c>
      <c r="J152" s="39" t="s">
        <v>702</v>
      </c>
      <c r="K152" s="39" t="s">
        <v>702</v>
      </c>
      <c r="L152" s="39" t="s">
        <v>702</v>
      </c>
      <c r="M152" s="39" t="s">
        <v>702</v>
      </c>
      <c r="N152" s="39" t="s">
        <v>702</v>
      </c>
      <c r="O152" s="39" t="s">
        <v>702</v>
      </c>
      <c r="P152" s="39" t="s">
        <v>702</v>
      </c>
      <c r="Q152" s="39" t="s">
        <v>702</v>
      </c>
      <c r="R152" s="39" t="s">
        <v>702</v>
      </c>
      <c r="S152" s="39" t="s">
        <v>702</v>
      </c>
      <c r="T152" s="39" t="s">
        <v>702</v>
      </c>
      <c r="U152" s="39" t="s">
        <v>702</v>
      </c>
    </row>
    <row r="153" spans="1:21" ht="14.4">
      <c r="A153" s="98">
        <v>1680</v>
      </c>
      <c r="B153" s="39" t="s">
        <v>297</v>
      </c>
      <c r="C153" s="39" t="s">
        <v>297</v>
      </c>
      <c r="D153" s="39" t="s">
        <v>297</v>
      </c>
      <c r="E153" s="39" t="s">
        <v>702</v>
      </c>
      <c r="F153" s="39" t="s">
        <v>702</v>
      </c>
      <c r="G153" s="39" t="s">
        <v>702</v>
      </c>
      <c r="H153" s="39" t="s">
        <v>702</v>
      </c>
      <c r="I153" s="39" t="s">
        <v>702</v>
      </c>
      <c r="J153" s="39" t="s">
        <v>702</v>
      </c>
      <c r="K153" s="39" t="s">
        <v>702</v>
      </c>
      <c r="L153" s="39" t="s">
        <v>702</v>
      </c>
      <c r="M153" s="39" t="s">
        <v>702</v>
      </c>
      <c r="N153" s="39" t="s">
        <v>702</v>
      </c>
      <c r="O153" s="39" t="s">
        <v>702</v>
      </c>
      <c r="P153" s="39" t="s">
        <v>702</v>
      </c>
      <c r="Q153" s="39" t="s">
        <v>702</v>
      </c>
      <c r="R153" s="39" t="s">
        <v>702</v>
      </c>
      <c r="S153" s="39" t="s">
        <v>702</v>
      </c>
      <c r="T153" s="39" t="s">
        <v>702</v>
      </c>
      <c r="U153" s="39" t="s">
        <v>702</v>
      </c>
    </row>
    <row r="154" spans="1:21" ht="14.4">
      <c r="A154" s="98">
        <v>1780</v>
      </c>
      <c r="B154" s="39" t="s">
        <v>297</v>
      </c>
      <c r="C154" s="39" t="s">
        <v>297</v>
      </c>
      <c r="D154" s="39" t="s">
        <v>297</v>
      </c>
      <c r="E154" s="39" t="s">
        <v>702</v>
      </c>
      <c r="F154" s="39" t="s">
        <v>702</v>
      </c>
      <c r="G154" s="39" t="s">
        <v>702</v>
      </c>
      <c r="H154" s="39" t="s">
        <v>702</v>
      </c>
      <c r="I154" s="39" t="s">
        <v>702</v>
      </c>
      <c r="J154" s="39" t="s">
        <v>702</v>
      </c>
      <c r="K154" s="39" t="s">
        <v>702</v>
      </c>
      <c r="L154" s="39" t="s">
        <v>702</v>
      </c>
      <c r="M154" s="39" t="s">
        <v>702</v>
      </c>
      <c r="N154" s="39" t="s">
        <v>702</v>
      </c>
      <c r="O154" s="39" t="s">
        <v>702</v>
      </c>
      <c r="P154" s="39" t="s">
        <v>702</v>
      </c>
      <c r="Q154" s="39" t="s">
        <v>702</v>
      </c>
      <c r="R154" s="39" t="s">
        <v>702</v>
      </c>
      <c r="S154" s="39" t="s">
        <v>702</v>
      </c>
      <c r="T154" s="39" t="s">
        <v>702</v>
      </c>
      <c r="U154" s="39" t="s">
        <v>702</v>
      </c>
    </row>
    <row r="155" spans="1:21" ht="14.4">
      <c r="A155" s="98">
        <v>1880</v>
      </c>
      <c r="B155" s="39" t="s">
        <v>297</v>
      </c>
      <c r="C155" s="39" t="s">
        <v>297</v>
      </c>
      <c r="D155" s="39" t="s">
        <v>297</v>
      </c>
      <c r="E155" s="39" t="s">
        <v>702</v>
      </c>
      <c r="F155" s="39" t="s">
        <v>702</v>
      </c>
      <c r="G155" s="39" t="s">
        <v>702</v>
      </c>
      <c r="H155" s="39" t="s">
        <v>702</v>
      </c>
      <c r="I155" s="39" t="s">
        <v>702</v>
      </c>
      <c r="J155" s="39" t="s">
        <v>702</v>
      </c>
      <c r="K155" s="39" t="s">
        <v>702</v>
      </c>
      <c r="L155" s="39" t="s">
        <v>702</v>
      </c>
      <c r="M155" s="39" t="s">
        <v>702</v>
      </c>
      <c r="N155" s="39" t="s">
        <v>702</v>
      </c>
      <c r="O155" s="39" t="s">
        <v>702</v>
      </c>
      <c r="P155" s="39" t="s">
        <v>702</v>
      </c>
      <c r="Q155" s="39" t="s">
        <v>702</v>
      </c>
      <c r="R155" s="39" t="s">
        <v>702</v>
      </c>
      <c r="S155" s="39" t="s">
        <v>702</v>
      </c>
      <c r="T155" s="39" t="s">
        <v>702</v>
      </c>
      <c r="U155" s="39" t="s">
        <v>702</v>
      </c>
    </row>
    <row r="156" spans="1:21" ht="14.4">
      <c r="A156" s="98">
        <v>1980</v>
      </c>
      <c r="B156" s="39" t="s">
        <v>297</v>
      </c>
      <c r="C156" s="39" t="s">
        <v>297</v>
      </c>
      <c r="D156" s="39" t="s">
        <v>297</v>
      </c>
      <c r="E156" s="39" t="s">
        <v>702</v>
      </c>
      <c r="F156" s="39" t="s">
        <v>702</v>
      </c>
      <c r="G156" s="39" t="s">
        <v>702</v>
      </c>
      <c r="H156" s="39" t="s">
        <v>702</v>
      </c>
      <c r="I156" s="39" t="s">
        <v>702</v>
      </c>
      <c r="J156" s="39" t="s">
        <v>702</v>
      </c>
      <c r="K156" s="39" t="s">
        <v>702</v>
      </c>
      <c r="L156" s="39" t="s">
        <v>702</v>
      </c>
      <c r="M156" s="39" t="s">
        <v>702</v>
      </c>
      <c r="N156" s="39" t="s">
        <v>702</v>
      </c>
      <c r="O156" s="39" t="s">
        <v>702</v>
      </c>
      <c r="P156" s="39" t="s">
        <v>702</v>
      </c>
      <c r="Q156" s="39" t="s">
        <v>702</v>
      </c>
      <c r="R156" s="39" t="s">
        <v>702</v>
      </c>
      <c r="S156" s="39" t="s">
        <v>702</v>
      </c>
      <c r="T156" s="39" t="s">
        <v>702</v>
      </c>
      <c r="U156" s="39" t="s">
        <v>702</v>
      </c>
    </row>
    <row r="157" spans="1:21" ht="14.4">
      <c r="A157" s="98">
        <v>2080</v>
      </c>
      <c r="B157" s="39" t="s">
        <v>297</v>
      </c>
      <c r="C157" s="39" t="s">
        <v>297</v>
      </c>
      <c r="D157" s="39" t="s">
        <v>297</v>
      </c>
      <c r="E157" s="39" t="s">
        <v>702</v>
      </c>
      <c r="F157" s="39" t="s">
        <v>702</v>
      </c>
      <c r="G157" s="39" t="s">
        <v>702</v>
      </c>
      <c r="H157" s="39" t="s">
        <v>702</v>
      </c>
      <c r="I157" s="39" t="s">
        <v>702</v>
      </c>
      <c r="J157" s="39" t="s">
        <v>702</v>
      </c>
      <c r="K157" s="39" t="s">
        <v>702</v>
      </c>
      <c r="L157" s="39" t="s">
        <v>702</v>
      </c>
      <c r="M157" s="39" t="s">
        <v>702</v>
      </c>
      <c r="N157" s="39" t="s">
        <v>702</v>
      </c>
      <c r="O157" s="39" t="s">
        <v>702</v>
      </c>
      <c r="P157" s="39" t="s">
        <v>702</v>
      </c>
      <c r="Q157" s="39" t="s">
        <v>702</v>
      </c>
      <c r="R157" s="39" t="s">
        <v>702</v>
      </c>
      <c r="S157" s="39" t="s">
        <v>702</v>
      </c>
      <c r="T157" s="39" t="s">
        <v>702</v>
      </c>
      <c r="U157" s="39" t="s">
        <v>702</v>
      </c>
    </row>
    <row r="158" spans="1:21" ht="14.4">
      <c r="A158" s="98">
        <v>2180</v>
      </c>
      <c r="B158" s="39" t="s">
        <v>297</v>
      </c>
      <c r="C158" s="39" t="s">
        <v>297</v>
      </c>
      <c r="D158" s="39" t="s">
        <v>297</v>
      </c>
      <c r="E158" s="39" t="s">
        <v>702</v>
      </c>
      <c r="F158" s="39" t="s">
        <v>702</v>
      </c>
      <c r="G158" s="39" t="s">
        <v>702</v>
      </c>
      <c r="H158" s="39" t="s">
        <v>702</v>
      </c>
      <c r="I158" s="39" t="s">
        <v>702</v>
      </c>
      <c r="J158" s="39" t="s">
        <v>702</v>
      </c>
      <c r="K158" s="39" t="s">
        <v>702</v>
      </c>
      <c r="L158" s="39" t="s">
        <v>702</v>
      </c>
      <c r="M158" s="39" t="s">
        <v>702</v>
      </c>
      <c r="N158" s="39" t="s">
        <v>702</v>
      </c>
      <c r="O158" s="39" t="s">
        <v>702</v>
      </c>
      <c r="P158" s="39" t="s">
        <v>702</v>
      </c>
      <c r="Q158" s="39" t="s">
        <v>702</v>
      </c>
      <c r="R158" s="39" t="s">
        <v>702</v>
      </c>
      <c r="S158" s="39" t="s">
        <v>702</v>
      </c>
      <c r="T158" s="39" t="s">
        <v>702</v>
      </c>
      <c r="U158" s="39" t="s">
        <v>702</v>
      </c>
    </row>
    <row r="159" spans="1:21" ht="14.4">
      <c r="A159" s="98">
        <v>2280</v>
      </c>
      <c r="B159" s="39" t="s">
        <v>297</v>
      </c>
      <c r="C159" s="39" t="s">
        <v>297</v>
      </c>
      <c r="D159" s="39" t="s">
        <v>297</v>
      </c>
      <c r="E159" s="39" t="s">
        <v>702</v>
      </c>
      <c r="F159" s="39" t="s">
        <v>702</v>
      </c>
      <c r="G159" s="39" t="s">
        <v>702</v>
      </c>
      <c r="H159" s="39" t="s">
        <v>702</v>
      </c>
      <c r="I159" s="39" t="s">
        <v>702</v>
      </c>
      <c r="J159" s="39" t="s">
        <v>702</v>
      </c>
      <c r="K159" s="39" t="s">
        <v>702</v>
      </c>
      <c r="L159" s="39" t="s">
        <v>702</v>
      </c>
      <c r="M159" s="39" t="s">
        <v>702</v>
      </c>
      <c r="N159" s="39" t="s">
        <v>702</v>
      </c>
      <c r="O159" s="39" t="s">
        <v>702</v>
      </c>
      <c r="P159" s="39" t="s">
        <v>702</v>
      </c>
      <c r="Q159" s="39" t="s">
        <v>702</v>
      </c>
      <c r="R159" s="39" t="s">
        <v>702</v>
      </c>
      <c r="S159" s="39" t="s">
        <v>702</v>
      </c>
      <c r="T159" s="39" t="s">
        <v>702</v>
      </c>
      <c r="U159" s="39" t="s">
        <v>702</v>
      </c>
    </row>
    <row r="160" spans="1:21" ht="14.4">
      <c r="A160" s="98">
        <v>2380</v>
      </c>
      <c r="B160" s="39" t="s">
        <v>297</v>
      </c>
      <c r="C160" s="39" t="s">
        <v>297</v>
      </c>
      <c r="D160" s="39" t="s">
        <v>297</v>
      </c>
      <c r="E160" s="39" t="s">
        <v>702</v>
      </c>
      <c r="F160" s="39" t="s">
        <v>702</v>
      </c>
      <c r="G160" s="39" t="s">
        <v>702</v>
      </c>
      <c r="H160" s="39" t="s">
        <v>702</v>
      </c>
      <c r="I160" s="39" t="s">
        <v>702</v>
      </c>
      <c r="J160" s="39" t="s">
        <v>702</v>
      </c>
      <c r="K160" s="39" t="s">
        <v>702</v>
      </c>
      <c r="L160" s="39" t="s">
        <v>702</v>
      </c>
      <c r="M160" s="39" t="s">
        <v>702</v>
      </c>
      <c r="N160" s="39" t="s">
        <v>702</v>
      </c>
      <c r="O160" s="39" t="s">
        <v>702</v>
      </c>
      <c r="P160" s="39" t="s">
        <v>702</v>
      </c>
      <c r="Q160" s="39" t="s">
        <v>702</v>
      </c>
      <c r="R160" s="39" t="s">
        <v>702</v>
      </c>
      <c r="S160" s="39" t="s">
        <v>702</v>
      </c>
      <c r="T160" s="39" t="s">
        <v>702</v>
      </c>
      <c r="U160" s="39" t="s">
        <v>702</v>
      </c>
    </row>
    <row r="161" spans="1:21" ht="14.4">
      <c r="A161" s="98">
        <v>2480</v>
      </c>
      <c r="B161" s="39" t="s">
        <v>297</v>
      </c>
      <c r="C161" s="39" t="s">
        <v>297</v>
      </c>
      <c r="D161" s="39" t="s">
        <v>297</v>
      </c>
      <c r="E161" s="39" t="s">
        <v>702</v>
      </c>
      <c r="F161" s="39" t="s">
        <v>702</v>
      </c>
      <c r="G161" s="39" t="s">
        <v>702</v>
      </c>
      <c r="H161" s="39" t="s">
        <v>702</v>
      </c>
      <c r="I161" s="39" t="s">
        <v>702</v>
      </c>
      <c r="J161" s="39" t="s">
        <v>702</v>
      </c>
      <c r="K161" s="39" t="s">
        <v>702</v>
      </c>
      <c r="L161" s="39" t="s">
        <v>702</v>
      </c>
      <c r="M161" s="39" t="s">
        <v>702</v>
      </c>
      <c r="N161" s="39" t="s">
        <v>702</v>
      </c>
      <c r="O161" s="39" t="s">
        <v>702</v>
      </c>
      <c r="P161" s="39" t="s">
        <v>702</v>
      </c>
      <c r="Q161" s="39" t="s">
        <v>702</v>
      </c>
      <c r="R161" s="39" t="s">
        <v>702</v>
      </c>
      <c r="S161" s="39" t="s">
        <v>702</v>
      </c>
      <c r="T161" s="39" t="s">
        <v>702</v>
      </c>
      <c r="U161" s="39" t="s">
        <v>702</v>
      </c>
    </row>
    <row r="162" spans="1:21" ht="14.4">
      <c r="A162" s="98">
        <v>2580</v>
      </c>
      <c r="B162" s="39" t="s">
        <v>297</v>
      </c>
      <c r="C162" s="39" t="s">
        <v>297</v>
      </c>
      <c r="D162" s="39" t="s">
        <v>297</v>
      </c>
      <c r="E162" s="39" t="s">
        <v>702</v>
      </c>
      <c r="F162" s="39" t="s">
        <v>702</v>
      </c>
      <c r="G162" s="39" t="s">
        <v>702</v>
      </c>
      <c r="H162" s="39" t="s">
        <v>702</v>
      </c>
      <c r="I162" s="39" t="s">
        <v>702</v>
      </c>
      <c r="J162" s="39" t="s">
        <v>702</v>
      </c>
      <c r="K162" s="39" t="s">
        <v>702</v>
      </c>
      <c r="L162" s="39" t="s">
        <v>702</v>
      </c>
      <c r="M162" s="39" t="s">
        <v>702</v>
      </c>
      <c r="N162" s="39" t="s">
        <v>702</v>
      </c>
      <c r="O162" s="39" t="s">
        <v>702</v>
      </c>
      <c r="P162" s="39" t="s">
        <v>702</v>
      </c>
      <c r="Q162" s="39" t="s">
        <v>702</v>
      </c>
      <c r="R162" s="39" t="s">
        <v>702</v>
      </c>
      <c r="S162" s="39" t="s">
        <v>702</v>
      </c>
      <c r="T162" s="39" t="s">
        <v>702</v>
      </c>
      <c r="U162" s="39" t="s">
        <v>702</v>
      </c>
    </row>
    <row r="163" spans="1:21" ht="14.4">
      <c r="A163" s="98">
        <v>2680</v>
      </c>
      <c r="B163" s="39" t="s">
        <v>297</v>
      </c>
      <c r="C163" s="39" t="s">
        <v>297</v>
      </c>
      <c r="D163" s="39" t="s">
        <v>297</v>
      </c>
      <c r="E163" s="39" t="s">
        <v>702</v>
      </c>
      <c r="F163" s="39" t="s">
        <v>702</v>
      </c>
      <c r="G163" s="39" t="s">
        <v>702</v>
      </c>
      <c r="H163" s="39" t="s">
        <v>702</v>
      </c>
      <c r="I163" s="39" t="s">
        <v>702</v>
      </c>
      <c r="J163" s="39" t="s">
        <v>702</v>
      </c>
      <c r="K163" s="39" t="s">
        <v>702</v>
      </c>
      <c r="L163" s="39" t="s">
        <v>702</v>
      </c>
      <c r="M163" s="39" t="s">
        <v>702</v>
      </c>
      <c r="N163" s="39" t="s">
        <v>702</v>
      </c>
      <c r="O163" s="39" t="s">
        <v>702</v>
      </c>
      <c r="P163" s="39" t="s">
        <v>702</v>
      </c>
      <c r="Q163" s="39" t="s">
        <v>702</v>
      </c>
      <c r="R163" s="39" t="s">
        <v>702</v>
      </c>
      <c r="S163" s="39" t="s">
        <v>702</v>
      </c>
      <c r="T163" s="39" t="s">
        <v>702</v>
      </c>
      <c r="U163" s="39" t="s">
        <v>702</v>
      </c>
    </row>
    <row r="164" spans="1:21" ht="14.4">
      <c r="A164" s="98">
        <v>2780</v>
      </c>
      <c r="B164" s="39" t="s">
        <v>297</v>
      </c>
      <c r="C164" s="39" t="s">
        <v>297</v>
      </c>
      <c r="D164" s="39" t="s">
        <v>297</v>
      </c>
      <c r="E164" s="39" t="s">
        <v>702</v>
      </c>
      <c r="F164" s="39" t="s">
        <v>702</v>
      </c>
      <c r="G164" s="39" t="s">
        <v>702</v>
      </c>
      <c r="H164" s="39" t="s">
        <v>702</v>
      </c>
      <c r="I164" s="39" t="s">
        <v>702</v>
      </c>
      <c r="J164" s="39" t="s">
        <v>702</v>
      </c>
      <c r="K164" s="39" t="s">
        <v>702</v>
      </c>
      <c r="L164" s="39" t="s">
        <v>702</v>
      </c>
      <c r="M164" s="39" t="s">
        <v>702</v>
      </c>
      <c r="N164" s="39" t="s">
        <v>702</v>
      </c>
      <c r="O164" s="39" t="s">
        <v>702</v>
      </c>
      <c r="P164" s="39" t="s">
        <v>702</v>
      </c>
      <c r="Q164" s="39" t="s">
        <v>702</v>
      </c>
      <c r="R164" s="39" t="s">
        <v>702</v>
      </c>
      <c r="S164" s="39" t="s">
        <v>702</v>
      </c>
      <c r="T164" s="39" t="s">
        <v>702</v>
      </c>
      <c r="U164" s="39" t="s">
        <v>702</v>
      </c>
    </row>
    <row r="165" spans="1:21" ht="14.4">
      <c r="A165" s="98">
        <v>2880</v>
      </c>
      <c r="B165" s="39" t="s">
        <v>297</v>
      </c>
      <c r="C165" s="39" t="s">
        <v>297</v>
      </c>
      <c r="D165" s="39" t="s">
        <v>297</v>
      </c>
      <c r="E165" s="39" t="s">
        <v>702</v>
      </c>
      <c r="F165" s="39" t="s">
        <v>702</v>
      </c>
      <c r="G165" s="39" t="s">
        <v>702</v>
      </c>
      <c r="H165" s="39" t="s">
        <v>702</v>
      </c>
      <c r="I165" s="39" t="s">
        <v>702</v>
      </c>
      <c r="J165" s="39" t="s">
        <v>702</v>
      </c>
      <c r="K165" s="39" t="s">
        <v>702</v>
      </c>
      <c r="L165" s="39" t="s">
        <v>702</v>
      </c>
      <c r="M165" s="39" t="s">
        <v>702</v>
      </c>
      <c r="N165" s="39" t="s">
        <v>702</v>
      </c>
      <c r="O165" s="39" t="s">
        <v>702</v>
      </c>
      <c r="P165" s="39" t="s">
        <v>702</v>
      </c>
      <c r="Q165" s="39" t="s">
        <v>702</v>
      </c>
      <c r="R165" s="39" t="s">
        <v>702</v>
      </c>
      <c r="S165" s="39" t="s">
        <v>702</v>
      </c>
      <c r="T165" s="39" t="s">
        <v>702</v>
      </c>
      <c r="U165" s="39" t="s">
        <v>702</v>
      </c>
    </row>
    <row r="166" spans="1:21" ht="14.4">
      <c r="A166" s="98">
        <v>2980</v>
      </c>
      <c r="B166" s="39" t="s">
        <v>297</v>
      </c>
      <c r="C166" s="39" t="s">
        <v>297</v>
      </c>
      <c r="D166" s="39" t="s">
        <v>297</v>
      </c>
      <c r="E166" s="39" t="s">
        <v>702</v>
      </c>
      <c r="F166" s="39" t="s">
        <v>702</v>
      </c>
      <c r="G166" s="39" t="s">
        <v>702</v>
      </c>
      <c r="H166" s="39" t="s">
        <v>702</v>
      </c>
      <c r="I166" s="39" t="s">
        <v>702</v>
      </c>
      <c r="J166" s="39" t="s">
        <v>702</v>
      </c>
      <c r="K166" s="39" t="s">
        <v>702</v>
      </c>
      <c r="L166" s="39" t="s">
        <v>702</v>
      </c>
      <c r="M166" s="39" t="s">
        <v>702</v>
      </c>
      <c r="N166" s="39" t="s">
        <v>702</v>
      </c>
      <c r="O166" s="39" t="s">
        <v>702</v>
      </c>
      <c r="P166" s="39" t="s">
        <v>702</v>
      </c>
      <c r="Q166" s="39" t="s">
        <v>702</v>
      </c>
      <c r="R166" s="39" t="s">
        <v>702</v>
      </c>
      <c r="S166" s="39" t="s">
        <v>702</v>
      </c>
      <c r="T166" s="39" t="s">
        <v>702</v>
      </c>
      <c r="U166" s="39" t="s">
        <v>702</v>
      </c>
    </row>
    <row r="169" spans="1:36" ht="13.2">
      <c r="A169" s="307" t="s">
        <v>320</v>
      </c>
      <c r="B169" s="308"/>
      <c r="C169" s="308"/>
      <c r="D169" s="308"/>
      <c r="E169" s="308"/>
      <c r="F169" s="308"/>
      <c r="G169" s="308"/>
      <c r="H169" s="308"/>
      <c r="I169" s="308"/>
      <c r="J169" s="308"/>
      <c r="K169" s="308"/>
      <c r="L169" s="308"/>
      <c r="M169" s="308"/>
      <c r="N169" s="308"/>
      <c r="O169" s="308"/>
      <c r="P169" s="308"/>
      <c r="Q169" s="308"/>
      <c r="R169" s="308"/>
      <c r="S169" s="308"/>
      <c r="T169" s="308"/>
      <c r="U169" s="308"/>
      <c r="V169" s="308"/>
      <c r="W169" s="308"/>
      <c r="X169" s="308"/>
      <c r="Y169" s="308"/>
      <c r="Z169" s="308"/>
      <c r="AA169" s="308"/>
      <c r="AB169" s="308"/>
      <c r="AC169" s="308"/>
      <c r="AD169" s="308"/>
      <c r="AE169" s="308"/>
      <c r="AF169" s="308"/>
      <c r="AG169" s="308"/>
      <c r="AH169" s="308"/>
      <c r="AI169" s="308"/>
      <c r="AJ169" s="309"/>
    </row>
    <row r="170" spans="1:21" ht="14.4">
      <c r="A170" s="98" t="s">
        <v>262</v>
      </c>
      <c r="B170" s="98">
        <v>0</v>
      </c>
      <c r="C170" s="98">
        <v>528</v>
      </c>
      <c r="D170" s="98">
        <v>615</v>
      </c>
      <c r="E170" s="98">
        <v>1900</v>
      </c>
      <c r="F170" s="98">
        <v>2000</v>
      </c>
      <c r="G170" s="98">
        <v>2100</v>
      </c>
      <c r="H170" s="98">
        <v>2200</v>
      </c>
      <c r="I170" s="98">
        <v>2300</v>
      </c>
      <c r="J170" s="98">
        <v>2400</v>
      </c>
      <c r="K170" s="98">
        <v>2500</v>
      </c>
      <c r="L170" s="98">
        <v>2600</v>
      </c>
      <c r="M170" s="98">
        <v>2700</v>
      </c>
      <c r="N170" s="98">
        <v>2800</v>
      </c>
      <c r="O170" s="98">
        <v>2900</v>
      </c>
      <c r="P170" s="98">
        <v>3000</v>
      </c>
      <c r="Q170" s="98">
        <v>3100</v>
      </c>
      <c r="R170" s="98">
        <v>3200</v>
      </c>
      <c r="S170" s="98">
        <v>3300</v>
      </c>
      <c r="T170" s="98">
        <v>3400</v>
      </c>
      <c r="U170" s="98">
        <v>3500</v>
      </c>
    </row>
    <row r="171" spans="1:21" ht="14.4">
      <c r="A171" s="98">
        <v>0</v>
      </c>
      <c r="B171" s="39" t="s">
        <v>297</v>
      </c>
      <c r="C171" s="39" t="s">
        <v>297</v>
      </c>
      <c r="D171" s="39" t="s">
        <v>321</v>
      </c>
      <c r="E171" s="39" t="s">
        <v>321</v>
      </c>
      <c r="F171" s="39" t="s">
        <v>321</v>
      </c>
      <c r="G171" s="39" t="s">
        <v>321</v>
      </c>
      <c r="H171" s="39" t="s">
        <v>321</v>
      </c>
      <c r="I171" s="39" t="s">
        <v>321</v>
      </c>
      <c r="J171" s="39" t="s">
        <v>321</v>
      </c>
      <c r="K171" s="39" t="s">
        <v>321</v>
      </c>
      <c r="L171" s="39" t="s">
        <v>321</v>
      </c>
      <c r="M171" s="39" t="s">
        <v>321</v>
      </c>
      <c r="N171" s="39" t="s">
        <v>321</v>
      </c>
      <c r="O171" s="39" t="s">
        <v>321</v>
      </c>
      <c r="P171" s="39" t="s">
        <v>321</v>
      </c>
      <c r="Q171" s="39" t="s">
        <v>321</v>
      </c>
      <c r="R171" s="39" t="s">
        <v>321</v>
      </c>
      <c r="S171" s="39" t="s">
        <v>321</v>
      </c>
      <c r="T171" s="39" t="s">
        <v>321</v>
      </c>
      <c r="U171" s="39" t="s">
        <v>321</v>
      </c>
    </row>
    <row r="172" spans="1:21" ht="14.4">
      <c r="A172" s="98">
        <v>780</v>
      </c>
      <c r="B172" s="39" t="s">
        <v>297</v>
      </c>
      <c r="C172" s="39" t="s">
        <v>297</v>
      </c>
      <c r="D172" s="39" t="s">
        <v>321</v>
      </c>
      <c r="E172" s="39" t="s">
        <v>321</v>
      </c>
      <c r="F172" s="39" t="s">
        <v>321</v>
      </c>
      <c r="G172" s="39" t="s">
        <v>321</v>
      </c>
      <c r="H172" s="39" t="s">
        <v>321</v>
      </c>
      <c r="I172" s="39" t="s">
        <v>321</v>
      </c>
      <c r="J172" s="39" t="s">
        <v>321</v>
      </c>
      <c r="K172" s="39" t="s">
        <v>321</v>
      </c>
      <c r="L172" s="39" t="s">
        <v>321</v>
      </c>
      <c r="M172" s="39" t="s">
        <v>321</v>
      </c>
      <c r="N172" s="39" t="s">
        <v>321</v>
      </c>
      <c r="O172" s="39" t="s">
        <v>321</v>
      </c>
      <c r="P172" s="39" t="s">
        <v>321</v>
      </c>
      <c r="Q172" s="39" t="s">
        <v>321</v>
      </c>
      <c r="R172" s="39" t="s">
        <v>321</v>
      </c>
      <c r="S172" s="39" t="s">
        <v>321</v>
      </c>
      <c r="T172" s="39" t="s">
        <v>321</v>
      </c>
      <c r="U172" s="39" t="s">
        <v>321</v>
      </c>
    </row>
    <row r="173" spans="1:21" ht="14.4">
      <c r="A173" s="98">
        <v>880</v>
      </c>
      <c r="B173" s="39" t="s">
        <v>297</v>
      </c>
      <c r="C173" s="39" t="s">
        <v>297</v>
      </c>
      <c r="D173" s="39" t="s">
        <v>321</v>
      </c>
      <c r="E173" s="39" t="s">
        <v>321</v>
      </c>
      <c r="F173" s="39" t="s">
        <v>321</v>
      </c>
      <c r="G173" s="39" t="s">
        <v>321</v>
      </c>
      <c r="H173" s="39" t="s">
        <v>321</v>
      </c>
      <c r="I173" s="39" t="s">
        <v>321</v>
      </c>
      <c r="J173" s="39" t="s">
        <v>321</v>
      </c>
      <c r="K173" s="39" t="s">
        <v>321</v>
      </c>
      <c r="L173" s="39" t="s">
        <v>321</v>
      </c>
      <c r="M173" s="39" t="s">
        <v>321</v>
      </c>
      <c r="N173" s="39" t="s">
        <v>321</v>
      </c>
      <c r="O173" s="39" t="s">
        <v>321</v>
      </c>
      <c r="P173" s="39" t="s">
        <v>321</v>
      </c>
      <c r="Q173" s="39" t="s">
        <v>321</v>
      </c>
      <c r="R173" s="39" t="s">
        <v>321</v>
      </c>
      <c r="S173" s="39" t="s">
        <v>321</v>
      </c>
      <c r="T173" s="39" t="s">
        <v>321</v>
      </c>
      <c r="U173" s="39" t="s">
        <v>321</v>
      </c>
    </row>
    <row r="174" spans="1:21" ht="14.4">
      <c r="A174" s="98">
        <v>980</v>
      </c>
      <c r="B174" s="39" t="s">
        <v>297</v>
      </c>
      <c r="C174" s="39" t="s">
        <v>297</v>
      </c>
      <c r="D174" s="39" t="s">
        <v>321</v>
      </c>
      <c r="E174" s="39" t="s">
        <v>321</v>
      </c>
      <c r="F174" s="39" t="s">
        <v>321</v>
      </c>
      <c r="G174" s="39" t="s">
        <v>321</v>
      </c>
      <c r="H174" s="39" t="s">
        <v>321</v>
      </c>
      <c r="I174" s="39" t="s">
        <v>321</v>
      </c>
      <c r="J174" s="39" t="s">
        <v>321</v>
      </c>
      <c r="K174" s="39" t="s">
        <v>321</v>
      </c>
      <c r="L174" s="39" t="s">
        <v>321</v>
      </c>
      <c r="M174" s="39" t="s">
        <v>321</v>
      </c>
      <c r="N174" s="39" t="s">
        <v>321</v>
      </c>
      <c r="O174" s="39" t="s">
        <v>321</v>
      </c>
      <c r="P174" s="39" t="s">
        <v>321</v>
      </c>
      <c r="Q174" s="39" t="s">
        <v>321</v>
      </c>
      <c r="R174" s="39" t="s">
        <v>321</v>
      </c>
      <c r="S174" s="39" t="s">
        <v>321</v>
      </c>
      <c r="T174" s="39" t="s">
        <v>321</v>
      </c>
      <c r="U174" s="39" t="s">
        <v>321</v>
      </c>
    </row>
    <row r="175" spans="1:21" ht="14.4">
      <c r="A175" s="98">
        <v>1080</v>
      </c>
      <c r="B175" s="39" t="s">
        <v>297</v>
      </c>
      <c r="C175" s="39" t="s">
        <v>297</v>
      </c>
      <c r="D175" s="39" t="s">
        <v>321</v>
      </c>
      <c r="E175" s="39" t="s">
        <v>321</v>
      </c>
      <c r="F175" s="39" t="s">
        <v>321</v>
      </c>
      <c r="G175" s="39" t="s">
        <v>321</v>
      </c>
      <c r="H175" s="39" t="s">
        <v>321</v>
      </c>
      <c r="I175" s="39" t="s">
        <v>321</v>
      </c>
      <c r="J175" s="39" t="s">
        <v>321</v>
      </c>
      <c r="K175" s="39" t="s">
        <v>321</v>
      </c>
      <c r="L175" s="39" t="s">
        <v>321</v>
      </c>
      <c r="M175" s="39" t="s">
        <v>321</v>
      </c>
      <c r="N175" s="39" t="s">
        <v>321</v>
      </c>
      <c r="O175" s="39" t="s">
        <v>321</v>
      </c>
      <c r="P175" s="39" t="s">
        <v>321</v>
      </c>
      <c r="Q175" s="39" t="s">
        <v>321</v>
      </c>
      <c r="R175" s="39" t="s">
        <v>321</v>
      </c>
      <c r="S175" s="39" t="s">
        <v>321</v>
      </c>
      <c r="T175" s="39" t="s">
        <v>321</v>
      </c>
      <c r="U175" s="39" t="s">
        <v>321</v>
      </c>
    </row>
    <row r="176" spans="1:21" ht="14.4">
      <c r="A176" s="98">
        <v>1180</v>
      </c>
      <c r="B176" s="39" t="s">
        <v>297</v>
      </c>
      <c r="C176" s="39" t="s">
        <v>297</v>
      </c>
      <c r="D176" s="39" t="s">
        <v>321</v>
      </c>
      <c r="E176" s="39" t="s">
        <v>321</v>
      </c>
      <c r="F176" s="39" t="s">
        <v>321</v>
      </c>
      <c r="G176" s="39" t="s">
        <v>321</v>
      </c>
      <c r="H176" s="39" t="s">
        <v>321</v>
      </c>
      <c r="I176" s="39" t="s">
        <v>321</v>
      </c>
      <c r="J176" s="39" t="s">
        <v>321</v>
      </c>
      <c r="K176" s="39" t="s">
        <v>321</v>
      </c>
      <c r="L176" s="39" t="s">
        <v>321</v>
      </c>
      <c r="M176" s="39" t="s">
        <v>321</v>
      </c>
      <c r="N176" s="39" t="s">
        <v>321</v>
      </c>
      <c r="O176" s="39" t="s">
        <v>321</v>
      </c>
      <c r="P176" s="39" t="s">
        <v>321</v>
      </c>
      <c r="Q176" s="39" t="s">
        <v>321</v>
      </c>
      <c r="R176" s="39" t="s">
        <v>321</v>
      </c>
      <c r="S176" s="39" t="s">
        <v>321</v>
      </c>
      <c r="T176" s="39" t="s">
        <v>321</v>
      </c>
      <c r="U176" s="39" t="s">
        <v>321</v>
      </c>
    </row>
    <row r="177" spans="1:21" ht="14.4">
      <c r="A177" s="98">
        <v>1280</v>
      </c>
      <c r="B177" s="39" t="s">
        <v>297</v>
      </c>
      <c r="C177" s="39" t="s">
        <v>297</v>
      </c>
      <c r="D177" s="39" t="s">
        <v>321</v>
      </c>
      <c r="E177" s="39" t="s">
        <v>321</v>
      </c>
      <c r="F177" s="39" t="s">
        <v>321</v>
      </c>
      <c r="G177" s="39" t="s">
        <v>321</v>
      </c>
      <c r="H177" s="39" t="s">
        <v>321</v>
      </c>
      <c r="I177" s="39" t="s">
        <v>321</v>
      </c>
      <c r="J177" s="39" t="s">
        <v>321</v>
      </c>
      <c r="K177" s="39" t="s">
        <v>321</v>
      </c>
      <c r="L177" s="39" t="s">
        <v>321</v>
      </c>
      <c r="M177" s="39" t="s">
        <v>321</v>
      </c>
      <c r="N177" s="39" t="s">
        <v>321</v>
      </c>
      <c r="O177" s="39" t="s">
        <v>321</v>
      </c>
      <c r="P177" s="39" t="s">
        <v>321</v>
      </c>
      <c r="Q177" s="39" t="s">
        <v>321</v>
      </c>
      <c r="R177" s="39" t="s">
        <v>321</v>
      </c>
      <c r="S177" s="39" t="s">
        <v>321</v>
      </c>
      <c r="T177" s="39" t="s">
        <v>321</v>
      </c>
      <c r="U177" s="39" t="s">
        <v>321</v>
      </c>
    </row>
    <row r="178" spans="1:21" ht="14.4">
      <c r="A178" s="98">
        <v>1380</v>
      </c>
      <c r="B178" s="39" t="s">
        <v>297</v>
      </c>
      <c r="C178" s="39" t="s">
        <v>297</v>
      </c>
      <c r="D178" s="39" t="s">
        <v>321</v>
      </c>
      <c r="E178" s="39" t="s">
        <v>321</v>
      </c>
      <c r="F178" s="39" t="s">
        <v>321</v>
      </c>
      <c r="G178" s="39" t="s">
        <v>321</v>
      </c>
      <c r="H178" s="39" t="s">
        <v>321</v>
      </c>
      <c r="I178" s="39" t="s">
        <v>321</v>
      </c>
      <c r="J178" s="39" t="s">
        <v>321</v>
      </c>
      <c r="K178" s="39" t="s">
        <v>321</v>
      </c>
      <c r="L178" s="39" t="s">
        <v>321</v>
      </c>
      <c r="M178" s="39" t="s">
        <v>321</v>
      </c>
      <c r="N178" s="39" t="s">
        <v>321</v>
      </c>
      <c r="O178" s="39" t="s">
        <v>321</v>
      </c>
      <c r="P178" s="39" t="s">
        <v>321</v>
      </c>
      <c r="Q178" s="39" t="s">
        <v>321</v>
      </c>
      <c r="R178" s="39" t="s">
        <v>321</v>
      </c>
      <c r="S178" s="39" t="s">
        <v>321</v>
      </c>
      <c r="T178" s="39" t="s">
        <v>321</v>
      </c>
      <c r="U178" s="39" t="s">
        <v>321</v>
      </c>
    </row>
    <row r="179" spans="1:21" ht="14.4">
      <c r="A179" s="98">
        <v>1480</v>
      </c>
      <c r="B179" s="39" t="s">
        <v>297</v>
      </c>
      <c r="C179" s="39" t="s">
        <v>297</v>
      </c>
      <c r="D179" s="39" t="s">
        <v>321</v>
      </c>
      <c r="E179" s="39" t="s">
        <v>321</v>
      </c>
      <c r="F179" s="39" t="s">
        <v>321</v>
      </c>
      <c r="G179" s="39" t="s">
        <v>321</v>
      </c>
      <c r="H179" s="39" t="s">
        <v>321</v>
      </c>
      <c r="I179" s="39" t="s">
        <v>321</v>
      </c>
      <c r="J179" s="39" t="s">
        <v>321</v>
      </c>
      <c r="K179" s="39" t="s">
        <v>321</v>
      </c>
      <c r="L179" s="39" t="s">
        <v>321</v>
      </c>
      <c r="M179" s="39" t="s">
        <v>321</v>
      </c>
      <c r="N179" s="39" t="s">
        <v>321</v>
      </c>
      <c r="O179" s="39" t="s">
        <v>321</v>
      </c>
      <c r="P179" s="39" t="s">
        <v>321</v>
      </c>
      <c r="Q179" s="39" t="s">
        <v>321</v>
      </c>
      <c r="R179" s="39" t="s">
        <v>321</v>
      </c>
      <c r="S179" s="39" t="s">
        <v>321</v>
      </c>
      <c r="T179" s="39" t="s">
        <v>321</v>
      </c>
      <c r="U179" s="39" t="s">
        <v>321</v>
      </c>
    </row>
    <row r="180" spans="1:21" ht="14.4">
      <c r="A180" s="98">
        <v>1580</v>
      </c>
      <c r="B180" s="39" t="s">
        <v>297</v>
      </c>
      <c r="C180" s="39" t="s">
        <v>297</v>
      </c>
      <c r="D180" s="39" t="s">
        <v>321</v>
      </c>
      <c r="E180" s="39" t="s">
        <v>321</v>
      </c>
      <c r="F180" s="39" t="s">
        <v>321</v>
      </c>
      <c r="G180" s="39" t="s">
        <v>321</v>
      </c>
      <c r="H180" s="39" t="s">
        <v>321</v>
      </c>
      <c r="I180" s="39" t="s">
        <v>321</v>
      </c>
      <c r="J180" s="39" t="s">
        <v>321</v>
      </c>
      <c r="K180" s="39" t="s">
        <v>321</v>
      </c>
      <c r="L180" s="39" t="s">
        <v>321</v>
      </c>
      <c r="M180" s="39" t="s">
        <v>321</v>
      </c>
      <c r="N180" s="39" t="s">
        <v>321</v>
      </c>
      <c r="O180" s="39" t="s">
        <v>321</v>
      </c>
      <c r="P180" s="39" t="s">
        <v>321</v>
      </c>
      <c r="Q180" s="39" t="s">
        <v>321</v>
      </c>
      <c r="R180" s="39" t="s">
        <v>321</v>
      </c>
      <c r="S180" s="39" t="s">
        <v>321</v>
      </c>
      <c r="T180" s="39" t="s">
        <v>321</v>
      </c>
      <c r="U180" s="39" t="s">
        <v>321</v>
      </c>
    </row>
    <row r="181" spans="1:21" ht="14.4">
      <c r="A181" s="98">
        <v>1680</v>
      </c>
      <c r="B181" s="39" t="s">
        <v>297</v>
      </c>
      <c r="C181" s="39" t="s">
        <v>297</v>
      </c>
      <c r="D181" s="39" t="s">
        <v>321</v>
      </c>
      <c r="E181" s="39" t="s">
        <v>321</v>
      </c>
      <c r="F181" s="39" t="s">
        <v>321</v>
      </c>
      <c r="G181" s="39" t="s">
        <v>321</v>
      </c>
      <c r="H181" s="39" t="s">
        <v>321</v>
      </c>
      <c r="I181" s="39" t="s">
        <v>321</v>
      </c>
      <c r="J181" s="39" t="s">
        <v>321</v>
      </c>
      <c r="K181" s="39" t="s">
        <v>321</v>
      </c>
      <c r="L181" s="39" t="s">
        <v>321</v>
      </c>
      <c r="M181" s="39" t="s">
        <v>321</v>
      </c>
      <c r="N181" s="39" t="s">
        <v>321</v>
      </c>
      <c r="O181" s="39" t="s">
        <v>321</v>
      </c>
      <c r="P181" s="39" t="s">
        <v>321</v>
      </c>
      <c r="Q181" s="39" t="s">
        <v>321</v>
      </c>
      <c r="R181" s="39" t="s">
        <v>321</v>
      </c>
      <c r="S181" s="39" t="s">
        <v>321</v>
      </c>
      <c r="T181" s="39" t="s">
        <v>321</v>
      </c>
      <c r="U181" s="39" t="s">
        <v>321</v>
      </c>
    </row>
    <row r="182" spans="1:21" ht="14.4">
      <c r="A182" s="98">
        <v>1780</v>
      </c>
      <c r="B182" s="39" t="s">
        <v>297</v>
      </c>
      <c r="C182" s="39" t="s">
        <v>297</v>
      </c>
      <c r="D182" s="39" t="s">
        <v>321</v>
      </c>
      <c r="E182" s="39" t="s">
        <v>321</v>
      </c>
      <c r="F182" s="39" t="s">
        <v>321</v>
      </c>
      <c r="G182" s="39" t="s">
        <v>321</v>
      </c>
      <c r="H182" s="39" t="s">
        <v>321</v>
      </c>
      <c r="I182" s="39" t="s">
        <v>321</v>
      </c>
      <c r="J182" s="39" t="s">
        <v>321</v>
      </c>
      <c r="K182" s="39" t="s">
        <v>321</v>
      </c>
      <c r="L182" s="39" t="s">
        <v>321</v>
      </c>
      <c r="M182" s="39" t="s">
        <v>321</v>
      </c>
      <c r="N182" s="39" t="s">
        <v>321</v>
      </c>
      <c r="O182" s="39" t="s">
        <v>321</v>
      </c>
      <c r="P182" s="39" t="s">
        <v>321</v>
      </c>
      <c r="Q182" s="39" t="s">
        <v>321</v>
      </c>
      <c r="R182" s="39" t="s">
        <v>321</v>
      </c>
      <c r="S182" s="39" t="s">
        <v>321</v>
      </c>
      <c r="T182" s="39" t="s">
        <v>321</v>
      </c>
      <c r="U182" s="39" t="s">
        <v>321</v>
      </c>
    </row>
    <row r="183" spans="1:21" ht="14.4">
      <c r="A183" s="98">
        <v>1880</v>
      </c>
      <c r="B183" s="39" t="s">
        <v>297</v>
      </c>
      <c r="C183" s="39" t="s">
        <v>297</v>
      </c>
      <c r="D183" s="39" t="s">
        <v>321</v>
      </c>
      <c r="E183" s="39" t="s">
        <v>321</v>
      </c>
      <c r="F183" s="39" t="s">
        <v>321</v>
      </c>
      <c r="G183" s="39" t="s">
        <v>321</v>
      </c>
      <c r="H183" s="39" t="s">
        <v>321</v>
      </c>
      <c r="I183" s="39" t="s">
        <v>321</v>
      </c>
      <c r="J183" s="39" t="s">
        <v>321</v>
      </c>
      <c r="K183" s="39" t="s">
        <v>321</v>
      </c>
      <c r="L183" s="39" t="s">
        <v>321</v>
      </c>
      <c r="M183" s="39" t="s">
        <v>321</v>
      </c>
      <c r="N183" s="39" t="s">
        <v>321</v>
      </c>
      <c r="O183" s="39" t="s">
        <v>321</v>
      </c>
      <c r="P183" s="39" t="s">
        <v>321</v>
      </c>
      <c r="Q183" s="39" t="s">
        <v>321</v>
      </c>
      <c r="R183" s="39" t="s">
        <v>321</v>
      </c>
      <c r="S183" s="39" t="s">
        <v>321</v>
      </c>
      <c r="T183" s="39" t="s">
        <v>321</v>
      </c>
      <c r="U183" s="39" t="s">
        <v>321</v>
      </c>
    </row>
    <row r="184" spans="1:21" ht="14.4">
      <c r="A184" s="98">
        <v>1980</v>
      </c>
      <c r="B184" s="39" t="s">
        <v>297</v>
      </c>
      <c r="C184" s="39" t="s">
        <v>297</v>
      </c>
      <c r="D184" s="39" t="s">
        <v>321</v>
      </c>
      <c r="E184" s="39" t="s">
        <v>321</v>
      </c>
      <c r="F184" s="39" t="s">
        <v>321</v>
      </c>
      <c r="G184" s="39" t="s">
        <v>321</v>
      </c>
      <c r="H184" s="39" t="s">
        <v>321</v>
      </c>
      <c r="I184" s="39" t="s">
        <v>321</v>
      </c>
      <c r="J184" s="39" t="s">
        <v>321</v>
      </c>
      <c r="K184" s="39" t="s">
        <v>321</v>
      </c>
      <c r="L184" s="39" t="s">
        <v>321</v>
      </c>
      <c r="M184" s="39" t="s">
        <v>321</v>
      </c>
      <c r="N184" s="39" t="s">
        <v>321</v>
      </c>
      <c r="O184" s="39" t="s">
        <v>321</v>
      </c>
      <c r="P184" s="39" t="s">
        <v>321</v>
      </c>
      <c r="Q184" s="39" t="s">
        <v>321</v>
      </c>
      <c r="R184" s="39" t="s">
        <v>321</v>
      </c>
      <c r="S184" s="39" t="s">
        <v>321</v>
      </c>
      <c r="T184" s="39" t="s">
        <v>321</v>
      </c>
      <c r="U184" s="39" t="s">
        <v>321</v>
      </c>
    </row>
    <row r="185" spans="1:21" ht="14.4">
      <c r="A185" s="98">
        <v>2080</v>
      </c>
      <c r="B185" s="39" t="s">
        <v>297</v>
      </c>
      <c r="C185" s="39" t="s">
        <v>297</v>
      </c>
      <c r="D185" s="39" t="s">
        <v>321</v>
      </c>
      <c r="E185" s="39" t="s">
        <v>321</v>
      </c>
      <c r="F185" s="39" t="s">
        <v>321</v>
      </c>
      <c r="G185" s="39" t="s">
        <v>321</v>
      </c>
      <c r="H185" s="39" t="s">
        <v>321</v>
      </c>
      <c r="I185" s="39" t="s">
        <v>321</v>
      </c>
      <c r="J185" s="39" t="s">
        <v>321</v>
      </c>
      <c r="K185" s="39" t="s">
        <v>321</v>
      </c>
      <c r="L185" s="39" t="s">
        <v>321</v>
      </c>
      <c r="M185" s="39" t="s">
        <v>321</v>
      </c>
      <c r="N185" s="39" t="s">
        <v>321</v>
      </c>
      <c r="O185" s="39" t="s">
        <v>321</v>
      </c>
      <c r="P185" s="39" t="s">
        <v>321</v>
      </c>
      <c r="Q185" s="39" t="s">
        <v>321</v>
      </c>
      <c r="R185" s="39" t="s">
        <v>321</v>
      </c>
      <c r="S185" s="39" t="s">
        <v>321</v>
      </c>
      <c r="T185" s="39" t="s">
        <v>321</v>
      </c>
      <c r="U185" s="39" t="s">
        <v>321</v>
      </c>
    </row>
    <row r="186" spans="1:21" ht="14.4">
      <c r="A186" s="98">
        <v>2180</v>
      </c>
      <c r="B186" s="39" t="s">
        <v>297</v>
      </c>
      <c r="C186" s="39" t="s">
        <v>297</v>
      </c>
      <c r="D186" s="39" t="s">
        <v>321</v>
      </c>
      <c r="E186" s="39" t="s">
        <v>321</v>
      </c>
      <c r="F186" s="39" t="s">
        <v>321</v>
      </c>
      <c r="G186" s="39" t="s">
        <v>321</v>
      </c>
      <c r="H186" s="39" t="s">
        <v>321</v>
      </c>
      <c r="I186" s="39" t="s">
        <v>321</v>
      </c>
      <c r="J186" s="39" t="s">
        <v>321</v>
      </c>
      <c r="K186" s="39" t="s">
        <v>321</v>
      </c>
      <c r="L186" s="39" t="s">
        <v>321</v>
      </c>
      <c r="M186" s="39" t="s">
        <v>321</v>
      </c>
      <c r="N186" s="39" t="s">
        <v>321</v>
      </c>
      <c r="O186" s="39" t="s">
        <v>321</v>
      </c>
      <c r="P186" s="39" t="s">
        <v>321</v>
      </c>
      <c r="Q186" s="39" t="s">
        <v>321</v>
      </c>
      <c r="R186" s="39" t="s">
        <v>321</v>
      </c>
      <c r="S186" s="39" t="s">
        <v>321</v>
      </c>
      <c r="T186" s="39" t="s">
        <v>321</v>
      </c>
      <c r="U186" s="39" t="s">
        <v>321</v>
      </c>
    </row>
    <row r="187" spans="1:21" ht="14.4">
      <c r="A187" s="98">
        <v>2280</v>
      </c>
      <c r="B187" s="39" t="s">
        <v>297</v>
      </c>
      <c r="C187" s="39" t="s">
        <v>297</v>
      </c>
      <c r="D187" s="39" t="s">
        <v>321</v>
      </c>
      <c r="E187" s="39" t="s">
        <v>321</v>
      </c>
      <c r="F187" s="39" t="s">
        <v>321</v>
      </c>
      <c r="G187" s="39" t="s">
        <v>321</v>
      </c>
      <c r="H187" s="39" t="s">
        <v>321</v>
      </c>
      <c r="I187" s="39" t="s">
        <v>321</v>
      </c>
      <c r="J187" s="39" t="s">
        <v>321</v>
      </c>
      <c r="K187" s="39" t="s">
        <v>321</v>
      </c>
      <c r="L187" s="39" t="s">
        <v>321</v>
      </c>
      <c r="M187" s="39" t="s">
        <v>321</v>
      </c>
      <c r="N187" s="39" t="s">
        <v>321</v>
      </c>
      <c r="O187" s="39" t="s">
        <v>321</v>
      </c>
      <c r="P187" s="39" t="s">
        <v>321</v>
      </c>
      <c r="Q187" s="39" t="s">
        <v>321</v>
      </c>
      <c r="R187" s="39" t="s">
        <v>321</v>
      </c>
      <c r="S187" s="39" t="s">
        <v>321</v>
      </c>
      <c r="T187" s="39" t="s">
        <v>321</v>
      </c>
      <c r="U187" s="39" t="s">
        <v>321</v>
      </c>
    </row>
    <row r="188" spans="1:21" ht="14.4">
      <c r="A188" s="98">
        <v>2380</v>
      </c>
      <c r="B188" s="39" t="s">
        <v>297</v>
      </c>
      <c r="C188" s="39" t="s">
        <v>297</v>
      </c>
      <c r="D188" s="39" t="s">
        <v>321</v>
      </c>
      <c r="E188" s="39" t="s">
        <v>321</v>
      </c>
      <c r="F188" s="39" t="s">
        <v>321</v>
      </c>
      <c r="G188" s="39" t="s">
        <v>321</v>
      </c>
      <c r="H188" s="39" t="s">
        <v>321</v>
      </c>
      <c r="I188" s="39" t="s">
        <v>321</v>
      </c>
      <c r="J188" s="39" t="s">
        <v>321</v>
      </c>
      <c r="K188" s="39" t="s">
        <v>321</v>
      </c>
      <c r="L188" s="39" t="s">
        <v>321</v>
      </c>
      <c r="M188" s="39" t="s">
        <v>321</v>
      </c>
      <c r="N188" s="39" t="s">
        <v>321</v>
      </c>
      <c r="O188" s="39" t="s">
        <v>321</v>
      </c>
      <c r="P188" s="39" t="s">
        <v>321</v>
      </c>
      <c r="Q188" s="39" t="s">
        <v>321</v>
      </c>
      <c r="R188" s="39" t="s">
        <v>321</v>
      </c>
      <c r="S188" s="39" t="s">
        <v>321</v>
      </c>
      <c r="T188" s="39" t="s">
        <v>321</v>
      </c>
      <c r="U188" s="39" t="s">
        <v>321</v>
      </c>
    </row>
    <row r="189" spans="1:21" ht="14.4">
      <c r="A189" s="98">
        <v>2480</v>
      </c>
      <c r="B189" s="39" t="s">
        <v>297</v>
      </c>
      <c r="C189" s="39" t="s">
        <v>297</v>
      </c>
      <c r="D189" s="39" t="s">
        <v>321</v>
      </c>
      <c r="E189" s="39" t="s">
        <v>321</v>
      </c>
      <c r="F189" s="39" t="s">
        <v>321</v>
      </c>
      <c r="G189" s="39" t="s">
        <v>321</v>
      </c>
      <c r="H189" s="39" t="s">
        <v>321</v>
      </c>
      <c r="I189" s="39" t="s">
        <v>321</v>
      </c>
      <c r="J189" s="39" t="s">
        <v>321</v>
      </c>
      <c r="K189" s="39" t="s">
        <v>321</v>
      </c>
      <c r="L189" s="39" t="s">
        <v>321</v>
      </c>
      <c r="M189" s="39" t="s">
        <v>321</v>
      </c>
      <c r="N189" s="39" t="s">
        <v>321</v>
      </c>
      <c r="O189" s="39" t="s">
        <v>321</v>
      </c>
      <c r="P189" s="39" t="s">
        <v>321</v>
      </c>
      <c r="Q189" s="39" t="s">
        <v>321</v>
      </c>
      <c r="R189" s="39" t="s">
        <v>321</v>
      </c>
      <c r="S189" s="39" t="s">
        <v>321</v>
      </c>
      <c r="T189" s="39" t="s">
        <v>321</v>
      </c>
      <c r="U189" s="39" t="s">
        <v>321</v>
      </c>
    </row>
    <row r="190" spans="1:21" ht="14.4">
      <c r="A190" s="98">
        <v>2580</v>
      </c>
      <c r="B190" s="39" t="s">
        <v>297</v>
      </c>
      <c r="C190" s="39" t="s">
        <v>297</v>
      </c>
      <c r="D190" s="39" t="s">
        <v>321</v>
      </c>
      <c r="E190" s="39" t="s">
        <v>321</v>
      </c>
      <c r="F190" s="39" t="s">
        <v>321</v>
      </c>
      <c r="G190" s="39" t="s">
        <v>321</v>
      </c>
      <c r="H190" s="39" t="s">
        <v>321</v>
      </c>
      <c r="I190" s="39" t="s">
        <v>321</v>
      </c>
      <c r="J190" s="39" t="s">
        <v>321</v>
      </c>
      <c r="K190" s="39" t="s">
        <v>321</v>
      </c>
      <c r="L190" s="39" t="s">
        <v>321</v>
      </c>
      <c r="M190" s="39" t="s">
        <v>321</v>
      </c>
      <c r="N190" s="39" t="s">
        <v>321</v>
      </c>
      <c r="O190" s="39" t="s">
        <v>321</v>
      </c>
      <c r="P190" s="39" t="s">
        <v>321</v>
      </c>
      <c r="Q190" s="39" t="s">
        <v>321</v>
      </c>
      <c r="R190" s="39" t="s">
        <v>321</v>
      </c>
      <c r="S190" s="39" t="s">
        <v>321</v>
      </c>
      <c r="T190" s="39" t="s">
        <v>321</v>
      </c>
      <c r="U190" s="39" t="s">
        <v>321</v>
      </c>
    </row>
    <row r="191" spans="1:21" ht="14.4">
      <c r="A191" s="98">
        <v>2680</v>
      </c>
      <c r="B191" s="39" t="s">
        <v>297</v>
      </c>
      <c r="C191" s="39" t="s">
        <v>297</v>
      </c>
      <c r="D191" s="39" t="s">
        <v>321</v>
      </c>
      <c r="E191" s="39" t="s">
        <v>321</v>
      </c>
      <c r="F191" s="39" t="s">
        <v>321</v>
      </c>
      <c r="G191" s="39" t="s">
        <v>321</v>
      </c>
      <c r="H191" s="39" t="s">
        <v>321</v>
      </c>
      <c r="I191" s="39" t="s">
        <v>321</v>
      </c>
      <c r="J191" s="39" t="s">
        <v>321</v>
      </c>
      <c r="K191" s="39" t="s">
        <v>321</v>
      </c>
      <c r="L191" s="39" t="s">
        <v>321</v>
      </c>
      <c r="M191" s="39" t="s">
        <v>321</v>
      </c>
      <c r="N191" s="39" t="s">
        <v>321</v>
      </c>
      <c r="O191" s="39" t="s">
        <v>321</v>
      </c>
      <c r="P191" s="39" t="s">
        <v>321</v>
      </c>
      <c r="Q191" s="39" t="s">
        <v>321</v>
      </c>
      <c r="R191" s="39" t="s">
        <v>321</v>
      </c>
      <c r="S191" s="39" t="s">
        <v>321</v>
      </c>
      <c r="T191" s="39" t="s">
        <v>321</v>
      </c>
      <c r="U191" s="39" t="s">
        <v>321</v>
      </c>
    </row>
    <row r="192" spans="1:21" ht="14.4">
      <c r="A192" s="98">
        <v>2780</v>
      </c>
      <c r="B192" s="39" t="s">
        <v>297</v>
      </c>
      <c r="C192" s="39" t="s">
        <v>297</v>
      </c>
      <c r="D192" s="39" t="s">
        <v>321</v>
      </c>
      <c r="E192" s="39" t="s">
        <v>321</v>
      </c>
      <c r="F192" s="39" t="s">
        <v>321</v>
      </c>
      <c r="G192" s="39" t="s">
        <v>321</v>
      </c>
      <c r="H192" s="39" t="s">
        <v>321</v>
      </c>
      <c r="I192" s="39" t="s">
        <v>321</v>
      </c>
      <c r="J192" s="39" t="s">
        <v>321</v>
      </c>
      <c r="K192" s="39" t="s">
        <v>321</v>
      </c>
      <c r="L192" s="39" t="s">
        <v>321</v>
      </c>
      <c r="M192" s="39" t="s">
        <v>321</v>
      </c>
      <c r="N192" s="39" t="s">
        <v>321</v>
      </c>
      <c r="O192" s="39" t="s">
        <v>321</v>
      </c>
      <c r="P192" s="39" t="s">
        <v>321</v>
      </c>
      <c r="Q192" s="39" t="s">
        <v>321</v>
      </c>
      <c r="R192" s="39" t="s">
        <v>321</v>
      </c>
      <c r="S192" s="39" t="s">
        <v>321</v>
      </c>
      <c r="T192" s="39" t="s">
        <v>321</v>
      </c>
      <c r="U192" s="39" t="s">
        <v>321</v>
      </c>
    </row>
    <row r="193" spans="1:21" ht="14.4">
      <c r="A193" s="98">
        <v>2880</v>
      </c>
      <c r="B193" s="39" t="s">
        <v>297</v>
      </c>
      <c r="C193" s="39" t="s">
        <v>297</v>
      </c>
      <c r="D193" s="39" t="s">
        <v>321</v>
      </c>
      <c r="E193" s="39" t="s">
        <v>321</v>
      </c>
      <c r="F193" s="39" t="s">
        <v>321</v>
      </c>
      <c r="G193" s="39" t="s">
        <v>321</v>
      </c>
      <c r="H193" s="39" t="s">
        <v>321</v>
      </c>
      <c r="I193" s="39" t="s">
        <v>321</v>
      </c>
      <c r="J193" s="39" t="s">
        <v>321</v>
      </c>
      <c r="K193" s="39" t="s">
        <v>321</v>
      </c>
      <c r="L193" s="39" t="s">
        <v>321</v>
      </c>
      <c r="M193" s="39" t="s">
        <v>321</v>
      </c>
      <c r="N193" s="39" t="s">
        <v>321</v>
      </c>
      <c r="O193" s="39" t="s">
        <v>321</v>
      </c>
      <c r="P193" s="39" t="s">
        <v>321</v>
      </c>
      <c r="Q193" s="39" t="s">
        <v>321</v>
      </c>
      <c r="R193" s="39" t="s">
        <v>321</v>
      </c>
      <c r="S193" s="39" t="s">
        <v>321</v>
      </c>
      <c r="T193" s="39" t="s">
        <v>321</v>
      </c>
      <c r="U193" s="39" t="s">
        <v>321</v>
      </c>
    </row>
    <row r="194" spans="1:21" ht="14.4">
      <c r="A194" s="98">
        <v>2980</v>
      </c>
      <c r="B194" s="39" t="s">
        <v>297</v>
      </c>
      <c r="C194" s="39" t="s">
        <v>297</v>
      </c>
      <c r="D194" s="39" t="s">
        <v>321</v>
      </c>
      <c r="E194" s="39" t="s">
        <v>321</v>
      </c>
      <c r="F194" s="39" t="s">
        <v>321</v>
      </c>
      <c r="G194" s="39" t="s">
        <v>321</v>
      </c>
      <c r="H194" s="39" t="s">
        <v>321</v>
      </c>
      <c r="I194" s="39" t="s">
        <v>321</v>
      </c>
      <c r="J194" s="39" t="s">
        <v>321</v>
      </c>
      <c r="K194" s="39" t="s">
        <v>321</v>
      </c>
      <c r="L194" s="39" t="s">
        <v>321</v>
      </c>
      <c r="M194" s="39" t="s">
        <v>321</v>
      </c>
      <c r="N194" s="39" t="s">
        <v>321</v>
      </c>
      <c r="O194" s="39" t="s">
        <v>321</v>
      </c>
      <c r="P194" s="39" t="s">
        <v>321</v>
      </c>
      <c r="Q194" s="39" t="s">
        <v>321</v>
      </c>
      <c r="R194" s="39" t="s">
        <v>321</v>
      </c>
      <c r="S194" s="39" t="s">
        <v>321</v>
      </c>
      <c r="T194" s="39" t="s">
        <v>321</v>
      </c>
      <c r="U194" s="39" t="s">
        <v>321</v>
      </c>
    </row>
    <row r="197" spans="1:5" ht="13.2">
      <c r="A197" s="306" t="s">
        <v>293</v>
      </c>
      <c r="B197" s="306"/>
      <c r="C197" s="306"/>
      <c r="D197" s="306"/>
      <c r="E197" s="306"/>
    </row>
    <row r="198" spans="1:5" ht="14.4">
      <c r="A198" s="98" t="s">
        <v>262</v>
      </c>
      <c r="B198" s="98">
        <v>0</v>
      </c>
      <c r="C198" s="98">
        <v>450</v>
      </c>
      <c r="D198" s="98">
        <v>690</v>
      </c>
      <c r="E198" s="98">
        <v>5000</v>
      </c>
    </row>
    <row r="199" spans="1:5" ht="14.4">
      <c r="A199" s="98">
        <v>0</v>
      </c>
      <c r="B199" s="39" t="s">
        <v>798</v>
      </c>
      <c r="C199" s="39" t="s">
        <v>323</v>
      </c>
      <c r="D199" s="39" t="s">
        <v>323</v>
      </c>
      <c r="E199" s="39" t="s">
        <v>323</v>
      </c>
    </row>
    <row r="200" spans="1:5" ht="14.4">
      <c r="A200" s="98">
        <v>780</v>
      </c>
      <c r="B200" s="39" t="s">
        <v>798</v>
      </c>
      <c r="C200" s="39" t="s">
        <v>323</v>
      </c>
      <c r="D200" s="39" t="s">
        <v>323</v>
      </c>
      <c r="E200" s="39" t="s">
        <v>323</v>
      </c>
    </row>
    <row r="201" spans="1:5" ht="14.4">
      <c r="A201" s="98">
        <v>880</v>
      </c>
      <c r="B201" s="39" t="s">
        <v>798</v>
      </c>
      <c r="C201" s="39" t="s">
        <v>323</v>
      </c>
      <c r="D201" s="39" t="s">
        <v>323</v>
      </c>
      <c r="E201" s="39" t="s">
        <v>323</v>
      </c>
    </row>
    <row r="202" spans="1:5" ht="14.4">
      <c r="A202" s="98">
        <v>980</v>
      </c>
      <c r="B202" s="39" t="s">
        <v>798</v>
      </c>
      <c r="C202" s="39" t="s">
        <v>323</v>
      </c>
      <c r="D202" s="39" t="s">
        <v>323</v>
      </c>
      <c r="E202" s="39" t="s">
        <v>323</v>
      </c>
    </row>
    <row r="203" spans="1:5" ht="14.4">
      <c r="A203" s="98">
        <v>1080</v>
      </c>
      <c r="B203" s="39" t="s">
        <v>798</v>
      </c>
      <c r="C203" s="39" t="s">
        <v>323</v>
      </c>
      <c r="D203" s="39" t="s">
        <v>323</v>
      </c>
      <c r="E203" s="39" t="s">
        <v>323</v>
      </c>
    </row>
    <row r="204" spans="1:5" ht="14.4">
      <c r="A204" s="98">
        <v>1180</v>
      </c>
      <c r="B204" s="39" t="s">
        <v>798</v>
      </c>
      <c r="C204" s="39" t="s">
        <v>323</v>
      </c>
      <c r="D204" s="39" t="s">
        <v>323</v>
      </c>
      <c r="E204" s="39" t="s">
        <v>323</v>
      </c>
    </row>
    <row r="205" spans="1:5" ht="14.4">
      <c r="A205" s="98">
        <v>1280</v>
      </c>
      <c r="B205" s="39" t="s">
        <v>798</v>
      </c>
      <c r="C205" s="39" t="s">
        <v>323</v>
      </c>
      <c r="D205" s="39" t="s">
        <v>323</v>
      </c>
      <c r="E205" s="39" t="s">
        <v>323</v>
      </c>
    </row>
    <row r="206" spans="1:5" ht="14.4">
      <c r="A206" s="98">
        <v>1380</v>
      </c>
      <c r="B206" s="39" t="s">
        <v>798</v>
      </c>
      <c r="C206" s="39" t="s">
        <v>323</v>
      </c>
      <c r="D206" s="39" t="s">
        <v>323</v>
      </c>
      <c r="E206" s="39" t="s">
        <v>323</v>
      </c>
    </row>
    <row r="207" spans="1:5" ht="14.4">
      <c r="A207" s="98">
        <v>1480</v>
      </c>
      <c r="B207" s="39" t="s">
        <v>798</v>
      </c>
      <c r="C207" s="39" t="s">
        <v>323</v>
      </c>
      <c r="D207" s="39" t="s">
        <v>323</v>
      </c>
      <c r="E207" s="39" t="s">
        <v>323</v>
      </c>
    </row>
    <row r="208" spans="1:5" ht="14.4">
      <c r="A208" s="98">
        <v>1580</v>
      </c>
      <c r="B208" s="39" t="s">
        <v>798</v>
      </c>
      <c r="C208" s="39" t="s">
        <v>323</v>
      </c>
      <c r="D208" s="39" t="s">
        <v>323</v>
      </c>
      <c r="E208" s="39" t="s">
        <v>323</v>
      </c>
    </row>
    <row r="209" spans="1:5" ht="14.4">
      <c r="A209" s="98">
        <v>1680</v>
      </c>
      <c r="B209" s="39" t="s">
        <v>798</v>
      </c>
      <c r="C209" s="39" t="s">
        <v>323</v>
      </c>
      <c r="D209" s="39" t="s">
        <v>323</v>
      </c>
      <c r="E209" s="39" t="s">
        <v>323</v>
      </c>
    </row>
    <row r="210" spans="1:5" ht="14.4">
      <c r="A210" s="98">
        <v>1780</v>
      </c>
      <c r="B210" s="39" t="s">
        <v>798</v>
      </c>
      <c r="C210" s="39" t="s">
        <v>323</v>
      </c>
      <c r="D210" s="39" t="s">
        <v>323</v>
      </c>
      <c r="E210" s="39" t="s">
        <v>323</v>
      </c>
    </row>
    <row r="211" spans="1:5" ht="14.4">
      <c r="A211" s="98">
        <v>1880</v>
      </c>
      <c r="B211" s="39" t="s">
        <v>798</v>
      </c>
      <c r="C211" s="39" t="s">
        <v>323</v>
      </c>
      <c r="D211" s="39" t="s">
        <v>323</v>
      </c>
      <c r="E211" s="39" t="s">
        <v>323</v>
      </c>
    </row>
    <row r="212" spans="1:5" ht="14.4">
      <c r="A212" s="98">
        <v>1980</v>
      </c>
      <c r="B212" s="39" t="s">
        <v>798</v>
      </c>
      <c r="C212" s="39" t="s">
        <v>323</v>
      </c>
      <c r="D212" s="39" t="s">
        <v>323</v>
      </c>
      <c r="E212" s="39" t="s">
        <v>323</v>
      </c>
    </row>
    <row r="213" spans="1:5" ht="14.4">
      <c r="A213" s="98">
        <v>2080</v>
      </c>
      <c r="B213" s="39" t="s">
        <v>798</v>
      </c>
      <c r="C213" s="39" t="s">
        <v>323</v>
      </c>
      <c r="D213" s="39" t="s">
        <v>323</v>
      </c>
      <c r="E213" s="39" t="s">
        <v>323</v>
      </c>
    </row>
    <row r="214" spans="1:5" ht="14.4">
      <c r="A214" s="98">
        <v>2180</v>
      </c>
      <c r="B214" s="39" t="s">
        <v>798</v>
      </c>
      <c r="C214" s="39" t="s">
        <v>323</v>
      </c>
      <c r="D214" s="39" t="s">
        <v>323</v>
      </c>
      <c r="E214" s="39" t="s">
        <v>323</v>
      </c>
    </row>
    <row r="215" spans="1:5" ht="14.4">
      <c r="A215" s="98">
        <v>2280</v>
      </c>
      <c r="B215" s="39" t="s">
        <v>798</v>
      </c>
      <c r="C215" s="39" t="s">
        <v>323</v>
      </c>
      <c r="D215" s="39" t="s">
        <v>323</v>
      </c>
      <c r="E215" s="39" t="s">
        <v>323</v>
      </c>
    </row>
    <row r="216" spans="1:5" ht="14.4">
      <c r="A216" s="98">
        <v>2380</v>
      </c>
      <c r="B216" s="39" t="s">
        <v>798</v>
      </c>
      <c r="C216" s="39" t="s">
        <v>323</v>
      </c>
      <c r="D216" s="39" t="s">
        <v>323</v>
      </c>
      <c r="E216" s="39" t="s">
        <v>323</v>
      </c>
    </row>
    <row r="217" spans="1:5" ht="14.4">
      <c r="A217" s="98">
        <v>2480</v>
      </c>
      <c r="B217" s="39" t="s">
        <v>798</v>
      </c>
      <c r="C217" s="39" t="s">
        <v>323</v>
      </c>
      <c r="D217" s="39" t="s">
        <v>323</v>
      </c>
      <c r="E217" s="39" t="s">
        <v>323</v>
      </c>
    </row>
    <row r="218" spans="1:5" ht="14.4">
      <c r="A218" s="98">
        <v>2580</v>
      </c>
      <c r="B218" s="39" t="s">
        <v>798</v>
      </c>
      <c r="C218" s="39" t="s">
        <v>323</v>
      </c>
      <c r="D218" s="39" t="s">
        <v>323</v>
      </c>
      <c r="E218" s="39" t="s">
        <v>323</v>
      </c>
    </row>
    <row r="219" spans="1:5" ht="14.4">
      <c r="A219" s="98">
        <v>2680</v>
      </c>
      <c r="B219" s="39" t="s">
        <v>798</v>
      </c>
      <c r="C219" s="39" t="s">
        <v>323</v>
      </c>
      <c r="D219" s="39" t="s">
        <v>323</v>
      </c>
      <c r="E219" s="39" t="s">
        <v>323</v>
      </c>
    </row>
    <row r="220" spans="1:5" ht="14.4">
      <c r="A220" s="98">
        <v>2780</v>
      </c>
      <c r="B220" s="39" t="s">
        <v>798</v>
      </c>
      <c r="C220" s="39" t="s">
        <v>323</v>
      </c>
      <c r="D220" s="39" t="s">
        <v>323</v>
      </c>
      <c r="E220" s="39" t="s">
        <v>323</v>
      </c>
    </row>
    <row r="221" spans="1:5" ht="14.4">
      <c r="A221" s="98">
        <v>2880</v>
      </c>
      <c r="B221" s="39" t="s">
        <v>798</v>
      </c>
      <c r="C221" s="39" t="s">
        <v>323</v>
      </c>
      <c r="D221" s="39" t="s">
        <v>323</v>
      </c>
      <c r="E221" s="39" t="s">
        <v>323</v>
      </c>
    </row>
    <row r="222" spans="1:5" ht="14.4">
      <c r="A222" s="98">
        <v>2980</v>
      </c>
      <c r="B222" s="39" t="s">
        <v>798</v>
      </c>
      <c r="C222" s="39" t="s">
        <v>323</v>
      </c>
      <c r="D222" s="39" t="s">
        <v>323</v>
      </c>
      <c r="E222" s="39" t="s">
        <v>323</v>
      </c>
    </row>
    <row r="225" spans="1:4" ht="13.2">
      <c r="A225" s="306" t="s">
        <v>294</v>
      </c>
      <c r="B225" s="306"/>
      <c r="C225" s="306"/>
      <c r="D225" s="306"/>
    </row>
    <row r="226" spans="1:4" ht="14.4">
      <c r="A226" s="98" t="s">
        <v>262</v>
      </c>
      <c r="B226" s="98">
        <v>0</v>
      </c>
      <c r="C226" s="98">
        <v>690</v>
      </c>
      <c r="D226" s="98">
        <v>5000</v>
      </c>
    </row>
    <row r="227" spans="1:4" ht="14.4">
      <c r="A227" s="98">
        <v>0</v>
      </c>
      <c r="B227" s="39" t="s">
        <v>798</v>
      </c>
      <c r="C227" s="39" t="s">
        <v>323</v>
      </c>
      <c r="D227" s="39" t="s">
        <v>323</v>
      </c>
    </row>
    <row r="228" spans="1:4" ht="14.4">
      <c r="A228" s="98">
        <v>1200</v>
      </c>
      <c r="B228" s="39" t="s">
        <v>798</v>
      </c>
      <c r="C228" s="39" t="s">
        <v>323</v>
      </c>
      <c r="D228" s="39" t="s">
        <v>323</v>
      </c>
    </row>
    <row r="229" spans="1:4" ht="14.4">
      <c r="A229" s="98">
        <v>1300</v>
      </c>
      <c r="B229" s="39" t="s">
        <v>798</v>
      </c>
      <c r="C229" s="39" t="s">
        <v>323</v>
      </c>
      <c r="D229" s="39" t="s">
        <v>323</v>
      </c>
    </row>
    <row r="230" spans="1:4" ht="14.4">
      <c r="A230" s="98">
        <v>1400</v>
      </c>
      <c r="B230" s="39" t="s">
        <v>798</v>
      </c>
      <c r="C230" s="39" t="s">
        <v>323</v>
      </c>
      <c r="D230" s="39" t="s">
        <v>323</v>
      </c>
    </row>
    <row r="231" spans="1:4" ht="14.4">
      <c r="A231" s="98">
        <v>1500</v>
      </c>
      <c r="B231" s="39" t="s">
        <v>798</v>
      </c>
      <c r="C231" s="39" t="s">
        <v>323</v>
      </c>
      <c r="D231" s="39" t="s">
        <v>323</v>
      </c>
    </row>
    <row r="232" spans="1:4" ht="14.4">
      <c r="A232" s="98">
        <v>1600</v>
      </c>
      <c r="B232" s="39" t="s">
        <v>798</v>
      </c>
      <c r="C232" s="39" t="s">
        <v>323</v>
      </c>
      <c r="D232" s="39" t="s">
        <v>323</v>
      </c>
    </row>
    <row r="233" spans="1:4" ht="14.4">
      <c r="A233" s="98">
        <v>1700</v>
      </c>
      <c r="B233" s="39" t="s">
        <v>798</v>
      </c>
      <c r="C233" s="39" t="s">
        <v>323</v>
      </c>
      <c r="D233" s="39" t="s">
        <v>323</v>
      </c>
    </row>
    <row r="234" spans="1:4" ht="14.4">
      <c r="A234" s="98">
        <v>1800</v>
      </c>
      <c r="B234" s="39" t="s">
        <v>798</v>
      </c>
      <c r="C234" s="39" t="s">
        <v>323</v>
      </c>
      <c r="D234" s="39" t="s">
        <v>323</v>
      </c>
    </row>
    <row r="235" spans="1:4" ht="14.4">
      <c r="A235" s="98">
        <v>1900</v>
      </c>
      <c r="B235" s="39" t="s">
        <v>798</v>
      </c>
      <c r="C235" s="39" t="s">
        <v>323</v>
      </c>
      <c r="D235" s="39" t="s">
        <v>323</v>
      </c>
    </row>
    <row r="236" spans="1:4" ht="14.4">
      <c r="A236" s="98">
        <v>2000</v>
      </c>
      <c r="B236" s="39" t="s">
        <v>798</v>
      </c>
      <c r="C236" s="39" t="s">
        <v>323</v>
      </c>
      <c r="D236" s="39" t="s">
        <v>323</v>
      </c>
    </row>
    <row r="237" spans="1:4" ht="14.4">
      <c r="A237" s="98">
        <v>2100</v>
      </c>
      <c r="B237" s="39" t="s">
        <v>798</v>
      </c>
      <c r="C237" s="39" t="s">
        <v>323</v>
      </c>
      <c r="D237" s="39" t="s">
        <v>323</v>
      </c>
    </row>
    <row r="238" spans="1:4" ht="14.4">
      <c r="A238" s="98">
        <v>2200</v>
      </c>
      <c r="B238" s="39" t="s">
        <v>798</v>
      </c>
      <c r="C238" s="39" t="s">
        <v>323</v>
      </c>
      <c r="D238" s="39" t="s">
        <v>323</v>
      </c>
    </row>
    <row r="239" spans="1:4" ht="14.4">
      <c r="A239" s="98">
        <v>2300</v>
      </c>
      <c r="B239" s="39" t="s">
        <v>798</v>
      </c>
      <c r="C239" s="39" t="s">
        <v>323</v>
      </c>
      <c r="D239" s="39" t="s">
        <v>323</v>
      </c>
    </row>
    <row r="240" spans="1:4" ht="14.4">
      <c r="A240" s="98">
        <v>2400</v>
      </c>
      <c r="B240" s="39" t="s">
        <v>798</v>
      </c>
      <c r="C240" s="39" t="s">
        <v>323</v>
      </c>
      <c r="D240" s="39" t="s">
        <v>323</v>
      </c>
    </row>
    <row r="241" spans="1:4" ht="14.4">
      <c r="A241" s="98">
        <v>2500</v>
      </c>
      <c r="B241" s="39" t="s">
        <v>798</v>
      </c>
      <c r="C241" s="39" t="s">
        <v>323</v>
      </c>
      <c r="D241" s="39" t="s">
        <v>323</v>
      </c>
    </row>
    <row r="242" spans="1:4" ht="14.4">
      <c r="A242" s="98">
        <v>2600</v>
      </c>
      <c r="B242" s="39" t="s">
        <v>798</v>
      </c>
      <c r="C242" s="39" t="s">
        <v>323</v>
      </c>
      <c r="D242" s="39" t="s">
        <v>323</v>
      </c>
    </row>
    <row r="243" spans="1:4" ht="14.4">
      <c r="A243" s="98">
        <v>2700</v>
      </c>
      <c r="B243" s="39" t="s">
        <v>798</v>
      </c>
      <c r="C243" s="39" t="s">
        <v>323</v>
      </c>
      <c r="D243" s="39" t="s">
        <v>323</v>
      </c>
    </row>
    <row r="244" spans="1:4" ht="14.4">
      <c r="A244" s="98">
        <v>2800</v>
      </c>
      <c r="B244" s="39" t="s">
        <v>798</v>
      </c>
      <c r="C244" s="39" t="s">
        <v>323</v>
      </c>
      <c r="D244" s="39" t="s">
        <v>323</v>
      </c>
    </row>
    <row r="245" spans="1:4" ht="14.4">
      <c r="A245" s="98">
        <v>2900</v>
      </c>
      <c r="B245" s="39" t="s">
        <v>798</v>
      </c>
      <c r="C245" s="39" t="s">
        <v>323</v>
      </c>
      <c r="D245" s="39" t="s">
        <v>323</v>
      </c>
    </row>
    <row r="246" spans="1:4" ht="14.4">
      <c r="A246" s="98">
        <v>3000</v>
      </c>
      <c r="B246" s="39" t="s">
        <v>798</v>
      </c>
      <c r="C246" s="39" t="s">
        <v>323</v>
      </c>
      <c r="D246" s="39" t="s">
        <v>323</v>
      </c>
    </row>
    <row r="247" spans="1:4" ht="14.4">
      <c r="A247" s="98">
        <v>3100</v>
      </c>
      <c r="B247" s="39" t="s">
        <v>798</v>
      </c>
      <c r="C247" s="39" t="s">
        <v>323</v>
      </c>
      <c r="D247" s="39" t="s">
        <v>323</v>
      </c>
    </row>
    <row r="248" spans="1:4" ht="14.4">
      <c r="A248" s="98">
        <v>3200</v>
      </c>
      <c r="B248" s="39" t="s">
        <v>798</v>
      </c>
      <c r="C248" s="39" t="s">
        <v>323</v>
      </c>
      <c r="D248" s="39" t="s">
        <v>323</v>
      </c>
    </row>
    <row r="249" spans="1:4" ht="14.4">
      <c r="A249" s="98">
        <v>3300</v>
      </c>
      <c r="B249" s="39" t="s">
        <v>798</v>
      </c>
      <c r="C249" s="39" t="s">
        <v>323</v>
      </c>
      <c r="D249" s="39" t="s">
        <v>323</v>
      </c>
    </row>
    <row r="250" spans="1:4" ht="14.4">
      <c r="A250" s="98">
        <v>3400</v>
      </c>
      <c r="B250" s="39" t="s">
        <v>798</v>
      </c>
      <c r="C250" s="39" t="s">
        <v>323</v>
      </c>
      <c r="D250" s="39" t="s">
        <v>323</v>
      </c>
    </row>
    <row r="251" spans="1:4" ht="14.4">
      <c r="A251" s="98">
        <v>3500</v>
      </c>
      <c r="B251" s="39" t="s">
        <v>798</v>
      </c>
      <c r="C251" s="39" t="s">
        <v>323</v>
      </c>
      <c r="D251" s="39" t="s">
        <v>323</v>
      </c>
    </row>
    <row r="252" spans="1:4" ht="14.4">
      <c r="A252" s="98">
        <v>3600</v>
      </c>
      <c r="B252" s="39" t="s">
        <v>798</v>
      </c>
      <c r="C252" s="39" t="s">
        <v>323</v>
      </c>
      <c r="D252" s="39" t="s">
        <v>323</v>
      </c>
    </row>
    <row r="253" spans="1:4" ht="14.4">
      <c r="A253" s="98">
        <v>3700</v>
      </c>
      <c r="B253" s="39" t="s">
        <v>798</v>
      </c>
      <c r="C253" s="39" t="s">
        <v>323</v>
      </c>
      <c r="D253" s="39" t="s">
        <v>323</v>
      </c>
    </row>
    <row r="256" spans="1:4" ht="13.2">
      <c r="A256" s="306" t="s">
        <v>295</v>
      </c>
      <c r="B256" s="306"/>
      <c r="C256" s="306"/>
      <c r="D256" s="306"/>
    </row>
    <row r="257" spans="1:4" ht="14.4">
      <c r="A257" s="98" t="s">
        <v>262</v>
      </c>
      <c r="B257" s="98">
        <v>0</v>
      </c>
      <c r="C257" s="98">
        <v>690</v>
      </c>
      <c r="D257" s="98">
        <v>5000</v>
      </c>
    </row>
    <row r="258" spans="1:4" ht="14.4">
      <c r="A258" s="98">
        <v>0</v>
      </c>
      <c r="B258" s="39" t="s">
        <v>798</v>
      </c>
      <c r="C258" s="39" t="s">
        <v>303</v>
      </c>
      <c r="D258" s="39" t="s">
        <v>303</v>
      </c>
    </row>
    <row r="259" spans="1:4" ht="14.4">
      <c r="A259" s="98">
        <v>1200</v>
      </c>
      <c r="B259" s="39" t="s">
        <v>798</v>
      </c>
      <c r="C259" s="39" t="s">
        <v>303</v>
      </c>
      <c r="D259" s="39" t="s">
        <v>303</v>
      </c>
    </row>
    <row r="260" spans="1:4" ht="14.4">
      <c r="A260" s="98">
        <v>1300</v>
      </c>
      <c r="B260" s="39" t="s">
        <v>798</v>
      </c>
      <c r="C260" s="39" t="s">
        <v>303</v>
      </c>
      <c r="D260" s="39" t="s">
        <v>303</v>
      </c>
    </row>
    <row r="261" spans="1:4" ht="14.4">
      <c r="A261" s="98">
        <v>1400</v>
      </c>
      <c r="B261" s="39" t="s">
        <v>798</v>
      </c>
      <c r="C261" s="39" t="s">
        <v>303</v>
      </c>
      <c r="D261" s="39" t="s">
        <v>303</v>
      </c>
    </row>
    <row r="262" spans="1:4" ht="14.4">
      <c r="A262" s="98">
        <v>1500</v>
      </c>
      <c r="B262" s="39" t="s">
        <v>798</v>
      </c>
      <c r="C262" s="39" t="s">
        <v>303</v>
      </c>
      <c r="D262" s="39" t="s">
        <v>303</v>
      </c>
    </row>
    <row r="263" spans="1:4" ht="14.4">
      <c r="A263" s="98">
        <v>1600</v>
      </c>
      <c r="B263" s="39" t="s">
        <v>798</v>
      </c>
      <c r="C263" s="39" t="s">
        <v>303</v>
      </c>
      <c r="D263" s="39" t="s">
        <v>303</v>
      </c>
    </row>
    <row r="264" spans="1:4" ht="14.4">
      <c r="A264" s="98">
        <v>1700</v>
      </c>
      <c r="B264" s="39" t="s">
        <v>798</v>
      </c>
      <c r="C264" s="39" t="s">
        <v>303</v>
      </c>
      <c r="D264" s="39" t="s">
        <v>303</v>
      </c>
    </row>
    <row r="265" spans="1:4" ht="14.4">
      <c r="A265" s="98">
        <v>1800</v>
      </c>
      <c r="B265" s="39" t="s">
        <v>798</v>
      </c>
      <c r="C265" s="39" t="s">
        <v>303</v>
      </c>
      <c r="D265" s="39" t="s">
        <v>303</v>
      </c>
    </row>
    <row r="266" spans="1:4" ht="14.4">
      <c r="A266" s="98">
        <v>1900</v>
      </c>
      <c r="B266" s="39" t="s">
        <v>798</v>
      </c>
      <c r="C266" s="39" t="s">
        <v>303</v>
      </c>
      <c r="D266" s="39" t="s">
        <v>303</v>
      </c>
    </row>
    <row r="267" spans="1:4" ht="14.4">
      <c r="A267" s="98">
        <v>2000</v>
      </c>
      <c r="B267" s="39" t="s">
        <v>798</v>
      </c>
      <c r="C267" s="39" t="s">
        <v>303</v>
      </c>
      <c r="D267" s="39" t="s">
        <v>303</v>
      </c>
    </row>
    <row r="268" spans="1:4" ht="14.4">
      <c r="A268" s="98">
        <v>2100</v>
      </c>
      <c r="B268" s="39" t="s">
        <v>798</v>
      </c>
      <c r="C268" s="39" t="s">
        <v>303</v>
      </c>
      <c r="D268" s="39" t="s">
        <v>303</v>
      </c>
    </row>
    <row r="269" spans="1:4" ht="14.4">
      <c r="A269" s="98">
        <v>2200</v>
      </c>
      <c r="B269" s="39" t="s">
        <v>798</v>
      </c>
      <c r="C269" s="39" t="s">
        <v>303</v>
      </c>
      <c r="D269" s="39" t="s">
        <v>303</v>
      </c>
    </row>
    <row r="270" spans="1:4" ht="14.4">
      <c r="A270" s="98">
        <v>2300</v>
      </c>
      <c r="B270" s="39" t="s">
        <v>798</v>
      </c>
      <c r="C270" s="39" t="s">
        <v>303</v>
      </c>
      <c r="D270" s="39" t="s">
        <v>303</v>
      </c>
    </row>
    <row r="271" spans="1:4" ht="14.4">
      <c r="A271" s="98">
        <v>2400</v>
      </c>
      <c r="B271" s="39" t="s">
        <v>798</v>
      </c>
      <c r="C271" s="39" t="s">
        <v>303</v>
      </c>
      <c r="D271" s="39" t="s">
        <v>303</v>
      </c>
    </row>
    <row r="272" spans="1:4" ht="14.4">
      <c r="A272" s="98">
        <v>2500</v>
      </c>
      <c r="B272" s="39" t="s">
        <v>798</v>
      </c>
      <c r="C272" s="39" t="s">
        <v>303</v>
      </c>
      <c r="D272" s="39" t="s">
        <v>303</v>
      </c>
    </row>
    <row r="273" spans="1:4" ht="14.4">
      <c r="A273" s="98">
        <v>2600</v>
      </c>
      <c r="B273" s="39" t="s">
        <v>798</v>
      </c>
      <c r="C273" s="39" t="s">
        <v>303</v>
      </c>
      <c r="D273" s="39" t="s">
        <v>303</v>
      </c>
    </row>
    <row r="274" spans="1:4" ht="14.4">
      <c r="A274" s="98">
        <v>2700</v>
      </c>
      <c r="B274" s="39" t="s">
        <v>798</v>
      </c>
      <c r="C274" s="39" t="s">
        <v>303</v>
      </c>
      <c r="D274" s="39" t="s">
        <v>303</v>
      </c>
    </row>
    <row r="275" spans="1:4" ht="14.4">
      <c r="A275" s="98">
        <v>2800</v>
      </c>
      <c r="B275" s="39" t="s">
        <v>798</v>
      </c>
      <c r="C275" s="39" t="s">
        <v>303</v>
      </c>
      <c r="D275" s="39" t="s">
        <v>303</v>
      </c>
    </row>
    <row r="276" spans="1:4" ht="14.4">
      <c r="A276" s="98">
        <v>2900</v>
      </c>
      <c r="B276" s="39" t="s">
        <v>798</v>
      </c>
      <c r="C276" s="39" t="s">
        <v>303</v>
      </c>
      <c r="D276" s="39" t="s">
        <v>303</v>
      </c>
    </row>
    <row r="277" spans="1:4" ht="14.4">
      <c r="A277" s="98">
        <v>3000</v>
      </c>
      <c r="B277" s="39" t="s">
        <v>798</v>
      </c>
      <c r="C277" s="39" t="s">
        <v>303</v>
      </c>
      <c r="D277" s="39" t="s">
        <v>303</v>
      </c>
    </row>
    <row r="278" spans="1:4" ht="14.4">
      <c r="A278" s="98">
        <v>3100</v>
      </c>
      <c r="B278" s="39" t="s">
        <v>798</v>
      </c>
      <c r="C278" s="39" t="s">
        <v>303</v>
      </c>
      <c r="D278" s="39" t="s">
        <v>303</v>
      </c>
    </row>
    <row r="279" spans="1:4" ht="14.4">
      <c r="A279" s="98">
        <v>3200</v>
      </c>
      <c r="B279" s="39" t="s">
        <v>798</v>
      </c>
      <c r="C279" s="39" t="s">
        <v>303</v>
      </c>
      <c r="D279" s="39" t="s">
        <v>303</v>
      </c>
    </row>
    <row r="280" spans="1:4" ht="14.4">
      <c r="A280" s="98">
        <v>3300</v>
      </c>
      <c r="B280" s="39" t="s">
        <v>798</v>
      </c>
      <c r="C280" s="39" t="s">
        <v>303</v>
      </c>
      <c r="D280" s="39" t="s">
        <v>303</v>
      </c>
    </row>
    <row r="281" spans="1:4" ht="14.4">
      <c r="A281" s="98">
        <v>3400</v>
      </c>
      <c r="B281" s="39" t="s">
        <v>798</v>
      </c>
      <c r="C281" s="39" t="s">
        <v>303</v>
      </c>
      <c r="D281" s="39" t="s">
        <v>303</v>
      </c>
    </row>
    <row r="282" spans="1:4" ht="14.4">
      <c r="A282" s="98">
        <v>3500</v>
      </c>
      <c r="B282" s="39" t="s">
        <v>798</v>
      </c>
      <c r="C282" s="39" t="s">
        <v>303</v>
      </c>
      <c r="D282" s="39" t="s">
        <v>303</v>
      </c>
    </row>
    <row r="283" spans="1:4" ht="14.4">
      <c r="A283" s="98">
        <v>3600</v>
      </c>
      <c r="B283" s="39" t="s">
        <v>798</v>
      </c>
      <c r="C283" s="39" t="s">
        <v>303</v>
      </c>
      <c r="D283" s="39" t="s">
        <v>303</v>
      </c>
    </row>
    <row r="284" spans="1:4" ht="14.4">
      <c r="A284" s="98">
        <v>3700</v>
      </c>
      <c r="B284" s="39" t="s">
        <v>798</v>
      </c>
      <c r="C284" s="39" t="s">
        <v>303</v>
      </c>
      <c r="D284" s="39" t="s">
        <v>303</v>
      </c>
    </row>
    <row r="287" spans="1:4" ht="13.2">
      <c r="A287" s="306" t="s">
        <v>296</v>
      </c>
      <c r="B287" s="306"/>
      <c r="C287" s="306"/>
      <c r="D287" s="306"/>
    </row>
    <row r="288" spans="1:4" ht="14.4">
      <c r="A288" s="98" t="s">
        <v>262</v>
      </c>
      <c r="B288" s="98">
        <v>0</v>
      </c>
      <c r="C288" s="98">
        <v>690</v>
      </c>
      <c r="D288" s="98">
        <v>5000</v>
      </c>
    </row>
    <row r="289" spans="1:4" ht="14.4">
      <c r="A289" s="98">
        <v>0</v>
      </c>
      <c r="B289" s="39" t="s">
        <v>798</v>
      </c>
      <c r="C289" s="39" t="s">
        <v>303</v>
      </c>
      <c r="D289" s="39" t="s">
        <v>303</v>
      </c>
    </row>
    <row r="290" spans="1:4" ht="14.4">
      <c r="A290" s="98">
        <v>1200</v>
      </c>
      <c r="B290" s="39" t="s">
        <v>798</v>
      </c>
      <c r="C290" s="39" t="s">
        <v>303</v>
      </c>
      <c r="D290" s="39" t="s">
        <v>303</v>
      </c>
    </row>
    <row r="291" spans="1:4" ht="14.4">
      <c r="A291" s="98">
        <v>1300</v>
      </c>
      <c r="B291" s="39" t="s">
        <v>798</v>
      </c>
      <c r="C291" s="39" t="s">
        <v>303</v>
      </c>
      <c r="D291" s="39" t="s">
        <v>303</v>
      </c>
    </row>
    <row r="292" spans="1:4" ht="14.4">
      <c r="A292" s="98">
        <v>1400</v>
      </c>
      <c r="B292" s="39" t="s">
        <v>798</v>
      </c>
      <c r="C292" s="39" t="s">
        <v>303</v>
      </c>
      <c r="D292" s="39" t="s">
        <v>303</v>
      </c>
    </row>
    <row r="293" spans="1:4" ht="14.4">
      <c r="A293" s="98">
        <v>1500</v>
      </c>
      <c r="B293" s="39" t="s">
        <v>798</v>
      </c>
      <c r="C293" s="39" t="s">
        <v>303</v>
      </c>
      <c r="D293" s="39" t="s">
        <v>303</v>
      </c>
    </row>
    <row r="294" spans="1:4" ht="14.4">
      <c r="A294" s="98">
        <v>1600</v>
      </c>
      <c r="B294" s="39" t="s">
        <v>798</v>
      </c>
      <c r="C294" s="39" t="s">
        <v>303</v>
      </c>
      <c r="D294" s="39" t="s">
        <v>303</v>
      </c>
    </row>
    <row r="295" spans="1:4" ht="14.4">
      <c r="A295" s="98">
        <v>1700</v>
      </c>
      <c r="B295" s="39" t="s">
        <v>798</v>
      </c>
      <c r="C295" s="39" t="s">
        <v>303</v>
      </c>
      <c r="D295" s="39" t="s">
        <v>303</v>
      </c>
    </row>
    <row r="296" spans="1:4" ht="14.4">
      <c r="A296" s="98">
        <v>1800</v>
      </c>
      <c r="B296" s="39" t="s">
        <v>798</v>
      </c>
      <c r="C296" s="39" t="s">
        <v>303</v>
      </c>
      <c r="D296" s="39" t="s">
        <v>303</v>
      </c>
    </row>
    <row r="297" spans="1:4" ht="14.4">
      <c r="A297" s="98">
        <v>1900</v>
      </c>
      <c r="B297" s="39" t="s">
        <v>798</v>
      </c>
      <c r="C297" s="39" t="s">
        <v>303</v>
      </c>
      <c r="D297" s="39" t="s">
        <v>303</v>
      </c>
    </row>
    <row r="298" spans="1:4" ht="14.4">
      <c r="A298" s="98">
        <v>2000</v>
      </c>
      <c r="B298" s="39" t="s">
        <v>798</v>
      </c>
      <c r="C298" s="39" t="s">
        <v>303</v>
      </c>
      <c r="D298" s="39" t="s">
        <v>303</v>
      </c>
    </row>
    <row r="299" spans="1:4" ht="14.4">
      <c r="A299" s="98">
        <v>2100</v>
      </c>
      <c r="B299" s="39" t="s">
        <v>798</v>
      </c>
      <c r="C299" s="39" t="s">
        <v>303</v>
      </c>
      <c r="D299" s="39" t="s">
        <v>303</v>
      </c>
    </row>
    <row r="300" spans="1:4" ht="14.4">
      <c r="A300" s="98">
        <v>2200</v>
      </c>
      <c r="B300" s="39" t="s">
        <v>798</v>
      </c>
      <c r="C300" s="39" t="s">
        <v>303</v>
      </c>
      <c r="D300" s="39" t="s">
        <v>303</v>
      </c>
    </row>
    <row r="301" spans="1:4" ht="14.4">
      <c r="A301" s="98">
        <v>2300</v>
      </c>
      <c r="B301" s="39" t="s">
        <v>798</v>
      </c>
      <c r="C301" s="39" t="s">
        <v>303</v>
      </c>
      <c r="D301" s="39" t="s">
        <v>303</v>
      </c>
    </row>
    <row r="302" spans="1:4" ht="14.4">
      <c r="A302" s="98">
        <v>2400</v>
      </c>
      <c r="B302" s="39" t="s">
        <v>798</v>
      </c>
      <c r="C302" s="39" t="s">
        <v>303</v>
      </c>
      <c r="D302" s="39" t="s">
        <v>303</v>
      </c>
    </row>
    <row r="303" spans="1:4" ht="14.4">
      <c r="A303" s="98">
        <v>2500</v>
      </c>
      <c r="B303" s="39" t="s">
        <v>798</v>
      </c>
      <c r="C303" s="39" t="s">
        <v>303</v>
      </c>
      <c r="D303" s="39" t="s">
        <v>303</v>
      </c>
    </row>
    <row r="304" spans="1:4" ht="14.4">
      <c r="A304" s="98">
        <v>2600</v>
      </c>
      <c r="B304" s="39" t="s">
        <v>798</v>
      </c>
      <c r="C304" s="39" t="s">
        <v>303</v>
      </c>
      <c r="D304" s="39" t="s">
        <v>303</v>
      </c>
    </row>
    <row r="305" spans="1:4" ht="14.4">
      <c r="A305" s="98">
        <v>2700</v>
      </c>
      <c r="B305" s="39" t="s">
        <v>798</v>
      </c>
      <c r="C305" s="39" t="s">
        <v>303</v>
      </c>
      <c r="D305" s="39" t="s">
        <v>303</v>
      </c>
    </row>
    <row r="306" spans="1:4" ht="14.4">
      <c r="A306" s="98">
        <v>2800</v>
      </c>
      <c r="B306" s="39" t="s">
        <v>798</v>
      </c>
      <c r="C306" s="39" t="s">
        <v>303</v>
      </c>
      <c r="D306" s="39" t="s">
        <v>303</v>
      </c>
    </row>
    <row r="307" spans="1:4" ht="14.4">
      <c r="A307" s="98">
        <v>2900</v>
      </c>
      <c r="B307" s="39" t="s">
        <v>798</v>
      </c>
      <c r="C307" s="39" t="s">
        <v>303</v>
      </c>
      <c r="D307" s="39" t="s">
        <v>303</v>
      </c>
    </row>
    <row r="308" spans="1:4" ht="14.4">
      <c r="A308" s="98">
        <v>3000</v>
      </c>
      <c r="B308" s="39" t="s">
        <v>798</v>
      </c>
      <c r="C308" s="39" t="s">
        <v>303</v>
      </c>
      <c r="D308" s="39" t="s">
        <v>303</v>
      </c>
    </row>
    <row r="309" spans="1:4" ht="14.4">
      <c r="A309" s="98">
        <v>3100</v>
      </c>
      <c r="B309" s="39" t="s">
        <v>798</v>
      </c>
      <c r="C309" s="39" t="s">
        <v>303</v>
      </c>
      <c r="D309" s="39" t="s">
        <v>303</v>
      </c>
    </row>
    <row r="310" spans="1:4" ht="14.4">
      <c r="A310" s="98">
        <v>3200</v>
      </c>
      <c r="B310" s="39" t="s">
        <v>798</v>
      </c>
      <c r="C310" s="39" t="s">
        <v>303</v>
      </c>
      <c r="D310" s="39" t="s">
        <v>303</v>
      </c>
    </row>
    <row r="311" spans="1:4" ht="14.4">
      <c r="A311" s="98">
        <v>3300</v>
      </c>
      <c r="B311" s="39" t="s">
        <v>798</v>
      </c>
      <c r="C311" s="39" t="s">
        <v>303</v>
      </c>
      <c r="D311" s="39" t="s">
        <v>303</v>
      </c>
    </row>
    <row r="312" spans="1:4" ht="14.4">
      <c r="A312" s="98">
        <v>3400</v>
      </c>
      <c r="B312" s="39" t="s">
        <v>798</v>
      </c>
      <c r="C312" s="39" t="s">
        <v>303</v>
      </c>
      <c r="D312" s="39" t="s">
        <v>303</v>
      </c>
    </row>
    <row r="313" spans="1:4" ht="14.4">
      <c r="A313" s="98">
        <v>3500</v>
      </c>
      <c r="B313" s="39" t="s">
        <v>798</v>
      </c>
      <c r="C313" s="39" t="s">
        <v>303</v>
      </c>
      <c r="D313" s="39" t="s">
        <v>303</v>
      </c>
    </row>
    <row r="314" spans="1:4" ht="14.4">
      <c r="A314" s="98">
        <v>3600</v>
      </c>
      <c r="B314" s="39" t="s">
        <v>798</v>
      </c>
      <c r="C314" s="39" t="s">
        <v>303</v>
      </c>
      <c r="D314" s="39" t="s">
        <v>303</v>
      </c>
    </row>
    <row r="315" spans="1:4" ht="14.4">
      <c r="A315" s="98">
        <v>3700</v>
      </c>
      <c r="B315" s="39" t="s">
        <v>798</v>
      </c>
      <c r="C315" s="39" t="s">
        <v>303</v>
      </c>
      <c r="D315" s="39" t="s">
        <v>303</v>
      </c>
    </row>
    <row r="318" spans="1:4" ht="13.2">
      <c r="A318" s="306" t="s">
        <v>324</v>
      </c>
      <c r="B318" s="306"/>
      <c r="C318" s="306"/>
      <c r="D318" s="306"/>
    </row>
    <row r="319" spans="1:4" ht="14.4">
      <c r="A319" s="98" t="s">
        <v>262</v>
      </c>
      <c r="B319" s="98">
        <v>0</v>
      </c>
      <c r="C319" s="98">
        <v>690</v>
      </c>
      <c r="D319" s="98">
        <v>5000</v>
      </c>
    </row>
    <row r="320" spans="1:4" ht="14.4">
      <c r="A320" s="98">
        <v>0</v>
      </c>
      <c r="B320" s="39" t="s">
        <v>798</v>
      </c>
      <c r="C320" s="39" t="s">
        <v>325</v>
      </c>
      <c r="D320" s="39" t="s">
        <v>325</v>
      </c>
    </row>
    <row r="321" spans="1:4" ht="14.4">
      <c r="A321" s="98">
        <v>780</v>
      </c>
      <c r="B321" s="39" t="s">
        <v>798</v>
      </c>
      <c r="C321" s="39" t="s">
        <v>325</v>
      </c>
      <c r="D321" s="39" t="s">
        <v>325</v>
      </c>
    </row>
    <row r="322" spans="1:4" ht="14.4">
      <c r="A322" s="98">
        <v>880</v>
      </c>
      <c r="B322" s="39" t="s">
        <v>798</v>
      </c>
      <c r="C322" s="39" t="s">
        <v>325</v>
      </c>
      <c r="D322" s="39" t="s">
        <v>325</v>
      </c>
    </row>
    <row r="323" spans="1:4" ht="14.4">
      <c r="A323" s="98">
        <v>980</v>
      </c>
      <c r="B323" s="39" t="s">
        <v>798</v>
      </c>
      <c r="C323" s="39" t="s">
        <v>325</v>
      </c>
      <c r="D323" s="39" t="s">
        <v>325</v>
      </c>
    </row>
    <row r="324" spans="1:4" ht="14.4">
      <c r="A324" s="98">
        <v>1080</v>
      </c>
      <c r="B324" s="39" t="s">
        <v>798</v>
      </c>
      <c r="C324" s="39" t="s">
        <v>325</v>
      </c>
      <c r="D324" s="39" t="s">
        <v>325</v>
      </c>
    </row>
    <row r="325" spans="1:4" ht="14.4">
      <c r="A325" s="98">
        <v>1180</v>
      </c>
      <c r="B325" s="39" t="s">
        <v>798</v>
      </c>
      <c r="C325" s="39" t="s">
        <v>325</v>
      </c>
      <c r="D325" s="39" t="s">
        <v>325</v>
      </c>
    </row>
    <row r="326" spans="1:4" ht="14.4">
      <c r="A326" s="98">
        <v>1280</v>
      </c>
      <c r="B326" s="39" t="s">
        <v>798</v>
      </c>
      <c r="C326" s="39" t="s">
        <v>325</v>
      </c>
      <c r="D326" s="39" t="s">
        <v>325</v>
      </c>
    </row>
    <row r="327" spans="1:4" ht="14.4">
      <c r="A327" s="98">
        <v>1380</v>
      </c>
      <c r="B327" s="39" t="s">
        <v>798</v>
      </c>
      <c r="C327" s="39" t="s">
        <v>325</v>
      </c>
      <c r="D327" s="39" t="s">
        <v>325</v>
      </c>
    </row>
    <row r="328" spans="1:4" ht="14.4">
      <c r="A328" s="98">
        <v>1480</v>
      </c>
      <c r="B328" s="39" t="s">
        <v>798</v>
      </c>
      <c r="C328" s="39" t="s">
        <v>325</v>
      </c>
      <c r="D328" s="39" t="s">
        <v>325</v>
      </c>
    </row>
    <row r="329" spans="1:4" ht="14.4">
      <c r="A329" s="98">
        <v>1580</v>
      </c>
      <c r="B329" s="39" t="s">
        <v>798</v>
      </c>
      <c r="C329" s="39" t="s">
        <v>325</v>
      </c>
      <c r="D329" s="39" t="s">
        <v>325</v>
      </c>
    </row>
    <row r="330" spans="1:4" ht="14.4">
      <c r="A330" s="98">
        <v>1680</v>
      </c>
      <c r="B330" s="39" t="s">
        <v>798</v>
      </c>
      <c r="C330" s="39" t="s">
        <v>325</v>
      </c>
      <c r="D330" s="39" t="s">
        <v>325</v>
      </c>
    </row>
    <row r="331" spans="1:4" ht="14.4">
      <c r="A331" s="98">
        <v>1780</v>
      </c>
      <c r="B331" s="39" t="s">
        <v>798</v>
      </c>
      <c r="C331" s="39" t="s">
        <v>325</v>
      </c>
      <c r="D331" s="39" t="s">
        <v>325</v>
      </c>
    </row>
    <row r="332" spans="1:4" ht="14.4">
      <c r="A332" s="98">
        <v>1880</v>
      </c>
      <c r="B332" s="39" t="s">
        <v>798</v>
      </c>
      <c r="C332" s="39" t="s">
        <v>325</v>
      </c>
      <c r="D332" s="39" t="s">
        <v>325</v>
      </c>
    </row>
    <row r="333" spans="1:4" ht="14.4">
      <c r="A333" s="98">
        <v>1980</v>
      </c>
      <c r="B333" s="39" t="s">
        <v>798</v>
      </c>
      <c r="C333" s="39" t="s">
        <v>325</v>
      </c>
      <c r="D333" s="39" t="s">
        <v>325</v>
      </c>
    </row>
    <row r="334" spans="1:4" ht="14.4">
      <c r="A334" s="98">
        <v>2080</v>
      </c>
      <c r="B334" s="39" t="s">
        <v>798</v>
      </c>
      <c r="C334" s="39" t="s">
        <v>325</v>
      </c>
      <c r="D334" s="39" t="s">
        <v>325</v>
      </c>
    </row>
    <row r="335" spans="1:4" ht="14.4">
      <c r="A335" s="98">
        <v>2180</v>
      </c>
      <c r="B335" s="39" t="s">
        <v>798</v>
      </c>
      <c r="C335" s="39" t="s">
        <v>325</v>
      </c>
      <c r="D335" s="39" t="s">
        <v>325</v>
      </c>
    </row>
    <row r="336" spans="1:4" ht="14.4">
      <c r="A336" s="98">
        <v>2280</v>
      </c>
      <c r="B336" s="39" t="s">
        <v>798</v>
      </c>
      <c r="C336" s="39" t="s">
        <v>325</v>
      </c>
      <c r="D336" s="39" t="s">
        <v>325</v>
      </c>
    </row>
    <row r="337" spans="1:4" ht="14.4">
      <c r="A337" s="98">
        <v>2380</v>
      </c>
      <c r="B337" s="39" t="s">
        <v>798</v>
      </c>
      <c r="C337" s="39" t="s">
        <v>325</v>
      </c>
      <c r="D337" s="39" t="s">
        <v>325</v>
      </c>
    </row>
    <row r="338" spans="1:4" ht="14.4">
      <c r="A338" s="98">
        <v>2480</v>
      </c>
      <c r="B338" s="39" t="s">
        <v>798</v>
      </c>
      <c r="C338" s="39" t="s">
        <v>325</v>
      </c>
      <c r="D338" s="39" t="s">
        <v>325</v>
      </c>
    </row>
    <row r="339" spans="1:4" ht="14.4">
      <c r="A339" s="98">
        <v>2580</v>
      </c>
      <c r="B339" s="39" t="s">
        <v>798</v>
      </c>
      <c r="C339" s="39" t="s">
        <v>325</v>
      </c>
      <c r="D339" s="39" t="s">
        <v>325</v>
      </c>
    </row>
    <row r="340" spans="1:4" ht="14.4">
      <c r="A340" s="98">
        <v>2680</v>
      </c>
      <c r="B340" s="39" t="s">
        <v>798</v>
      </c>
      <c r="C340" s="39" t="s">
        <v>325</v>
      </c>
      <c r="D340" s="39" t="s">
        <v>325</v>
      </c>
    </row>
    <row r="341" spans="1:4" ht="14.4">
      <c r="A341" s="98">
        <v>2780</v>
      </c>
      <c r="B341" s="39" t="s">
        <v>798</v>
      </c>
      <c r="C341" s="39" t="s">
        <v>325</v>
      </c>
      <c r="D341" s="39" t="s">
        <v>325</v>
      </c>
    </row>
    <row r="342" spans="1:4" ht="14.4">
      <c r="A342" s="98">
        <v>2880</v>
      </c>
      <c r="B342" s="39" t="s">
        <v>798</v>
      </c>
      <c r="C342" s="39" t="s">
        <v>325</v>
      </c>
      <c r="D342" s="39" t="s">
        <v>325</v>
      </c>
    </row>
    <row r="343" spans="1:4" ht="14.4">
      <c r="A343" s="98">
        <v>2980</v>
      </c>
      <c r="B343" s="39" t="s">
        <v>798</v>
      </c>
      <c r="C343" s="39" t="s">
        <v>325</v>
      </c>
      <c r="D343" s="39" t="s">
        <v>325</v>
      </c>
    </row>
    <row r="346" spans="1:34" ht="13.2">
      <c r="A346" s="310" t="s">
        <v>267</v>
      </c>
      <c r="B346" s="311"/>
      <c r="C346" s="311"/>
      <c r="D346" s="311"/>
      <c r="E346" s="311"/>
      <c r="F346" s="311"/>
      <c r="G346" s="311"/>
      <c r="H346" s="311"/>
      <c r="I346" s="311"/>
      <c r="J346" s="311"/>
      <c r="K346" s="311"/>
      <c r="L346" s="311"/>
      <c r="M346" s="311"/>
      <c r="N346" s="311"/>
      <c r="O346" s="311"/>
      <c r="P346" s="311"/>
      <c r="Q346" s="311"/>
      <c r="R346" s="311"/>
      <c r="S346" s="311"/>
      <c r="T346" s="311"/>
      <c r="U346" s="311"/>
      <c r="V346" s="311"/>
      <c r="W346" s="311"/>
      <c r="X346" s="311"/>
      <c r="Y346" s="311"/>
      <c r="Z346" s="311"/>
      <c r="AA346" s="311"/>
      <c r="AB346" s="311"/>
      <c r="AC346" s="311"/>
      <c r="AD346" s="311"/>
      <c r="AE346" s="311"/>
      <c r="AF346" s="311"/>
      <c r="AG346" s="311"/>
      <c r="AH346" s="311"/>
    </row>
    <row r="347" spans="1:34" ht="14.4">
      <c r="A347" s="78" t="s">
        <v>262</v>
      </c>
      <c r="B347" s="78">
        <v>0</v>
      </c>
      <c r="C347" s="79">
        <v>800</v>
      </c>
      <c r="D347" s="77">
        <v>900</v>
      </c>
      <c r="E347" s="77">
        <v>1000</v>
      </c>
      <c r="F347" s="77">
        <v>1100</v>
      </c>
      <c r="G347" s="77">
        <v>1200</v>
      </c>
      <c r="H347" s="77">
        <v>1300</v>
      </c>
      <c r="I347" s="77">
        <v>1400</v>
      </c>
      <c r="J347" s="77">
        <v>1500</v>
      </c>
      <c r="K347" s="77">
        <v>1600</v>
      </c>
      <c r="L347" s="77">
        <v>1700</v>
      </c>
      <c r="M347" s="77">
        <v>1800</v>
      </c>
      <c r="N347" s="77">
        <v>1900</v>
      </c>
      <c r="O347" s="77">
        <v>2000</v>
      </c>
      <c r="P347" s="77">
        <v>2100</v>
      </c>
      <c r="Q347" s="77">
        <v>2200</v>
      </c>
      <c r="R347" s="77">
        <v>2300</v>
      </c>
      <c r="S347" s="77">
        <v>2400</v>
      </c>
      <c r="T347" s="77">
        <v>2500</v>
      </c>
      <c r="U347" s="77">
        <v>2600</v>
      </c>
      <c r="V347" s="77">
        <v>2700</v>
      </c>
      <c r="W347" s="77">
        <v>2800</v>
      </c>
      <c r="X347" s="77">
        <v>2900</v>
      </c>
      <c r="Y347" s="77">
        <v>3000</v>
      </c>
      <c r="Z347" s="77">
        <v>3100</v>
      </c>
      <c r="AA347" s="77">
        <v>3200</v>
      </c>
      <c r="AB347" s="77">
        <v>3300</v>
      </c>
      <c r="AC347" s="77">
        <v>3400</v>
      </c>
      <c r="AD347" s="77">
        <v>3500</v>
      </c>
      <c r="AE347" s="77">
        <v>3600</v>
      </c>
      <c r="AF347" s="77">
        <v>3700</v>
      </c>
      <c r="AG347" s="77">
        <v>3800</v>
      </c>
      <c r="AH347" s="77">
        <v>3900</v>
      </c>
    </row>
    <row r="348" spans="1:34" ht="14.4">
      <c r="A348" s="86">
        <v>0</v>
      </c>
      <c r="B348" s="39" t="s">
        <v>263</v>
      </c>
      <c r="C348" s="39" t="str">
        <f t="shared" si="78" ref="C348:C371">IF(((($C$347)*(A348))/1000000*7.5)&lt;16,"L10 ODS Motor",IF(((($C$347)*(A348))/1000000*7.5)&lt;=32,"T20 ODS Motor","T35 ODS Motor"))</f>
        <v>L10 ODS Motor</v>
      </c>
      <c r="D348" s="39" t="str">
        <f t="shared" si="79" ref="D348:D371">IF(((($D$347)*(A348))/1000000*7.5)&lt;16,"L10 ODS Motor",IF(((($D$347)*(A348))/1000000*7.5)&lt;=32,"T20 ODS Motor","T35 ODS Motor"))</f>
        <v>L10 ODS Motor</v>
      </c>
      <c r="E348" s="39" t="str">
        <f t="shared" si="80" ref="E348:E371">IF(((($E$347)*(A348))/1000000*7.5)&lt;16,"L10 ODS Motor",IF(((($E$347)*(A348))/1000000*7.5)&lt;=32,"T20 ODS Motor","T35 ODS Motor"))</f>
        <v>L10 ODS Motor</v>
      </c>
      <c r="F348" s="39" t="str">
        <f t="shared" si="81" ref="F348:F371">IF(((($F$347)*(A348))/1000000*7.5)&lt;16,"L10 ODS Motor",IF(((($F$347)*(A348))/1000000*7.5)&lt;=32,"T20 ODS Motor","T35 ODS Motor"))</f>
        <v>L10 ODS Motor</v>
      </c>
      <c r="G348" s="39" t="str">
        <f t="shared" si="82" ref="G348:G371">IF(((($G$347)*(A348))/1000000*7.5)&lt;16,"L10 ODS Motor",IF(((($G$347)*(A348))/1000000*7.5)&lt;=32,"T20 ODS Motor","T35 ODS Motor"))</f>
        <v>L10 ODS Motor</v>
      </c>
      <c r="H348" s="39" t="str">
        <f t="shared" si="83" ref="H348:H371">IF(((($H$347)*(A348))/1000000*7.5)&lt;16,"L10 ODS Motor",IF(((($H$347)*(A348))/1000000*7.5)&lt;=32,"T20 ODS Motor","T35 ODS Motor"))</f>
        <v>L10 ODS Motor</v>
      </c>
      <c r="I348" s="39" t="str">
        <f t="shared" si="84" ref="I348:I371">IF(((($I$347)*(A348))/1000000*7.5)&lt;16,"L10 ODS Motor",IF(((($I$347)*(A348))/1000000*7.5)&lt;=32,"T20 ODS Motor","T35 ODS Motor"))</f>
        <v>L10 ODS Motor</v>
      </c>
      <c r="J348" s="39" t="str">
        <f t="shared" si="85" ref="J348:J371">IF(((($J$347)*(A348))/1000000*7.5)&lt;16,"L10 ODS Motor",IF(((($J$347)*(A348))/1000000*7.5)&lt;=32,"T20 ODS Motor","T35 ODS Motor"))</f>
        <v>L10 ODS Motor</v>
      </c>
      <c r="K348" s="39" t="str">
        <f t="shared" si="86" ref="K348:K371">IF(((($K$347)*(A348))/1000000*7.5)&lt;16,"L10 ODS Motor",IF(((($K$347)*(A348))/1000000*7.5)&lt;=32,"T20 ODS Motor","T35 ODS Motor"))</f>
        <v>L10 ODS Motor</v>
      </c>
      <c r="L348" s="39" t="str">
        <f t="shared" si="87" ref="L348:L371">IF(((($L$347)*(A348))/1000000*7.5)&lt;16,"L10 ODS Motor",IF(((($L$347)*(A348))/1000000*7.5)&lt;=32,"T20 ODS Motor","T35 ODS Motor"))</f>
        <v>L10 ODS Motor</v>
      </c>
      <c r="M348" s="39" t="str">
        <f t="shared" si="88" ref="M348:M371">IF(((($M$347)*(A348))/1000000*7.5)&lt;16,"L10 ODS Motor",IF(((($M$347)*(A348))/1000000*7.5)&lt;=32,"T20 ODS Motor","T35 ODS Motor"))</f>
        <v>L10 ODS Motor</v>
      </c>
      <c r="N348" s="39" t="str">
        <f t="shared" si="89" ref="N348:N371">IF(((($N$347)*(A348))/1000000*7.5)&lt;16,"L10 ODS Motor",IF(((($N$347)*(A348))/1000000*7.5)&lt;=32,"T20 ODS Motor","T35 ODS Motor"))</f>
        <v>L10 ODS Motor</v>
      </c>
      <c r="O348" s="39" t="str">
        <f t="shared" si="90" ref="O348:O371">IF(((($O$347)*(A348))/1000000*7.5)&lt;16,"L10 ODS Motor",IF(((($O$347)*(A348))/1000000*7.5)&lt;=32,"T20 ODS Motor","T35 ODS Motor"))</f>
        <v>L10 ODS Motor</v>
      </c>
      <c r="P348" s="39" t="str">
        <f t="shared" si="91" ref="P348:P371">IF(((($P$347)*(A348))/1000000*7.5)&lt;16,"L10 ODS Motor",IF(((($P$347)*(A348))/1000000*7.5)&lt;=32,"T20 ODS Motor","T35 ODS Motor"))</f>
        <v>L10 ODS Motor</v>
      </c>
      <c r="Q348" s="39" t="str">
        <f t="shared" si="92" ref="Q348:Q371">IF(((($Q$347)*(A348))/1000000*7.5)&lt;16,"L10 ODS Motor",IF(((($Q$347)*(A348))/1000000*7.5)&lt;=32,"T20 ODS Motor","T35 ODS Motor"))</f>
        <v>L10 ODS Motor</v>
      </c>
      <c r="R348" s="39" t="str">
        <f t="shared" si="93" ref="R348:R371">IF(((($R$347)*(A348))/1000000*7.5)&lt;16,"L10 ODS Motor",IF(((($R$347)*(A348))/1000000*7.5)&lt;=32,"T20 ODS Motor","T35 ODS Motor"))</f>
        <v>L10 ODS Motor</v>
      </c>
      <c r="S348" s="39" t="str">
        <f t="shared" si="94" ref="S348:S371">IF(((($S$347)*(A348))/1000000*7.5)&lt;16,"L10 ODS Motor",IF(((($S$347)*(A348))/1000000*7.5)&lt;=32,"T20 ODS Motor","T35 ODS Motor"))</f>
        <v>L10 ODS Motor</v>
      </c>
      <c r="T348" s="39" t="str">
        <f t="shared" si="95" ref="T348:T371">IF(((($T$347)*(A348))/1000000*7.5)&lt;16,"L10 ODS Motor",IF(((($T$347)*(A348))/1000000*7.5)&lt;=32,"T20 ODS Motor","T35 ODS Motor"))</f>
        <v>L10 ODS Motor</v>
      </c>
      <c r="U348" s="39" t="str">
        <f t="shared" si="96" ref="U348:U371">IF(((($U$347)*(A348))/1000000*7.5)&lt;16,"L10 ODS Motor",IF(((($U$347)*(A348))/1000000*7.5)&lt;=32,"T20 ODS Motor","T35 ODS Motor"))</f>
        <v>L10 ODS Motor</v>
      </c>
      <c r="V348" s="39" t="str">
        <f t="shared" si="97" ref="V348:V371">IF(((($V$347)*(A348))/1000000*7.5)&lt;16,"L10 ODS Motor",IF(((($V$347)*(A348))/1000000*7.5)&lt;=32,"T20 ODS Motor","T35 ODS Motor"))</f>
        <v>L10 ODS Motor</v>
      </c>
      <c r="W348" s="39" t="str">
        <f t="shared" si="98" ref="W348:W371">IF(((($W$347)*(A348))/1000000*7.5)&lt;16,"L10 ODS Motor",IF(((($W$347)*(A348))/1000000*7.5)&lt;=32,"T20 ODS Motor","T35 ODS Motor"))</f>
        <v>L10 ODS Motor</v>
      </c>
      <c r="X348" s="39" t="str">
        <f t="shared" si="99" ref="X348:X371">IF(((($X$347)*(A348))/1000000*7.5)&lt;16,"L10 ODS Motor",IF(((($X$347)*(A348))/1000000*7.5)&lt;=32,"T20 ODS Motor","T35 ODS Motor"))</f>
        <v>L10 ODS Motor</v>
      </c>
      <c r="Y348" s="39" t="str">
        <f t="shared" si="100" ref="Y348:Y371">IF(((($Y$347)*(A348))/1000000*7.5)&lt;16,"L10 ODS Motor",IF(((($Y$347)*(A348))/1000000*7.5)&lt;=32,"T20 ODS Motor","T35 ODS Motor"))</f>
        <v>L10 ODS Motor</v>
      </c>
      <c r="Z348" s="39" t="str">
        <f t="shared" si="101" ref="Z348:Z371">IF(((($Z$347)*(A348))/1000000*7.5)&lt;16,"L10 ODS Motor",IF(((($Z$347)*(A348))/1000000*7.5)&lt;=32,"T20 ODS Motor","T35 ODS Motor"))</f>
        <v>L10 ODS Motor</v>
      </c>
      <c r="AA348" s="39" t="str">
        <f t="shared" si="102" ref="AA348:AA371">IF(((($AA$347)*(A348))/1000000*7.5)&lt;16,"L10 ODS Motor",IF(((($AA$347)*(A348))/1000000*7.5)&lt;=32,"T20 ODS Motor","T35 ODS Motor"))</f>
        <v>L10 ODS Motor</v>
      </c>
      <c r="AB348" s="39" t="str">
        <f t="shared" si="103" ref="AB348:AB371">IF(((($AB$347)*(A348))/1000000*7.5)&lt;16,"L10 ODS Motor",IF(((($AB$347)*(A348))/1000000*7.5)&lt;=32,"T20 ODS Motor","T35 ODS Motor"))</f>
        <v>L10 ODS Motor</v>
      </c>
      <c r="AC348" s="39" t="str">
        <f t="shared" si="104" ref="AC348:AC371">IF(((($AC$347)*(A348))/1000000*7.5)&lt;16,"L10 ODS Motor",IF(((($AC$347)*(A348))/1000000*7.5)&lt;=32,"T20 ODS Motor","T35 ODS Motor"))</f>
        <v>L10 ODS Motor</v>
      </c>
      <c r="AD348" s="39" t="str">
        <f t="shared" si="105" ref="AD348:AD371">IF(((($AD$347)*(A348))/1000000*7.5)&lt;16,"L10 ODS Motor",IF(((($AD$347)*(A348))/1000000*7.5)&lt;=32,"T20 ODS Motor","T35 ODS Motor"))</f>
        <v>L10 ODS Motor</v>
      </c>
      <c r="AE348" s="39" t="str">
        <f t="shared" si="106" ref="AE348:AE371">IF(((($AE$347)*(A348))/1000000*7.5)&lt;16,"L10 ODS Motor",IF(((($AE$347)*(A348))/1000000*7.5)&lt;=32,"T20 ODS Motor","T35 ODS Motor"))</f>
        <v>L10 ODS Motor</v>
      </c>
      <c r="AF348" s="39" t="str">
        <f t="shared" si="107" ref="AF348:AF371">IF(((($AF$347)*(A348))/1000000*7.5)&lt;16,"L10 ODS Motor",IF(((($AF$347)*(A348))/1000000*7.5)&lt;=32,"T20 ODS Motor","T35 ODS Motor"))</f>
        <v>L10 ODS Motor</v>
      </c>
      <c r="AG348" s="39" t="str">
        <f t="shared" si="108" ref="AG348:AG371">IF(((($AG$347)*(A348))/1000000*7.5)&lt;16,"L10 ODS Motor",IF(((($AG$347)*(A348))/1000000*7.5)&lt;=32,"T20 ODS Motor","T35 ODS Motor"))</f>
        <v>L10 ODS Motor</v>
      </c>
      <c r="AH348" s="39" t="str">
        <f t="shared" si="109" ref="AH348:AH371">IF(((($AH$347)*(A348))/1000000*7.5)&lt;16,"L10 ODS Motor",IF(((($AH$347)*(A348))/1000000*7.5)&lt;=32,"T20 ODS Motor","T35 ODS Motor"))</f>
        <v>L10 ODS Motor</v>
      </c>
    </row>
    <row r="349" spans="1:34" ht="14.4">
      <c r="A349" s="84">
        <v>780</v>
      </c>
      <c r="B349" s="39" t="s">
        <v>263</v>
      </c>
      <c r="C349" s="39" t="str">
        <f t="shared" si="78"/>
        <v>L10 ODS Motor</v>
      </c>
      <c r="D349" s="39" t="str">
        <f t="shared" si="79"/>
        <v>L10 ODS Motor</v>
      </c>
      <c r="E349" s="39" t="str">
        <f t="shared" si="80"/>
        <v>L10 ODS Motor</v>
      </c>
      <c r="F349" s="39" t="str">
        <f t="shared" si="81"/>
        <v>L10 ODS Motor</v>
      </c>
      <c r="G349" s="39" t="str">
        <f t="shared" si="82"/>
        <v>L10 ODS Motor</v>
      </c>
      <c r="H349" s="39" t="str">
        <f t="shared" si="83"/>
        <v>L10 ODS Motor</v>
      </c>
      <c r="I349" s="39" t="str">
        <f t="shared" si="84"/>
        <v>L10 ODS Motor</v>
      </c>
      <c r="J349" s="39" t="str">
        <f t="shared" si="85"/>
        <v>L10 ODS Motor</v>
      </c>
      <c r="K349" s="39" t="str">
        <f t="shared" si="86"/>
        <v>L10 ODS Motor</v>
      </c>
      <c r="L349" s="39" t="str">
        <f t="shared" si="87"/>
        <v>L10 ODS Motor</v>
      </c>
      <c r="M349" s="39" t="str">
        <f t="shared" si="88"/>
        <v>L10 ODS Motor</v>
      </c>
      <c r="N349" s="39" t="str">
        <f t="shared" si="89"/>
        <v>L10 ODS Motor</v>
      </c>
      <c r="O349" s="39" t="str">
        <f t="shared" si="90"/>
        <v>L10 ODS Motor</v>
      </c>
      <c r="P349" s="39" t="str">
        <f t="shared" si="91"/>
        <v>L10 ODS Motor</v>
      </c>
      <c r="Q349" s="39" t="str">
        <f t="shared" si="92"/>
        <v>L10 ODS Motor</v>
      </c>
      <c r="R349" s="39" t="str">
        <f t="shared" si="93"/>
        <v>L10 ODS Motor</v>
      </c>
      <c r="S349" s="39" t="str">
        <f t="shared" si="94"/>
        <v>L10 ODS Motor</v>
      </c>
      <c r="T349" s="39" t="str">
        <f t="shared" si="95"/>
        <v>L10 ODS Motor</v>
      </c>
      <c r="U349" s="39" t="str">
        <f t="shared" si="96"/>
        <v>L10 ODS Motor</v>
      </c>
      <c r="V349" s="39" t="str">
        <f t="shared" si="97"/>
        <v>L10 ODS Motor</v>
      </c>
      <c r="W349" s="39" t="str">
        <f t="shared" si="98"/>
        <v>T20 ODS Motor</v>
      </c>
      <c r="X349" s="39" t="str">
        <f t="shared" si="99"/>
        <v>T20 ODS Motor</v>
      </c>
      <c r="Y349" s="39" t="str">
        <f t="shared" si="100"/>
        <v>T20 ODS Motor</v>
      </c>
      <c r="Z349" s="39" t="str">
        <f t="shared" si="101"/>
        <v>T20 ODS Motor</v>
      </c>
      <c r="AA349" s="39" t="str">
        <f t="shared" si="102"/>
        <v>T20 ODS Motor</v>
      </c>
      <c r="AB349" s="39" t="str">
        <f t="shared" si="103"/>
        <v>T20 ODS Motor</v>
      </c>
      <c r="AC349" s="39" t="str">
        <f t="shared" si="104"/>
        <v>T20 ODS Motor</v>
      </c>
      <c r="AD349" s="39" t="str">
        <f t="shared" si="105"/>
        <v>T20 ODS Motor</v>
      </c>
      <c r="AE349" s="39" t="str">
        <f t="shared" si="106"/>
        <v>T20 ODS Motor</v>
      </c>
      <c r="AF349" s="39" t="str">
        <f t="shared" si="107"/>
        <v>T20 ODS Motor</v>
      </c>
      <c r="AG349" s="39" t="str">
        <f t="shared" si="108"/>
        <v>T20 ODS Motor</v>
      </c>
      <c r="AH349" s="39" t="str">
        <f t="shared" si="109"/>
        <v>T20 ODS Motor</v>
      </c>
    </row>
    <row r="350" spans="1:34" ht="14.4">
      <c r="A350" s="84">
        <v>880</v>
      </c>
      <c r="B350" s="39" t="s">
        <v>263</v>
      </c>
      <c r="C350" s="39" t="str">
        <f t="shared" si="78"/>
        <v>L10 ODS Motor</v>
      </c>
      <c r="D350" s="39" t="str">
        <f t="shared" si="79"/>
        <v>L10 ODS Motor</v>
      </c>
      <c r="E350" s="39" t="str">
        <f t="shared" si="80"/>
        <v>L10 ODS Motor</v>
      </c>
      <c r="F350" s="39" t="str">
        <f t="shared" si="81"/>
        <v>L10 ODS Motor</v>
      </c>
      <c r="G350" s="39" t="str">
        <f t="shared" si="82"/>
        <v>L10 ODS Motor</v>
      </c>
      <c r="H350" s="39" t="str">
        <f t="shared" si="83"/>
        <v>L10 ODS Motor</v>
      </c>
      <c r="I350" s="39" t="str">
        <f t="shared" si="84"/>
        <v>L10 ODS Motor</v>
      </c>
      <c r="J350" s="39" t="str">
        <f t="shared" si="85"/>
        <v>L10 ODS Motor</v>
      </c>
      <c r="K350" s="39" t="str">
        <f t="shared" si="86"/>
        <v>L10 ODS Motor</v>
      </c>
      <c r="L350" s="39" t="str">
        <f t="shared" si="87"/>
        <v>L10 ODS Motor</v>
      </c>
      <c r="M350" s="39" t="str">
        <f t="shared" si="88"/>
        <v>L10 ODS Motor</v>
      </c>
      <c r="N350" s="39" t="str">
        <f t="shared" si="89"/>
        <v>L10 ODS Motor</v>
      </c>
      <c r="O350" s="39" t="str">
        <f t="shared" si="90"/>
        <v>L10 ODS Motor</v>
      </c>
      <c r="P350" s="39" t="str">
        <f t="shared" si="91"/>
        <v>L10 ODS Motor</v>
      </c>
      <c r="Q350" s="39" t="str">
        <f t="shared" si="92"/>
        <v>L10 ODS Motor</v>
      </c>
      <c r="R350" s="39" t="str">
        <f t="shared" si="93"/>
        <v>L10 ODS Motor</v>
      </c>
      <c r="S350" s="39" t="str">
        <f t="shared" si="94"/>
        <v>L10 ODS Motor</v>
      </c>
      <c r="T350" s="39" t="str">
        <f t="shared" si="95"/>
        <v>T20 ODS Motor</v>
      </c>
      <c r="U350" s="39" t="str">
        <f t="shared" si="96"/>
        <v>T20 ODS Motor</v>
      </c>
      <c r="V350" s="39" t="str">
        <f t="shared" si="97"/>
        <v>T20 ODS Motor</v>
      </c>
      <c r="W350" s="39" t="str">
        <f t="shared" si="98"/>
        <v>T20 ODS Motor</v>
      </c>
      <c r="X350" s="39" t="str">
        <f t="shared" si="99"/>
        <v>T20 ODS Motor</v>
      </c>
      <c r="Y350" s="39" t="str">
        <f t="shared" si="100"/>
        <v>T20 ODS Motor</v>
      </c>
      <c r="Z350" s="39" t="str">
        <f t="shared" si="101"/>
        <v>T20 ODS Motor</v>
      </c>
      <c r="AA350" s="39" t="str">
        <f t="shared" si="102"/>
        <v>T20 ODS Motor</v>
      </c>
      <c r="AB350" s="39" t="str">
        <f t="shared" si="103"/>
        <v>T20 ODS Motor</v>
      </c>
      <c r="AC350" s="39" t="str">
        <f t="shared" si="104"/>
        <v>T20 ODS Motor</v>
      </c>
      <c r="AD350" s="39" t="str">
        <f t="shared" si="105"/>
        <v>T20 ODS Motor</v>
      </c>
      <c r="AE350" s="39" t="str">
        <f t="shared" si="106"/>
        <v>T20 ODS Motor</v>
      </c>
      <c r="AF350" s="39" t="str">
        <f t="shared" si="107"/>
        <v>T20 ODS Motor</v>
      </c>
      <c r="AG350" s="39" t="str">
        <f t="shared" si="108"/>
        <v>T20 ODS Motor</v>
      </c>
      <c r="AH350" s="39" t="str">
        <f t="shared" si="109"/>
        <v>T20 ODS Motor</v>
      </c>
    </row>
    <row r="351" spans="1:34" ht="14.4">
      <c r="A351" s="84">
        <v>980</v>
      </c>
      <c r="B351" s="39" t="s">
        <v>263</v>
      </c>
      <c r="C351" s="39" t="str">
        <f t="shared" si="78"/>
        <v>L10 ODS Motor</v>
      </c>
      <c r="D351" s="39" t="str">
        <f t="shared" si="79"/>
        <v>L10 ODS Motor</v>
      </c>
      <c r="E351" s="39" t="str">
        <f t="shared" si="80"/>
        <v>L10 ODS Motor</v>
      </c>
      <c r="F351" s="39" t="str">
        <f t="shared" si="81"/>
        <v>L10 ODS Motor</v>
      </c>
      <c r="G351" s="39" t="str">
        <f t="shared" si="82"/>
        <v>L10 ODS Motor</v>
      </c>
      <c r="H351" s="39" t="str">
        <f t="shared" si="83"/>
        <v>L10 ODS Motor</v>
      </c>
      <c r="I351" s="39" t="str">
        <f t="shared" si="84"/>
        <v>L10 ODS Motor</v>
      </c>
      <c r="J351" s="39" t="str">
        <f t="shared" si="85"/>
        <v>L10 ODS Motor</v>
      </c>
      <c r="K351" s="39" t="str">
        <f t="shared" si="86"/>
        <v>L10 ODS Motor</v>
      </c>
      <c r="L351" s="39" t="str">
        <f t="shared" si="87"/>
        <v>L10 ODS Motor</v>
      </c>
      <c r="M351" s="39" t="str">
        <f t="shared" si="88"/>
        <v>L10 ODS Motor</v>
      </c>
      <c r="N351" s="39" t="str">
        <f t="shared" si="89"/>
        <v>L10 ODS Motor</v>
      </c>
      <c r="O351" s="39" t="str">
        <f t="shared" si="90"/>
        <v>L10 ODS Motor</v>
      </c>
      <c r="P351" s="39" t="str">
        <f t="shared" si="91"/>
        <v>L10 ODS Motor</v>
      </c>
      <c r="Q351" s="39" t="str">
        <f t="shared" si="92"/>
        <v>T20 ODS Motor</v>
      </c>
      <c r="R351" s="39" t="str">
        <f t="shared" si="93"/>
        <v>T20 ODS Motor</v>
      </c>
      <c r="S351" s="39" t="str">
        <f t="shared" si="94"/>
        <v>T20 ODS Motor</v>
      </c>
      <c r="T351" s="39" t="str">
        <f t="shared" si="95"/>
        <v>T20 ODS Motor</v>
      </c>
      <c r="U351" s="39" t="str">
        <f t="shared" si="96"/>
        <v>T20 ODS Motor</v>
      </c>
      <c r="V351" s="39" t="str">
        <f t="shared" si="97"/>
        <v>T20 ODS Motor</v>
      </c>
      <c r="W351" s="39" t="str">
        <f t="shared" si="98"/>
        <v>T20 ODS Motor</v>
      </c>
      <c r="X351" s="39" t="str">
        <f t="shared" si="99"/>
        <v>T20 ODS Motor</v>
      </c>
      <c r="Y351" s="39" t="str">
        <f t="shared" si="100"/>
        <v>T20 ODS Motor</v>
      </c>
      <c r="Z351" s="39" t="str">
        <f t="shared" si="101"/>
        <v>T20 ODS Motor</v>
      </c>
      <c r="AA351" s="39" t="str">
        <f t="shared" si="102"/>
        <v>T20 ODS Motor</v>
      </c>
      <c r="AB351" s="39" t="str">
        <f t="shared" si="103"/>
        <v>T20 ODS Motor</v>
      </c>
      <c r="AC351" s="39" t="str">
        <f t="shared" si="104"/>
        <v>T20 ODS Motor</v>
      </c>
      <c r="AD351" s="39" t="str">
        <f t="shared" si="105"/>
        <v>T20 ODS Motor</v>
      </c>
      <c r="AE351" s="39" t="str">
        <f t="shared" si="106"/>
        <v>T20 ODS Motor</v>
      </c>
      <c r="AF351" s="39" t="str">
        <f t="shared" si="107"/>
        <v>T20 ODS Motor</v>
      </c>
      <c r="AG351" s="39" t="str">
        <f t="shared" si="108"/>
        <v>T20 ODS Motor</v>
      </c>
      <c r="AH351" s="39" t="str">
        <f t="shared" si="109"/>
        <v>T20 ODS Motor</v>
      </c>
    </row>
    <row r="352" spans="1:34" ht="14.4">
      <c r="A352" s="84">
        <v>1080</v>
      </c>
      <c r="B352" s="39" t="s">
        <v>263</v>
      </c>
      <c r="C352" s="39" t="str">
        <f t="shared" si="78"/>
        <v>L10 ODS Motor</v>
      </c>
      <c r="D352" s="39" t="str">
        <f t="shared" si="79"/>
        <v>L10 ODS Motor</v>
      </c>
      <c r="E352" s="39" t="str">
        <f t="shared" si="80"/>
        <v>L10 ODS Motor</v>
      </c>
      <c r="F352" s="39" t="str">
        <f t="shared" si="81"/>
        <v>L10 ODS Motor</v>
      </c>
      <c r="G352" s="39" t="str">
        <f t="shared" si="82"/>
        <v>L10 ODS Motor</v>
      </c>
      <c r="H352" s="39" t="str">
        <f t="shared" si="83"/>
        <v>L10 ODS Motor</v>
      </c>
      <c r="I352" s="39" t="str">
        <f t="shared" si="84"/>
        <v>L10 ODS Motor</v>
      </c>
      <c r="J352" s="39" t="str">
        <f t="shared" si="85"/>
        <v>L10 ODS Motor</v>
      </c>
      <c r="K352" s="39" t="str">
        <f t="shared" si="86"/>
        <v>L10 ODS Motor</v>
      </c>
      <c r="L352" s="39" t="str">
        <f t="shared" si="87"/>
        <v>L10 ODS Motor</v>
      </c>
      <c r="M352" s="39" t="str">
        <f t="shared" si="88"/>
        <v>L10 ODS Motor</v>
      </c>
      <c r="N352" s="39" t="str">
        <f t="shared" si="89"/>
        <v>L10 ODS Motor</v>
      </c>
      <c r="O352" s="39" t="str">
        <f t="shared" si="90"/>
        <v>T20 ODS Motor</v>
      </c>
      <c r="P352" s="39" t="str">
        <f t="shared" si="91"/>
        <v>T20 ODS Motor</v>
      </c>
      <c r="Q352" s="39" t="str">
        <f t="shared" si="92"/>
        <v>T20 ODS Motor</v>
      </c>
      <c r="R352" s="39" t="str">
        <f t="shared" si="93"/>
        <v>T20 ODS Motor</v>
      </c>
      <c r="S352" s="39" t="str">
        <f t="shared" si="94"/>
        <v>T20 ODS Motor</v>
      </c>
      <c r="T352" s="39" t="str">
        <f t="shared" si="95"/>
        <v>T20 ODS Motor</v>
      </c>
      <c r="U352" s="39" t="str">
        <f t="shared" si="96"/>
        <v>T20 ODS Motor</v>
      </c>
      <c r="V352" s="39" t="str">
        <f t="shared" si="97"/>
        <v>T20 ODS Motor</v>
      </c>
      <c r="W352" s="39" t="str">
        <f t="shared" si="98"/>
        <v>T20 ODS Motor</v>
      </c>
      <c r="X352" s="39" t="str">
        <f t="shared" si="99"/>
        <v>T20 ODS Motor</v>
      </c>
      <c r="Y352" s="39" t="str">
        <f t="shared" si="100"/>
        <v>T20 ODS Motor</v>
      </c>
      <c r="Z352" s="39" t="str">
        <f t="shared" si="101"/>
        <v>T20 ODS Motor</v>
      </c>
      <c r="AA352" s="39" t="str">
        <f t="shared" si="102"/>
        <v>T20 ODS Motor</v>
      </c>
      <c r="AB352" s="39" t="str">
        <f t="shared" si="103"/>
        <v>T20 ODS Motor</v>
      </c>
      <c r="AC352" s="39" t="str">
        <f t="shared" si="104"/>
        <v>T20 ODS Motor</v>
      </c>
      <c r="AD352" s="39" t="str">
        <f t="shared" si="105"/>
        <v>T20 ODS Motor</v>
      </c>
      <c r="AE352" s="39" t="str">
        <f t="shared" si="106"/>
        <v>T20 ODS Motor</v>
      </c>
      <c r="AF352" s="39" t="str">
        <f t="shared" si="107"/>
        <v>T20 ODS Motor</v>
      </c>
      <c r="AG352" s="39" t="str">
        <f t="shared" si="108"/>
        <v>T20 ODS Motor</v>
      </c>
      <c r="AH352" s="39" t="str">
        <f t="shared" si="109"/>
        <v>T20 ODS Motor</v>
      </c>
    </row>
    <row r="353" spans="1:34" ht="14.4">
      <c r="A353" s="84">
        <v>1180</v>
      </c>
      <c r="B353" s="39" t="s">
        <v>263</v>
      </c>
      <c r="C353" s="39" t="str">
        <f t="shared" si="78"/>
        <v>L10 ODS Motor</v>
      </c>
      <c r="D353" s="39" t="str">
        <f t="shared" si="79"/>
        <v>L10 ODS Motor</v>
      </c>
      <c r="E353" s="39" t="str">
        <f t="shared" si="80"/>
        <v>L10 ODS Motor</v>
      </c>
      <c r="F353" s="39" t="str">
        <f t="shared" si="81"/>
        <v>L10 ODS Motor</v>
      </c>
      <c r="G353" s="39" t="str">
        <f t="shared" si="82"/>
        <v>L10 ODS Motor</v>
      </c>
      <c r="H353" s="39" t="str">
        <f t="shared" si="83"/>
        <v>L10 ODS Motor</v>
      </c>
      <c r="I353" s="39" t="str">
        <f t="shared" si="84"/>
        <v>L10 ODS Motor</v>
      </c>
      <c r="J353" s="39" t="str">
        <f t="shared" si="85"/>
        <v>L10 ODS Motor</v>
      </c>
      <c r="K353" s="39" t="str">
        <f t="shared" si="86"/>
        <v>L10 ODS Motor</v>
      </c>
      <c r="L353" s="39" t="str">
        <f t="shared" si="87"/>
        <v>L10 ODS Motor</v>
      </c>
      <c r="M353" s="39" t="str">
        <f t="shared" si="88"/>
        <v>L10 ODS Motor</v>
      </c>
      <c r="N353" s="39" t="str">
        <f t="shared" si="89"/>
        <v>T20 ODS Motor</v>
      </c>
      <c r="O353" s="39" t="str">
        <f t="shared" si="90"/>
        <v>T20 ODS Motor</v>
      </c>
      <c r="P353" s="39" t="str">
        <f t="shared" si="91"/>
        <v>T20 ODS Motor</v>
      </c>
      <c r="Q353" s="39" t="str">
        <f t="shared" si="92"/>
        <v>T20 ODS Motor</v>
      </c>
      <c r="R353" s="39" t="str">
        <f t="shared" si="93"/>
        <v>T20 ODS Motor</v>
      </c>
      <c r="S353" s="39" t="str">
        <f t="shared" si="94"/>
        <v>T20 ODS Motor</v>
      </c>
      <c r="T353" s="39" t="str">
        <f t="shared" si="95"/>
        <v>T20 ODS Motor</v>
      </c>
      <c r="U353" s="39" t="str">
        <f t="shared" si="96"/>
        <v>T20 ODS Motor</v>
      </c>
      <c r="V353" s="39" t="str">
        <f t="shared" si="97"/>
        <v>T20 ODS Motor</v>
      </c>
      <c r="W353" s="39" t="str">
        <f t="shared" si="98"/>
        <v>T20 ODS Motor</v>
      </c>
      <c r="X353" s="39" t="str">
        <f t="shared" si="99"/>
        <v>T20 ODS Motor</v>
      </c>
      <c r="Y353" s="39" t="str">
        <f t="shared" si="100"/>
        <v>T20 ODS Motor</v>
      </c>
      <c r="Z353" s="39" t="str">
        <f t="shared" si="101"/>
        <v>T20 ODS Motor</v>
      </c>
      <c r="AA353" s="39" t="str">
        <f t="shared" si="102"/>
        <v>T20 ODS Motor</v>
      </c>
      <c r="AB353" s="39" t="str">
        <f t="shared" si="103"/>
        <v>T20 ODS Motor</v>
      </c>
      <c r="AC353" s="39" t="str">
        <f t="shared" si="104"/>
        <v>T20 ODS Motor</v>
      </c>
      <c r="AD353" s="39" t="str">
        <f t="shared" si="105"/>
        <v>T20 ODS Motor</v>
      </c>
      <c r="AE353" s="39" t="str">
        <f t="shared" si="106"/>
        <v>T20 ODS Motor</v>
      </c>
      <c r="AF353" s="39" t="str">
        <f t="shared" si="107"/>
        <v>T35 ODS Motor</v>
      </c>
      <c r="AG353" s="39" t="str">
        <f t="shared" si="108"/>
        <v>T35 ODS Motor</v>
      </c>
      <c r="AH353" s="39" t="str">
        <f t="shared" si="109"/>
        <v>T35 ODS Motor</v>
      </c>
    </row>
    <row r="354" spans="1:34" ht="14.4">
      <c r="A354" s="84">
        <v>1280</v>
      </c>
      <c r="B354" s="39" t="s">
        <v>263</v>
      </c>
      <c r="C354" s="39" t="str">
        <f t="shared" si="78"/>
        <v>L10 ODS Motor</v>
      </c>
      <c r="D354" s="39" t="str">
        <f t="shared" si="79"/>
        <v>L10 ODS Motor</v>
      </c>
      <c r="E354" s="39" t="str">
        <f t="shared" si="80"/>
        <v>L10 ODS Motor</v>
      </c>
      <c r="F354" s="39" t="str">
        <f t="shared" si="81"/>
        <v>L10 ODS Motor</v>
      </c>
      <c r="G354" s="39" t="str">
        <f t="shared" si="82"/>
        <v>L10 ODS Motor</v>
      </c>
      <c r="H354" s="39" t="str">
        <f t="shared" si="83"/>
        <v>L10 ODS Motor</v>
      </c>
      <c r="I354" s="39" t="str">
        <f t="shared" si="84"/>
        <v>L10 ODS Motor</v>
      </c>
      <c r="J354" s="39" t="str">
        <f t="shared" si="85"/>
        <v>L10 ODS Motor</v>
      </c>
      <c r="K354" s="39" t="str">
        <f t="shared" si="86"/>
        <v>L10 ODS Motor</v>
      </c>
      <c r="L354" s="39" t="str">
        <f t="shared" si="87"/>
        <v>T20 ODS Motor</v>
      </c>
      <c r="M354" s="39" t="str">
        <f t="shared" si="88"/>
        <v>T20 ODS Motor</v>
      </c>
      <c r="N354" s="39" t="str">
        <f t="shared" si="89"/>
        <v>T20 ODS Motor</v>
      </c>
      <c r="O354" s="39" t="str">
        <f t="shared" si="90"/>
        <v>T20 ODS Motor</v>
      </c>
      <c r="P354" s="39" t="str">
        <f t="shared" si="91"/>
        <v>T20 ODS Motor</v>
      </c>
      <c r="Q354" s="39" t="str">
        <f t="shared" si="92"/>
        <v>T20 ODS Motor</v>
      </c>
      <c r="R354" s="39" t="str">
        <f t="shared" si="93"/>
        <v>T20 ODS Motor</v>
      </c>
      <c r="S354" s="39" t="str">
        <f t="shared" si="94"/>
        <v>T20 ODS Motor</v>
      </c>
      <c r="T354" s="39" t="str">
        <f t="shared" si="95"/>
        <v>T20 ODS Motor</v>
      </c>
      <c r="U354" s="39" t="str">
        <f t="shared" si="96"/>
        <v>T20 ODS Motor</v>
      </c>
      <c r="V354" s="39" t="str">
        <f t="shared" si="97"/>
        <v>T20 ODS Motor</v>
      </c>
      <c r="W354" s="39" t="str">
        <f t="shared" si="98"/>
        <v>T20 ODS Motor</v>
      </c>
      <c r="X354" s="39" t="str">
        <f t="shared" si="99"/>
        <v>T20 ODS Motor</v>
      </c>
      <c r="Y354" s="39" t="str">
        <f t="shared" si="100"/>
        <v>T20 ODS Motor</v>
      </c>
      <c r="Z354" s="39" t="str">
        <f t="shared" si="101"/>
        <v>T20 ODS Motor</v>
      </c>
      <c r="AA354" s="39" t="str">
        <f t="shared" si="102"/>
        <v>T20 ODS Motor</v>
      </c>
      <c r="AB354" s="39" t="str">
        <f t="shared" si="103"/>
        <v>T20 ODS Motor</v>
      </c>
      <c r="AC354" s="39" t="str">
        <f t="shared" si="104"/>
        <v>T35 ODS Motor</v>
      </c>
      <c r="AD354" s="39" t="str">
        <f t="shared" si="105"/>
        <v>T35 ODS Motor</v>
      </c>
      <c r="AE354" s="39" t="str">
        <f t="shared" si="106"/>
        <v>T35 ODS Motor</v>
      </c>
      <c r="AF354" s="39" t="str">
        <f t="shared" si="107"/>
        <v>T35 ODS Motor</v>
      </c>
      <c r="AG354" s="39" t="str">
        <f t="shared" si="108"/>
        <v>T35 ODS Motor</v>
      </c>
      <c r="AH354" s="39" t="str">
        <f t="shared" si="109"/>
        <v>T35 ODS Motor</v>
      </c>
    </row>
    <row r="355" spans="1:34" ht="14.4">
      <c r="A355" s="84">
        <v>1380</v>
      </c>
      <c r="B355" s="39" t="s">
        <v>263</v>
      </c>
      <c r="C355" s="39" t="str">
        <f t="shared" si="78"/>
        <v>L10 ODS Motor</v>
      </c>
      <c r="D355" s="39" t="str">
        <f t="shared" si="79"/>
        <v>L10 ODS Motor</v>
      </c>
      <c r="E355" s="39" t="str">
        <f t="shared" si="80"/>
        <v>L10 ODS Motor</v>
      </c>
      <c r="F355" s="39" t="str">
        <f t="shared" si="81"/>
        <v>L10 ODS Motor</v>
      </c>
      <c r="G355" s="39" t="str">
        <f t="shared" si="82"/>
        <v>L10 ODS Motor</v>
      </c>
      <c r="H355" s="39" t="str">
        <f t="shared" si="83"/>
        <v>L10 ODS Motor</v>
      </c>
      <c r="I355" s="39" t="str">
        <f t="shared" si="84"/>
        <v>L10 ODS Motor</v>
      </c>
      <c r="J355" s="39" t="str">
        <f t="shared" si="85"/>
        <v>L10 ODS Motor</v>
      </c>
      <c r="K355" s="39" t="str">
        <f t="shared" si="86"/>
        <v>T20 ODS Motor</v>
      </c>
      <c r="L355" s="39" t="str">
        <f t="shared" si="87"/>
        <v>T20 ODS Motor</v>
      </c>
      <c r="M355" s="39" t="str">
        <f t="shared" si="88"/>
        <v>T20 ODS Motor</v>
      </c>
      <c r="N355" s="39" t="str">
        <f t="shared" si="89"/>
        <v>T20 ODS Motor</v>
      </c>
      <c r="O355" s="39" t="str">
        <f t="shared" si="90"/>
        <v>T20 ODS Motor</v>
      </c>
      <c r="P355" s="39" t="str">
        <f t="shared" si="91"/>
        <v>T20 ODS Motor</v>
      </c>
      <c r="Q355" s="39" t="str">
        <f t="shared" si="92"/>
        <v>T20 ODS Motor</v>
      </c>
      <c r="R355" s="39" t="str">
        <f t="shared" si="93"/>
        <v>T20 ODS Motor</v>
      </c>
      <c r="S355" s="39" t="str">
        <f t="shared" si="94"/>
        <v>T20 ODS Motor</v>
      </c>
      <c r="T355" s="39" t="str">
        <f t="shared" si="95"/>
        <v>T20 ODS Motor</v>
      </c>
      <c r="U355" s="39" t="str">
        <f t="shared" si="96"/>
        <v>T20 ODS Motor</v>
      </c>
      <c r="V355" s="39" t="str">
        <f t="shared" si="97"/>
        <v>T20 ODS Motor</v>
      </c>
      <c r="W355" s="39" t="str">
        <f t="shared" si="98"/>
        <v>T20 ODS Motor</v>
      </c>
      <c r="X355" s="39" t="str">
        <f t="shared" si="99"/>
        <v>T20 ODS Motor</v>
      </c>
      <c r="Y355" s="39" t="str">
        <f t="shared" si="100"/>
        <v>T20 ODS Motor</v>
      </c>
      <c r="Z355" s="39" t="str">
        <f t="shared" si="101"/>
        <v>T35 ODS Motor</v>
      </c>
      <c r="AA355" s="39" t="str">
        <f t="shared" si="102"/>
        <v>T35 ODS Motor</v>
      </c>
      <c r="AB355" s="39" t="str">
        <f t="shared" si="103"/>
        <v>T35 ODS Motor</v>
      </c>
      <c r="AC355" s="39" t="str">
        <f t="shared" si="104"/>
        <v>T35 ODS Motor</v>
      </c>
      <c r="AD355" s="39" t="str">
        <f t="shared" si="105"/>
        <v>T35 ODS Motor</v>
      </c>
      <c r="AE355" s="39" t="str">
        <f t="shared" si="106"/>
        <v>T35 ODS Motor</v>
      </c>
      <c r="AF355" s="39" t="str">
        <f t="shared" si="107"/>
        <v>T35 ODS Motor</v>
      </c>
      <c r="AG355" s="39" t="str">
        <f t="shared" si="108"/>
        <v>T35 ODS Motor</v>
      </c>
      <c r="AH355" s="39" t="str">
        <f t="shared" si="109"/>
        <v>T35 ODS Motor</v>
      </c>
    </row>
    <row r="356" spans="1:34" ht="14.4">
      <c r="A356" s="84">
        <v>1480</v>
      </c>
      <c r="B356" s="39" t="s">
        <v>263</v>
      </c>
      <c r="C356" s="39" t="str">
        <f t="shared" si="78"/>
        <v>L10 ODS Motor</v>
      </c>
      <c r="D356" s="39" t="str">
        <f t="shared" si="79"/>
        <v>L10 ODS Motor</v>
      </c>
      <c r="E356" s="39" t="str">
        <f t="shared" si="80"/>
        <v>L10 ODS Motor</v>
      </c>
      <c r="F356" s="39" t="str">
        <f t="shared" si="81"/>
        <v>L10 ODS Motor</v>
      </c>
      <c r="G356" s="39" t="str">
        <f t="shared" si="82"/>
        <v>L10 ODS Motor</v>
      </c>
      <c r="H356" s="39" t="str">
        <f t="shared" si="83"/>
        <v>L10 ODS Motor</v>
      </c>
      <c r="I356" s="39" t="str">
        <f t="shared" si="84"/>
        <v>L10 ODS Motor</v>
      </c>
      <c r="J356" s="39" t="str">
        <f t="shared" si="85"/>
        <v>T20 ODS Motor</v>
      </c>
      <c r="K356" s="39" t="str">
        <f t="shared" si="86"/>
        <v>T20 ODS Motor</v>
      </c>
      <c r="L356" s="39" t="str">
        <f t="shared" si="87"/>
        <v>T20 ODS Motor</v>
      </c>
      <c r="M356" s="39" t="str">
        <f t="shared" si="88"/>
        <v>T20 ODS Motor</v>
      </c>
      <c r="N356" s="39" t="str">
        <f t="shared" si="89"/>
        <v>T20 ODS Motor</v>
      </c>
      <c r="O356" s="39" t="str">
        <f t="shared" si="90"/>
        <v>T20 ODS Motor</v>
      </c>
      <c r="P356" s="39" t="str">
        <f t="shared" si="91"/>
        <v>T20 ODS Motor</v>
      </c>
      <c r="Q356" s="39" t="str">
        <f t="shared" si="92"/>
        <v>T20 ODS Motor</v>
      </c>
      <c r="R356" s="39" t="str">
        <f t="shared" si="93"/>
        <v>T20 ODS Motor</v>
      </c>
      <c r="S356" s="39" t="str">
        <f t="shared" si="94"/>
        <v>T20 ODS Motor</v>
      </c>
      <c r="T356" s="39" t="str">
        <f t="shared" si="95"/>
        <v>T20 ODS Motor</v>
      </c>
      <c r="U356" s="39" t="str">
        <f t="shared" si="96"/>
        <v>T20 ODS Motor</v>
      </c>
      <c r="V356" s="39" t="str">
        <f t="shared" si="97"/>
        <v>T20 ODS Motor</v>
      </c>
      <c r="W356" s="39" t="str">
        <f t="shared" si="98"/>
        <v>T20 ODS Motor</v>
      </c>
      <c r="X356" s="39" t="str">
        <f t="shared" si="99"/>
        <v>T35 ODS Motor</v>
      </c>
      <c r="Y356" s="39" t="str">
        <f t="shared" si="100"/>
        <v>T35 ODS Motor</v>
      </c>
      <c r="Z356" s="39" t="str">
        <f t="shared" si="101"/>
        <v>T35 ODS Motor</v>
      </c>
      <c r="AA356" s="39" t="str">
        <f t="shared" si="102"/>
        <v>T35 ODS Motor</v>
      </c>
      <c r="AB356" s="39" t="str">
        <f t="shared" si="103"/>
        <v>T35 ODS Motor</v>
      </c>
      <c r="AC356" s="39" t="str">
        <f t="shared" si="104"/>
        <v>T35 ODS Motor</v>
      </c>
      <c r="AD356" s="39" t="str">
        <f t="shared" si="105"/>
        <v>T35 ODS Motor</v>
      </c>
      <c r="AE356" s="39" t="str">
        <f t="shared" si="106"/>
        <v>T35 ODS Motor</v>
      </c>
      <c r="AF356" s="39" t="str">
        <f t="shared" si="107"/>
        <v>T35 ODS Motor</v>
      </c>
      <c r="AG356" s="39" t="str">
        <f t="shared" si="108"/>
        <v>T35 ODS Motor</v>
      </c>
      <c r="AH356" s="39" t="str">
        <f t="shared" si="109"/>
        <v>T35 ODS Motor</v>
      </c>
    </row>
    <row r="357" spans="1:34" ht="14.4">
      <c r="A357" s="84">
        <v>1580</v>
      </c>
      <c r="B357" s="39" t="s">
        <v>263</v>
      </c>
      <c r="C357" s="39" t="str">
        <f t="shared" si="78"/>
        <v>L10 ODS Motor</v>
      </c>
      <c r="D357" s="39" t="str">
        <f t="shared" si="79"/>
        <v>L10 ODS Motor</v>
      </c>
      <c r="E357" s="39" t="str">
        <f t="shared" si="80"/>
        <v>L10 ODS Motor</v>
      </c>
      <c r="F357" s="39" t="str">
        <f t="shared" si="81"/>
        <v>L10 ODS Motor</v>
      </c>
      <c r="G357" s="39" t="str">
        <f t="shared" si="82"/>
        <v>L10 ODS Motor</v>
      </c>
      <c r="H357" s="39" t="str">
        <f t="shared" si="83"/>
        <v>L10 ODS Motor</v>
      </c>
      <c r="I357" s="39" t="str">
        <f t="shared" si="84"/>
        <v>T20 ODS Motor</v>
      </c>
      <c r="J357" s="39" t="str">
        <f t="shared" si="85"/>
        <v>T20 ODS Motor</v>
      </c>
      <c r="K357" s="39" t="str">
        <f t="shared" si="86"/>
        <v>T20 ODS Motor</v>
      </c>
      <c r="L357" s="39" t="str">
        <f t="shared" si="87"/>
        <v>T20 ODS Motor</v>
      </c>
      <c r="M357" s="39" t="str">
        <f t="shared" si="88"/>
        <v>T20 ODS Motor</v>
      </c>
      <c r="N357" s="39" t="str">
        <f t="shared" si="89"/>
        <v>T20 ODS Motor</v>
      </c>
      <c r="O357" s="39" t="str">
        <f t="shared" si="90"/>
        <v>T20 ODS Motor</v>
      </c>
      <c r="P357" s="39" t="str">
        <f t="shared" si="91"/>
        <v>T20 ODS Motor</v>
      </c>
      <c r="Q357" s="39" t="str">
        <f t="shared" si="92"/>
        <v>T20 ODS Motor</v>
      </c>
      <c r="R357" s="39" t="str">
        <f t="shared" si="93"/>
        <v>T20 ODS Motor</v>
      </c>
      <c r="S357" s="39" t="str">
        <f t="shared" si="94"/>
        <v>T20 ODS Motor</v>
      </c>
      <c r="T357" s="39" t="str">
        <f t="shared" si="95"/>
        <v>T20 ODS Motor</v>
      </c>
      <c r="U357" s="39" t="str">
        <f t="shared" si="96"/>
        <v>T20 ODS Motor</v>
      </c>
      <c r="V357" s="39" t="str">
        <f t="shared" si="97"/>
        <v>T20 ODS Motor</v>
      </c>
      <c r="W357" s="39" t="str">
        <f t="shared" si="98"/>
        <v>T35 ODS Motor</v>
      </c>
      <c r="X357" s="39" t="str">
        <f t="shared" si="99"/>
        <v>T35 ODS Motor</v>
      </c>
      <c r="Y357" s="39" t="str">
        <f t="shared" si="100"/>
        <v>T35 ODS Motor</v>
      </c>
      <c r="Z357" s="39" t="str">
        <f t="shared" si="101"/>
        <v>T35 ODS Motor</v>
      </c>
      <c r="AA357" s="39" t="str">
        <f t="shared" si="102"/>
        <v>T35 ODS Motor</v>
      </c>
      <c r="AB357" s="39" t="str">
        <f t="shared" si="103"/>
        <v>T35 ODS Motor</v>
      </c>
      <c r="AC357" s="39" t="str">
        <f t="shared" si="104"/>
        <v>T35 ODS Motor</v>
      </c>
      <c r="AD357" s="39" t="str">
        <f t="shared" si="105"/>
        <v>T35 ODS Motor</v>
      </c>
      <c r="AE357" s="39" t="str">
        <f t="shared" si="106"/>
        <v>T35 ODS Motor</v>
      </c>
      <c r="AF357" s="39" t="str">
        <f t="shared" si="107"/>
        <v>T35 ODS Motor</v>
      </c>
      <c r="AG357" s="39" t="str">
        <f t="shared" si="108"/>
        <v>T35 ODS Motor</v>
      </c>
      <c r="AH357" s="39" t="str">
        <f t="shared" si="109"/>
        <v>T35 ODS Motor</v>
      </c>
    </row>
    <row r="358" spans="1:34" ht="14.4">
      <c r="A358" s="84">
        <v>1680</v>
      </c>
      <c r="B358" s="39" t="s">
        <v>263</v>
      </c>
      <c r="C358" s="39" t="str">
        <f t="shared" si="78"/>
        <v>L10 ODS Motor</v>
      </c>
      <c r="D358" s="39" t="str">
        <f t="shared" si="79"/>
        <v>L10 ODS Motor</v>
      </c>
      <c r="E358" s="39" t="str">
        <f t="shared" si="80"/>
        <v>L10 ODS Motor</v>
      </c>
      <c r="F358" s="39" t="str">
        <f t="shared" si="81"/>
        <v>L10 ODS Motor</v>
      </c>
      <c r="G358" s="39" t="str">
        <f t="shared" si="82"/>
        <v>L10 ODS Motor</v>
      </c>
      <c r="H358" s="39" t="str">
        <f t="shared" si="83"/>
        <v>T20 ODS Motor</v>
      </c>
      <c r="I358" s="39" t="str">
        <f t="shared" si="84"/>
        <v>T20 ODS Motor</v>
      </c>
      <c r="J358" s="39" t="str">
        <f t="shared" si="85"/>
        <v>T20 ODS Motor</v>
      </c>
      <c r="K358" s="39" t="str">
        <f t="shared" si="86"/>
        <v>T20 ODS Motor</v>
      </c>
      <c r="L358" s="39" t="str">
        <f t="shared" si="87"/>
        <v>T20 ODS Motor</v>
      </c>
      <c r="M358" s="39" t="str">
        <f t="shared" si="88"/>
        <v>T20 ODS Motor</v>
      </c>
      <c r="N358" s="39" t="str">
        <f t="shared" si="89"/>
        <v>T20 ODS Motor</v>
      </c>
      <c r="O358" s="39" t="str">
        <f t="shared" si="90"/>
        <v>T20 ODS Motor</v>
      </c>
      <c r="P358" s="39" t="str">
        <f t="shared" si="91"/>
        <v>T20 ODS Motor</v>
      </c>
      <c r="Q358" s="39" t="str">
        <f t="shared" si="92"/>
        <v>T20 ODS Motor</v>
      </c>
      <c r="R358" s="39" t="str">
        <f t="shared" si="93"/>
        <v>T20 ODS Motor</v>
      </c>
      <c r="S358" s="39" t="str">
        <f t="shared" si="94"/>
        <v>T20 ODS Motor</v>
      </c>
      <c r="T358" s="39" t="str">
        <f t="shared" si="95"/>
        <v>T20 ODS Motor</v>
      </c>
      <c r="U358" s="39" t="str">
        <f t="shared" si="96"/>
        <v>T35 ODS Motor</v>
      </c>
      <c r="V358" s="39" t="str">
        <f t="shared" si="97"/>
        <v>T35 ODS Motor</v>
      </c>
      <c r="W358" s="39" t="str">
        <f t="shared" si="98"/>
        <v>T35 ODS Motor</v>
      </c>
      <c r="X358" s="39" t="str">
        <f t="shared" si="99"/>
        <v>T35 ODS Motor</v>
      </c>
      <c r="Y358" s="39" t="str">
        <f t="shared" si="100"/>
        <v>T35 ODS Motor</v>
      </c>
      <c r="Z358" s="39" t="str">
        <f t="shared" si="101"/>
        <v>T35 ODS Motor</v>
      </c>
      <c r="AA358" s="39" t="str">
        <f t="shared" si="102"/>
        <v>T35 ODS Motor</v>
      </c>
      <c r="AB358" s="39" t="str">
        <f t="shared" si="103"/>
        <v>T35 ODS Motor</v>
      </c>
      <c r="AC358" s="39" t="str">
        <f t="shared" si="104"/>
        <v>T35 ODS Motor</v>
      </c>
      <c r="AD358" s="39" t="str">
        <f t="shared" si="105"/>
        <v>T35 ODS Motor</v>
      </c>
      <c r="AE358" s="39" t="str">
        <f t="shared" si="106"/>
        <v>T35 ODS Motor</v>
      </c>
      <c r="AF358" s="39" t="str">
        <f t="shared" si="107"/>
        <v>T35 ODS Motor</v>
      </c>
      <c r="AG358" s="39" t="str">
        <f t="shared" si="108"/>
        <v>T35 ODS Motor</v>
      </c>
      <c r="AH358" s="39" t="str">
        <f t="shared" si="109"/>
        <v>T35 ODS Motor</v>
      </c>
    </row>
    <row r="359" spans="1:34" ht="14.4">
      <c r="A359" s="84">
        <v>1780</v>
      </c>
      <c r="B359" s="39" t="s">
        <v>263</v>
      </c>
      <c r="C359" s="39" t="str">
        <f t="shared" si="78"/>
        <v>L10 ODS Motor</v>
      </c>
      <c r="D359" s="39" t="str">
        <f t="shared" si="79"/>
        <v>L10 ODS Motor</v>
      </c>
      <c r="E359" s="39" t="str">
        <f t="shared" si="80"/>
        <v>L10 ODS Motor</v>
      </c>
      <c r="F359" s="39" t="str">
        <f t="shared" si="81"/>
        <v>L10 ODS Motor</v>
      </c>
      <c r="G359" s="39" t="str">
        <f t="shared" si="82"/>
        <v>T20 ODS Motor</v>
      </c>
      <c r="H359" s="39" t="str">
        <f t="shared" si="83"/>
        <v>T20 ODS Motor</v>
      </c>
      <c r="I359" s="39" t="str">
        <f t="shared" si="84"/>
        <v>T20 ODS Motor</v>
      </c>
      <c r="J359" s="39" t="str">
        <f t="shared" si="85"/>
        <v>T20 ODS Motor</v>
      </c>
      <c r="K359" s="39" t="str">
        <f t="shared" si="86"/>
        <v>T20 ODS Motor</v>
      </c>
      <c r="L359" s="39" t="str">
        <f t="shared" si="87"/>
        <v>T20 ODS Motor</v>
      </c>
      <c r="M359" s="39" t="str">
        <f t="shared" si="88"/>
        <v>T20 ODS Motor</v>
      </c>
      <c r="N359" s="39" t="str">
        <f t="shared" si="89"/>
        <v>T20 ODS Motor</v>
      </c>
      <c r="O359" s="39" t="str">
        <f t="shared" si="90"/>
        <v>T20 ODS Motor</v>
      </c>
      <c r="P359" s="39" t="str">
        <f t="shared" si="91"/>
        <v>T20 ODS Motor</v>
      </c>
      <c r="Q359" s="39" t="str">
        <f t="shared" si="92"/>
        <v>T20 ODS Motor</v>
      </c>
      <c r="R359" s="39" t="str">
        <f t="shared" si="93"/>
        <v>T20 ODS Motor</v>
      </c>
      <c r="S359" s="39" t="str">
        <f t="shared" si="94"/>
        <v>T35 ODS Motor</v>
      </c>
      <c r="T359" s="39" t="str">
        <f t="shared" si="95"/>
        <v>T35 ODS Motor</v>
      </c>
      <c r="U359" s="39" t="str">
        <f t="shared" si="96"/>
        <v>T35 ODS Motor</v>
      </c>
      <c r="V359" s="39" t="str">
        <f t="shared" si="97"/>
        <v>T35 ODS Motor</v>
      </c>
      <c r="W359" s="39" t="str">
        <f t="shared" si="98"/>
        <v>T35 ODS Motor</v>
      </c>
      <c r="X359" s="39" t="str">
        <f t="shared" si="99"/>
        <v>T35 ODS Motor</v>
      </c>
      <c r="Y359" s="39" t="str">
        <f t="shared" si="100"/>
        <v>T35 ODS Motor</v>
      </c>
      <c r="Z359" s="39" t="str">
        <f t="shared" si="101"/>
        <v>T35 ODS Motor</v>
      </c>
      <c r="AA359" s="39" t="str">
        <f t="shared" si="102"/>
        <v>T35 ODS Motor</v>
      </c>
      <c r="AB359" s="39" t="str">
        <f t="shared" si="103"/>
        <v>T35 ODS Motor</v>
      </c>
      <c r="AC359" s="39" t="str">
        <f t="shared" si="104"/>
        <v>T35 ODS Motor</v>
      </c>
      <c r="AD359" s="39" t="str">
        <f t="shared" si="105"/>
        <v>T35 ODS Motor</v>
      </c>
      <c r="AE359" s="39" t="str">
        <f t="shared" si="106"/>
        <v>T35 ODS Motor</v>
      </c>
      <c r="AF359" s="39" t="str">
        <f t="shared" si="107"/>
        <v>T35 ODS Motor</v>
      </c>
      <c r="AG359" s="39" t="str">
        <f t="shared" si="108"/>
        <v>T35 ODS Motor</v>
      </c>
      <c r="AH359" s="39" t="str">
        <f t="shared" si="109"/>
        <v>T35 ODS Motor</v>
      </c>
    </row>
    <row r="360" spans="1:34" ht="14.4">
      <c r="A360" s="84">
        <v>1880</v>
      </c>
      <c r="B360" s="39" t="s">
        <v>263</v>
      </c>
      <c r="C360" s="39" t="str">
        <f t="shared" si="78"/>
        <v>L10 ODS Motor</v>
      </c>
      <c r="D360" s="39" t="str">
        <f t="shared" si="79"/>
        <v>L10 ODS Motor</v>
      </c>
      <c r="E360" s="39" t="str">
        <f t="shared" si="80"/>
        <v>L10 ODS Motor</v>
      </c>
      <c r="F360" s="39" t="str">
        <f t="shared" si="81"/>
        <v>L10 ODS Motor</v>
      </c>
      <c r="G360" s="39" t="str">
        <f t="shared" si="82"/>
        <v>T20 ODS Motor</v>
      </c>
      <c r="H360" s="39" t="str">
        <f t="shared" si="83"/>
        <v>T20 ODS Motor</v>
      </c>
      <c r="I360" s="39" t="str">
        <f t="shared" si="84"/>
        <v>T20 ODS Motor</v>
      </c>
      <c r="J360" s="39" t="str">
        <f t="shared" si="85"/>
        <v>T20 ODS Motor</v>
      </c>
      <c r="K360" s="39" t="str">
        <f t="shared" si="86"/>
        <v>T20 ODS Motor</v>
      </c>
      <c r="L360" s="39" t="str">
        <f t="shared" si="87"/>
        <v>T20 ODS Motor</v>
      </c>
      <c r="M360" s="39" t="str">
        <f t="shared" si="88"/>
        <v>T20 ODS Motor</v>
      </c>
      <c r="N360" s="39" t="str">
        <f t="shared" si="89"/>
        <v>T20 ODS Motor</v>
      </c>
      <c r="O360" s="39" t="str">
        <f t="shared" si="90"/>
        <v>T20 ODS Motor</v>
      </c>
      <c r="P360" s="39" t="str">
        <f t="shared" si="91"/>
        <v>T20 ODS Motor</v>
      </c>
      <c r="Q360" s="39" t="str">
        <f t="shared" si="92"/>
        <v>T20 ODS Motor</v>
      </c>
      <c r="R360" s="39" t="str">
        <f t="shared" si="93"/>
        <v>T35 ODS Motor</v>
      </c>
      <c r="S360" s="39" t="str">
        <f t="shared" si="94"/>
        <v>T35 ODS Motor</v>
      </c>
      <c r="T360" s="39" t="str">
        <f t="shared" si="95"/>
        <v>T35 ODS Motor</v>
      </c>
      <c r="U360" s="39" t="str">
        <f t="shared" si="96"/>
        <v>T35 ODS Motor</v>
      </c>
      <c r="V360" s="39" t="str">
        <f t="shared" si="97"/>
        <v>T35 ODS Motor</v>
      </c>
      <c r="W360" s="39" t="str">
        <f t="shared" si="98"/>
        <v>T35 ODS Motor</v>
      </c>
      <c r="X360" s="39" t="str">
        <f t="shared" si="99"/>
        <v>T35 ODS Motor</v>
      </c>
      <c r="Y360" s="39" t="str">
        <f t="shared" si="100"/>
        <v>T35 ODS Motor</v>
      </c>
      <c r="Z360" s="39" t="str">
        <f t="shared" si="101"/>
        <v>T35 ODS Motor</v>
      </c>
      <c r="AA360" s="39" t="str">
        <f t="shared" si="102"/>
        <v>T35 ODS Motor</v>
      </c>
      <c r="AB360" s="39" t="str">
        <f t="shared" si="103"/>
        <v>T35 ODS Motor</v>
      </c>
      <c r="AC360" s="39" t="str">
        <f t="shared" si="104"/>
        <v>T35 ODS Motor</v>
      </c>
      <c r="AD360" s="39" t="str">
        <f t="shared" si="105"/>
        <v>T35 ODS Motor</v>
      </c>
      <c r="AE360" s="39" t="str">
        <f t="shared" si="106"/>
        <v>T35 ODS Motor</v>
      </c>
      <c r="AF360" s="39" t="str">
        <f t="shared" si="107"/>
        <v>T35 ODS Motor</v>
      </c>
      <c r="AG360" s="39" t="str">
        <f t="shared" si="108"/>
        <v>T35 ODS Motor</v>
      </c>
      <c r="AH360" s="39" t="str">
        <f t="shared" si="109"/>
        <v>T35 ODS Motor</v>
      </c>
    </row>
    <row r="361" spans="1:34" ht="14.4">
      <c r="A361" s="84">
        <v>1980</v>
      </c>
      <c r="B361" s="39" t="s">
        <v>263</v>
      </c>
      <c r="C361" s="39" t="str">
        <f t="shared" si="78"/>
        <v>L10 ODS Motor</v>
      </c>
      <c r="D361" s="39" t="str">
        <f t="shared" si="79"/>
        <v>L10 ODS Motor</v>
      </c>
      <c r="E361" s="39" t="str">
        <f t="shared" si="80"/>
        <v>L10 ODS Motor</v>
      </c>
      <c r="F361" s="39" t="str">
        <f t="shared" si="81"/>
        <v>T20 ODS Motor</v>
      </c>
      <c r="G361" s="39" t="str">
        <f t="shared" si="82"/>
        <v>T20 ODS Motor</v>
      </c>
      <c r="H361" s="39" t="str">
        <f t="shared" si="83"/>
        <v>T20 ODS Motor</v>
      </c>
      <c r="I361" s="39" t="str">
        <f t="shared" si="84"/>
        <v>T20 ODS Motor</v>
      </c>
      <c r="J361" s="39" t="str">
        <f t="shared" si="85"/>
        <v>T20 ODS Motor</v>
      </c>
      <c r="K361" s="39" t="str">
        <f t="shared" si="86"/>
        <v>T20 ODS Motor</v>
      </c>
      <c r="L361" s="39" t="str">
        <f t="shared" si="87"/>
        <v>T20 ODS Motor</v>
      </c>
      <c r="M361" s="39" t="str">
        <f t="shared" si="88"/>
        <v>T20 ODS Motor</v>
      </c>
      <c r="N361" s="39" t="str">
        <f t="shared" si="89"/>
        <v>T20 ODS Motor</v>
      </c>
      <c r="O361" s="39" t="str">
        <f t="shared" si="90"/>
        <v>T20 ODS Motor</v>
      </c>
      <c r="P361" s="39" t="str">
        <f t="shared" si="91"/>
        <v>T20 ODS Motor</v>
      </c>
      <c r="Q361" s="39" t="str">
        <f t="shared" si="92"/>
        <v>T35 ODS Motor</v>
      </c>
      <c r="R361" s="39" t="str">
        <f t="shared" si="93"/>
        <v>T35 ODS Motor</v>
      </c>
      <c r="S361" s="39" t="str">
        <f t="shared" si="94"/>
        <v>T35 ODS Motor</v>
      </c>
      <c r="T361" s="39" t="str">
        <f t="shared" si="95"/>
        <v>T35 ODS Motor</v>
      </c>
      <c r="U361" s="39" t="str">
        <f t="shared" si="96"/>
        <v>T35 ODS Motor</v>
      </c>
      <c r="V361" s="39" t="str">
        <f t="shared" si="97"/>
        <v>T35 ODS Motor</v>
      </c>
      <c r="W361" s="39" t="str">
        <f t="shared" si="98"/>
        <v>T35 ODS Motor</v>
      </c>
      <c r="X361" s="39" t="str">
        <f t="shared" si="99"/>
        <v>T35 ODS Motor</v>
      </c>
      <c r="Y361" s="39" t="str">
        <f t="shared" si="100"/>
        <v>T35 ODS Motor</v>
      </c>
      <c r="Z361" s="39" t="str">
        <f t="shared" si="101"/>
        <v>T35 ODS Motor</v>
      </c>
      <c r="AA361" s="39" t="str">
        <f t="shared" si="102"/>
        <v>T35 ODS Motor</v>
      </c>
      <c r="AB361" s="39" t="str">
        <f t="shared" si="103"/>
        <v>T35 ODS Motor</v>
      </c>
      <c r="AC361" s="39" t="str">
        <f t="shared" si="104"/>
        <v>T35 ODS Motor</v>
      </c>
      <c r="AD361" s="39" t="str">
        <f t="shared" si="105"/>
        <v>T35 ODS Motor</v>
      </c>
      <c r="AE361" s="39" t="str">
        <f t="shared" si="106"/>
        <v>T35 ODS Motor</v>
      </c>
      <c r="AF361" s="39" t="str">
        <f t="shared" si="107"/>
        <v>T35 ODS Motor</v>
      </c>
      <c r="AG361" s="39" t="str">
        <f t="shared" si="108"/>
        <v>T35 ODS Motor</v>
      </c>
      <c r="AH361" s="39" t="str">
        <f t="shared" si="109"/>
        <v>T35 ODS Motor</v>
      </c>
    </row>
    <row r="362" spans="1:34" ht="14.4">
      <c r="A362" s="84">
        <v>2080</v>
      </c>
      <c r="B362" s="39" t="s">
        <v>263</v>
      </c>
      <c r="C362" s="39" t="str">
        <f t="shared" si="78"/>
        <v>L10 ODS Motor</v>
      </c>
      <c r="D362" s="39" t="str">
        <f t="shared" si="79"/>
        <v>L10 ODS Motor</v>
      </c>
      <c r="E362" s="39" t="str">
        <f t="shared" si="80"/>
        <v>L10 ODS Motor</v>
      </c>
      <c r="F362" s="39" t="str">
        <f t="shared" si="81"/>
        <v>T20 ODS Motor</v>
      </c>
      <c r="G362" s="39" t="str">
        <f t="shared" si="82"/>
        <v>T20 ODS Motor</v>
      </c>
      <c r="H362" s="39" t="str">
        <f t="shared" si="83"/>
        <v>T20 ODS Motor</v>
      </c>
      <c r="I362" s="39" t="str">
        <f t="shared" si="84"/>
        <v>T20 ODS Motor</v>
      </c>
      <c r="J362" s="39" t="str">
        <f t="shared" si="85"/>
        <v>T20 ODS Motor</v>
      </c>
      <c r="K362" s="39" t="str">
        <f t="shared" si="86"/>
        <v>T20 ODS Motor</v>
      </c>
      <c r="L362" s="39" t="str">
        <f t="shared" si="87"/>
        <v>T20 ODS Motor</v>
      </c>
      <c r="M362" s="39" t="str">
        <f t="shared" si="88"/>
        <v>T20 ODS Motor</v>
      </c>
      <c r="N362" s="39" t="str">
        <f t="shared" si="89"/>
        <v>T20 ODS Motor</v>
      </c>
      <c r="O362" s="39" t="str">
        <f t="shared" si="90"/>
        <v>T20 ODS Motor</v>
      </c>
      <c r="P362" s="39" t="str">
        <f t="shared" si="91"/>
        <v>T35 ODS Motor</v>
      </c>
      <c r="Q362" s="39" t="str">
        <f t="shared" si="92"/>
        <v>T35 ODS Motor</v>
      </c>
      <c r="R362" s="39" t="str">
        <f t="shared" si="93"/>
        <v>T35 ODS Motor</v>
      </c>
      <c r="S362" s="39" t="str">
        <f t="shared" si="94"/>
        <v>T35 ODS Motor</v>
      </c>
      <c r="T362" s="39" t="str">
        <f t="shared" si="95"/>
        <v>T35 ODS Motor</v>
      </c>
      <c r="U362" s="39" t="str">
        <f t="shared" si="96"/>
        <v>T35 ODS Motor</v>
      </c>
      <c r="V362" s="39" t="str">
        <f t="shared" si="97"/>
        <v>T35 ODS Motor</v>
      </c>
      <c r="W362" s="39" t="str">
        <f t="shared" si="98"/>
        <v>T35 ODS Motor</v>
      </c>
      <c r="X362" s="39" t="str">
        <f t="shared" si="99"/>
        <v>T35 ODS Motor</v>
      </c>
      <c r="Y362" s="39" t="str">
        <f t="shared" si="100"/>
        <v>T35 ODS Motor</v>
      </c>
      <c r="Z362" s="39" t="str">
        <f t="shared" si="101"/>
        <v>T35 ODS Motor</v>
      </c>
      <c r="AA362" s="39" t="str">
        <f t="shared" si="102"/>
        <v>T35 ODS Motor</v>
      </c>
      <c r="AB362" s="39" t="str">
        <f t="shared" si="103"/>
        <v>T35 ODS Motor</v>
      </c>
      <c r="AC362" s="39" t="str">
        <f t="shared" si="104"/>
        <v>T35 ODS Motor</v>
      </c>
      <c r="AD362" s="39" t="str">
        <f t="shared" si="105"/>
        <v>T35 ODS Motor</v>
      </c>
      <c r="AE362" s="39" t="str">
        <f t="shared" si="106"/>
        <v>T35 ODS Motor</v>
      </c>
      <c r="AF362" s="39" t="str">
        <f t="shared" si="107"/>
        <v>T35 ODS Motor</v>
      </c>
      <c r="AG362" s="39" t="str">
        <f t="shared" si="108"/>
        <v>T35 ODS Motor</v>
      </c>
      <c r="AH362" s="39" t="str">
        <f t="shared" si="109"/>
        <v>T35 ODS Motor</v>
      </c>
    </row>
    <row r="363" spans="1:34" ht="14.4">
      <c r="A363" s="84">
        <v>2180</v>
      </c>
      <c r="B363" s="39" t="s">
        <v>263</v>
      </c>
      <c r="C363" s="39" t="str">
        <f t="shared" si="78"/>
        <v>L10 ODS Motor</v>
      </c>
      <c r="D363" s="39" t="str">
        <f t="shared" si="79"/>
        <v>L10 ODS Motor</v>
      </c>
      <c r="E363" s="39" t="str">
        <f t="shared" si="80"/>
        <v>T20 ODS Motor</v>
      </c>
      <c r="F363" s="39" t="str">
        <f t="shared" si="81"/>
        <v>T20 ODS Motor</v>
      </c>
      <c r="G363" s="39" t="str">
        <f t="shared" si="82"/>
        <v>T20 ODS Motor</v>
      </c>
      <c r="H363" s="39" t="str">
        <f t="shared" si="83"/>
        <v>T20 ODS Motor</v>
      </c>
      <c r="I363" s="39" t="str">
        <f t="shared" si="84"/>
        <v>T20 ODS Motor</v>
      </c>
      <c r="J363" s="39" t="str">
        <f t="shared" si="85"/>
        <v>T20 ODS Motor</v>
      </c>
      <c r="K363" s="39" t="str">
        <f t="shared" si="86"/>
        <v>T20 ODS Motor</v>
      </c>
      <c r="L363" s="39" t="str">
        <f t="shared" si="87"/>
        <v>T20 ODS Motor</v>
      </c>
      <c r="M363" s="39" t="str">
        <f t="shared" si="88"/>
        <v>T20 ODS Motor</v>
      </c>
      <c r="N363" s="39" t="str">
        <f t="shared" si="89"/>
        <v>T20 ODS Motor</v>
      </c>
      <c r="O363" s="39" t="str">
        <f t="shared" si="90"/>
        <v>T35 ODS Motor</v>
      </c>
      <c r="P363" s="39" t="str">
        <f t="shared" si="91"/>
        <v>T35 ODS Motor</v>
      </c>
      <c r="Q363" s="39" t="str">
        <f t="shared" si="92"/>
        <v>T35 ODS Motor</v>
      </c>
      <c r="R363" s="39" t="str">
        <f t="shared" si="93"/>
        <v>T35 ODS Motor</v>
      </c>
      <c r="S363" s="39" t="str">
        <f t="shared" si="94"/>
        <v>T35 ODS Motor</v>
      </c>
      <c r="T363" s="39" t="str">
        <f t="shared" si="95"/>
        <v>T35 ODS Motor</v>
      </c>
      <c r="U363" s="39" t="str">
        <f t="shared" si="96"/>
        <v>T35 ODS Motor</v>
      </c>
      <c r="V363" s="39" t="str">
        <f t="shared" si="97"/>
        <v>T35 ODS Motor</v>
      </c>
      <c r="W363" s="39" t="str">
        <f t="shared" si="98"/>
        <v>T35 ODS Motor</v>
      </c>
      <c r="X363" s="39" t="str">
        <f t="shared" si="99"/>
        <v>T35 ODS Motor</v>
      </c>
      <c r="Y363" s="39" t="str">
        <f t="shared" si="100"/>
        <v>T35 ODS Motor</v>
      </c>
      <c r="Z363" s="39" t="str">
        <f t="shared" si="101"/>
        <v>T35 ODS Motor</v>
      </c>
      <c r="AA363" s="39" t="str">
        <f t="shared" si="102"/>
        <v>T35 ODS Motor</v>
      </c>
      <c r="AB363" s="39" t="str">
        <f t="shared" si="103"/>
        <v>T35 ODS Motor</v>
      </c>
      <c r="AC363" s="39" t="str">
        <f t="shared" si="104"/>
        <v>T35 ODS Motor</v>
      </c>
      <c r="AD363" s="39" t="str">
        <f t="shared" si="105"/>
        <v>T35 ODS Motor</v>
      </c>
      <c r="AE363" s="39" t="str">
        <f t="shared" si="106"/>
        <v>T35 ODS Motor</v>
      </c>
      <c r="AF363" s="39" t="str">
        <f t="shared" si="107"/>
        <v>T35 ODS Motor</v>
      </c>
      <c r="AG363" s="39" t="str">
        <f t="shared" si="108"/>
        <v>T35 ODS Motor</v>
      </c>
      <c r="AH363" s="39" t="str">
        <f t="shared" si="109"/>
        <v>T35 ODS Motor</v>
      </c>
    </row>
    <row r="364" spans="1:34" ht="14.4">
      <c r="A364" s="84">
        <v>2280</v>
      </c>
      <c r="B364" s="39" t="s">
        <v>263</v>
      </c>
      <c r="C364" s="39" t="str">
        <f t="shared" si="78"/>
        <v>L10 ODS Motor</v>
      </c>
      <c r="D364" s="39" t="str">
        <f t="shared" si="79"/>
        <v>L10 ODS Motor</v>
      </c>
      <c r="E364" s="39" t="str">
        <f t="shared" si="80"/>
        <v>T20 ODS Motor</v>
      </c>
      <c r="F364" s="39" t="str">
        <f t="shared" si="81"/>
        <v>T20 ODS Motor</v>
      </c>
      <c r="G364" s="39" t="str">
        <f t="shared" si="82"/>
        <v>T20 ODS Motor</v>
      </c>
      <c r="H364" s="39" t="str">
        <f t="shared" si="83"/>
        <v>T20 ODS Motor</v>
      </c>
      <c r="I364" s="39" t="str">
        <f t="shared" si="84"/>
        <v>T20 ODS Motor</v>
      </c>
      <c r="J364" s="39" t="str">
        <f t="shared" si="85"/>
        <v>T20 ODS Motor</v>
      </c>
      <c r="K364" s="39" t="str">
        <f t="shared" si="86"/>
        <v>T20 ODS Motor</v>
      </c>
      <c r="L364" s="39" t="str">
        <f t="shared" si="87"/>
        <v>T20 ODS Motor</v>
      </c>
      <c r="M364" s="39" t="str">
        <f t="shared" si="88"/>
        <v>T20 ODS Motor</v>
      </c>
      <c r="N364" s="39" t="str">
        <f t="shared" si="89"/>
        <v>T35 ODS Motor</v>
      </c>
      <c r="O364" s="39" t="str">
        <f t="shared" si="90"/>
        <v>T35 ODS Motor</v>
      </c>
      <c r="P364" s="39" t="str">
        <f t="shared" si="91"/>
        <v>T35 ODS Motor</v>
      </c>
      <c r="Q364" s="39" t="str">
        <f t="shared" si="92"/>
        <v>T35 ODS Motor</v>
      </c>
      <c r="R364" s="39" t="str">
        <f t="shared" si="93"/>
        <v>T35 ODS Motor</v>
      </c>
      <c r="S364" s="39" t="str">
        <f t="shared" si="94"/>
        <v>T35 ODS Motor</v>
      </c>
      <c r="T364" s="39" t="str">
        <f t="shared" si="95"/>
        <v>T35 ODS Motor</v>
      </c>
      <c r="U364" s="39" t="str">
        <f t="shared" si="96"/>
        <v>T35 ODS Motor</v>
      </c>
      <c r="V364" s="39" t="str">
        <f t="shared" si="97"/>
        <v>T35 ODS Motor</v>
      </c>
      <c r="W364" s="39" t="str">
        <f t="shared" si="98"/>
        <v>T35 ODS Motor</v>
      </c>
      <c r="X364" s="39" t="str">
        <f t="shared" si="99"/>
        <v>T35 ODS Motor</v>
      </c>
      <c r="Y364" s="39" t="str">
        <f t="shared" si="100"/>
        <v>T35 ODS Motor</v>
      </c>
      <c r="Z364" s="39" t="str">
        <f t="shared" si="101"/>
        <v>T35 ODS Motor</v>
      </c>
      <c r="AA364" s="39" t="str">
        <f t="shared" si="102"/>
        <v>T35 ODS Motor</v>
      </c>
      <c r="AB364" s="39" t="str">
        <f t="shared" si="103"/>
        <v>T35 ODS Motor</v>
      </c>
      <c r="AC364" s="39" t="str">
        <f t="shared" si="104"/>
        <v>T35 ODS Motor</v>
      </c>
      <c r="AD364" s="39" t="str">
        <f t="shared" si="105"/>
        <v>T35 ODS Motor</v>
      </c>
      <c r="AE364" s="39" t="str">
        <f t="shared" si="106"/>
        <v>T35 ODS Motor</v>
      </c>
      <c r="AF364" s="39" t="str">
        <f t="shared" si="107"/>
        <v>T35 ODS Motor</v>
      </c>
      <c r="AG364" s="39" t="str">
        <f t="shared" si="108"/>
        <v>T35 ODS Motor</v>
      </c>
      <c r="AH364" s="39" t="str">
        <f t="shared" si="109"/>
        <v>T35 ODS Motor</v>
      </c>
    </row>
    <row r="365" spans="1:34" ht="14.4">
      <c r="A365" s="84">
        <v>2380</v>
      </c>
      <c r="B365" s="39" t="s">
        <v>264</v>
      </c>
      <c r="C365" s="39" t="str">
        <f t="shared" si="78"/>
        <v>L10 ODS Motor</v>
      </c>
      <c r="D365" s="39" t="str">
        <f t="shared" si="79"/>
        <v>T20 ODS Motor</v>
      </c>
      <c r="E365" s="39" t="str">
        <f t="shared" si="80"/>
        <v>T20 ODS Motor</v>
      </c>
      <c r="F365" s="39" t="str">
        <f t="shared" si="81"/>
        <v>T20 ODS Motor</v>
      </c>
      <c r="G365" s="39" t="str">
        <f t="shared" si="82"/>
        <v>T20 ODS Motor</v>
      </c>
      <c r="H365" s="39" t="str">
        <f t="shared" si="83"/>
        <v>T20 ODS Motor</v>
      </c>
      <c r="I365" s="39" t="str">
        <f t="shared" si="84"/>
        <v>T20 ODS Motor</v>
      </c>
      <c r="J365" s="39" t="str">
        <f t="shared" si="85"/>
        <v>T20 ODS Motor</v>
      </c>
      <c r="K365" s="39" t="str">
        <f t="shared" si="86"/>
        <v>T20 ODS Motor</v>
      </c>
      <c r="L365" s="39" t="str">
        <f t="shared" si="87"/>
        <v>T20 ODS Motor</v>
      </c>
      <c r="M365" s="39" t="str">
        <f t="shared" si="88"/>
        <v>T35 ODS Motor</v>
      </c>
      <c r="N365" s="39" t="str">
        <f t="shared" si="89"/>
        <v>T35 ODS Motor</v>
      </c>
      <c r="O365" s="39" t="str">
        <f t="shared" si="90"/>
        <v>T35 ODS Motor</v>
      </c>
      <c r="P365" s="39" t="str">
        <f t="shared" si="91"/>
        <v>T35 ODS Motor</v>
      </c>
      <c r="Q365" s="39" t="str">
        <f t="shared" si="92"/>
        <v>T35 ODS Motor</v>
      </c>
      <c r="R365" s="39" t="str">
        <f t="shared" si="93"/>
        <v>T35 ODS Motor</v>
      </c>
      <c r="S365" s="39" t="str">
        <f t="shared" si="94"/>
        <v>T35 ODS Motor</v>
      </c>
      <c r="T365" s="39" t="str">
        <f t="shared" si="95"/>
        <v>T35 ODS Motor</v>
      </c>
      <c r="U365" s="39" t="str">
        <f t="shared" si="96"/>
        <v>T35 ODS Motor</v>
      </c>
      <c r="V365" s="39" t="str">
        <f t="shared" si="97"/>
        <v>T35 ODS Motor</v>
      </c>
      <c r="W365" s="39" t="str">
        <f t="shared" si="98"/>
        <v>T35 ODS Motor</v>
      </c>
      <c r="X365" s="39" t="str">
        <f t="shared" si="99"/>
        <v>T35 ODS Motor</v>
      </c>
      <c r="Y365" s="39" t="str">
        <f t="shared" si="100"/>
        <v>T35 ODS Motor</v>
      </c>
      <c r="Z365" s="39" t="str">
        <f t="shared" si="101"/>
        <v>T35 ODS Motor</v>
      </c>
      <c r="AA365" s="39" t="str">
        <f t="shared" si="102"/>
        <v>T35 ODS Motor</v>
      </c>
      <c r="AB365" s="39" t="str">
        <f t="shared" si="103"/>
        <v>T35 ODS Motor</v>
      </c>
      <c r="AC365" s="39" t="str">
        <f t="shared" si="104"/>
        <v>T35 ODS Motor</v>
      </c>
      <c r="AD365" s="39" t="str">
        <f t="shared" si="105"/>
        <v>T35 ODS Motor</v>
      </c>
      <c r="AE365" s="39" t="str">
        <f t="shared" si="106"/>
        <v>T35 ODS Motor</v>
      </c>
      <c r="AF365" s="39" t="str">
        <f t="shared" si="107"/>
        <v>T35 ODS Motor</v>
      </c>
      <c r="AG365" s="39" t="str">
        <f t="shared" si="108"/>
        <v>T35 ODS Motor</v>
      </c>
      <c r="AH365" s="39" t="str">
        <f t="shared" si="109"/>
        <v>T35 ODS Motor</v>
      </c>
    </row>
    <row r="366" spans="1:34" ht="14.4">
      <c r="A366" s="84">
        <v>2480</v>
      </c>
      <c r="B366" s="39" t="s">
        <v>264</v>
      </c>
      <c r="C366" s="39" t="str">
        <f t="shared" si="78"/>
        <v>L10 ODS Motor</v>
      </c>
      <c r="D366" s="39" t="str">
        <f t="shared" si="79"/>
        <v>T20 ODS Motor</v>
      </c>
      <c r="E366" s="39" t="str">
        <f t="shared" si="80"/>
        <v>T20 ODS Motor</v>
      </c>
      <c r="F366" s="39" t="str">
        <f t="shared" si="81"/>
        <v>T20 ODS Motor</v>
      </c>
      <c r="G366" s="39" t="str">
        <f t="shared" si="82"/>
        <v>T20 ODS Motor</v>
      </c>
      <c r="H366" s="39" t="str">
        <f t="shared" si="83"/>
        <v>T20 ODS Motor</v>
      </c>
      <c r="I366" s="39" t="str">
        <f t="shared" si="84"/>
        <v>T20 ODS Motor</v>
      </c>
      <c r="J366" s="39" t="str">
        <f t="shared" si="85"/>
        <v>T20 ODS Motor</v>
      </c>
      <c r="K366" s="39" t="str">
        <f t="shared" si="86"/>
        <v>T20 ODS Motor</v>
      </c>
      <c r="L366" s="39" t="str">
        <f t="shared" si="87"/>
        <v>T20 ODS Motor</v>
      </c>
      <c r="M366" s="39" t="str">
        <f t="shared" si="88"/>
        <v>T35 ODS Motor</v>
      </c>
      <c r="N366" s="39" t="str">
        <f t="shared" si="89"/>
        <v>T35 ODS Motor</v>
      </c>
      <c r="O366" s="39" t="str">
        <f t="shared" si="90"/>
        <v>T35 ODS Motor</v>
      </c>
      <c r="P366" s="39" t="str">
        <f t="shared" si="91"/>
        <v>T35 ODS Motor</v>
      </c>
      <c r="Q366" s="39" t="str">
        <f t="shared" si="92"/>
        <v>T35 ODS Motor</v>
      </c>
      <c r="R366" s="39" t="str">
        <f t="shared" si="93"/>
        <v>T35 ODS Motor</v>
      </c>
      <c r="S366" s="39" t="str">
        <f t="shared" si="94"/>
        <v>T35 ODS Motor</v>
      </c>
      <c r="T366" s="39" t="str">
        <f t="shared" si="95"/>
        <v>T35 ODS Motor</v>
      </c>
      <c r="U366" s="39" t="str">
        <f t="shared" si="96"/>
        <v>T35 ODS Motor</v>
      </c>
      <c r="V366" s="39" t="str">
        <f t="shared" si="97"/>
        <v>T35 ODS Motor</v>
      </c>
      <c r="W366" s="39" t="str">
        <f t="shared" si="98"/>
        <v>T35 ODS Motor</v>
      </c>
      <c r="X366" s="39" t="str">
        <f t="shared" si="99"/>
        <v>T35 ODS Motor</v>
      </c>
      <c r="Y366" s="39" t="str">
        <f t="shared" si="100"/>
        <v>T35 ODS Motor</v>
      </c>
      <c r="Z366" s="39" t="str">
        <f t="shared" si="101"/>
        <v>T35 ODS Motor</v>
      </c>
      <c r="AA366" s="39" t="str">
        <f t="shared" si="102"/>
        <v>T35 ODS Motor</v>
      </c>
      <c r="AB366" s="39" t="str">
        <f t="shared" si="103"/>
        <v>T35 ODS Motor</v>
      </c>
      <c r="AC366" s="39" t="str">
        <f t="shared" si="104"/>
        <v>T35 ODS Motor</v>
      </c>
      <c r="AD366" s="39" t="str">
        <f t="shared" si="105"/>
        <v>T35 ODS Motor</v>
      </c>
      <c r="AE366" s="39" t="str">
        <f t="shared" si="106"/>
        <v>T35 ODS Motor</v>
      </c>
      <c r="AF366" s="39" t="str">
        <f t="shared" si="107"/>
        <v>T35 ODS Motor</v>
      </c>
      <c r="AG366" s="39" t="str">
        <f t="shared" si="108"/>
        <v>T35 ODS Motor</v>
      </c>
      <c r="AH366" s="39" t="str">
        <f t="shared" si="109"/>
        <v>T35 ODS Motor</v>
      </c>
    </row>
    <row r="367" spans="1:34" ht="14.4">
      <c r="A367" s="84">
        <v>2580</v>
      </c>
      <c r="B367" s="39" t="s">
        <v>264</v>
      </c>
      <c r="C367" s="39" t="str">
        <f t="shared" si="78"/>
        <v>L10 ODS Motor</v>
      </c>
      <c r="D367" s="39" t="str">
        <f t="shared" si="79"/>
        <v>T20 ODS Motor</v>
      </c>
      <c r="E367" s="39" t="str">
        <f t="shared" si="80"/>
        <v>T20 ODS Motor</v>
      </c>
      <c r="F367" s="39" t="str">
        <f t="shared" si="81"/>
        <v>T20 ODS Motor</v>
      </c>
      <c r="G367" s="39" t="str">
        <f t="shared" si="82"/>
        <v>T20 ODS Motor</v>
      </c>
      <c r="H367" s="39" t="str">
        <f t="shared" si="83"/>
        <v>T20 ODS Motor</v>
      </c>
      <c r="I367" s="39" t="str">
        <f t="shared" si="84"/>
        <v>T20 ODS Motor</v>
      </c>
      <c r="J367" s="39" t="str">
        <f t="shared" si="85"/>
        <v>T20 ODS Motor</v>
      </c>
      <c r="K367" s="39" t="str">
        <f t="shared" si="86"/>
        <v>T20 ODS Motor</v>
      </c>
      <c r="L367" s="39" t="str">
        <f t="shared" si="87"/>
        <v>T35 ODS Motor</v>
      </c>
      <c r="M367" s="39" t="str">
        <f t="shared" si="88"/>
        <v>T35 ODS Motor</v>
      </c>
      <c r="N367" s="39" t="str">
        <f t="shared" si="89"/>
        <v>T35 ODS Motor</v>
      </c>
      <c r="O367" s="39" t="str">
        <f t="shared" si="90"/>
        <v>T35 ODS Motor</v>
      </c>
      <c r="P367" s="39" t="str">
        <f t="shared" si="91"/>
        <v>T35 ODS Motor</v>
      </c>
      <c r="Q367" s="39" t="str">
        <f t="shared" si="92"/>
        <v>T35 ODS Motor</v>
      </c>
      <c r="R367" s="39" t="str">
        <f t="shared" si="93"/>
        <v>T35 ODS Motor</v>
      </c>
      <c r="S367" s="39" t="str">
        <f t="shared" si="94"/>
        <v>T35 ODS Motor</v>
      </c>
      <c r="T367" s="39" t="str">
        <f t="shared" si="95"/>
        <v>T35 ODS Motor</v>
      </c>
      <c r="U367" s="39" t="str">
        <f t="shared" si="96"/>
        <v>T35 ODS Motor</v>
      </c>
      <c r="V367" s="39" t="str">
        <f t="shared" si="97"/>
        <v>T35 ODS Motor</v>
      </c>
      <c r="W367" s="39" t="str">
        <f t="shared" si="98"/>
        <v>T35 ODS Motor</v>
      </c>
      <c r="X367" s="39" t="str">
        <f t="shared" si="99"/>
        <v>T35 ODS Motor</v>
      </c>
      <c r="Y367" s="39" t="str">
        <f t="shared" si="100"/>
        <v>T35 ODS Motor</v>
      </c>
      <c r="Z367" s="39" t="str">
        <f t="shared" si="101"/>
        <v>T35 ODS Motor</v>
      </c>
      <c r="AA367" s="39" t="str">
        <f t="shared" si="102"/>
        <v>T35 ODS Motor</v>
      </c>
      <c r="AB367" s="39" t="str">
        <f t="shared" si="103"/>
        <v>T35 ODS Motor</v>
      </c>
      <c r="AC367" s="39" t="str">
        <f t="shared" si="104"/>
        <v>T35 ODS Motor</v>
      </c>
      <c r="AD367" s="39" t="str">
        <f t="shared" si="105"/>
        <v>T35 ODS Motor</v>
      </c>
      <c r="AE367" s="39" t="str">
        <f t="shared" si="106"/>
        <v>T35 ODS Motor</v>
      </c>
      <c r="AF367" s="39" t="str">
        <f t="shared" si="107"/>
        <v>T35 ODS Motor</v>
      </c>
      <c r="AG367" s="39" t="str">
        <f t="shared" si="108"/>
        <v>T35 ODS Motor</v>
      </c>
      <c r="AH367" s="39" t="str">
        <f t="shared" si="109"/>
        <v>T35 ODS Motor</v>
      </c>
    </row>
    <row r="368" spans="1:34" ht="14.4">
      <c r="A368" s="84">
        <v>2680</v>
      </c>
      <c r="B368" s="39" t="s">
        <v>264</v>
      </c>
      <c r="C368" s="39" t="str">
        <f t="shared" si="78"/>
        <v>T20 ODS Motor</v>
      </c>
      <c r="D368" s="39" t="str">
        <f t="shared" si="79"/>
        <v>T20 ODS Motor</v>
      </c>
      <c r="E368" s="39" t="str">
        <f t="shared" si="80"/>
        <v>T20 ODS Motor</v>
      </c>
      <c r="F368" s="39" t="str">
        <f t="shared" si="81"/>
        <v>T20 ODS Motor</v>
      </c>
      <c r="G368" s="39" t="str">
        <f t="shared" si="82"/>
        <v>T20 ODS Motor</v>
      </c>
      <c r="H368" s="39" t="str">
        <f t="shared" si="83"/>
        <v>T20 ODS Motor</v>
      </c>
      <c r="I368" s="39" t="str">
        <f t="shared" si="84"/>
        <v>T20 ODS Motor</v>
      </c>
      <c r="J368" s="39" t="str">
        <f t="shared" si="85"/>
        <v>T20 ODS Motor</v>
      </c>
      <c r="K368" s="39" t="str">
        <f t="shared" si="86"/>
        <v>T35 ODS Motor</v>
      </c>
      <c r="L368" s="39" t="str">
        <f t="shared" si="87"/>
        <v>T35 ODS Motor</v>
      </c>
      <c r="M368" s="39" t="str">
        <f t="shared" si="88"/>
        <v>T35 ODS Motor</v>
      </c>
      <c r="N368" s="39" t="str">
        <f t="shared" si="89"/>
        <v>T35 ODS Motor</v>
      </c>
      <c r="O368" s="39" t="str">
        <f t="shared" si="90"/>
        <v>T35 ODS Motor</v>
      </c>
      <c r="P368" s="39" t="str">
        <f t="shared" si="91"/>
        <v>T35 ODS Motor</v>
      </c>
      <c r="Q368" s="39" t="str">
        <f t="shared" si="92"/>
        <v>T35 ODS Motor</v>
      </c>
      <c r="R368" s="39" t="str">
        <f t="shared" si="93"/>
        <v>T35 ODS Motor</v>
      </c>
      <c r="S368" s="39" t="str">
        <f t="shared" si="94"/>
        <v>T35 ODS Motor</v>
      </c>
      <c r="T368" s="39" t="str">
        <f t="shared" si="95"/>
        <v>T35 ODS Motor</v>
      </c>
      <c r="U368" s="39" t="str">
        <f t="shared" si="96"/>
        <v>T35 ODS Motor</v>
      </c>
      <c r="V368" s="39" t="str">
        <f t="shared" si="97"/>
        <v>T35 ODS Motor</v>
      </c>
      <c r="W368" s="39" t="str">
        <f t="shared" si="98"/>
        <v>T35 ODS Motor</v>
      </c>
      <c r="X368" s="39" t="str">
        <f t="shared" si="99"/>
        <v>T35 ODS Motor</v>
      </c>
      <c r="Y368" s="39" t="str">
        <f t="shared" si="100"/>
        <v>T35 ODS Motor</v>
      </c>
      <c r="Z368" s="39" t="str">
        <f t="shared" si="101"/>
        <v>T35 ODS Motor</v>
      </c>
      <c r="AA368" s="39" t="str">
        <f t="shared" si="102"/>
        <v>T35 ODS Motor</v>
      </c>
      <c r="AB368" s="39" t="str">
        <f t="shared" si="103"/>
        <v>T35 ODS Motor</v>
      </c>
      <c r="AC368" s="39" t="str">
        <f t="shared" si="104"/>
        <v>T35 ODS Motor</v>
      </c>
      <c r="AD368" s="39" t="str">
        <f t="shared" si="105"/>
        <v>T35 ODS Motor</v>
      </c>
      <c r="AE368" s="39" t="str">
        <f t="shared" si="106"/>
        <v>T35 ODS Motor</v>
      </c>
      <c r="AF368" s="39" t="str">
        <f t="shared" si="107"/>
        <v>T35 ODS Motor</v>
      </c>
      <c r="AG368" s="39" t="str">
        <f t="shared" si="108"/>
        <v>T35 ODS Motor</v>
      </c>
      <c r="AH368" s="39" t="str">
        <f t="shared" si="109"/>
        <v>T35 ODS Motor</v>
      </c>
    </row>
    <row r="369" spans="1:34" ht="14.4">
      <c r="A369" s="84">
        <v>2780</v>
      </c>
      <c r="B369" s="39" t="s">
        <v>264</v>
      </c>
      <c r="C369" s="39" t="str">
        <f t="shared" si="78"/>
        <v>T20 ODS Motor</v>
      </c>
      <c r="D369" s="39" t="str">
        <f t="shared" si="79"/>
        <v>T20 ODS Motor</v>
      </c>
      <c r="E369" s="39" t="str">
        <f t="shared" si="80"/>
        <v>T20 ODS Motor</v>
      </c>
      <c r="F369" s="39" t="str">
        <f t="shared" si="81"/>
        <v>T20 ODS Motor</v>
      </c>
      <c r="G369" s="39" t="str">
        <f t="shared" si="82"/>
        <v>T20 ODS Motor</v>
      </c>
      <c r="H369" s="39" t="str">
        <f t="shared" si="83"/>
        <v>T20 ODS Motor</v>
      </c>
      <c r="I369" s="39" t="str">
        <f t="shared" si="84"/>
        <v>T20 ODS Motor</v>
      </c>
      <c r="J369" s="39" t="str">
        <f t="shared" si="85"/>
        <v>T20 ODS Motor</v>
      </c>
      <c r="K369" s="39" t="str">
        <f t="shared" si="86"/>
        <v>T35 ODS Motor</v>
      </c>
      <c r="L369" s="39" t="str">
        <f t="shared" si="87"/>
        <v>T35 ODS Motor</v>
      </c>
      <c r="M369" s="39" t="str">
        <f t="shared" si="88"/>
        <v>T35 ODS Motor</v>
      </c>
      <c r="N369" s="39" t="str">
        <f t="shared" si="89"/>
        <v>T35 ODS Motor</v>
      </c>
      <c r="O369" s="39" t="str">
        <f t="shared" si="90"/>
        <v>T35 ODS Motor</v>
      </c>
      <c r="P369" s="39" t="str">
        <f t="shared" si="91"/>
        <v>T35 ODS Motor</v>
      </c>
      <c r="Q369" s="39" t="str">
        <f t="shared" si="92"/>
        <v>T35 ODS Motor</v>
      </c>
      <c r="R369" s="39" t="str">
        <f t="shared" si="93"/>
        <v>T35 ODS Motor</v>
      </c>
      <c r="S369" s="39" t="str">
        <f t="shared" si="94"/>
        <v>T35 ODS Motor</v>
      </c>
      <c r="T369" s="39" t="str">
        <f t="shared" si="95"/>
        <v>T35 ODS Motor</v>
      </c>
      <c r="U369" s="39" t="str">
        <f t="shared" si="96"/>
        <v>T35 ODS Motor</v>
      </c>
      <c r="V369" s="39" t="str">
        <f t="shared" si="97"/>
        <v>T35 ODS Motor</v>
      </c>
      <c r="W369" s="39" t="str">
        <f t="shared" si="98"/>
        <v>T35 ODS Motor</v>
      </c>
      <c r="X369" s="39" t="str">
        <f t="shared" si="99"/>
        <v>T35 ODS Motor</v>
      </c>
      <c r="Y369" s="39" t="str">
        <f t="shared" si="100"/>
        <v>T35 ODS Motor</v>
      </c>
      <c r="Z369" s="39" t="str">
        <f t="shared" si="101"/>
        <v>T35 ODS Motor</v>
      </c>
      <c r="AA369" s="39" t="str">
        <f t="shared" si="102"/>
        <v>T35 ODS Motor</v>
      </c>
      <c r="AB369" s="39" t="str">
        <f t="shared" si="103"/>
        <v>T35 ODS Motor</v>
      </c>
      <c r="AC369" s="39" t="str">
        <f t="shared" si="104"/>
        <v>T35 ODS Motor</v>
      </c>
      <c r="AD369" s="39" t="str">
        <f t="shared" si="105"/>
        <v>T35 ODS Motor</v>
      </c>
      <c r="AE369" s="39" t="str">
        <f t="shared" si="106"/>
        <v>T35 ODS Motor</v>
      </c>
      <c r="AF369" s="39" t="str">
        <f t="shared" si="107"/>
        <v>T35 ODS Motor</v>
      </c>
      <c r="AG369" s="39" t="str">
        <f t="shared" si="108"/>
        <v>T35 ODS Motor</v>
      </c>
      <c r="AH369" s="39" t="str">
        <f t="shared" si="109"/>
        <v>T35 ODS Motor</v>
      </c>
    </row>
    <row r="370" spans="1:34" ht="14.4">
      <c r="A370" s="84">
        <v>2880</v>
      </c>
      <c r="B370" s="39" t="s">
        <v>264</v>
      </c>
      <c r="C370" s="39" t="str">
        <f t="shared" si="78"/>
        <v>T20 ODS Motor</v>
      </c>
      <c r="D370" s="39" t="str">
        <f t="shared" si="79"/>
        <v>T20 ODS Motor</v>
      </c>
      <c r="E370" s="39" t="str">
        <f t="shared" si="80"/>
        <v>T20 ODS Motor</v>
      </c>
      <c r="F370" s="39" t="str">
        <f t="shared" si="81"/>
        <v>T20 ODS Motor</v>
      </c>
      <c r="G370" s="39" t="str">
        <f t="shared" si="82"/>
        <v>T20 ODS Motor</v>
      </c>
      <c r="H370" s="39" t="str">
        <f t="shared" si="83"/>
        <v>T20 ODS Motor</v>
      </c>
      <c r="I370" s="39" t="str">
        <f t="shared" si="84"/>
        <v>T20 ODS Motor</v>
      </c>
      <c r="J370" s="39" t="str">
        <f t="shared" si="85"/>
        <v>T35 ODS Motor</v>
      </c>
      <c r="K370" s="39" t="str">
        <f t="shared" si="86"/>
        <v>T35 ODS Motor</v>
      </c>
      <c r="L370" s="39" t="str">
        <f t="shared" si="87"/>
        <v>T35 ODS Motor</v>
      </c>
      <c r="M370" s="39" t="str">
        <f t="shared" si="88"/>
        <v>T35 ODS Motor</v>
      </c>
      <c r="N370" s="39" t="str">
        <f t="shared" si="89"/>
        <v>T35 ODS Motor</v>
      </c>
      <c r="O370" s="39" t="str">
        <f t="shared" si="90"/>
        <v>T35 ODS Motor</v>
      </c>
      <c r="P370" s="39" t="str">
        <f t="shared" si="91"/>
        <v>T35 ODS Motor</v>
      </c>
      <c r="Q370" s="39" t="str">
        <f t="shared" si="92"/>
        <v>T35 ODS Motor</v>
      </c>
      <c r="R370" s="39" t="str">
        <f t="shared" si="93"/>
        <v>T35 ODS Motor</v>
      </c>
      <c r="S370" s="39" t="str">
        <f t="shared" si="94"/>
        <v>T35 ODS Motor</v>
      </c>
      <c r="T370" s="39" t="str">
        <f t="shared" si="95"/>
        <v>T35 ODS Motor</v>
      </c>
      <c r="U370" s="39" t="str">
        <f t="shared" si="96"/>
        <v>T35 ODS Motor</v>
      </c>
      <c r="V370" s="39" t="str">
        <f t="shared" si="97"/>
        <v>T35 ODS Motor</v>
      </c>
      <c r="W370" s="39" t="str">
        <f t="shared" si="98"/>
        <v>T35 ODS Motor</v>
      </c>
      <c r="X370" s="39" t="str">
        <f t="shared" si="99"/>
        <v>T35 ODS Motor</v>
      </c>
      <c r="Y370" s="39" t="str">
        <f t="shared" si="100"/>
        <v>T35 ODS Motor</v>
      </c>
      <c r="Z370" s="39" t="str">
        <f t="shared" si="101"/>
        <v>T35 ODS Motor</v>
      </c>
      <c r="AA370" s="39" t="str">
        <f t="shared" si="102"/>
        <v>T35 ODS Motor</v>
      </c>
      <c r="AB370" s="39" t="str">
        <f t="shared" si="103"/>
        <v>T35 ODS Motor</v>
      </c>
      <c r="AC370" s="39" t="str">
        <f t="shared" si="104"/>
        <v>T35 ODS Motor</v>
      </c>
      <c r="AD370" s="39" t="str">
        <f t="shared" si="105"/>
        <v>T35 ODS Motor</v>
      </c>
      <c r="AE370" s="39" t="str">
        <f t="shared" si="106"/>
        <v>T35 ODS Motor</v>
      </c>
      <c r="AF370" s="39" t="str">
        <f t="shared" si="107"/>
        <v>T35 ODS Motor</v>
      </c>
      <c r="AG370" s="39" t="str">
        <f t="shared" si="108"/>
        <v>T35 ODS Motor</v>
      </c>
      <c r="AH370" s="39" t="str">
        <f t="shared" si="109"/>
        <v>T35 ODS Motor</v>
      </c>
    </row>
    <row r="371" spans="1:34" ht="14.4">
      <c r="A371" s="85">
        <v>2980</v>
      </c>
      <c r="B371" s="39" t="s">
        <v>264</v>
      </c>
      <c r="C371" s="39" t="str">
        <f t="shared" si="78"/>
        <v>T20 ODS Motor</v>
      </c>
      <c r="D371" s="39" t="str">
        <f t="shared" si="79"/>
        <v>T20 ODS Motor</v>
      </c>
      <c r="E371" s="39" t="str">
        <f t="shared" si="80"/>
        <v>T20 ODS Motor</v>
      </c>
      <c r="F371" s="39" t="str">
        <f t="shared" si="81"/>
        <v>T20 ODS Motor</v>
      </c>
      <c r="G371" s="39" t="str">
        <f t="shared" si="82"/>
        <v>T20 ODS Motor</v>
      </c>
      <c r="H371" s="39" t="str">
        <f t="shared" si="83"/>
        <v>T20 ODS Motor</v>
      </c>
      <c r="I371" s="39" t="str">
        <f t="shared" si="84"/>
        <v>T20 ODS Motor</v>
      </c>
      <c r="J371" s="39" t="str">
        <f t="shared" si="85"/>
        <v>T35 ODS Motor</v>
      </c>
      <c r="K371" s="39" t="str">
        <f t="shared" si="86"/>
        <v>T35 ODS Motor</v>
      </c>
      <c r="L371" s="39" t="str">
        <f t="shared" si="87"/>
        <v>T35 ODS Motor</v>
      </c>
      <c r="M371" s="39" t="str">
        <f t="shared" si="88"/>
        <v>T35 ODS Motor</v>
      </c>
      <c r="N371" s="39" t="str">
        <f t="shared" si="89"/>
        <v>T35 ODS Motor</v>
      </c>
      <c r="O371" s="39" t="str">
        <f t="shared" si="90"/>
        <v>T35 ODS Motor</v>
      </c>
      <c r="P371" s="39" t="str">
        <f t="shared" si="91"/>
        <v>T35 ODS Motor</v>
      </c>
      <c r="Q371" s="39" t="str">
        <f t="shared" si="92"/>
        <v>T35 ODS Motor</v>
      </c>
      <c r="R371" s="39" t="str">
        <f t="shared" si="93"/>
        <v>T35 ODS Motor</v>
      </c>
      <c r="S371" s="39" t="str">
        <f t="shared" si="94"/>
        <v>T35 ODS Motor</v>
      </c>
      <c r="T371" s="39" t="str">
        <f t="shared" si="95"/>
        <v>T35 ODS Motor</v>
      </c>
      <c r="U371" s="39" t="str">
        <f t="shared" si="96"/>
        <v>T35 ODS Motor</v>
      </c>
      <c r="V371" s="39" t="str">
        <f t="shared" si="97"/>
        <v>T35 ODS Motor</v>
      </c>
      <c r="W371" s="39" t="str">
        <f t="shared" si="98"/>
        <v>T35 ODS Motor</v>
      </c>
      <c r="X371" s="39" t="str">
        <f t="shared" si="99"/>
        <v>T35 ODS Motor</v>
      </c>
      <c r="Y371" s="39" t="str">
        <f t="shared" si="100"/>
        <v>T35 ODS Motor</v>
      </c>
      <c r="Z371" s="39" t="str">
        <f t="shared" si="101"/>
        <v>T35 ODS Motor</v>
      </c>
      <c r="AA371" s="39" t="str">
        <f t="shared" si="102"/>
        <v>T35 ODS Motor</v>
      </c>
      <c r="AB371" s="39" t="str">
        <f t="shared" si="103"/>
        <v>T35 ODS Motor</v>
      </c>
      <c r="AC371" s="39" t="str">
        <f t="shared" si="104"/>
        <v>T35 ODS Motor</v>
      </c>
      <c r="AD371" s="39" t="str">
        <f t="shared" si="105"/>
        <v>T35 ODS Motor</v>
      </c>
      <c r="AE371" s="39" t="str">
        <f t="shared" si="106"/>
        <v>T35 ODS Motor</v>
      </c>
      <c r="AF371" s="39" t="str">
        <f t="shared" si="107"/>
        <v>T35 ODS Motor</v>
      </c>
      <c r="AG371" s="39" t="str">
        <f t="shared" si="108"/>
        <v>T35 ODS Motor</v>
      </c>
      <c r="AH371" s="39" t="str">
        <f t="shared" si="109"/>
        <v>T35 ODS Motor</v>
      </c>
    </row>
    <row r="374" spans="1:16" ht="13.2">
      <c r="A374" s="312" t="s">
        <v>337</v>
      </c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</row>
    <row r="375" spans="1:16" ht="14.4">
      <c r="A375" s="98" t="s">
        <v>262</v>
      </c>
      <c r="B375" s="98">
        <v>0</v>
      </c>
      <c r="C375" s="98">
        <v>750</v>
      </c>
      <c r="D375" s="98">
        <v>2300</v>
      </c>
      <c r="E375" s="98">
        <v>2400</v>
      </c>
      <c r="F375" s="98">
        <v>2500</v>
      </c>
      <c r="G375" s="98">
        <v>2600</v>
      </c>
      <c r="H375" s="98">
        <v>2700</v>
      </c>
      <c r="I375" s="98">
        <v>2800</v>
      </c>
      <c r="J375" s="98">
        <v>2900</v>
      </c>
      <c r="K375" s="98">
        <v>3000</v>
      </c>
      <c r="L375" s="98">
        <v>3100</v>
      </c>
      <c r="M375" s="98">
        <v>3200</v>
      </c>
      <c r="N375" s="98">
        <v>3300</v>
      </c>
      <c r="O375" s="98">
        <v>3400</v>
      </c>
      <c r="P375" s="98">
        <v>3500</v>
      </c>
    </row>
    <row r="376" spans="1:16" ht="14.4">
      <c r="A376" s="98">
        <v>0</v>
      </c>
      <c r="B376" s="39" t="s">
        <v>798</v>
      </c>
      <c r="C376" s="39" t="str">
        <f t="shared" si="110" ref="C376:C399">IF(((($C$375)*(A376))/1000000*3.5)&lt;24,"Acmeda External 15nm Remote Motor",IF(((($C$375)*(A376))/1000000*3.5)&lt;=48,"Acmeda External 30nm Remote Motor","Acmeda External 50nm Remote Motor"))</f>
        <v>Acmeda External 15nm Remote Motor</v>
      </c>
      <c r="D376" s="39" t="str">
        <f t="shared" si="111" ref="D376:D399">IF(((($D$375)*(A376))/1000000*3.5)&lt;24,"Acmeda External 15nm Remote Motor",IF(((($D$375)*(A376))/1000000*3.5)&lt;=48,"Acmeda External 30nm Remote Motor","Acmeda External 50nm Remote Motor"))</f>
        <v>Acmeda External 15nm Remote Motor</v>
      </c>
      <c r="E376" s="39" t="str">
        <f t="shared" si="112" ref="E376:E399">IF(((($E$375)*(A376))/1000000*3.5)&lt;24,"Acmeda External 15nm Remote Motor",IF(((($E$375)*(A376))/1000000*3.5)&lt;=48,"Acmeda External 30nm Remote Motor","Acmeda External 50nm Remote Motor"))</f>
        <v>Acmeda External 15nm Remote Motor</v>
      </c>
      <c r="F376" s="39" t="str">
        <f t="shared" si="113" ref="F376:F399">IF(((($F$375)*(A376))/1000000*3.5)&lt;24,"Acmeda External 15nm Remote Motor",IF(((($F$375)*(A376))/1000000*3.5)&lt;=48,"Acmeda External 30nm Remote Motor","Acmeda External 50nm Remote Motor"))</f>
        <v>Acmeda External 15nm Remote Motor</v>
      </c>
      <c r="G376" s="39" t="str">
        <f t="shared" si="114" ref="G376:G399">IF(((($G$375)*(A376))/1000000*3.5)&lt;24,"Acmeda External 15nm Remote Motor",IF(((($G$375)*(A376))/1000000*3.5)&lt;=48,"Acmeda External 30nm Remote Motor","Acmeda External 50nm Remote Motor"))</f>
        <v>Acmeda External 15nm Remote Motor</v>
      </c>
      <c r="H376" s="39" t="str">
        <f t="shared" si="115" ref="H376:H399">IF(((($H$375)*(A376))/1000000*3.5)&lt;24,"Acmeda External 15nm Remote Motor",IF(((($H$375)*(A376))/1000000*3.5)&lt;=48,"Acmeda External 30nm Remote Motor","Acmeda External 50nm Remote Motor"))</f>
        <v>Acmeda External 15nm Remote Motor</v>
      </c>
      <c r="I376" s="39" t="str">
        <f t="shared" si="116" ref="I376:I399">IF(((($I$375)*(A376))/1000000*3.5)&lt;24,"Acmeda External 15nm Remote Motor",IF(((($I$375)*(A376))/1000000*3.5)&lt;=48,"Acmeda External 30nm Remote Motor","Acmeda External 50nm Remote Motor"))</f>
        <v>Acmeda External 15nm Remote Motor</v>
      </c>
      <c r="J376" s="39" t="str">
        <f t="shared" si="117" ref="J376:J399">IF(((($J$375)*(A376))/1000000*3.5)&lt;24,"Acmeda External 15nm Remote Motor",IF(((($J$375)*(A376))/1000000*3.5)&lt;=48,"Acmeda External 30nm Remote Motor","Acmeda External 50nm Remote Motor"))</f>
        <v>Acmeda External 15nm Remote Motor</v>
      </c>
      <c r="K376" s="39" t="str">
        <f t="shared" si="118" ref="K376:K399">IF(((($K$375)*(A376))/1000000*3.5)&lt;24,"Acmeda External 15nm Remote Motor",IF(((($K$375)*(A376))/1000000*3.5)&lt;=48,"Acmeda External 30nm Remote Motor","Acmeda External 50nm Remote Motor"))</f>
        <v>Acmeda External 15nm Remote Motor</v>
      </c>
      <c r="L376" s="39" t="str">
        <f t="shared" si="119" ref="L376:L399">IF(((($L$375)*(A376))/1000000*3.5)&lt;24,"Acmeda External 15nm Remote Motor",IF(((($L$375)*(A376))/1000000*3.5)&lt;=48,"Acmeda External 30nm Remote Motor","Acmeda External 50nm Remote Motor"))</f>
        <v>Acmeda External 15nm Remote Motor</v>
      </c>
      <c r="M376" s="39" t="str">
        <f t="shared" si="120" ref="M376:M399">IF(((($M$375)*(A376))/1000000*3.5)&lt;24,"Acmeda External 15nm Remote Motor",IF(((($M$375)*(A376))/1000000*3.5)&lt;=48,"Acmeda External 30nm Remote Motor","Acmeda External 50nm Remote Motor"))</f>
        <v>Acmeda External 15nm Remote Motor</v>
      </c>
      <c r="N376" s="39" t="str">
        <f t="shared" si="121" ref="N376:N399">IF(((($N$375)*($A376))/1000000*3.5)&lt;24,"Acmeda External 15nm Remote Motor",IF(((($N$375)*($A376))/1000000*3.5)&lt;=48,"Acmeda External 30nm Remote Motor","Acmeda External 50nm Remote Motor"))</f>
        <v>Acmeda External 15nm Remote Motor</v>
      </c>
      <c r="O376" s="39" t="str">
        <f t="shared" si="122" ref="O376:O399">IF(((($O$375)*(A376))/1000000*3.5)&lt;24,"Acmeda External 15nm Remote Motor",IF(((($O$375)*(A376))/1000000*3.5)&lt;=48,"Acmeda External 30nm Remote Motor","Acmeda External 50nm Remote Motor"))</f>
        <v>Acmeda External 15nm Remote Motor</v>
      </c>
      <c r="P376" s="39" t="str">
        <f t="shared" si="123" ref="P376:P399">IF(((($P$375)*(A376))/1000000*3.5)&lt;24,"Acmeda External 15nm Remote Motor",IF(((($P$375)*(A376))/1000000*3.5)&lt;=48,"Acmeda External 30nm Remote Motor","Acmeda External 50nm Remote Motor"))</f>
        <v>Acmeda External 15nm Remote Motor</v>
      </c>
    </row>
    <row r="377" spans="1:16" ht="14.4">
      <c r="A377" s="98">
        <v>780</v>
      </c>
      <c r="B377" s="39" t="s">
        <v>798</v>
      </c>
      <c r="C377" s="39" t="str">
        <f t="shared" si="110"/>
        <v>Acmeda External 15nm Remote Motor</v>
      </c>
      <c r="D377" s="39" t="str">
        <f t="shared" si="111"/>
        <v>Acmeda External 15nm Remote Motor</v>
      </c>
      <c r="E377" s="39" t="str">
        <f t="shared" si="112"/>
        <v>Acmeda External 15nm Remote Motor</v>
      </c>
      <c r="F377" s="39" t="str">
        <f t="shared" si="113"/>
        <v>Acmeda External 15nm Remote Motor</v>
      </c>
      <c r="G377" s="39" t="str">
        <f t="shared" si="114"/>
        <v>Acmeda External 15nm Remote Motor</v>
      </c>
      <c r="H377" s="39" t="str">
        <f t="shared" si="115"/>
        <v>Acmeda External 15nm Remote Motor</v>
      </c>
      <c r="I377" s="39" t="str">
        <f t="shared" si="116"/>
        <v>Acmeda External 15nm Remote Motor</v>
      </c>
      <c r="J377" s="39" t="str">
        <f t="shared" si="117"/>
        <v>Acmeda External 15nm Remote Motor</v>
      </c>
      <c r="K377" s="39" t="str">
        <f t="shared" si="118"/>
        <v>Acmeda External 15nm Remote Motor</v>
      </c>
      <c r="L377" s="39" t="str">
        <f t="shared" si="119"/>
        <v>Acmeda External 15nm Remote Motor</v>
      </c>
      <c r="M377" s="39" t="str">
        <f t="shared" si="120"/>
        <v>Acmeda External 15nm Remote Motor</v>
      </c>
      <c r="N377" s="39" t="str">
        <f t="shared" si="121"/>
        <v>Acmeda External 15nm Remote Motor</v>
      </c>
      <c r="O377" s="39" t="str">
        <f t="shared" si="122"/>
        <v>Acmeda External 15nm Remote Motor</v>
      </c>
      <c r="P377" s="39" t="str">
        <f t="shared" si="123"/>
        <v>Acmeda External 15nm Remote Motor</v>
      </c>
    </row>
    <row r="378" spans="1:16" ht="14.4">
      <c r="A378" s="98">
        <v>880</v>
      </c>
      <c r="B378" s="39" t="s">
        <v>798</v>
      </c>
      <c r="C378" s="39" t="str">
        <f t="shared" si="110"/>
        <v>Acmeda External 15nm Remote Motor</v>
      </c>
      <c r="D378" s="39" t="str">
        <f t="shared" si="111"/>
        <v>Acmeda External 15nm Remote Motor</v>
      </c>
      <c r="E378" s="39" t="str">
        <f t="shared" si="112"/>
        <v>Acmeda External 15nm Remote Motor</v>
      </c>
      <c r="F378" s="39" t="str">
        <f t="shared" si="113"/>
        <v>Acmeda External 15nm Remote Motor</v>
      </c>
      <c r="G378" s="39" t="str">
        <f t="shared" si="114"/>
        <v>Acmeda External 15nm Remote Motor</v>
      </c>
      <c r="H378" s="39" t="str">
        <f t="shared" si="115"/>
        <v>Acmeda External 15nm Remote Motor</v>
      </c>
      <c r="I378" s="39" t="str">
        <f t="shared" si="116"/>
        <v>Acmeda External 15nm Remote Motor</v>
      </c>
      <c r="J378" s="39" t="str">
        <f t="shared" si="117"/>
        <v>Acmeda External 15nm Remote Motor</v>
      </c>
      <c r="K378" s="39" t="str">
        <f t="shared" si="118"/>
        <v>Acmeda External 15nm Remote Motor</v>
      </c>
      <c r="L378" s="39" t="str">
        <f t="shared" si="119"/>
        <v>Acmeda External 15nm Remote Motor</v>
      </c>
      <c r="M378" s="39" t="str">
        <f t="shared" si="120"/>
        <v>Acmeda External 15nm Remote Motor</v>
      </c>
      <c r="N378" s="39" t="str">
        <f t="shared" si="121"/>
        <v>Acmeda External 15nm Remote Motor</v>
      </c>
      <c r="O378" s="39" t="str">
        <f t="shared" si="122"/>
        <v>Acmeda External 15nm Remote Motor</v>
      </c>
      <c r="P378" s="39" t="str">
        <f t="shared" si="123"/>
        <v>Acmeda External 15nm Remote Motor</v>
      </c>
    </row>
    <row r="379" spans="1:16" ht="14.4">
      <c r="A379" s="98">
        <v>980</v>
      </c>
      <c r="B379" s="39" t="s">
        <v>798</v>
      </c>
      <c r="C379" s="39" t="str">
        <f t="shared" si="110"/>
        <v>Acmeda External 15nm Remote Motor</v>
      </c>
      <c r="D379" s="39" t="str">
        <f t="shared" si="111"/>
        <v>Acmeda External 15nm Remote Motor</v>
      </c>
      <c r="E379" s="39" t="str">
        <f t="shared" si="112"/>
        <v>Acmeda External 15nm Remote Motor</v>
      </c>
      <c r="F379" s="39" t="str">
        <f t="shared" si="113"/>
        <v>Acmeda External 15nm Remote Motor</v>
      </c>
      <c r="G379" s="39" t="str">
        <f t="shared" si="114"/>
        <v>Acmeda External 15nm Remote Motor</v>
      </c>
      <c r="H379" s="39" t="str">
        <f t="shared" si="115"/>
        <v>Acmeda External 15nm Remote Motor</v>
      </c>
      <c r="I379" s="39" t="str">
        <f t="shared" si="116"/>
        <v>Acmeda External 15nm Remote Motor</v>
      </c>
      <c r="J379" s="39" t="str">
        <f t="shared" si="117"/>
        <v>Acmeda External 15nm Remote Motor</v>
      </c>
      <c r="K379" s="39" t="str">
        <f t="shared" si="118"/>
        <v>Acmeda External 15nm Remote Motor</v>
      </c>
      <c r="L379" s="39" t="str">
        <f t="shared" si="119"/>
        <v>Acmeda External 15nm Remote Motor</v>
      </c>
      <c r="M379" s="39" t="str">
        <f t="shared" si="120"/>
        <v>Acmeda External 15nm Remote Motor</v>
      </c>
      <c r="N379" s="39" t="str">
        <f t="shared" si="121"/>
        <v>Acmeda External 15nm Remote Motor</v>
      </c>
      <c r="O379" s="39" t="str">
        <f t="shared" si="122"/>
        <v>Acmeda External 15nm Remote Motor</v>
      </c>
      <c r="P379" s="39" t="str">
        <f t="shared" si="123"/>
        <v>Acmeda External 15nm Remote Motor</v>
      </c>
    </row>
    <row r="380" spans="1:16" ht="14.4">
      <c r="A380" s="98">
        <v>1080</v>
      </c>
      <c r="B380" s="39" t="s">
        <v>798</v>
      </c>
      <c r="C380" s="39" t="str">
        <f t="shared" si="110"/>
        <v>Acmeda External 15nm Remote Motor</v>
      </c>
      <c r="D380" s="39" t="str">
        <f t="shared" si="111"/>
        <v>Acmeda External 15nm Remote Motor</v>
      </c>
      <c r="E380" s="39" t="str">
        <f t="shared" si="112"/>
        <v>Acmeda External 15nm Remote Motor</v>
      </c>
      <c r="F380" s="39" t="str">
        <f t="shared" si="113"/>
        <v>Acmeda External 15nm Remote Motor</v>
      </c>
      <c r="G380" s="39" t="str">
        <f t="shared" si="114"/>
        <v>Acmeda External 15nm Remote Motor</v>
      </c>
      <c r="H380" s="39" t="str">
        <f t="shared" si="115"/>
        <v>Acmeda External 15nm Remote Motor</v>
      </c>
      <c r="I380" s="39" t="str">
        <f t="shared" si="116"/>
        <v>Acmeda External 15nm Remote Motor</v>
      </c>
      <c r="J380" s="39" t="str">
        <f t="shared" si="117"/>
        <v>Acmeda External 15nm Remote Motor</v>
      </c>
      <c r="K380" s="39" t="str">
        <f t="shared" si="118"/>
        <v>Acmeda External 15nm Remote Motor</v>
      </c>
      <c r="L380" s="39" t="str">
        <f t="shared" si="119"/>
        <v>Acmeda External 15nm Remote Motor</v>
      </c>
      <c r="M380" s="39" t="str">
        <f t="shared" si="120"/>
        <v>Acmeda External 15nm Remote Motor</v>
      </c>
      <c r="N380" s="39" t="str">
        <f t="shared" si="121"/>
        <v>Acmeda External 15nm Remote Motor</v>
      </c>
      <c r="O380" s="39" t="str">
        <f t="shared" si="122"/>
        <v>Acmeda External 15nm Remote Motor</v>
      </c>
      <c r="P380" s="39" t="str">
        <f t="shared" si="123"/>
        <v>Acmeda External 15nm Remote Motor</v>
      </c>
    </row>
    <row r="381" spans="1:16" ht="14.4">
      <c r="A381" s="98">
        <v>1180</v>
      </c>
      <c r="B381" s="39" t="s">
        <v>798</v>
      </c>
      <c r="C381" s="39" t="str">
        <f t="shared" si="110"/>
        <v>Acmeda External 15nm Remote Motor</v>
      </c>
      <c r="D381" s="39" t="str">
        <f t="shared" si="111"/>
        <v>Acmeda External 15nm Remote Motor</v>
      </c>
      <c r="E381" s="39" t="str">
        <f t="shared" si="112"/>
        <v>Acmeda External 15nm Remote Motor</v>
      </c>
      <c r="F381" s="39" t="str">
        <f t="shared" si="113"/>
        <v>Acmeda External 15nm Remote Motor</v>
      </c>
      <c r="G381" s="39" t="str">
        <f t="shared" si="114"/>
        <v>Acmeda External 15nm Remote Motor</v>
      </c>
      <c r="H381" s="39" t="str">
        <f t="shared" si="115"/>
        <v>Acmeda External 15nm Remote Motor</v>
      </c>
      <c r="I381" s="39" t="str">
        <f t="shared" si="116"/>
        <v>Acmeda External 15nm Remote Motor</v>
      </c>
      <c r="J381" s="39" t="str">
        <f t="shared" si="117"/>
        <v>Acmeda External 15nm Remote Motor</v>
      </c>
      <c r="K381" s="39" t="str">
        <f t="shared" si="118"/>
        <v>Acmeda External 15nm Remote Motor</v>
      </c>
      <c r="L381" s="39" t="str">
        <f t="shared" si="119"/>
        <v>Acmeda External 15nm Remote Motor</v>
      </c>
      <c r="M381" s="39" t="str">
        <f t="shared" si="120"/>
        <v>Acmeda External 15nm Remote Motor</v>
      </c>
      <c r="N381" s="39" t="str">
        <f t="shared" si="121"/>
        <v>Acmeda External 15nm Remote Motor</v>
      </c>
      <c r="O381" s="39" t="str">
        <f t="shared" si="122"/>
        <v>Acmeda External 15nm Remote Motor</v>
      </c>
      <c r="P381" s="39" t="str">
        <f t="shared" si="123"/>
        <v>Acmeda External 15nm Remote Motor</v>
      </c>
    </row>
    <row r="382" spans="1:16" ht="14.4">
      <c r="A382" s="98">
        <v>1280</v>
      </c>
      <c r="B382" s="39" t="s">
        <v>798</v>
      </c>
      <c r="C382" s="39" t="str">
        <f t="shared" si="110"/>
        <v>Acmeda External 15nm Remote Motor</v>
      </c>
      <c r="D382" s="39" t="str">
        <f t="shared" si="111"/>
        <v>Acmeda External 15nm Remote Motor</v>
      </c>
      <c r="E382" s="39" t="str">
        <f t="shared" si="112"/>
        <v>Acmeda External 15nm Remote Motor</v>
      </c>
      <c r="F382" s="39" t="str">
        <f t="shared" si="113"/>
        <v>Acmeda External 15nm Remote Motor</v>
      </c>
      <c r="G382" s="39" t="str">
        <f t="shared" si="114"/>
        <v>Acmeda External 15nm Remote Motor</v>
      </c>
      <c r="H382" s="39" t="str">
        <f t="shared" si="115"/>
        <v>Acmeda External 15nm Remote Motor</v>
      </c>
      <c r="I382" s="39" t="str">
        <f t="shared" si="116"/>
        <v>Acmeda External 15nm Remote Motor</v>
      </c>
      <c r="J382" s="39" t="str">
        <f t="shared" si="117"/>
        <v>Acmeda External 15nm Remote Motor</v>
      </c>
      <c r="K382" s="39" t="str">
        <f t="shared" si="118"/>
        <v>Acmeda External 15nm Remote Motor</v>
      </c>
      <c r="L382" s="39" t="str">
        <f t="shared" si="119"/>
        <v>Acmeda External 15nm Remote Motor</v>
      </c>
      <c r="M382" s="39" t="str">
        <f t="shared" si="120"/>
        <v>Acmeda External 15nm Remote Motor</v>
      </c>
      <c r="N382" s="39" t="str">
        <f t="shared" si="121"/>
        <v>Acmeda External 15nm Remote Motor</v>
      </c>
      <c r="O382" s="39" t="str">
        <f t="shared" si="122"/>
        <v>Acmeda External 15nm Remote Motor</v>
      </c>
      <c r="P382" s="39" t="str">
        <f t="shared" si="123"/>
        <v>Acmeda External 15nm Remote Motor</v>
      </c>
    </row>
    <row r="383" spans="1:16" ht="14.4">
      <c r="A383" s="98">
        <v>1380</v>
      </c>
      <c r="B383" s="39" t="s">
        <v>798</v>
      </c>
      <c r="C383" s="39" t="str">
        <f t="shared" si="110"/>
        <v>Acmeda External 15nm Remote Motor</v>
      </c>
      <c r="D383" s="39" t="str">
        <f t="shared" si="111"/>
        <v>Acmeda External 15nm Remote Motor</v>
      </c>
      <c r="E383" s="39" t="str">
        <f t="shared" si="112"/>
        <v>Acmeda External 15nm Remote Motor</v>
      </c>
      <c r="F383" s="39" t="str">
        <f t="shared" si="113"/>
        <v>Acmeda External 15nm Remote Motor</v>
      </c>
      <c r="G383" s="39" t="str">
        <f t="shared" si="114"/>
        <v>Acmeda External 15nm Remote Motor</v>
      </c>
      <c r="H383" s="39" t="str">
        <f t="shared" si="115"/>
        <v>Acmeda External 15nm Remote Motor</v>
      </c>
      <c r="I383" s="39" t="str">
        <f t="shared" si="116"/>
        <v>Acmeda External 15nm Remote Motor</v>
      </c>
      <c r="J383" s="39" t="str">
        <f t="shared" si="117"/>
        <v>Acmeda External 15nm Remote Motor</v>
      </c>
      <c r="K383" s="39" t="str">
        <f t="shared" si="118"/>
        <v>Acmeda External 15nm Remote Motor</v>
      </c>
      <c r="L383" s="39" t="str">
        <f t="shared" si="119"/>
        <v>Acmeda External 15nm Remote Motor</v>
      </c>
      <c r="M383" s="39" t="str">
        <f t="shared" si="120"/>
        <v>Acmeda External 15nm Remote Motor</v>
      </c>
      <c r="N383" s="39" t="str">
        <f t="shared" si="121"/>
        <v>Acmeda External 15nm Remote Motor</v>
      </c>
      <c r="O383" s="39" t="str">
        <f t="shared" si="122"/>
        <v>Acmeda External 15nm Remote Motor</v>
      </c>
      <c r="P383" s="39" t="str">
        <f t="shared" si="123"/>
        <v>Acmeda External 15nm Remote Motor</v>
      </c>
    </row>
    <row r="384" spans="1:16" ht="14.4">
      <c r="A384" s="98">
        <v>1480</v>
      </c>
      <c r="B384" s="39" t="s">
        <v>798</v>
      </c>
      <c r="C384" s="39" t="str">
        <f t="shared" si="110"/>
        <v>Acmeda External 15nm Remote Motor</v>
      </c>
      <c r="D384" s="39" t="str">
        <f t="shared" si="111"/>
        <v>Acmeda External 15nm Remote Motor</v>
      </c>
      <c r="E384" s="39" t="str">
        <f t="shared" si="112"/>
        <v>Acmeda External 15nm Remote Motor</v>
      </c>
      <c r="F384" s="39" t="str">
        <f t="shared" si="113"/>
        <v>Acmeda External 15nm Remote Motor</v>
      </c>
      <c r="G384" s="39" t="str">
        <f t="shared" si="114"/>
        <v>Acmeda External 15nm Remote Motor</v>
      </c>
      <c r="H384" s="39" t="str">
        <f t="shared" si="115"/>
        <v>Acmeda External 15nm Remote Motor</v>
      </c>
      <c r="I384" s="39" t="str">
        <f t="shared" si="116"/>
        <v>Acmeda External 15nm Remote Motor</v>
      </c>
      <c r="J384" s="39" t="str">
        <f t="shared" si="117"/>
        <v>Acmeda External 15nm Remote Motor</v>
      </c>
      <c r="K384" s="39" t="str">
        <f t="shared" si="118"/>
        <v>Acmeda External 15nm Remote Motor</v>
      </c>
      <c r="L384" s="39" t="str">
        <f t="shared" si="119"/>
        <v>Acmeda External 15nm Remote Motor</v>
      </c>
      <c r="M384" s="39" t="str">
        <f t="shared" si="120"/>
        <v>Acmeda External 15nm Remote Motor</v>
      </c>
      <c r="N384" s="39" t="str">
        <f t="shared" si="121"/>
        <v>Acmeda External 15nm Remote Motor</v>
      </c>
      <c r="O384" s="39" t="str">
        <f t="shared" si="122"/>
        <v>Acmeda External 15nm Remote Motor</v>
      </c>
      <c r="P384" s="39" t="str">
        <f t="shared" si="123"/>
        <v>Acmeda External 15nm Remote Motor</v>
      </c>
    </row>
    <row r="385" spans="1:16" ht="14.4">
      <c r="A385" s="98">
        <v>1580</v>
      </c>
      <c r="B385" s="39" t="s">
        <v>798</v>
      </c>
      <c r="C385" s="39" t="str">
        <f t="shared" si="110"/>
        <v>Acmeda External 15nm Remote Motor</v>
      </c>
      <c r="D385" s="39" t="str">
        <f t="shared" si="111"/>
        <v>Acmeda External 15nm Remote Motor</v>
      </c>
      <c r="E385" s="39" t="str">
        <f t="shared" si="112"/>
        <v>Acmeda External 15nm Remote Motor</v>
      </c>
      <c r="F385" s="39" t="str">
        <f t="shared" si="113"/>
        <v>Acmeda External 15nm Remote Motor</v>
      </c>
      <c r="G385" s="39" t="str">
        <f t="shared" si="114"/>
        <v>Acmeda External 15nm Remote Motor</v>
      </c>
      <c r="H385" s="39" t="str">
        <f t="shared" si="115"/>
        <v>Acmeda External 15nm Remote Motor</v>
      </c>
      <c r="I385" s="39" t="str">
        <f t="shared" si="116"/>
        <v>Acmeda External 15nm Remote Motor</v>
      </c>
      <c r="J385" s="39" t="str">
        <f t="shared" si="117"/>
        <v>Acmeda External 15nm Remote Motor</v>
      </c>
      <c r="K385" s="39" t="str">
        <f t="shared" si="118"/>
        <v>Acmeda External 15nm Remote Motor</v>
      </c>
      <c r="L385" s="39" t="str">
        <f t="shared" si="119"/>
        <v>Acmeda External 15nm Remote Motor</v>
      </c>
      <c r="M385" s="39" t="str">
        <f t="shared" si="120"/>
        <v>Acmeda External 15nm Remote Motor</v>
      </c>
      <c r="N385" s="39" t="str">
        <f t="shared" si="121"/>
        <v>Acmeda External 15nm Remote Motor</v>
      </c>
      <c r="O385" s="39" t="str">
        <f t="shared" si="122"/>
        <v>Acmeda External 15nm Remote Motor</v>
      </c>
      <c r="P385" s="39" t="str">
        <f t="shared" si="123"/>
        <v>Acmeda External 15nm Remote Motor</v>
      </c>
    </row>
    <row r="386" spans="1:16" ht="14.4">
      <c r="A386" s="98">
        <v>1680</v>
      </c>
      <c r="B386" s="39" t="s">
        <v>798</v>
      </c>
      <c r="C386" s="39" t="str">
        <f t="shared" si="110"/>
        <v>Acmeda External 15nm Remote Motor</v>
      </c>
      <c r="D386" s="39" t="str">
        <f t="shared" si="111"/>
        <v>Acmeda External 15nm Remote Motor</v>
      </c>
      <c r="E386" s="39" t="str">
        <f t="shared" si="112"/>
        <v>Acmeda External 15nm Remote Motor</v>
      </c>
      <c r="F386" s="39" t="str">
        <f t="shared" si="113"/>
        <v>Acmeda External 15nm Remote Motor</v>
      </c>
      <c r="G386" s="39" t="str">
        <f t="shared" si="114"/>
        <v>Acmeda External 15nm Remote Motor</v>
      </c>
      <c r="H386" s="39" t="str">
        <f t="shared" si="115"/>
        <v>Acmeda External 15nm Remote Motor</v>
      </c>
      <c r="I386" s="39" t="str">
        <f t="shared" si="116"/>
        <v>Acmeda External 15nm Remote Motor</v>
      </c>
      <c r="J386" s="39" t="str">
        <f t="shared" si="117"/>
        <v>Acmeda External 15nm Remote Motor</v>
      </c>
      <c r="K386" s="39" t="str">
        <f t="shared" si="118"/>
        <v>Acmeda External 15nm Remote Motor</v>
      </c>
      <c r="L386" s="39" t="str">
        <f t="shared" si="119"/>
        <v>Acmeda External 15nm Remote Motor</v>
      </c>
      <c r="M386" s="39" t="str">
        <f t="shared" si="120"/>
        <v>Acmeda External 15nm Remote Motor</v>
      </c>
      <c r="N386" s="39" t="str">
        <f t="shared" si="121"/>
        <v>Acmeda External 15nm Remote Motor</v>
      </c>
      <c r="O386" s="39" t="str">
        <f t="shared" si="122"/>
        <v>Acmeda External 15nm Remote Motor</v>
      </c>
      <c r="P386" s="39" t="str">
        <f t="shared" si="123"/>
        <v>Acmeda External 15nm Remote Motor</v>
      </c>
    </row>
    <row r="387" spans="1:16" ht="14.4">
      <c r="A387" s="98">
        <v>1780</v>
      </c>
      <c r="B387" s="39" t="s">
        <v>798</v>
      </c>
      <c r="C387" s="39" t="str">
        <f t="shared" si="110"/>
        <v>Acmeda External 15nm Remote Motor</v>
      </c>
      <c r="D387" s="39" t="str">
        <f t="shared" si="111"/>
        <v>Acmeda External 15nm Remote Motor</v>
      </c>
      <c r="E387" s="39" t="str">
        <f t="shared" si="112"/>
        <v>Acmeda External 15nm Remote Motor</v>
      </c>
      <c r="F387" s="39" t="str">
        <f t="shared" si="113"/>
        <v>Acmeda External 15nm Remote Motor</v>
      </c>
      <c r="G387" s="39" t="str">
        <f t="shared" si="114"/>
        <v>Acmeda External 15nm Remote Motor</v>
      </c>
      <c r="H387" s="39" t="str">
        <f t="shared" si="115"/>
        <v>Acmeda External 15nm Remote Motor</v>
      </c>
      <c r="I387" s="39" t="str">
        <f t="shared" si="116"/>
        <v>Acmeda External 15nm Remote Motor</v>
      </c>
      <c r="J387" s="39" t="str">
        <f t="shared" si="117"/>
        <v>Acmeda External 15nm Remote Motor</v>
      </c>
      <c r="K387" s="39" t="str">
        <f t="shared" si="118"/>
        <v>Acmeda External 15nm Remote Motor</v>
      </c>
      <c r="L387" s="39" t="str">
        <f t="shared" si="119"/>
        <v>Acmeda External 15nm Remote Motor</v>
      </c>
      <c r="M387" s="39" t="str">
        <f t="shared" si="120"/>
        <v>Acmeda External 15nm Remote Motor</v>
      </c>
      <c r="N387" s="39" t="str">
        <f t="shared" si="121"/>
        <v>Acmeda External 15nm Remote Motor</v>
      </c>
      <c r="O387" s="39" t="str">
        <f t="shared" si="122"/>
        <v>Acmeda External 15nm Remote Motor</v>
      </c>
      <c r="P387" s="39" t="str">
        <f t="shared" si="123"/>
        <v>Acmeda External 15nm Remote Motor</v>
      </c>
    </row>
    <row r="388" spans="1:16" ht="14.4">
      <c r="A388" s="98">
        <v>1880</v>
      </c>
      <c r="B388" s="39" t="s">
        <v>798</v>
      </c>
      <c r="C388" s="39" t="str">
        <f t="shared" si="110"/>
        <v>Acmeda External 15nm Remote Motor</v>
      </c>
      <c r="D388" s="39" t="str">
        <f t="shared" si="111"/>
        <v>Acmeda External 15nm Remote Motor</v>
      </c>
      <c r="E388" s="39" t="str">
        <f t="shared" si="112"/>
        <v>Acmeda External 15nm Remote Motor</v>
      </c>
      <c r="F388" s="39" t="str">
        <f t="shared" si="113"/>
        <v>Acmeda External 15nm Remote Motor</v>
      </c>
      <c r="G388" s="39" t="str">
        <f t="shared" si="114"/>
        <v>Acmeda External 15nm Remote Motor</v>
      </c>
      <c r="H388" s="39" t="str">
        <f t="shared" si="115"/>
        <v>Acmeda External 15nm Remote Motor</v>
      </c>
      <c r="I388" s="39" t="str">
        <f t="shared" si="116"/>
        <v>Acmeda External 15nm Remote Motor</v>
      </c>
      <c r="J388" s="39" t="str">
        <f t="shared" si="117"/>
        <v>Acmeda External 15nm Remote Motor</v>
      </c>
      <c r="K388" s="39" t="str">
        <f t="shared" si="118"/>
        <v>Acmeda External 15nm Remote Motor</v>
      </c>
      <c r="L388" s="39" t="str">
        <f t="shared" si="119"/>
        <v>Acmeda External 15nm Remote Motor</v>
      </c>
      <c r="M388" s="39" t="str">
        <f t="shared" si="120"/>
        <v>Acmeda External 15nm Remote Motor</v>
      </c>
      <c r="N388" s="39" t="str">
        <f t="shared" si="121"/>
        <v>Acmeda External 15nm Remote Motor</v>
      </c>
      <c r="O388" s="39" t="str">
        <f t="shared" si="122"/>
        <v>Acmeda External 15nm Remote Motor</v>
      </c>
      <c r="P388" s="39" t="str">
        <f t="shared" si="123"/>
        <v>Acmeda External 15nm Remote Motor</v>
      </c>
    </row>
    <row r="389" spans="1:16" ht="14.4">
      <c r="A389" s="98">
        <v>1980</v>
      </c>
      <c r="B389" s="39" t="s">
        <v>798</v>
      </c>
      <c r="C389" s="39" t="str">
        <f t="shared" si="110"/>
        <v>Acmeda External 15nm Remote Motor</v>
      </c>
      <c r="D389" s="39" t="str">
        <f t="shared" si="111"/>
        <v>Acmeda External 15nm Remote Motor</v>
      </c>
      <c r="E389" s="39" t="str">
        <f t="shared" si="112"/>
        <v>Acmeda External 15nm Remote Motor</v>
      </c>
      <c r="F389" s="39" t="str">
        <f t="shared" si="113"/>
        <v>Acmeda External 15nm Remote Motor</v>
      </c>
      <c r="G389" s="39" t="str">
        <f t="shared" si="114"/>
        <v>Acmeda External 15nm Remote Motor</v>
      </c>
      <c r="H389" s="39" t="str">
        <f t="shared" si="115"/>
        <v>Acmeda External 15nm Remote Motor</v>
      </c>
      <c r="I389" s="39" t="str">
        <f t="shared" si="116"/>
        <v>Acmeda External 15nm Remote Motor</v>
      </c>
      <c r="J389" s="39" t="str">
        <f t="shared" si="117"/>
        <v>Acmeda External 15nm Remote Motor</v>
      </c>
      <c r="K389" s="39" t="str">
        <f t="shared" si="118"/>
        <v>Acmeda External 15nm Remote Motor</v>
      </c>
      <c r="L389" s="39" t="str">
        <f t="shared" si="119"/>
        <v>Acmeda External 15nm Remote Motor</v>
      </c>
      <c r="M389" s="39" t="str">
        <f t="shared" si="120"/>
        <v>Acmeda External 15nm Remote Motor</v>
      </c>
      <c r="N389" s="39" t="str">
        <f t="shared" si="121"/>
        <v>Acmeda External 15nm Remote Motor</v>
      </c>
      <c r="O389" s="39" t="str">
        <f t="shared" si="122"/>
        <v>Acmeda External 15nm Remote Motor</v>
      </c>
      <c r="P389" s="39" t="str">
        <f t="shared" si="123"/>
        <v>Acmeda External 30nm Remote Motor</v>
      </c>
    </row>
    <row r="390" spans="1:16" ht="14.4">
      <c r="A390" s="98">
        <v>2080</v>
      </c>
      <c r="B390" s="39" t="s">
        <v>798</v>
      </c>
      <c r="C390" s="39" t="str">
        <f t="shared" si="110"/>
        <v>Acmeda External 15nm Remote Motor</v>
      </c>
      <c r="D390" s="39" t="str">
        <f t="shared" si="111"/>
        <v>Acmeda External 15nm Remote Motor</v>
      </c>
      <c r="E390" s="39" t="str">
        <f t="shared" si="112"/>
        <v>Acmeda External 15nm Remote Motor</v>
      </c>
      <c r="F390" s="39" t="str">
        <f t="shared" si="113"/>
        <v>Acmeda External 15nm Remote Motor</v>
      </c>
      <c r="G390" s="39" t="str">
        <f t="shared" si="114"/>
        <v>Acmeda External 15nm Remote Motor</v>
      </c>
      <c r="H390" s="39" t="str">
        <f t="shared" si="115"/>
        <v>Acmeda External 15nm Remote Motor</v>
      </c>
      <c r="I390" s="39" t="str">
        <f t="shared" si="116"/>
        <v>Acmeda External 15nm Remote Motor</v>
      </c>
      <c r="J390" s="39" t="str">
        <f t="shared" si="117"/>
        <v>Acmeda External 15nm Remote Motor</v>
      </c>
      <c r="K390" s="39" t="str">
        <f t="shared" si="118"/>
        <v>Acmeda External 15nm Remote Motor</v>
      </c>
      <c r="L390" s="39" t="str">
        <f t="shared" si="119"/>
        <v>Acmeda External 15nm Remote Motor</v>
      </c>
      <c r="M390" s="39" t="str">
        <f t="shared" si="120"/>
        <v>Acmeda External 15nm Remote Motor</v>
      </c>
      <c r="N390" s="39" t="str">
        <f t="shared" si="121"/>
        <v>Acmeda External 30nm Remote Motor</v>
      </c>
      <c r="O390" s="39" t="str">
        <f t="shared" si="122"/>
        <v>Acmeda External 30nm Remote Motor</v>
      </c>
      <c r="P390" s="39" t="str">
        <f t="shared" si="123"/>
        <v>Acmeda External 30nm Remote Motor</v>
      </c>
    </row>
    <row r="391" spans="1:16" ht="14.4">
      <c r="A391" s="98">
        <v>2180</v>
      </c>
      <c r="B391" s="39" t="s">
        <v>798</v>
      </c>
      <c r="C391" s="39" t="str">
        <f t="shared" si="110"/>
        <v>Acmeda External 15nm Remote Motor</v>
      </c>
      <c r="D391" s="39" t="str">
        <f t="shared" si="111"/>
        <v>Acmeda External 15nm Remote Motor</v>
      </c>
      <c r="E391" s="39" t="str">
        <f t="shared" si="112"/>
        <v>Acmeda External 15nm Remote Motor</v>
      </c>
      <c r="F391" s="39" t="str">
        <f t="shared" si="113"/>
        <v>Acmeda External 15nm Remote Motor</v>
      </c>
      <c r="G391" s="39" t="str">
        <f t="shared" si="114"/>
        <v>Acmeda External 15nm Remote Motor</v>
      </c>
      <c r="H391" s="39" t="str">
        <f t="shared" si="115"/>
        <v>Acmeda External 15nm Remote Motor</v>
      </c>
      <c r="I391" s="39" t="str">
        <f t="shared" si="116"/>
        <v>Acmeda External 15nm Remote Motor</v>
      </c>
      <c r="J391" s="39" t="str">
        <f t="shared" si="117"/>
        <v>Acmeda External 15nm Remote Motor</v>
      </c>
      <c r="K391" s="39" t="str">
        <f t="shared" si="118"/>
        <v>Acmeda External 15nm Remote Motor</v>
      </c>
      <c r="L391" s="39" t="str">
        <f t="shared" si="119"/>
        <v>Acmeda External 15nm Remote Motor</v>
      </c>
      <c r="M391" s="39" t="str">
        <f t="shared" si="120"/>
        <v>Acmeda External 30nm Remote Motor</v>
      </c>
      <c r="N391" s="39" t="str">
        <f t="shared" si="121"/>
        <v>Acmeda External 30nm Remote Motor</v>
      </c>
      <c r="O391" s="39" t="str">
        <f t="shared" si="122"/>
        <v>Acmeda External 30nm Remote Motor</v>
      </c>
      <c r="P391" s="39" t="str">
        <f t="shared" si="123"/>
        <v>Acmeda External 30nm Remote Motor</v>
      </c>
    </row>
    <row r="392" spans="1:16" ht="14.4">
      <c r="A392" s="98">
        <v>2280</v>
      </c>
      <c r="B392" s="39" t="s">
        <v>798</v>
      </c>
      <c r="C392" s="39" t="str">
        <f t="shared" si="110"/>
        <v>Acmeda External 15nm Remote Motor</v>
      </c>
      <c r="D392" s="39" t="str">
        <f t="shared" si="111"/>
        <v>Acmeda External 15nm Remote Motor</v>
      </c>
      <c r="E392" s="39" t="str">
        <f t="shared" si="112"/>
        <v>Acmeda External 15nm Remote Motor</v>
      </c>
      <c r="F392" s="39" t="str">
        <f t="shared" si="113"/>
        <v>Acmeda External 15nm Remote Motor</v>
      </c>
      <c r="G392" s="39" t="str">
        <f t="shared" si="114"/>
        <v>Acmeda External 15nm Remote Motor</v>
      </c>
      <c r="H392" s="39" t="str">
        <f t="shared" si="115"/>
        <v>Acmeda External 15nm Remote Motor</v>
      </c>
      <c r="I392" s="39" t="str">
        <f t="shared" si="116"/>
        <v>Acmeda External 15nm Remote Motor</v>
      </c>
      <c r="J392" s="39" t="str">
        <f t="shared" si="117"/>
        <v>Acmeda External 15nm Remote Motor</v>
      </c>
      <c r="K392" s="39" t="str">
        <f t="shared" si="118"/>
        <v>Acmeda External 15nm Remote Motor</v>
      </c>
      <c r="L392" s="39" t="str">
        <f t="shared" si="119"/>
        <v>Acmeda External 30nm Remote Motor</v>
      </c>
      <c r="M392" s="39" t="str">
        <f t="shared" si="120"/>
        <v>Acmeda External 30nm Remote Motor</v>
      </c>
      <c r="N392" s="39" t="str">
        <f t="shared" si="121"/>
        <v>Acmeda External 30nm Remote Motor</v>
      </c>
      <c r="O392" s="39" t="str">
        <f t="shared" si="122"/>
        <v>Acmeda External 30nm Remote Motor</v>
      </c>
      <c r="P392" s="39" t="str">
        <f t="shared" si="123"/>
        <v>Acmeda External 30nm Remote Motor</v>
      </c>
    </row>
    <row r="393" spans="1:16" ht="14.4">
      <c r="A393" s="98">
        <v>2380</v>
      </c>
      <c r="B393" s="39" t="s">
        <v>798</v>
      </c>
      <c r="C393" s="39" t="str">
        <f t="shared" si="110"/>
        <v>Acmeda External 15nm Remote Motor</v>
      </c>
      <c r="D393" s="39" t="str">
        <f t="shared" si="111"/>
        <v>Acmeda External 15nm Remote Motor</v>
      </c>
      <c r="E393" s="39" t="str">
        <f t="shared" si="112"/>
        <v>Acmeda External 15nm Remote Motor</v>
      </c>
      <c r="F393" s="39" t="str">
        <f t="shared" si="113"/>
        <v>Acmeda External 15nm Remote Motor</v>
      </c>
      <c r="G393" s="39" t="str">
        <f t="shared" si="114"/>
        <v>Acmeda External 15nm Remote Motor</v>
      </c>
      <c r="H393" s="39" t="str">
        <f t="shared" si="115"/>
        <v>Acmeda External 15nm Remote Motor</v>
      </c>
      <c r="I393" s="39" t="str">
        <f t="shared" si="116"/>
        <v>Acmeda External 15nm Remote Motor</v>
      </c>
      <c r="J393" s="39" t="str">
        <f t="shared" si="117"/>
        <v>Acmeda External 30nm Remote Motor</v>
      </c>
      <c r="K393" s="39" t="str">
        <f t="shared" si="118"/>
        <v>Acmeda External 30nm Remote Motor</v>
      </c>
      <c r="L393" s="39" t="str">
        <f t="shared" si="119"/>
        <v>Acmeda External 30nm Remote Motor</v>
      </c>
      <c r="M393" s="39" t="str">
        <f t="shared" si="120"/>
        <v>Acmeda External 30nm Remote Motor</v>
      </c>
      <c r="N393" s="39" t="str">
        <f t="shared" si="121"/>
        <v>Acmeda External 30nm Remote Motor</v>
      </c>
      <c r="O393" s="39" t="str">
        <f t="shared" si="122"/>
        <v>Acmeda External 30nm Remote Motor</v>
      </c>
      <c r="P393" s="39" t="str">
        <f t="shared" si="123"/>
        <v>Acmeda External 30nm Remote Motor</v>
      </c>
    </row>
    <row r="394" spans="1:16" ht="14.4">
      <c r="A394" s="98">
        <v>2480</v>
      </c>
      <c r="B394" s="39" t="s">
        <v>798</v>
      </c>
      <c r="C394" s="39" t="str">
        <f t="shared" si="110"/>
        <v>Acmeda External 15nm Remote Motor</v>
      </c>
      <c r="D394" s="39" t="str">
        <f t="shared" si="111"/>
        <v>Acmeda External 15nm Remote Motor</v>
      </c>
      <c r="E394" s="39" t="str">
        <f t="shared" si="112"/>
        <v>Acmeda External 15nm Remote Motor</v>
      </c>
      <c r="F394" s="39" t="str">
        <f t="shared" si="113"/>
        <v>Acmeda External 15nm Remote Motor</v>
      </c>
      <c r="G394" s="39" t="str">
        <f t="shared" si="114"/>
        <v>Acmeda External 15nm Remote Motor</v>
      </c>
      <c r="H394" s="39" t="str">
        <f t="shared" si="115"/>
        <v>Acmeda External 15nm Remote Motor</v>
      </c>
      <c r="I394" s="39" t="str">
        <f t="shared" si="116"/>
        <v>Acmeda External 30nm Remote Motor</v>
      </c>
      <c r="J394" s="39" t="str">
        <f t="shared" si="117"/>
        <v>Acmeda External 30nm Remote Motor</v>
      </c>
      <c r="K394" s="39" t="str">
        <f t="shared" si="118"/>
        <v>Acmeda External 30nm Remote Motor</v>
      </c>
      <c r="L394" s="39" t="str">
        <f t="shared" si="119"/>
        <v>Acmeda External 30nm Remote Motor</v>
      </c>
      <c r="M394" s="39" t="str">
        <f t="shared" si="120"/>
        <v>Acmeda External 30nm Remote Motor</v>
      </c>
      <c r="N394" s="39" t="str">
        <f t="shared" si="121"/>
        <v>Acmeda External 30nm Remote Motor</v>
      </c>
      <c r="O394" s="39" t="str">
        <f t="shared" si="122"/>
        <v>Acmeda External 30nm Remote Motor</v>
      </c>
      <c r="P394" s="39" t="str">
        <f t="shared" si="123"/>
        <v>Acmeda External 30nm Remote Motor</v>
      </c>
    </row>
    <row r="395" spans="1:16" ht="14.4">
      <c r="A395" s="98">
        <v>2580</v>
      </c>
      <c r="B395" s="39" t="s">
        <v>798</v>
      </c>
      <c r="C395" s="39" t="str">
        <f t="shared" si="110"/>
        <v>Acmeda External 15nm Remote Motor</v>
      </c>
      <c r="D395" s="39" t="str">
        <f t="shared" si="111"/>
        <v>Acmeda External 15nm Remote Motor</v>
      </c>
      <c r="E395" s="39" t="str">
        <f t="shared" si="112"/>
        <v>Acmeda External 15nm Remote Motor</v>
      </c>
      <c r="F395" s="39" t="str">
        <f t="shared" si="113"/>
        <v>Acmeda External 15nm Remote Motor</v>
      </c>
      <c r="G395" s="39" t="str">
        <f t="shared" si="114"/>
        <v>Acmeda External 15nm Remote Motor</v>
      </c>
      <c r="H395" s="39" t="str">
        <f t="shared" si="115"/>
        <v>Acmeda External 30nm Remote Motor</v>
      </c>
      <c r="I395" s="39" t="str">
        <f t="shared" si="116"/>
        <v>Acmeda External 30nm Remote Motor</v>
      </c>
      <c r="J395" s="39" t="str">
        <f t="shared" si="117"/>
        <v>Acmeda External 30nm Remote Motor</v>
      </c>
      <c r="K395" s="39" t="str">
        <f t="shared" si="118"/>
        <v>Acmeda External 30nm Remote Motor</v>
      </c>
      <c r="L395" s="39" t="str">
        <f t="shared" si="119"/>
        <v>Acmeda External 30nm Remote Motor</v>
      </c>
      <c r="M395" s="39" t="str">
        <f t="shared" si="120"/>
        <v>Acmeda External 30nm Remote Motor</v>
      </c>
      <c r="N395" s="39" t="str">
        <f t="shared" si="121"/>
        <v>Acmeda External 30nm Remote Motor</v>
      </c>
      <c r="O395" s="39" t="str">
        <f t="shared" si="122"/>
        <v>Acmeda External 30nm Remote Motor</v>
      </c>
      <c r="P395" s="39" t="str">
        <f t="shared" si="123"/>
        <v>Acmeda External 30nm Remote Motor</v>
      </c>
    </row>
    <row r="396" spans="1:16" ht="14.4">
      <c r="A396" s="98">
        <v>2680</v>
      </c>
      <c r="B396" s="39" t="s">
        <v>798</v>
      </c>
      <c r="C396" s="39" t="str">
        <f t="shared" si="110"/>
        <v>Acmeda External 15nm Remote Motor</v>
      </c>
      <c r="D396" s="39" t="str">
        <f t="shared" si="111"/>
        <v>Acmeda External 15nm Remote Motor</v>
      </c>
      <c r="E396" s="39" t="str">
        <f t="shared" si="112"/>
        <v>Acmeda External 15nm Remote Motor</v>
      </c>
      <c r="F396" s="39" t="str">
        <f t="shared" si="113"/>
        <v>Acmeda External 15nm Remote Motor</v>
      </c>
      <c r="G396" s="39" t="str">
        <f t="shared" si="114"/>
        <v>Acmeda External 30nm Remote Motor</v>
      </c>
      <c r="H396" s="39" t="str">
        <f t="shared" si="115"/>
        <v>Acmeda External 30nm Remote Motor</v>
      </c>
      <c r="I396" s="39" t="str">
        <f t="shared" si="116"/>
        <v>Acmeda External 30nm Remote Motor</v>
      </c>
      <c r="J396" s="39" t="str">
        <f t="shared" si="117"/>
        <v>Acmeda External 30nm Remote Motor</v>
      </c>
      <c r="K396" s="39" t="str">
        <f t="shared" si="118"/>
        <v>Acmeda External 30nm Remote Motor</v>
      </c>
      <c r="L396" s="39" t="str">
        <f t="shared" si="119"/>
        <v>Acmeda External 30nm Remote Motor</v>
      </c>
      <c r="M396" s="39" t="str">
        <f t="shared" si="120"/>
        <v>Acmeda External 30nm Remote Motor</v>
      </c>
      <c r="N396" s="39" t="str">
        <f t="shared" si="121"/>
        <v>Acmeda External 30nm Remote Motor</v>
      </c>
      <c r="O396" s="39" t="str">
        <f t="shared" si="122"/>
        <v>Acmeda External 30nm Remote Motor</v>
      </c>
      <c r="P396" s="39" t="str">
        <f t="shared" si="123"/>
        <v>Acmeda External 30nm Remote Motor</v>
      </c>
    </row>
    <row r="397" spans="1:16" ht="14.4">
      <c r="A397" s="98">
        <v>2780</v>
      </c>
      <c r="B397" s="39" t="s">
        <v>798</v>
      </c>
      <c r="C397" s="39" t="str">
        <f t="shared" si="110"/>
        <v>Acmeda External 15nm Remote Motor</v>
      </c>
      <c r="D397" s="39" t="str">
        <f t="shared" si="111"/>
        <v>Acmeda External 15nm Remote Motor</v>
      </c>
      <c r="E397" s="39" t="str">
        <f t="shared" si="112"/>
        <v>Acmeda External 15nm Remote Motor</v>
      </c>
      <c r="F397" s="39" t="str">
        <f t="shared" si="113"/>
        <v>Acmeda External 30nm Remote Motor</v>
      </c>
      <c r="G397" s="39" t="str">
        <f t="shared" si="114"/>
        <v>Acmeda External 30nm Remote Motor</v>
      </c>
      <c r="H397" s="39" t="str">
        <f t="shared" si="115"/>
        <v>Acmeda External 30nm Remote Motor</v>
      </c>
      <c r="I397" s="39" t="str">
        <f t="shared" si="116"/>
        <v>Acmeda External 30nm Remote Motor</v>
      </c>
      <c r="J397" s="39" t="str">
        <f t="shared" si="117"/>
        <v>Acmeda External 30nm Remote Motor</v>
      </c>
      <c r="K397" s="39" t="str">
        <f t="shared" si="118"/>
        <v>Acmeda External 30nm Remote Motor</v>
      </c>
      <c r="L397" s="39" t="str">
        <f t="shared" si="119"/>
        <v>Acmeda External 30nm Remote Motor</v>
      </c>
      <c r="M397" s="39" t="str">
        <f t="shared" si="120"/>
        <v>Acmeda External 30nm Remote Motor</v>
      </c>
      <c r="N397" s="39" t="str">
        <f t="shared" si="121"/>
        <v>Acmeda External 30nm Remote Motor</v>
      </c>
      <c r="O397" s="39" t="str">
        <f t="shared" si="122"/>
        <v>Acmeda External 30nm Remote Motor</v>
      </c>
      <c r="P397" s="39" t="str">
        <f t="shared" si="123"/>
        <v>Acmeda External 30nm Remote Motor</v>
      </c>
    </row>
    <row r="398" spans="1:16" ht="14.4">
      <c r="A398" s="98">
        <v>2880</v>
      </c>
      <c r="B398" s="39" t="s">
        <v>798</v>
      </c>
      <c r="C398" s="39" t="str">
        <f t="shared" si="110"/>
        <v>Acmeda External 15nm Remote Motor</v>
      </c>
      <c r="D398" s="39" t="str">
        <f t="shared" si="111"/>
        <v>Acmeda External 15nm Remote Motor</v>
      </c>
      <c r="E398" s="39" t="str">
        <f t="shared" si="112"/>
        <v>Acmeda External 30nm Remote Motor</v>
      </c>
      <c r="F398" s="39" t="str">
        <f t="shared" si="113"/>
        <v>Acmeda External 30nm Remote Motor</v>
      </c>
      <c r="G398" s="39" t="str">
        <f t="shared" si="114"/>
        <v>Acmeda External 30nm Remote Motor</v>
      </c>
      <c r="H398" s="39" t="str">
        <f t="shared" si="115"/>
        <v>Acmeda External 30nm Remote Motor</v>
      </c>
      <c r="I398" s="39" t="str">
        <f t="shared" si="116"/>
        <v>Acmeda External 30nm Remote Motor</v>
      </c>
      <c r="J398" s="39" t="str">
        <f t="shared" si="117"/>
        <v>Acmeda External 30nm Remote Motor</v>
      </c>
      <c r="K398" s="39" t="str">
        <f t="shared" si="118"/>
        <v>Acmeda External 30nm Remote Motor</v>
      </c>
      <c r="L398" s="39" t="str">
        <f t="shared" si="119"/>
        <v>Acmeda External 30nm Remote Motor</v>
      </c>
      <c r="M398" s="39" t="str">
        <f t="shared" si="120"/>
        <v>Acmeda External 30nm Remote Motor</v>
      </c>
      <c r="N398" s="39" t="str">
        <f t="shared" si="121"/>
        <v>Acmeda External 30nm Remote Motor</v>
      </c>
      <c r="O398" s="39" t="str">
        <f t="shared" si="122"/>
        <v>Acmeda External 30nm Remote Motor</v>
      </c>
      <c r="P398" s="39" t="str">
        <f t="shared" si="123"/>
        <v>Acmeda External 30nm Remote Motor</v>
      </c>
    </row>
    <row r="399" spans="1:16" ht="14.4">
      <c r="A399" s="98">
        <v>2980</v>
      </c>
      <c r="B399" s="39" t="s">
        <v>798</v>
      </c>
      <c r="C399" s="39" t="str">
        <f t="shared" si="110"/>
        <v>Acmeda External 15nm Remote Motor</v>
      </c>
      <c r="D399" s="39" t="str">
        <f t="shared" si="111"/>
        <v>Acmeda External 15nm Remote Motor</v>
      </c>
      <c r="E399" s="39" t="str">
        <f t="shared" si="112"/>
        <v>Acmeda External 30nm Remote Motor</v>
      </c>
      <c r="F399" s="39" t="str">
        <f t="shared" si="113"/>
        <v>Acmeda External 30nm Remote Motor</v>
      </c>
      <c r="G399" s="39" t="str">
        <f t="shared" si="114"/>
        <v>Acmeda External 30nm Remote Motor</v>
      </c>
      <c r="H399" s="39" t="str">
        <f t="shared" si="115"/>
        <v>Acmeda External 30nm Remote Motor</v>
      </c>
      <c r="I399" s="39" t="str">
        <f t="shared" si="116"/>
        <v>Acmeda External 30nm Remote Motor</v>
      </c>
      <c r="J399" s="39" t="str">
        <f t="shared" si="117"/>
        <v>Acmeda External 30nm Remote Motor</v>
      </c>
      <c r="K399" s="39" t="str">
        <f t="shared" si="118"/>
        <v>Acmeda External 30nm Remote Motor</v>
      </c>
      <c r="L399" s="39" t="str">
        <f t="shared" si="119"/>
        <v>Acmeda External 30nm Remote Motor</v>
      </c>
      <c r="M399" s="39" t="str">
        <f t="shared" si="120"/>
        <v>Acmeda External 30nm Remote Motor</v>
      </c>
      <c r="N399" s="39" t="str">
        <f t="shared" si="121"/>
        <v>Acmeda External 30nm Remote Motor</v>
      </c>
      <c r="O399" s="39" t="str">
        <f t="shared" si="122"/>
        <v>Acmeda External 30nm Remote Motor</v>
      </c>
      <c r="P399" s="39" t="str">
        <f t="shared" si="123"/>
        <v>Acmeda External 30nm Remote Motor</v>
      </c>
    </row>
    <row r="402" spans="1:34" ht="13.2">
      <c r="A402" s="305" t="s">
        <v>810</v>
      </c>
      <c r="B402" s="305"/>
      <c r="C402" s="305"/>
      <c r="D402" s="305"/>
      <c r="E402" s="305"/>
      <c r="F402" s="305"/>
      <c r="G402" s="305"/>
      <c r="H402" s="305"/>
      <c r="I402" s="305"/>
      <c r="J402" s="305"/>
      <c r="K402" s="305"/>
      <c r="L402" s="305"/>
      <c r="M402" s="305"/>
      <c r="N402" s="305"/>
      <c r="O402" s="305"/>
      <c r="P402" s="305"/>
      <c r="Q402" s="305"/>
      <c r="R402" s="305"/>
      <c r="S402" s="305"/>
      <c r="T402" s="305"/>
      <c r="U402" s="305"/>
      <c r="V402" s="305"/>
      <c r="W402" s="305"/>
      <c r="X402" s="305"/>
      <c r="Y402" s="305"/>
      <c r="Z402" s="305"/>
      <c r="AA402" s="305"/>
      <c r="AB402" s="305"/>
      <c r="AC402" s="305"/>
      <c r="AD402" s="305"/>
      <c r="AE402" s="305"/>
      <c r="AF402" s="305"/>
      <c r="AG402" s="305"/>
      <c r="AH402" s="305"/>
    </row>
    <row r="403" spans="1:32" ht="14.4">
      <c r="A403" s="130" t="s">
        <v>262</v>
      </c>
      <c r="B403" s="130">
        <v>0</v>
      </c>
      <c r="C403" s="131">
        <v>750</v>
      </c>
      <c r="D403" s="132">
        <v>1100</v>
      </c>
      <c r="E403" s="132">
        <v>1200</v>
      </c>
      <c r="F403" s="132">
        <v>1300</v>
      </c>
      <c r="G403" s="132">
        <v>1400</v>
      </c>
      <c r="H403" s="132">
        <v>1500</v>
      </c>
      <c r="I403" s="132">
        <v>1600</v>
      </c>
      <c r="J403" s="132">
        <v>1700</v>
      </c>
      <c r="K403" s="132">
        <v>1800</v>
      </c>
      <c r="L403" s="132">
        <v>1900</v>
      </c>
      <c r="M403" s="132">
        <v>2000</v>
      </c>
      <c r="N403" s="132">
        <v>2100</v>
      </c>
      <c r="O403" s="132">
        <v>2200</v>
      </c>
      <c r="P403" s="132">
        <v>2300</v>
      </c>
      <c r="Q403" s="132">
        <v>2400</v>
      </c>
      <c r="R403" s="132">
        <v>2500</v>
      </c>
      <c r="S403" s="132">
        <v>2600</v>
      </c>
      <c r="T403" s="132">
        <v>2700</v>
      </c>
      <c r="U403" s="132">
        <v>2800</v>
      </c>
      <c r="V403" s="132">
        <v>2900</v>
      </c>
      <c r="W403" s="132">
        <v>3000</v>
      </c>
      <c r="X403" s="132">
        <v>3100</v>
      </c>
      <c r="Y403" s="132">
        <v>3200</v>
      </c>
      <c r="Z403" s="132">
        <v>3300</v>
      </c>
      <c r="AA403" s="132">
        <v>3400</v>
      </c>
      <c r="AB403" s="132">
        <v>3500</v>
      </c>
      <c r="AC403" s="132">
        <v>3600</v>
      </c>
      <c r="AD403" s="132">
        <v>3700</v>
      </c>
      <c r="AE403" s="132">
        <v>3800</v>
      </c>
      <c r="AF403" s="132">
        <v>3900</v>
      </c>
    </row>
    <row r="404" spans="1:32" ht="14.4">
      <c r="A404" s="86">
        <v>0</v>
      </c>
      <c r="B404" s="39" t="s">
        <v>798</v>
      </c>
      <c r="C404" s="39" t="str">
        <f t="shared" si="124" ref="C404:C427">IF(((($C$403)*(A404))/1000000*7.5)&lt;24,"Acmeda External 15nm Remote Motor",IF(((($C$403)*(A404))/1000000*7.5)&lt;=48,"Acmeda External 30nm Remote Motor","Acmeda External 50nm Remote Motor"))</f>
        <v>Acmeda External 15nm Remote Motor</v>
      </c>
      <c r="D404" s="39" t="str">
        <f t="shared" si="125" ref="D404:D427">IF(((($D$403)*(A404))/1000000*7.5)&lt;24,"Acmeda External 15nm Remote Motor",IF(((($D$403)*(A404))/1000000*7.5)&lt;=48,"Acmeda External 30nm Remote Motor","Acmeda External 50nm Remote Motor"))</f>
        <v>Acmeda External 15nm Remote Motor</v>
      </c>
      <c r="E404" s="39" t="str">
        <f t="shared" si="126" ref="E404:E427">IF(((($E$403)*(A404))/1000000*7.5)&lt;24,"Acmeda External 15nm Remote Motor",IF(((($E$403)*(A404))/1000000*7.5)&lt;=48,"Acmeda External 30nm Remote Motor","Acmeda External 50nm Remote Motor"))</f>
        <v>Acmeda External 15nm Remote Motor</v>
      </c>
      <c r="F404" s="39" t="str">
        <f t="shared" si="127" ref="F404:F427">IF(((($F$403)*(A404))/1000000*7.5)&lt;24,"Acmeda External 15nm Remote Motor",IF(((($F$403)*(A404))/1000000*7.5)&lt;=48,"Acmeda External 30nm Remote Motor","Acmeda External 50nm Remote Motor"))</f>
        <v>Acmeda External 15nm Remote Motor</v>
      </c>
      <c r="G404" s="39" t="str">
        <f t="shared" si="128" ref="G404:G427">IF(((($G$403)*(A404))/1000000*7.5)&lt;24,"Acmeda External 15nm Remote Motor",IF(((($G$403)*(A404))/1000000*7.5)&lt;=48,"Acmeda External 30nm Remote Motor","Acmeda External 50nm Remote Motor"))</f>
        <v>Acmeda External 15nm Remote Motor</v>
      </c>
      <c r="H404" s="39" t="str">
        <f t="shared" si="129" ref="H404:H427">IF(((($H$403)*(A404))/1000000*7.5)&lt;24,"Acmeda External 15nm Remote Motor",IF(((($H$403)*(A404))/1000000*7.5)&lt;=48,"Acmeda External 30nm Remote Motor","Acmeda External 50nm Remote Motor"))</f>
        <v>Acmeda External 15nm Remote Motor</v>
      </c>
      <c r="I404" s="39" t="str">
        <f t="shared" si="130" ref="I404:I427">IF(((($I$403)*(A404))/1000000*7.5)&lt;24,"Acmeda External 15nm Remote Motor",IF(((($I$403)*(A404))/1000000*7.5)&lt;=48,"Acmeda External 30nm Remote Motor","Acmeda External 50nm Remote Motor"))</f>
        <v>Acmeda External 15nm Remote Motor</v>
      </c>
      <c r="J404" s="39" t="str">
        <f t="shared" si="131" ref="J404:J427">IF(((($J$403)*(A404))/1000000*7.5)&lt;24,"Acmeda External 15nm Remote Motor",IF(((($J$403)*(A404))/1000000*7.5)&lt;=48,"Acmeda External 30nm Remote Motor","Acmeda External 50nm Remote Motor"))</f>
        <v>Acmeda External 15nm Remote Motor</v>
      </c>
      <c r="K404" s="39" t="str">
        <f t="shared" si="132" ref="K404:K427">IF(((($K$403)*(A404))/1000000*7.5)&lt;24,"Acmeda External 15nm Remote Motor",IF(((($K$403)*(A404))/1000000*7.5)&lt;=48,"Acmeda External 30nm Remote Motor","Acmeda External 50nm Remote Motor"))</f>
        <v>Acmeda External 15nm Remote Motor</v>
      </c>
      <c r="L404" s="39" t="str">
        <f t="shared" si="133" ref="L404:L427">IF(((($L$403)*(A404))/1000000*7.5)&lt;24,"Acmeda External 15nm Remote Motor",IF(((($L$403)*(A404))/1000000*7.5)&lt;=48,"Acmeda External 30nm Remote Motor","Acmeda External 50nm Remote Motor"))</f>
        <v>Acmeda External 15nm Remote Motor</v>
      </c>
      <c r="M404" s="39" t="str">
        <f t="shared" si="134" ref="M404:M427">IF(((($M$403)*(A404))/1000000*7.5)&lt;24,"Acmeda External 15nm Remote Motor",IF(((($M$403)*(A404))/1000000*7.5)&lt;=48,"Acmeda External 30nm Remote Motor","Acmeda External 50nm Remote Motor"))</f>
        <v>Acmeda External 15nm Remote Motor</v>
      </c>
      <c r="N404" s="39" t="str">
        <f t="shared" si="135" ref="N404:N427">IF(((($N$403)*(A404))/1000000*7.5)&lt;24,"Acmeda External 15nm Remote Motor",IF(((($N$403)*(A404))/1000000*7.5)&lt;=48,"Acmeda External 30nm Remote Motor","Acmeda External 50nm Remote Motor"))</f>
        <v>Acmeda External 15nm Remote Motor</v>
      </c>
      <c r="O404" s="39" t="str">
        <f t="shared" si="136" ref="O404:O427">IF(((($O$403)*(A404))/1000000*7.5)&lt;24,"Acmeda External 15nm Remote Motor",IF(((($O$403)*(A404))/1000000*7.5)&lt;=48,"Acmeda External 30nm Remote Motor","Acmeda External 50nm Remote Motor"))</f>
        <v>Acmeda External 15nm Remote Motor</v>
      </c>
      <c r="P404" s="39" t="str">
        <f t="shared" si="137" ref="P404:P427">IF(((($P$403)*(A404))/1000000*7.5)&lt;24,"Acmeda External 15nm Remote Motor",IF(((($P$403)*(A404))/1000000*7.5)&lt;=48,"Acmeda External 30nm Remote Motor","Acmeda External 50nm Remote Motor"))</f>
        <v>Acmeda External 15nm Remote Motor</v>
      </c>
      <c r="Q404" s="39" t="str">
        <f t="shared" si="138" ref="Q404:Q427">IF(((($Q$403)*(A404))/1000000*7.5)&lt;24,"Acmeda External 15nm Remote Motor",IF(((($Q$403)*(A404))/1000000*7.5)&lt;=48,"Acmeda External 30nm Remote Motor","Acmeda External 50nm Remote Motor"))</f>
        <v>Acmeda External 15nm Remote Motor</v>
      </c>
      <c r="R404" s="39" t="str">
        <f t="shared" si="139" ref="R404:R427">IF(((($R$403)*(A404))/1000000*7.5)&lt;24,"Acmeda External 15nm Remote Motor",IF(((($R$403)*(A404))/1000000*7.5)&lt;=48,"Acmeda External 30nm Remote Motor","Acmeda External 50nm Remote Motor"))</f>
        <v>Acmeda External 15nm Remote Motor</v>
      </c>
      <c r="S404" s="39" t="str">
        <f t="shared" si="140" ref="S404:S427">IF(((($S$403)*(A404))/1000000*7.5)&lt;24,"Acmeda External 15nm Remote Motor",IF(((($S$403)*(A404))/1000000*7.5)&lt;=48,"Acmeda External 30nm Remote Motor","Acmeda External 50nm Remote Motor"))</f>
        <v>Acmeda External 15nm Remote Motor</v>
      </c>
      <c r="T404" s="39" t="str">
        <f t="shared" si="141" ref="T404:T427">IF(((($T$403)*(A404))/1000000*7.5)&lt;24,"Acmeda External 15nm Remote Motor",IF(((($T$403)*(A404))/1000000*7.5)&lt;=48,"Acmeda External 30nm Remote Motor","Acmeda External 50nm Remote Motor"))</f>
        <v>Acmeda External 15nm Remote Motor</v>
      </c>
      <c r="U404" s="39" t="str">
        <f t="shared" si="142" ref="U404:U427">IF(((($U$403)*(A404))/1000000*7.5)&lt;24,"Acmeda External 15nm Remote Motor",IF(((($U$403)*(A404))/1000000*7.5)&lt;=48,"Acmeda External 30nm Remote Motor","Acmeda External 50nm Remote Motor"))</f>
        <v>Acmeda External 15nm Remote Motor</v>
      </c>
      <c r="V404" s="39" t="str">
        <f t="shared" si="143" ref="V404:V427">IF(((($V$403)*(A404))/1000000*7.5)&lt;24,"Acmeda External 15nm Remote Motor",IF(((($V$403)*(A404))/1000000*7.5)&lt;=48,"Acmeda External 30nm Remote Motor","Acmeda External 50nm Remote Motor"))</f>
        <v>Acmeda External 15nm Remote Motor</v>
      </c>
      <c r="W404" s="39" t="str">
        <f t="shared" si="144" ref="W404:W427">IF(((($W$403)*(A404))/1000000*7.5)&lt;24,"Acmeda External 15nm Remote Motor",IF(((($W$403)*(A404))/1000000*7.5)&lt;=48,"Acmeda External 30nm Remote Motor","Acmeda External 50nm Remote Motor"))</f>
        <v>Acmeda External 15nm Remote Motor</v>
      </c>
      <c r="X404" s="39" t="str">
        <f t="shared" si="145" ref="X404:X427">IF(((($X$403)*(A404))/1000000*7.5)&lt;24,"Acmeda External 15nm Remote Motor",IF(((($X$403)*(A404))/1000000*7.5)&lt;=48,"Acmeda External 30nm Remote Motor","Acmeda External 50nm Remote Motor"))</f>
        <v>Acmeda External 15nm Remote Motor</v>
      </c>
      <c r="Y404" s="39" t="str">
        <f t="shared" si="146" ref="Y404:Y427">IF(((($Y$403)*(A404))/1000000*7.5)&lt;24,"Acmeda External 15nm Remote Motor",IF(((($Y$403)*(A404))/1000000*7.5)&lt;=48,"Acmeda External 30nm Remote Motor","Acmeda External 50nm Remote Motor"))</f>
        <v>Acmeda External 15nm Remote Motor</v>
      </c>
      <c r="Z404" s="39" t="str">
        <f t="shared" si="147" ref="Z404:Z427">IF(((($Z$403)*(A404))/1000000*7.5)&lt;24,"Acmeda External 15nm Remote Motor",IF(((($Z$403)*(A404))/1000000*7.5)&lt;=48,"Acmeda External 30nm Remote Motor","Acmeda External 50nm Remote Motor"))</f>
        <v>Acmeda External 15nm Remote Motor</v>
      </c>
      <c r="AA404" s="39" t="str">
        <f t="shared" si="148" ref="AA404:AA427">IF(((($AA$403)*(A404))/1000000*7.5)&lt;24,"Acmeda External 15nm Remote Motor",IF(((($AA$403)*(A404))/1000000*7.5)&lt;=48,"Acmeda External 30nm Remote Motor","Acmeda External 50nm Remote Motor"))</f>
        <v>Acmeda External 15nm Remote Motor</v>
      </c>
      <c r="AB404" s="39" t="str">
        <f t="shared" si="149" ref="AB404:AB427">IF(((($AB$403)*(A404))/1000000*7.5)&lt;24,"Acmeda External 15nm Remote Motor",IF(((($AB$403)*(A404))/1000000*7.5)&lt;=48,"Acmeda External 30nm Remote Motor","Acmeda External 50nm Remote Motor"))</f>
        <v>Acmeda External 15nm Remote Motor</v>
      </c>
      <c r="AC404" s="39" t="str">
        <f t="shared" si="150" ref="AC404:AC427">IF(((($AC$403)*(A404))/1000000*7.5)&lt;24,"Acmeda External 15nm Remote Motor",IF(((($AC$403)*(A404))/1000000*7.5)&lt;=48,"Acmeda External 30nm Remote Motor","Acmeda External 50nm Remote Motor"))</f>
        <v>Acmeda External 15nm Remote Motor</v>
      </c>
      <c r="AD404" s="39" t="str">
        <f t="shared" si="151" ref="AD404:AD427">IF(((($AD$403)*(A404))/1000000*7.5)&lt;24,"Acmeda External 15nm Remote Motor",IF(((($AD$403)*(A404))/1000000*7.5)&lt;=48,"Acmeda External 30nm Remote Motor","Acmeda External 50nm Remote Motor"))</f>
        <v>Acmeda External 15nm Remote Motor</v>
      </c>
      <c r="AE404" s="39" t="str">
        <f t="shared" si="152" ref="AE404:AE427">IF(((($AE$403)*(A404))/1000000*7.5)&lt;24,"Acmeda External 15nm Remote Motor",IF(((($AE$403)*(A404))/1000000*7.5)&lt;=48,"Acmeda External 30nm Remote Motor","Acmeda External 50nm Remote Motor"))</f>
        <v>Acmeda External 15nm Remote Motor</v>
      </c>
      <c r="AF404" s="39" t="str">
        <f t="shared" si="153" ref="AF404:AF427">IF(((($AF$403)*(A404))/1000000*7.5)&lt;24,"Acmeda External 15nm Remote Motor",IF(((($AF$403)*(A404))/1000000*7.5)&lt;=48,"Acmeda External 30nm Remote Motor","Acmeda External 50nm Remote Motor"))</f>
        <v>Acmeda External 15nm Remote Motor</v>
      </c>
    </row>
    <row r="405" spans="1:32" ht="14.4">
      <c r="A405" s="84">
        <v>780</v>
      </c>
      <c r="B405" s="39" t="s">
        <v>798</v>
      </c>
      <c r="C405" s="39" t="str">
        <f t="shared" si="124"/>
        <v>Acmeda External 15nm Remote Motor</v>
      </c>
      <c r="D405" s="39" t="str">
        <f t="shared" si="125"/>
        <v>Acmeda External 15nm Remote Motor</v>
      </c>
      <c r="E405" s="39" t="str">
        <f t="shared" si="126"/>
        <v>Acmeda External 15nm Remote Motor</v>
      </c>
      <c r="F405" s="39" t="str">
        <f t="shared" si="127"/>
        <v>Acmeda External 15nm Remote Motor</v>
      </c>
      <c r="G405" s="39" t="str">
        <f t="shared" si="128"/>
        <v>Acmeda External 15nm Remote Motor</v>
      </c>
      <c r="H405" s="39" t="str">
        <f t="shared" si="129"/>
        <v>Acmeda External 15nm Remote Motor</v>
      </c>
      <c r="I405" s="39" t="str">
        <f t="shared" si="130"/>
        <v>Acmeda External 15nm Remote Motor</v>
      </c>
      <c r="J405" s="39" t="str">
        <f t="shared" si="131"/>
        <v>Acmeda External 15nm Remote Motor</v>
      </c>
      <c r="K405" s="39" t="str">
        <f t="shared" si="132"/>
        <v>Acmeda External 15nm Remote Motor</v>
      </c>
      <c r="L405" s="39" t="str">
        <f t="shared" si="133"/>
        <v>Acmeda External 15nm Remote Motor</v>
      </c>
      <c r="M405" s="39" t="str">
        <f t="shared" si="134"/>
        <v>Acmeda External 15nm Remote Motor</v>
      </c>
      <c r="N405" s="39" t="str">
        <f t="shared" si="135"/>
        <v>Acmeda External 15nm Remote Motor</v>
      </c>
      <c r="O405" s="39" t="str">
        <f t="shared" si="136"/>
        <v>Acmeda External 15nm Remote Motor</v>
      </c>
      <c r="P405" s="39" t="str">
        <f t="shared" si="137"/>
        <v>Acmeda External 15nm Remote Motor</v>
      </c>
      <c r="Q405" s="39" t="str">
        <f t="shared" si="138"/>
        <v>Acmeda External 15nm Remote Motor</v>
      </c>
      <c r="R405" s="39" t="str">
        <f t="shared" si="139"/>
        <v>Acmeda External 15nm Remote Motor</v>
      </c>
      <c r="S405" s="39" t="str">
        <f t="shared" si="140"/>
        <v>Acmeda External 15nm Remote Motor</v>
      </c>
      <c r="T405" s="39" t="str">
        <f t="shared" si="141"/>
        <v>Acmeda External 15nm Remote Motor</v>
      </c>
      <c r="U405" s="39" t="str">
        <f t="shared" si="142"/>
        <v>Acmeda External 15nm Remote Motor</v>
      </c>
      <c r="V405" s="39" t="str">
        <f t="shared" si="143"/>
        <v>Acmeda External 15nm Remote Motor</v>
      </c>
      <c r="W405" s="39" t="str">
        <f t="shared" si="144"/>
        <v>Acmeda External 15nm Remote Motor</v>
      </c>
      <c r="X405" s="39" t="str">
        <f t="shared" si="145"/>
        <v>Acmeda External 15nm Remote Motor</v>
      </c>
      <c r="Y405" s="39" t="str">
        <f t="shared" si="146"/>
        <v>Acmeda External 15nm Remote Motor</v>
      </c>
      <c r="Z405" s="39" t="str">
        <f t="shared" si="147"/>
        <v>Acmeda External 15nm Remote Motor</v>
      </c>
      <c r="AA405" s="39" t="str">
        <f t="shared" si="148"/>
        <v>Acmeda External 15nm Remote Motor</v>
      </c>
      <c r="AB405" s="39" t="str">
        <f t="shared" si="149"/>
        <v>Acmeda External 15nm Remote Motor</v>
      </c>
      <c r="AC405" s="39" t="str">
        <f t="shared" si="150"/>
        <v>Acmeda External 15nm Remote Motor</v>
      </c>
      <c r="AD405" s="39" t="str">
        <f t="shared" si="151"/>
        <v>Acmeda External 15nm Remote Motor</v>
      </c>
      <c r="AE405" s="39" t="str">
        <f t="shared" si="152"/>
        <v>Acmeda External 15nm Remote Motor</v>
      </c>
      <c r="AF405" s="39" t="str">
        <f t="shared" si="153"/>
        <v>Acmeda External 15nm Remote Motor</v>
      </c>
    </row>
    <row r="406" spans="1:32" ht="14.4">
      <c r="A406" s="84">
        <v>880</v>
      </c>
      <c r="B406" s="39" t="s">
        <v>798</v>
      </c>
      <c r="C406" s="39" t="str">
        <f t="shared" si="124"/>
        <v>Acmeda External 15nm Remote Motor</v>
      </c>
      <c r="D406" s="39" t="str">
        <f t="shared" si="125"/>
        <v>Acmeda External 15nm Remote Motor</v>
      </c>
      <c r="E406" s="39" t="str">
        <f t="shared" si="126"/>
        <v>Acmeda External 15nm Remote Motor</v>
      </c>
      <c r="F406" s="39" t="str">
        <f t="shared" si="127"/>
        <v>Acmeda External 15nm Remote Motor</v>
      </c>
      <c r="G406" s="39" t="str">
        <f t="shared" si="128"/>
        <v>Acmeda External 15nm Remote Motor</v>
      </c>
      <c r="H406" s="39" t="str">
        <f t="shared" si="129"/>
        <v>Acmeda External 15nm Remote Motor</v>
      </c>
      <c r="I406" s="39" t="str">
        <f t="shared" si="130"/>
        <v>Acmeda External 15nm Remote Motor</v>
      </c>
      <c r="J406" s="39" t="str">
        <f t="shared" si="131"/>
        <v>Acmeda External 15nm Remote Motor</v>
      </c>
      <c r="K406" s="39" t="str">
        <f t="shared" si="132"/>
        <v>Acmeda External 15nm Remote Motor</v>
      </c>
      <c r="L406" s="39" t="str">
        <f t="shared" si="133"/>
        <v>Acmeda External 15nm Remote Motor</v>
      </c>
      <c r="M406" s="39" t="str">
        <f t="shared" si="134"/>
        <v>Acmeda External 15nm Remote Motor</v>
      </c>
      <c r="N406" s="39" t="str">
        <f t="shared" si="135"/>
        <v>Acmeda External 15nm Remote Motor</v>
      </c>
      <c r="O406" s="39" t="str">
        <f t="shared" si="136"/>
        <v>Acmeda External 15nm Remote Motor</v>
      </c>
      <c r="P406" s="39" t="str">
        <f t="shared" si="137"/>
        <v>Acmeda External 15nm Remote Motor</v>
      </c>
      <c r="Q406" s="39" t="str">
        <f t="shared" si="138"/>
        <v>Acmeda External 15nm Remote Motor</v>
      </c>
      <c r="R406" s="39" t="str">
        <f t="shared" si="139"/>
        <v>Acmeda External 15nm Remote Motor</v>
      </c>
      <c r="S406" s="39" t="str">
        <f t="shared" si="140"/>
        <v>Acmeda External 15nm Remote Motor</v>
      </c>
      <c r="T406" s="39" t="str">
        <f t="shared" si="141"/>
        <v>Acmeda External 15nm Remote Motor</v>
      </c>
      <c r="U406" s="39" t="str">
        <f t="shared" si="142"/>
        <v>Acmeda External 15nm Remote Motor</v>
      </c>
      <c r="V406" s="39" t="str">
        <f t="shared" si="143"/>
        <v>Acmeda External 15nm Remote Motor</v>
      </c>
      <c r="W406" s="39" t="str">
        <f t="shared" si="144"/>
        <v>Acmeda External 15nm Remote Motor</v>
      </c>
      <c r="X406" s="39" t="str">
        <f t="shared" si="145"/>
        <v>Acmeda External 15nm Remote Motor</v>
      </c>
      <c r="Y406" s="39" t="str">
        <f t="shared" si="146"/>
        <v>Acmeda External 15nm Remote Motor</v>
      </c>
      <c r="Z406" s="39" t="str">
        <f t="shared" si="147"/>
        <v>Acmeda External 15nm Remote Motor</v>
      </c>
      <c r="AA406" s="39" t="str">
        <f t="shared" si="148"/>
        <v>Acmeda External 15nm Remote Motor</v>
      </c>
      <c r="AB406" s="39" t="str">
        <f t="shared" si="149"/>
        <v>Acmeda External 15nm Remote Motor</v>
      </c>
      <c r="AC406" s="39" t="str">
        <f t="shared" si="150"/>
        <v>Acmeda External 15nm Remote Motor</v>
      </c>
      <c r="AD406" s="39" t="str">
        <f t="shared" si="151"/>
        <v>Acmeda External 30nm Remote Motor</v>
      </c>
      <c r="AE406" s="39" t="str">
        <f t="shared" si="152"/>
        <v>Acmeda External 30nm Remote Motor</v>
      </c>
      <c r="AF406" s="39" t="str">
        <f t="shared" si="153"/>
        <v>Acmeda External 30nm Remote Motor</v>
      </c>
    </row>
    <row r="407" spans="1:32" ht="14.4">
      <c r="A407" s="84">
        <v>980</v>
      </c>
      <c r="B407" s="39" t="s">
        <v>798</v>
      </c>
      <c r="C407" s="39" t="str">
        <f t="shared" si="124"/>
        <v>Acmeda External 15nm Remote Motor</v>
      </c>
      <c r="D407" s="39" t="str">
        <f t="shared" si="125"/>
        <v>Acmeda External 15nm Remote Motor</v>
      </c>
      <c r="E407" s="39" t="str">
        <f t="shared" si="126"/>
        <v>Acmeda External 15nm Remote Motor</v>
      </c>
      <c r="F407" s="39" t="str">
        <f t="shared" si="127"/>
        <v>Acmeda External 15nm Remote Motor</v>
      </c>
      <c r="G407" s="39" t="str">
        <f t="shared" si="128"/>
        <v>Acmeda External 15nm Remote Motor</v>
      </c>
      <c r="H407" s="39" t="str">
        <f t="shared" si="129"/>
        <v>Acmeda External 15nm Remote Motor</v>
      </c>
      <c r="I407" s="39" t="str">
        <f t="shared" si="130"/>
        <v>Acmeda External 15nm Remote Motor</v>
      </c>
      <c r="J407" s="39" t="str">
        <f t="shared" si="131"/>
        <v>Acmeda External 15nm Remote Motor</v>
      </c>
      <c r="K407" s="39" t="str">
        <f t="shared" si="132"/>
        <v>Acmeda External 15nm Remote Motor</v>
      </c>
      <c r="L407" s="39" t="str">
        <f t="shared" si="133"/>
        <v>Acmeda External 15nm Remote Motor</v>
      </c>
      <c r="M407" s="39" t="str">
        <f t="shared" si="134"/>
        <v>Acmeda External 15nm Remote Motor</v>
      </c>
      <c r="N407" s="39" t="str">
        <f t="shared" si="135"/>
        <v>Acmeda External 15nm Remote Motor</v>
      </c>
      <c r="O407" s="39" t="str">
        <f t="shared" si="136"/>
        <v>Acmeda External 15nm Remote Motor</v>
      </c>
      <c r="P407" s="39" t="str">
        <f t="shared" si="137"/>
        <v>Acmeda External 15nm Remote Motor</v>
      </c>
      <c r="Q407" s="39" t="str">
        <f t="shared" si="138"/>
        <v>Acmeda External 15nm Remote Motor</v>
      </c>
      <c r="R407" s="39" t="str">
        <f t="shared" si="139"/>
        <v>Acmeda External 15nm Remote Motor</v>
      </c>
      <c r="S407" s="39" t="str">
        <f t="shared" si="140"/>
        <v>Acmeda External 15nm Remote Motor</v>
      </c>
      <c r="T407" s="39" t="str">
        <f t="shared" si="141"/>
        <v>Acmeda External 15nm Remote Motor</v>
      </c>
      <c r="U407" s="39" t="str">
        <f t="shared" si="142"/>
        <v>Acmeda External 15nm Remote Motor</v>
      </c>
      <c r="V407" s="39" t="str">
        <f t="shared" si="143"/>
        <v>Acmeda External 15nm Remote Motor</v>
      </c>
      <c r="W407" s="39" t="str">
        <f t="shared" si="144"/>
        <v>Acmeda External 15nm Remote Motor</v>
      </c>
      <c r="X407" s="39" t="str">
        <f t="shared" si="145"/>
        <v>Acmeda External 15nm Remote Motor</v>
      </c>
      <c r="Y407" s="39" t="str">
        <f t="shared" si="146"/>
        <v>Acmeda External 15nm Remote Motor</v>
      </c>
      <c r="Z407" s="39" t="str">
        <f t="shared" si="147"/>
        <v>Acmeda External 30nm Remote Motor</v>
      </c>
      <c r="AA407" s="39" t="str">
        <f t="shared" si="148"/>
        <v>Acmeda External 30nm Remote Motor</v>
      </c>
      <c r="AB407" s="39" t="str">
        <f t="shared" si="149"/>
        <v>Acmeda External 30nm Remote Motor</v>
      </c>
      <c r="AC407" s="39" t="str">
        <f t="shared" si="150"/>
        <v>Acmeda External 30nm Remote Motor</v>
      </c>
      <c r="AD407" s="39" t="str">
        <f t="shared" si="151"/>
        <v>Acmeda External 30nm Remote Motor</v>
      </c>
      <c r="AE407" s="39" t="str">
        <f t="shared" si="152"/>
        <v>Acmeda External 30nm Remote Motor</v>
      </c>
      <c r="AF407" s="39" t="str">
        <f t="shared" si="153"/>
        <v>Acmeda External 30nm Remote Motor</v>
      </c>
    </row>
    <row r="408" spans="1:32" ht="14.4">
      <c r="A408" s="84">
        <v>1080</v>
      </c>
      <c r="B408" s="39" t="s">
        <v>798</v>
      </c>
      <c r="C408" s="39" t="str">
        <f t="shared" si="124"/>
        <v>Acmeda External 15nm Remote Motor</v>
      </c>
      <c r="D408" s="39" t="str">
        <f t="shared" si="125"/>
        <v>Acmeda External 15nm Remote Motor</v>
      </c>
      <c r="E408" s="39" t="str">
        <f t="shared" si="126"/>
        <v>Acmeda External 15nm Remote Motor</v>
      </c>
      <c r="F408" s="39" t="str">
        <f t="shared" si="127"/>
        <v>Acmeda External 15nm Remote Motor</v>
      </c>
      <c r="G408" s="39" t="str">
        <f t="shared" si="128"/>
        <v>Acmeda External 15nm Remote Motor</v>
      </c>
      <c r="H408" s="39" t="str">
        <f t="shared" si="129"/>
        <v>Acmeda External 15nm Remote Motor</v>
      </c>
      <c r="I408" s="39" t="str">
        <f t="shared" si="130"/>
        <v>Acmeda External 15nm Remote Motor</v>
      </c>
      <c r="J408" s="39" t="str">
        <f t="shared" si="131"/>
        <v>Acmeda External 15nm Remote Motor</v>
      </c>
      <c r="K408" s="39" t="str">
        <f t="shared" si="132"/>
        <v>Acmeda External 15nm Remote Motor</v>
      </c>
      <c r="L408" s="39" t="str">
        <f t="shared" si="133"/>
        <v>Acmeda External 15nm Remote Motor</v>
      </c>
      <c r="M408" s="39" t="str">
        <f t="shared" si="134"/>
        <v>Acmeda External 15nm Remote Motor</v>
      </c>
      <c r="N408" s="39" t="str">
        <f t="shared" si="135"/>
        <v>Acmeda External 15nm Remote Motor</v>
      </c>
      <c r="O408" s="39" t="str">
        <f t="shared" si="136"/>
        <v>Acmeda External 15nm Remote Motor</v>
      </c>
      <c r="P408" s="39" t="str">
        <f t="shared" si="137"/>
        <v>Acmeda External 15nm Remote Motor</v>
      </c>
      <c r="Q408" s="39" t="str">
        <f t="shared" si="138"/>
        <v>Acmeda External 15nm Remote Motor</v>
      </c>
      <c r="R408" s="39" t="str">
        <f t="shared" si="139"/>
        <v>Acmeda External 15nm Remote Motor</v>
      </c>
      <c r="S408" s="39" t="str">
        <f t="shared" si="140"/>
        <v>Acmeda External 15nm Remote Motor</v>
      </c>
      <c r="T408" s="39" t="str">
        <f t="shared" si="141"/>
        <v>Acmeda External 15nm Remote Motor</v>
      </c>
      <c r="U408" s="39" t="str">
        <f t="shared" si="142"/>
        <v>Acmeda External 15nm Remote Motor</v>
      </c>
      <c r="V408" s="39" t="str">
        <f t="shared" si="143"/>
        <v>Acmeda External 15nm Remote Motor</v>
      </c>
      <c r="W408" s="39" t="str">
        <f t="shared" si="144"/>
        <v>Acmeda External 30nm Remote Motor</v>
      </c>
      <c r="X408" s="39" t="str">
        <f t="shared" si="145"/>
        <v>Acmeda External 30nm Remote Motor</v>
      </c>
      <c r="Y408" s="39" t="str">
        <f t="shared" si="146"/>
        <v>Acmeda External 30nm Remote Motor</v>
      </c>
      <c r="Z408" s="39" t="str">
        <f t="shared" si="147"/>
        <v>Acmeda External 30nm Remote Motor</v>
      </c>
      <c r="AA408" s="39" t="str">
        <f t="shared" si="148"/>
        <v>Acmeda External 30nm Remote Motor</v>
      </c>
      <c r="AB408" s="39" t="str">
        <f t="shared" si="149"/>
        <v>Acmeda External 30nm Remote Motor</v>
      </c>
      <c r="AC408" s="39" t="str">
        <f t="shared" si="150"/>
        <v>Acmeda External 30nm Remote Motor</v>
      </c>
      <c r="AD408" s="39" t="str">
        <f t="shared" si="151"/>
        <v>Acmeda External 30nm Remote Motor</v>
      </c>
      <c r="AE408" s="39" t="str">
        <f t="shared" si="152"/>
        <v>Acmeda External 30nm Remote Motor</v>
      </c>
      <c r="AF408" s="39" t="str">
        <f t="shared" si="153"/>
        <v>Acmeda External 30nm Remote Motor</v>
      </c>
    </row>
    <row r="409" spans="1:32" ht="14.4">
      <c r="A409" s="84">
        <v>1180</v>
      </c>
      <c r="B409" s="39" t="s">
        <v>798</v>
      </c>
      <c r="C409" s="39" t="str">
        <f t="shared" si="124"/>
        <v>Acmeda External 15nm Remote Motor</v>
      </c>
      <c r="D409" s="39" t="str">
        <f t="shared" si="125"/>
        <v>Acmeda External 15nm Remote Motor</v>
      </c>
      <c r="E409" s="39" t="str">
        <f t="shared" si="126"/>
        <v>Acmeda External 15nm Remote Motor</v>
      </c>
      <c r="F409" s="39" t="str">
        <f t="shared" si="127"/>
        <v>Acmeda External 15nm Remote Motor</v>
      </c>
      <c r="G409" s="39" t="str">
        <f t="shared" si="128"/>
        <v>Acmeda External 15nm Remote Motor</v>
      </c>
      <c r="H409" s="39" t="str">
        <f t="shared" si="129"/>
        <v>Acmeda External 15nm Remote Motor</v>
      </c>
      <c r="I409" s="39" t="str">
        <f t="shared" si="130"/>
        <v>Acmeda External 15nm Remote Motor</v>
      </c>
      <c r="J409" s="39" t="str">
        <f t="shared" si="131"/>
        <v>Acmeda External 15nm Remote Motor</v>
      </c>
      <c r="K409" s="39" t="str">
        <f t="shared" si="132"/>
        <v>Acmeda External 15nm Remote Motor</v>
      </c>
      <c r="L409" s="39" t="str">
        <f t="shared" si="133"/>
        <v>Acmeda External 15nm Remote Motor</v>
      </c>
      <c r="M409" s="39" t="str">
        <f t="shared" si="134"/>
        <v>Acmeda External 15nm Remote Motor</v>
      </c>
      <c r="N409" s="39" t="str">
        <f t="shared" si="135"/>
        <v>Acmeda External 15nm Remote Motor</v>
      </c>
      <c r="O409" s="39" t="str">
        <f t="shared" si="136"/>
        <v>Acmeda External 15nm Remote Motor</v>
      </c>
      <c r="P409" s="39" t="str">
        <f t="shared" si="137"/>
        <v>Acmeda External 15nm Remote Motor</v>
      </c>
      <c r="Q409" s="39" t="str">
        <f t="shared" si="138"/>
        <v>Acmeda External 15nm Remote Motor</v>
      </c>
      <c r="R409" s="39" t="str">
        <f t="shared" si="139"/>
        <v>Acmeda External 15nm Remote Motor</v>
      </c>
      <c r="S409" s="39" t="str">
        <f t="shared" si="140"/>
        <v>Acmeda External 15nm Remote Motor</v>
      </c>
      <c r="T409" s="39" t="str">
        <f t="shared" si="141"/>
        <v>Acmeda External 15nm Remote Motor</v>
      </c>
      <c r="U409" s="39" t="str">
        <f t="shared" si="142"/>
        <v>Acmeda External 30nm Remote Motor</v>
      </c>
      <c r="V409" s="39" t="str">
        <f t="shared" si="143"/>
        <v>Acmeda External 30nm Remote Motor</v>
      </c>
      <c r="W409" s="39" t="str">
        <f t="shared" si="144"/>
        <v>Acmeda External 30nm Remote Motor</v>
      </c>
      <c r="X409" s="39" t="str">
        <f t="shared" si="145"/>
        <v>Acmeda External 30nm Remote Motor</v>
      </c>
      <c r="Y409" s="39" t="str">
        <f t="shared" si="146"/>
        <v>Acmeda External 30nm Remote Motor</v>
      </c>
      <c r="Z409" s="39" t="str">
        <f t="shared" si="147"/>
        <v>Acmeda External 30nm Remote Motor</v>
      </c>
      <c r="AA409" s="39" t="str">
        <f t="shared" si="148"/>
        <v>Acmeda External 30nm Remote Motor</v>
      </c>
      <c r="AB409" s="39" t="str">
        <f t="shared" si="149"/>
        <v>Acmeda External 30nm Remote Motor</v>
      </c>
      <c r="AC409" s="39" t="str">
        <f t="shared" si="150"/>
        <v>Acmeda External 30nm Remote Motor</v>
      </c>
      <c r="AD409" s="39" t="str">
        <f t="shared" si="151"/>
        <v>Acmeda External 30nm Remote Motor</v>
      </c>
      <c r="AE409" s="39" t="str">
        <f t="shared" si="152"/>
        <v>Acmeda External 30nm Remote Motor</v>
      </c>
      <c r="AF409" s="39" t="str">
        <f t="shared" si="153"/>
        <v>Acmeda External 30nm Remote Motor</v>
      </c>
    </row>
    <row r="410" spans="1:32" ht="14.4">
      <c r="A410" s="84">
        <v>1280</v>
      </c>
      <c r="B410" s="39" t="s">
        <v>798</v>
      </c>
      <c r="C410" s="39" t="str">
        <f t="shared" si="124"/>
        <v>Acmeda External 15nm Remote Motor</v>
      </c>
      <c r="D410" s="39" t="str">
        <f t="shared" si="125"/>
        <v>Acmeda External 15nm Remote Motor</v>
      </c>
      <c r="E410" s="39" t="str">
        <f t="shared" si="126"/>
        <v>Acmeda External 15nm Remote Motor</v>
      </c>
      <c r="F410" s="39" t="str">
        <f t="shared" si="127"/>
        <v>Acmeda External 15nm Remote Motor</v>
      </c>
      <c r="G410" s="39" t="str">
        <f t="shared" si="128"/>
        <v>Acmeda External 15nm Remote Motor</v>
      </c>
      <c r="H410" s="39" t="str">
        <f t="shared" si="129"/>
        <v>Acmeda External 15nm Remote Motor</v>
      </c>
      <c r="I410" s="39" t="str">
        <f t="shared" si="130"/>
        <v>Acmeda External 15nm Remote Motor</v>
      </c>
      <c r="J410" s="39" t="str">
        <f t="shared" si="131"/>
        <v>Acmeda External 15nm Remote Motor</v>
      </c>
      <c r="K410" s="39" t="str">
        <f t="shared" si="132"/>
        <v>Acmeda External 15nm Remote Motor</v>
      </c>
      <c r="L410" s="39" t="str">
        <f t="shared" si="133"/>
        <v>Acmeda External 15nm Remote Motor</v>
      </c>
      <c r="M410" s="39" t="str">
        <f t="shared" si="134"/>
        <v>Acmeda External 15nm Remote Motor</v>
      </c>
      <c r="N410" s="39" t="str">
        <f t="shared" si="135"/>
        <v>Acmeda External 15nm Remote Motor</v>
      </c>
      <c r="O410" s="39" t="str">
        <f t="shared" si="136"/>
        <v>Acmeda External 15nm Remote Motor</v>
      </c>
      <c r="P410" s="39" t="str">
        <f t="shared" si="137"/>
        <v>Acmeda External 15nm Remote Motor</v>
      </c>
      <c r="Q410" s="39" t="str">
        <f t="shared" si="138"/>
        <v>Acmeda External 15nm Remote Motor</v>
      </c>
      <c r="R410" s="39" t="str">
        <f t="shared" si="139"/>
        <v>Acmeda External 30nm Remote Motor</v>
      </c>
      <c r="S410" s="39" t="str">
        <f t="shared" si="140"/>
        <v>Acmeda External 30nm Remote Motor</v>
      </c>
      <c r="T410" s="39" t="str">
        <f t="shared" si="141"/>
        <v>Acmeda External 30nm Remote Motor</v>
      </c>
      <c r="U410" s="39" t="str">
        <f t="shared" si="142"/>
        <v>Acmeda External 30nm Remote Motor</v>
      </c>
      <c r="V410" s="39" t="str">
        <f t="shared" si="143"/>
        <v>Acmeda External 30nm Remote Motor</v>
      </c>
      <c r="W410" s="39" t="str">
        <f t="shared" si="144"/>
        <v>Acmeda External 30nm Remote Motor</v>
      </c>
      <c r="X410" s="39" t="str">
        <f t="shared" si="145"/>
        <v>Acmeda External 30nm Remote Motor</v>
      </c>
      <c r="Y410" s="39" t="str">
        <f t="shared" si="146"/>
        <v>Acmeda External 30nm Remote Motor</v>
      </c>
      <c r="Z410" s="39" t="str">
        <f t="shared" si="147"/>
        <v>Acmeda External 30nm Remote Motor</v>
      </c>
      <c r="AA410" s="39" t="str">
        <f t="shared" si="148"/>
        <v>Acmeda External 30nm Remote Motor</v>
      </c>
      <c r="AB410" s="39" t="str">
        <f t="shared" si="149"/>
        <v>Acmeda External 30nm Remote Motor</v>
      </c>
      <c r="AC410" s="39" t="str">
        <f t="shared" si="150"/>
        <v>Acmeda External 30nm Remote Motor</v>
      </c>
      <c r="AD410" s="39" t="str">
        <f t="shared" si="151"/>
        <v>Acmeda External 30nm Remote Motor</v>
      </c>
      <c r="AE410" s="39" t="str">
        <f t="shared" si="152"/>
        <v>Acmeda External 30nm Remote Motor</v>
      </c>
      <c r="AF410" s="39" t="str">
        <f t="shared" si="153"/>
        <v>Acmeda External 30nm Remote Motor</v>
      </c>
    </row>
    <row r="411" spans="1:32" ht="14.4">
      <c r="A411" s="84">
        <v>1380</v>
      </c>
      <c r="B411" s="39" t="s">
        <v>798</v>
      </c>
      <c r="C411" s="39" t="str">
        <f t="shared" si="124"/>
        <v>Acmeda External 15nm Remote Motor</v>
      </c>
      <c r="D411" s="39" t="str">
        <f t="shared" si="125"/>
        <v>Acmeda External 15nm Remote Motor</v>
      </c>
      <c r="E411" s="39" t="str">
        <f t="shared" si="126"/>
        <v>Acmeda External 15nm Remote Motor</v>
      </c>
      <c r="F411" s="39" t="str">
        <f t="shared" si="127"/>
        <v>Acmeda External 15nm Remote Motor</v>
      </c>
      <c r="G411" s="39" t="str">
        <f t="shared" si="128"/>
        <v>Acmeda External 15nm Remote Motor</v>
      </c>
      <c r="H411" s="39" t="str">
        <f t="shared" si="129"/>
        <v>Acmeda External 15nm Remote Motor</v>
      </c>
      <c r="I411" s="39" t="str">
        <f t="shared" si="130"/>
        <v>Acmeda External 15nm Remote Motor</v>
      </c>
      <c r="J411" s="39" t="str">
        <f t="shared" si="131"/>
        <v>Acmeda External 15nm Remote Motor</v>
      </c>
      <c r="K411" s="39" t="str">
        <f t="shared" si="132"/>
        <v>Acmeda External 15nm Remote Motor</v>
      </c>
      <c r="L411" s="39" t="str">
        <f t="shared" si="133"/>
        <v>Acmeda External 15nm Remote Motor</v>
      </c>
      <c r="M411" s="39" t="str">
        <f t="shared" si="134"/>
        <v>Acmeda External 15nm Remote Motor</v>
      </c>
      <c r="N411" s="39" t="str">
        <f t="shared" si="135"/>
        <v>Acmeda External 15nm Remote Motor</v>
      </c>
      <c r="O411" s="39" t="str">
        <f t="shared" si="136"/>
        <v>Acmeda External 15nm Remote Motor</v>
      </c>
      <c r="P411" s="39" t="str">
        <f t="shared" si="137"/>
        <v>Acmeda External 15nm Remote Motor</v>
      </c>
      <c r="Q411" s="39" t="str">
        <f t="shared" si="138"/>
        <v>Acmeda External 30nm Remote Motor</v>
      </c>
      <c r="R411" s="39" t="str">
        <f t="shared" si="139"/>
        <v>Acmeda External 30nm Remote Motor</v>
      </c>
      <c r="S411" s="39" t="str">
        <f t="shared" si="140"/>
        <v>Acmeda External 30nm Remote Motor</v>
      </c>
      <c r="T411" s="39" t="str">
        <f t="shared" si="141"/>
        <v>Acmeda External 30nm Remote Motor</v>
      </c>
      <c r="U411" s="39" t="str">
        <f t="shared" si="142"/>
        <v>Acmeda External 30nm Remote Motor</v>
      </c>
      <c r="V411" s="39" t="str">
        <f t="shared" si="143"/>
        <v>Acmeda External 30nm Remote Motor</v>
      </c>
      <c r="W411" s="39" t="str">
        <f t="shared" si="144"/>
        <v>Acmeda External 30nm Remote Motor</v>
      </c>
      <c r="X411" s="39" t="str">
        <f t="shared" si="145"/>
        <v>Acmeda External 30nm Remote Motor</v>
      </c>
      <c r="Y411" s="39" t="str">
        <f t="shared" si="146"/>
        <v>Acmeda External 30nm Remote Motor</v>
      </c>
      <c r="Z411" s="39" t="str">
        <f t="shared" si="147"/>
        <v>Acmeda External 30nm Remote Motor</v>
      </c>
      <c r="AA411" s="39" t="str">
        <f t="shared" si="148"/>
        <v>Acmeda External 30nm Remote Motor</v>
      </c>
      <c r="AB411" s="39" t="str">
        <f t="shared" si="149"/>
        <v>Acmeda External 30nm Remote Motor</v>
      </c>
      <c r="AC411" s="39" t="str">
        <f t="shared" si="150"/>
        <v>Acmeda External 30nm Remote Motor</v>
      </c>
      <c r="AD411" s="39" t="str">
        <f t="shared" si="151"/>
        <v>Acmeda External 30nm Remote Motor</v>
      </c>
      <c r="AE411" s="39" t="str">
        <f t="shared" si="152"/>
        <v>Acmeda External 30nm Remote Motor</v>
      </c>
      <c r="AF411" s="39" t="str">
        <f t="shared" si="153"/>
        <v>Acmeda External 30nm Remote Motor</v>
      </c>
    </row>
    <row r="412" spans="1:32" ht="14.4">
      <c r="A412" s="84">
        <v>1480</v>
      </c>
      <c r="B412" s="39" t="s">
        <v>798</v>
      </c>
      <c r="C412" s="39" t="str">
        <f t="shared" si="124"/>
        <v>Acmeda External 15nm Remote Motor</v>
      </c>
      <c r="D412" s="39" t="str">
        <f t="shared" si="125"/>
        <v>Acmeda External 15nm Remote Motor</v>
      </c>
      <c r="E412" s="39" t="str">
        <f t="shared" si="126"/>
        <v>Acmeda External 15nm Remote Motor</v>
      </c>
      <c r="F412" s="39" t="str">
        <f t="shared" si="127"/>
        <v>Acmeda External 15nm Remote Motor</v>
      </c>
      <c r="G412" s="39" t="str">
        <f t="shared" si="128"/>
        <v>Acmeda External 15nm Remote Motor</v>
      </c>
      <c r="H412" s="39" t="str">
        <f t="shared" si="129"/>
        <v>Acmeda External 15nm Remote Motor</v>
      </c>
      <c r="I412" s="39" t="str">
        <f t="shared" si="130"/>
        <v>Acmeda External 15nm Remote Motor</v>
      </c>
      <c r="J412" s="39" t="str">
        <f t="shared" si="131"/>
        <v>Acmeda External 15nm Remote Motor</v>
      </c>
      <c r="K412" s="39" t="str">
        <f t="shared" si="132"/>
        <v>Acmeda External 15nm Remote Motor</v>
      </c>
      <c r="L412" s="39" t="str">
        <f t="shared" si="133"/>
        <v>Acmeda External 15nm Remote Motor</v>
      </c>
      <c r="M412" s="39" t="str">
        <f t="shared" si="134"/>
        <v>Acmeda External 15nm Remote Motor</v>
      </c>
      <c r="N412" s="39" t="str">
        <f t="shared" si="135"/>
        <v>Acmeda External 15nm Remote Motor</v>
      </c>
      <c r="O412" s="39" t="str">
        <f t="shared" si="136"/>
        <v>Acmeda External 30nm Remote Motor</v>
      </c>
      <c r="P412" s="39" t="str">
        <f t="shared" si="137"/>
        <v>Acmeda External 30nm Remote Motor</v>
      </c>
      <c r="Q412" s="39" t="str">
        <f t="shared" si="138"/>
        <v>Acmeda External 30nm Remote Motor</v>
      </c>
      <c r="R412" s="39" t="str">
        <f t="shared" si="139"/>
        <v>Acmeda External 30nm Remote Motor</v>
      </c>
      <c r="S412" s="39" t="str">
        <f t="shared" si="140"/>
        <v>Acmeda External 30nm Remote Motor</v>
      </c>
      <c r="T412" s="39" t="str">
        <f t="shared" si="141"/>
        <v>Acmeda External 30nm Remote Motor</v>
      </c>
      <c r="U412" s="39" t="str">
        <f t="shared" si="142"/>
        <v>Acmeda External 30nm Remote Motor</v>
      </c>
      <c r="V412" s="39" t="str">
        <f t="shared" si="143"/>
        <v>Acmeda External 30nm Remote Motor</v>
      </c>
      <c r="W412" s="39" t="str">
        <f t="shared" si="144"/>
        <v>Acmeda External 30nm Remote Motor</v>
      </c>
      <c r="X412" s="39" t="str">
        <f t="shared" si="145"/>
        <v>Acmeda External 30nm Remote Motor</v>
      </c>
      <c r="Y412" s="39" t="str">
        <f t="shared" si="146"/>
        <v>Acmeda External 30nm Remote Motor</v>
      </c>
      <c r="Z412" s="39" t="str">
        <f t="shared" si="147"/>
        <v>Acmeda External 30nm Remote Motor</v>
      </c>
      <c r="AA412" s="39" t="str">
        <f t="shared" si="148"/>
        <v>Acmeda External 30nm Remote Motor</v>
      </c>
      <c r="AB412" s="39" t="str">
        <f t="shared" si="149"/>
        <v>Acmeda External 30nm Remote Motor</v>
      </c>
      <c r="AC412" s="39" t="str">
        <f t="shared" si="150"/>
        <v>Acmeda External 30nm Remote Motor</v>
      </c>
      <c r="AD412" s="39" t="str">
        <f t="shared" si="151"/>
        <v>Acmeda External 30nm Remote Motor</v>
      </c>
      <c r="AE412" s="39" t="str">
        <f t="shared" si="152"/>
        <v>Acmeda External 30nm Remote Motor</v>
      </c>
      <c r="AF412" s="39" t="str">
        <f t="shared" si="153"/>
        <v>Acmeda External 30nm Remote Motor</v>
      </c>
    </row>
    <row r="413" spans="1:32" ht="14.4">
      <c r="A413" s="84">
        <v>1580</v>
      </c>
      <c r="B413" s="39" t="s">
        <v>798</v>
      </c>
      <c r="C413" s="39" t="str">
        <f t="shared" si="124"/>
        <v>Acmeda External 15nm Remote Motor</v>
      </c>
      <c r="D413" s="39" t="str">
        <f t="shared" si="125"/>
        <v>Acmeda External 15nm Remote Motor</v>
      </c>
      <c r="E413" s="39" t="str">
        <f t="shared" si="126"/>
        <v>Acmeda External 15nm Remote Motor</v>
      </c>
      <c r="F413" s="39" t="str">
        <f t="shared" si="127"/>
        <v>Acmeda External 15nm Remote Motor</v>
      </c>
      <c r="G413" s="39" t="str">
        <f t="shared" si="128"/>
        <v>Acmeda External 15nm Remote Motor</v>
      </c>
      <c r="H413" s="39" t="str">
        <f t="shared" si="129"/>
        <v>Acmeda External 15nm Remote Motor</v>
      </c>
      <c r="I413" s="39" t="str">
        <f t="shared" si="130"/>
        <v>Acmeda External 15nm Remote Motor</v>
      </c>
      <c r="J413" s="39" t="str">
        <f t="shared" si="131"/>
        <v>Acmeda External 15nm Remote Motor</v>
      </c>
      <c r="K413" s="39" t="str">
        <f t="shared" si="132"/>
        <v>Acmeda External 15nm Remote Motor</v>
      </c>
      <c r="L413" s="39" t="str">
        <f t="shared" si="133"/>
        <v>Acmeda External 15nm Remote Motor</v>
      </c>
      <c r="M413" s="39" t="str">
        <f t="shared" si="134"/>
        <v>Acmeda External 15nm Remote Motor</v>
      </c>
      <c r="N413" s="39" t="str">
        <f t="shared" si="135"/>
        <v>Acmeda External 30nm Remote Motor</v>
      </c>
      <c r="O413" s="39" t="str">
        <f t="shared" si="136"/>
        <v>Acmeda External 30nm Remote Motor</v>
      </c>
      <c r="P413" s="39" t="str">
        <f t="shared" si="137"/>
        <v>Acmeda External 30nm Remote Motor</v>
      </c>
      <c r="Q413" s="39" t="str">
        <f t="shared" si="138"/>
        <v>Acmeda External 30nm Remote Motor</v>
      </c>
      <c r="R413" s="39" t="str">
        <f t="shared" si="139"/>
        <v>Acmeda External 30nm Remote Motor</v>
      </c>
      <c r="S413" s="39" t="str">
        <f t="shared" si="140"/>
        <v>Acmeda External 30nm Remote Motor</v>
      </c>
      <c r="T413" s="39" t="str">
        <f t="shared" si="141"/>
        <v>Acmeda External 30nm Remote Motor</v>
      </c>
      <c r="U413" s="39" t="str">
        <f t="shared" si="142"/>
        <v>Acmeda External 30nm Remote Motor</v>
      </c>
      <c r="V413" s="39" t="str">
        <f t="shared" si="143"/>
        <v>Acmeda External 30nm Remote Motor</v>
      </c>
      <c r="W413" s="39" t="str">
        <f t="shared" si="144"/>
        <v>Acmeda External 30nm Remote Motor</v>
      </c>
      <c r="X413" s="39" t="str">
        <f t="shared" si="145"/>
        <v>Acmeda External 30nm Remote Motor</v>
      </c>
      <c r="Y413" s="39" t="str">
        <f t="shared" si="146"/>
        <v>Acmeda External 30nm Remote Motor</v>
      </c>
      <c r="Z413" s="39" t="str">
        <f t="shared" si="147"/>
        <v>Acmeda External 30nm Remote Motor</v>
      </c>
      <c r="AA413" s="39" t="str">
        <f t="shared" si="148"/>
        <v>Acmeda External 30nm Remote Motor</v>
      </c>
      <c r="AB413" s="39" t="str">
        <f t="shared" si="149"/>
        <v>Acmeda External 30nm Remote Motor</v>
      </c>
      <c r="AC413" s="39" t="str">
        <f t="shared" si="150"/>
        <v>Acmeda External 30nm Remote Motor</v>
      </c>
      <c r="AD413" s="39" t="str">
        <f t="shared" si="151"/>
        <v>Acmeda External 30nm Remote Motor</v>
      </c>
      <c r="AE413" s="39" t="str">
        <f t="shared" si="152"/>
        <v>Acmeda External 30nm Remote Motor</v>
      </c>
      <c r="AF413" s="39" t="str">
        <f t="shared" si="153"/>
        <v>Acmeda External 30nm Remote Motor</v>
      </c>
    </row>
    <row r="414" spans="1:32" ht="14.4">
      <c r="A414" s="84">
        <v>1680</v>
      </c>
      <c r="B414" s="39" t="s">
        <v>798</v>
      </c>
      <c r="C414" s="39" t="str">
        <f t="shared" si="124"/>
        <v>Acmeda External 15nm Remote Motor</v>
      </c>
      <c r="D414" s="39" t="str">
        <f t="shared" si="125"/>
        <v>Acmeda External 15nm Remote Motor</v>
      </c>
      <c r="E414" s="39" t="str">
        <f t="shared" si="126"/>
        <v>Acmeda External 15nm Remote Motor</v>
      </c>
      <c r="F414" s="39" t="str">
        <f t="shared" si="127"/>
        <v>Acmeda External 15nm Remote Motor</v>
      </c>
      <c r="G414" s="39" t="str">
        <f t="shared" si="128"/>
        <v>Acmeda External 15nm Remote Motor</v>
      </c>
      <c r="H414" s="39" t="str">
        <f t="shared" si="129"/>
        <v>Acmeda External 15nm Remote Motor</v>
      </c>
      <c r="I414" s="39" t="str">
        <f t="shared" si="130"/>
        <v>Acmeda External 15nm Remote Motor</v>
      </c>
      <c r="J414" s="39" t="str">
        <f t="shared" si="131"/>
        <v>Acmeda External 15nm Remote Motor</v>
      </c>
      <c r="K414" s="39" t="str">
        <f t="shared" si="132"/>
        <v>Acmeda External 15nm Remote Motor</v>
      </c>
      <c r="L414" s="39" t="str">
        <f t="shared" si="133"/>
        <v>Acmeda External 15nm Remote Motor</v>
      </c>
      <c r="M414" s="39" t="str">
        <f t="shared" si="134"/>
        <v>Acmeda External 30nm Remote Motor</v>
      </c>
      <c r="N414" s="39" t="str">
        <f t="shared" si="135"/>
        <v>Acmeda External 30nm Remote Motor</v>
      </c>
      <c r="O414" s="39" t="str">
        <f t="shared" si="136"/>
        <v>Acmeda External 30nm Remote Motor</v>
      </c>
      <c r="P414" s="39" t="str">
        <f t="shared" si="137"/>
        <v>Acmeda External 30nm Remote Motor</v>
      </c>
      <c r="Q414" s="39" t="str">
        <f t="shared" si="138"/>
        <v>Acmeda External 30nm Remote Motor</v>
      </c>
      <c r="R414" s="39" t="str">
        <f t="shared" si="139"/>
        <v>Acmeda External 30nm Remote Motor</v>
      </c>
      <c r="S414" s="39" t="str">
        <f t="shared" si="140"/>
        <v>Acmeda External 30nm Remote Motor</v>
      </c>
      <c r="T414" s="39" t="str">
        <f t="shared" si="141"/>
        <v>Acmeda External 30nm Remote Motor</v>
      </c>
      <c r="U414" s="39" t="str">
        <f t="shared" si="142"/>
        <v>Acmeda External 30nm Remote Motor</v>
      </c>
      <c r="V414" s="39" t="str">
        <f t="shared" si="143"/>
        <v>Acmeda External 30nm Remote Motor</v>
      </c>
      <c r="W414" s="39" t="str">
        <f t="shared" si="144"/>
        <v>Acmeda External 30nm Remote Motor</v>
      </c>
      <c r="X414" s="39" t="str">
        <f t="shared" si="145"/>
        <v>Acmeda External 30nm Remote Motor</v>
      </c>
      <c r="Y414" s="39" t="str">
        <f t="shared" si="146"/>
        <v>Acmeda External 30nm Remote Motor</v>
      </c>
      <c r="Z414" s="39" t="str">
        <f t="shared" si="147"/>
        <v>Acmeda External 30nm Remote Motor</v>
      </c>
      <c r="AA414" s="39" t="str">
        <f t="shared" si="148"/>
        <v>Acmeda External 30nm Remote Motor</v>
      </c>
      <c r="AB414" s="39" t="str">
        <f t="shared" si="149"/>
        <v>Acmeda External 30nm Remote Motor</v>
      </c>
      <c r="AC414" s="39" t="str">
        <f t="shared" si="150"/>
        <v>Acmeda External 30nm Remote Motor</v>
      </c>
      <c r="AD414" s="39" t="str">
        <f t="shared" si="151"/>
        <v>Acmeda External 30nm Remote Motor</v>
      </c>
      <c r="AE414" s="39" t="str">
        <f t="shared" si="152"/>
        <v>Acmeda External 30nm Remote Motor</v>
      </c>
      <c r="AF414" s="39" t="str">
        <f t="shared" si="153"/>
        <v>Acmeda External 50nm Remote Motor</v>
      </c>
    </row>
    <row r="415" spans="1:32" ht="14.4">
      <c r="A415" s="84">
        <v>1780</v>
      </c>
      <c r="B415" s="39" t="s">
        <v>798</v>
      </c>
      <c r="C415" s="39" t="str">
        <f t="shared" si="124"/>
        <v>Acmeda External 15nm Remote Motor</v>
      </c>
      <c r="D415" s="39" t="str">
        <f t="shared" si="125"/>
        <v>Acmeda External 15nm Remote Motor</v>
      </c>
      <c r="E415" s="39" t="str">
        <f t="shared" si="126"/>
        <v>Acmeda External 15nm Remote Motor</v>
      </c>
      <c r="F415" s="39" t="str">
        <f t="shared" si="127"/>
        <v>Acmeda External 15nm Remote Motor</v>
      </c>
      <c r="G415" s="39" t="str">
        <f t="shared" si="128"/>
        <v>Acmeda External 15nm Remote Motor</v>
      </c>
      <c r="H415" s="39" t="str">
        <f t="shared" si="129"/>
        <v>Acmeda External 15nm Remote Motor</v>
      </c>
      <c r="I415" s="39" t="str">
        <f t="shared" si="130"/>
        <v>Acmeda External 15nm Remote Motor</v>
      </c>
      <c r="J415" s="39" t="str">
        <f t="shared" si="131"/>
        <v>Acmeda External 15nm Remote Motor</v>
      </c>
      <c r="K415" s="39" t="str">
        <f t="shared" si="132"/>
        <v>Acmeda External 30nm Remote Motor</v>
      </c>
      <c r="L415" s="39" t="str">
        <f t="shared" si="133"/>
        <v>Acmeda External 30nm Remote Motor</v>
      </c>
      <c r="M415" s="39" t="str">
        <f t="shared" si="134"/>
        <v>Acmeda External 30nm Remote Motor</v>
      </c>
      <c r="N415" s="39" t="str">
        <f t="shared" si="135"/>
        <v>Acmeda External 30nm Remote Motor</v>
      </c>
      <c r="O415" s="39" t="str">
        <f t="shared" si="136"/>
        <v>Acmeda External 30nm Remote Motor</v>
      </c>
      <c r="P415" s="39" t="str">
        <f t="shared" si="137"/>
        <v>Acmeda External 30nm Remote Motor</v>
      </c>
      <c r="Q415" s="39" t="str">
        <f t="shared" si="138"/>
        <v>Acmeda External 30nm Remote Motor</v>
      </c>
      <c r="R415" s="39" t="str">
        <f t="shared" si="139"/>
        <v>Acmeda External 30nm Remote Motor</v>
      </c>
      <c r="S415" s="39" t="str">
        <f t="shared" si="140"/>
        <v>Acmeda External 30nm Remote Motor</v>
      </c>
      <c r="T415" s="39" t="str">
        <f t="shared" si="141"/>
        <v>Acmeda External 30nm Remote Motor</v>
      </c>
      <c r="U415" s="39" t="str">
        <f t="shared" si="142"/>
        <v>Acmeda External 30nm Remote Motor</v>
      </c>
      <c r="V415" s="39" t="str">
        <f t="shared" si="143"/>
        <v>Acmeda External 30nm Remote Motor</v>
      </c>
      <c r="W415" s="39" t="str">
        <f t="shared" si="144"/>
        <v>Acmeda External 30nm Remote Motor</v>
      </c>
      <c r="X415" s="39" t="str">
        <f t="shared" si="145"/>
        <v>Acmeda External 30nm Remote Motor</v>
      </c>
      <c r="Y415" s="39" t="str">
        <f t="shared" si="146"/>
        <v>Acmeda External 30nm Remote Motor</v>
      </c>
      <c r="Z415" s="39" t="str">
        <f t="shared" si="147"/>
        <v>Acmeda External 30nm Remote Motor</v>
      </c>
      <c r="AA415" s="39" t="str">
        <f t="shared" si="148"/>
        <v>Acmeda External 30nm Remote Motor</v>
      </c>
      <c r="AB415" s="39" t="str">
        <f t="shared" si="149"/>
        <v>Acmeda External 30nm Remote Motor</v>
      </c>
      <c r="AC415" s="39" t="str">
        <f t="shared" si="150"/>
        <v>Acmeda External 50nm Remote Motor</v>
      </c>
      <c r="AD415" s="39" t="str">
        <f t="shared" si="151"/>
        <v>Acmeda External 50nm Remote Motor</v>
      </c>
      <c r="AE415" s="39" t="str">
        <f t="shared" si="152"/>
        <v>Acmeda External 50nm Remote Motor</v>
      </c>
      <c r="AF415" s="39" t="str">
        <f t="shared" si="153"/>
        <v>Acmeda External 50nm Remote Motor</v>
      </c>
    </row>
    <row r="416" spans="1:32" ht="14.4">
      <c r="A416" s="84">
        <v>1880</v>
      </c>
      <c r="B416" s="39" t="s">
        <v>798</v>
      </c>
      <c r="C416" s="39" t="str">
        <f t="shared" si="124"/>
        <v>Acmeda External 15nm Remote Motor</v>
      </c>
      <c r="D416" s="39" t="str">
        <f t="shared" si="125"/>
        <v>Acmeda External 15nm Remote Motor</v>
      </c>
      <c r="E416" s="39" t="str">
        <f t="shared" si="126"/>
        <v>Acmeda External 15nm Remote Motor</v>
      </c>
      <c r="F416" s="39" t="str">
        <f t="shared" si="127"/>
        <v>Acmeda External 15nm Remote Motor</v>
      </c>
      <c r="G416" s="39" t="str">
        <f t="shared" si="128"/>
        <v>Acmeda External 15nm Remote Motor</v>
      </c>
      <c r="H416" s="39" t="str">
        <f t="shared" si="129"/>
        <v>Acmeda External 15nm Remote Motor</v>
      </c>
      <c r="I416" s="39" t="str">
        <f t="shared" si="130"/>
        <v>Acmeda External 15nm Remote Motor</v>
      </c>
      <c r="J416" s="39" t="str">
        <f t="shared" si="131"/>
        <v>Acmeda External 15nm Remote Motor</v>
      </c>
      <c r="K416" s="39" t="str">
        <f t="shared" si="132"/>
        <v>Acmeda External 30nm Remote Motor</v>
      </c>
      <c r="L416" s="39" t="str">
        <f t="shared" si="133"/>
        <v>Acmeda External 30nm Remote Motor</v>
      </c>
      <c r="M416" s="39" t="str">
        <f t="shared" si="134"/>
        <v>Acmeda External 30nm Remote Motor</v>
      </c>
      <c r="N416" s="39" t="str">
        <f t="shared" si="135"/>
        <v>Acmeda External 30nm Remote Motor</v>
      </c>
      <c r="O416" s="39" t="str">
        <f t="shared" si="136"/>
        <v>Acmeda External 30nm Remote Motor</v>
      </c>
      <c r="P416" s="39" t="str">
        <f t="shared" si="137"/>
        <v>Acmeda External 30nm Remote Motor</v>
      </c>
      <c r="Q416" s="39" t="str">
        <f t="shared" si="138"/>
        <v>Acmeda External 30nm Remote Motor</v>
      </c>
      <c r="R416" s="39" t="str">
        <f t="shared" si="139"/>
        <v>Acmeda External 30nm Remote Motor</v>
      </c>
      <c r="S416" s="39" t="str">
        <f t="shared" si="140"/>
        <v>Acmeda External 30nm Remote Motor</v>
      </c>
      <c r="T416" s="39" t="str">
        <f t="shared" si="141"/>
        <v>Acmeda External 30nm Remote Motor</v>
      </c>
      <c r="U416" s="39" t="str">
        <f t="shared" si="142"/>
        <v>Acmeda External 30nm Remote Motor</v>
      </c>
      <c r="V416" s="39" t="str">
        <f t="shared" si="143"/>
        <v>Acmeda External 30nm Remote Motor</v>
      </c>
      <c r="W416" s="39" t="str">
        <f t="shared" si="144"/>
        <v>Acmeda External 30nm Remote Motor</v>
      </c>
      <c r="X416" s="39" t="str">
        <f t="shared" si="145"/>
        <v>Acmeda External 30nm Remote Motor</v>
      </c>
      <c r="Y416" s="39" t="str">
        <f t="shared" si="146"/>
        <v>Acmeda External 30nm Remote Motor</v>
      </c>
      <c r="Z416" s="39" t="str">
        <f t="shared" si="147"/>
        <v>Acmeda External 30nm Remote Motor</v>
      </c>
      <c r="AA416" s="39" t="str">
        <f t="shared" si="148"/>
        <v>Acmeda External 30nm Remote Motor</v>
      </c>
      <c r="AB416" s="39" t="str">
        <f t="shared" si="149"/>
        <v>Acmeda External 50nm Remote Motor</v>
      </c>
      <c r="AC416" s="39" t="str">
        <f t="shared" si="150"/>
        <v>Acmeda External 50nm Remote Motor</v>
      </c>
      <c r="AD416" s="39" t="str">
        <f t="shared" si="151"/>
        <v>Acmeda External 50nm Remote Motor</v>
      </c>
      <c r="AE416" s="39" t="str">
        <f t="shared" si="152"/>
        <v>Acmeda External 50nm Remote Motor</v>
      </c>
      <c r="AF416" s="39" t="str">
        <f t="shared" si="153"/>
        <v>Acmeda External 50nm Remote Motor</v>
      </c>
    </row>
    <row r="417" spans="1:32" ht="14.4">
      <c r="A417" s="84">
        <v>1980</v>
      </c>
      <c r="B417" s="39" t="s">
        <v>798</v>
      </c>
      <c r="C417" s="39" t="str">
        <f t="shared" si="124"/>
        <v>Acmeda External 15nm Remote Motor</v>
      </c>
      <c r="D417" s="39" t="str">
        <f t="shared" si="125"/>
        <v>Acmeda External 15nm Remote Motor</v>
      </c>
      <c r="E417" s="39" t="str">
        <f t="shared" si="126"/>
        <v>Acmeda External 15nm Remote Motor</v>
      </c>
      <c r="F417" s="39" t="str">
        <f t="shared" si="127"/>
        <v>Acmeda External 15nm Remote Motor</v>
      </c>
      <c r="G417" s="39" t="str">
        <f t="shared" si="128"/>
        <v>Acmeda External 15nm Remote Motor</v>
      </c>
      <c r="H417" s="39" t="str">
        <f t="shared" si="129"/>
        <v>Acmeda External 15nm Remote Motor</v>
      </c>
      <c r="I417" s="39" t="str">
        <f t="shared" si="130"/>
        <v>Acmeda External 15nm Remote Motor</v>
      </c>
      <c r="J417" s="39" t="str">
        <f t="shared" si="131"/>
        <v>Acmeda External 30nm Remote Motor</v>
      </c>
      <c r="K417" s="39" t="str">
        <f t="shared" si="132"/>
        <v>Acmeda External 30nm Remote Motor</v>
      </c>
      <c r="L417" s="39" t="str">
        <f t="shared" si="133"/>
        <v>Acmeda External 30nm Remote Motor</v>
      </c>
      <c r="M417" s="39" t="str">
        <f t="shared" si="134"/>
        <v>Acmeda External 30nm Remote Motor</v>
      </c>
      <c r="N417" s="39" t="str">
        <f t="shared" si="135"/>
        <v>Acmeda External 30nm Remote Motor</v>
      </c>
      <c r="O417" s="39" t="str">
        <f t="shared" si="136"/>
        <v>Acmeda External 30nm Remote Motor</v>
      </c>
      <c r="P417" s="39" t="str">
        <f t="shared" si="137"/>
        <v>Acmeda External 30nm Remote Motor</v>
      </c>
      <c r="Q417" s="39" t="str">
        <f t="shared" si="138"/>
        <v>Acmeda External 30nm Remote Motor</v>
      </c>
      <c r="R417" s="39" t="str">
        <f t="shared" si="139"/>
        <v>Acmeda External 30nm Remote Motor</v>
      </c>
      <c r="S417" s="39" t="str">
        <f t="shared" si="140"/>
        <v>Acmeda External 30nm Remote Motor</v>
      </c>
      <c r="T417" s="39" t="str">
        <f t="shared" si="141"/>
        <v>Acmeda External 30nm Remote Motor</v>
      </c>
      <c r="U417" s="39" t="str">
        <f t="shared" si="142"/>
        <v>Acmeda External 30nm Remote Motor</v>
      </c>
      <c r="V417" s="39" t="str">
        <f t="shared" si="143"/>
        <v>Acmeda External 30nm Remote Motor</v>
      </c>
      <c r="W417" s="39" t="str">
        <f t="shared" si="144"/>
        <v>Acmeda External 30nm Remote Motor</v>
      </c>
      <c r="X417" s="39" t="str">
        <f t="shared" si="145"/>
        <v>Acmeda External 30nm Remote Motor</v>
      </c>
      <c r="Y417" s="39" t="str">
        <f t="shared" si="146"/>
        <v>Acmeda External 30nm Remote Motor</v>
      </c>
      <c r="Z417" s="39" t="str">
        <f t="shared" si="147"/>
        <v>Acmeda External 50nm Remote Motor</v>
      </c>
      <c r="AA417" s="39" t="str">
        <f t="shared" si="148"/>
        <v>Acmeda External 50nm Remote Motor</v>
      </c>
      <c r="AB417" s="39" t="str">
        <f t="shared" si="149"/>
        <v>Acmeda External 50nm Remote Motor</v>
      </c>
      <c r="AC417" s="39" t="str">
        <f t="shared" si="150"/>
        <v>Acmeda External 50nm Remote Motor</v>
      </c>
      <c r="AD417" s="39" t="str">
        <f t="shared" si="151"/>
        <v>Acmeda External 50nm Remote Motor</v>
      </c>
      <c r="AE417" s="39" t="str">
        <f t="shared" si="152"/>
        <v>Acmeda External 50nm Remote Motor</v>
      </c>
      <c r="AF417" s="39" t="str">
        <f t="shared" si="153"/>
        <v>Acmeda External 50nm Remote Motor</v>
      </c>
    </row>
    <row r="418" spans="1:32" ht="14.4">
      <c r="A418" s="84">
        <v>2080</v>
      </c>
      <c r="B418" s="39" t="s">
        <v>798</v>
      </c>
      <c r="C418" s="39" t="str">
        <f t="shared" si="124"/>
        <v>Acmeda External 15nm Remote Motor</v>
      </c>
      <c r="D418" s="39" t="str">
        <f t="shared" si="125"/>
        <v>Acmeda External 15nm Remote Motor</v>
      </c>
      <c r="E418" s="39" t="str">
        <f t="shared" si="126"/>
        <v>Acmeda External 15nm Remote Motor</v>
      </c>
      <c r="F418" s="39" t="str">
        <f t="shared" si="127"/>
        <v>Acmeda External 15nm Remote Motor</v>
      </c>
      <c r="G418" s="39" t="str">
        <f t="shared" si="128"/>
        <v>Acmeda External 15nm Remote Motor</v>
      </c>
      <c r="H418" s="39" t="str">
        <f t="shared" si="129"/>
        <v>Acmeda External 15nm Remote Motor</v>
      </c>
      <c r="I418" s="39" t="str">
        <f t="shared" si="130"/>
        <v>Acmeda External 30nm Remote Motor</v>
      </c>
      <c r="J418" s="39" t="str">
        <f t="shared" si="131"/>
        <v>Acmeda External 30nm Remote Motor</v>
      </c>
      <c r="K418" s="39" t="str">
        <f t="shared" si="132"/>
        <v>Acmeda External 30nm Remote Motor</v>
      </c>
      <c r="L418" s="39" t="str">
        <f t="shared" si="133"/>
        <v>Acmeda External 30nm Remote Motor</v>
      </c>
      <c r="M418" s="39" t="str">
        <f t="shared" si="134"/>
        <v>Acmeda External 30nm Remote Motor</v>
      </c>
      <c r="N418" s="39" t="str">
        <f t="shared" si="135"/>
        <v>Acmeda External 30nm Remote Motor</v>
      </c>
      <c r="O418" s="39" t="str">
        <f t="shared" si="136"/>
        <v>Acmeda External 30nm Remote Motor</v>
      </c>
      <c r="P418" s="39" t="str">
        <f t="shared" si="137"/>
        <v>Acmeda External 30nm Remote Motor</v>
      </c>
      <c r="Q418" s="39" t="str">
        <f t="shared" si="138"/>
        <v>Acmeda External 30nm Remote Motor</v>
      </c>
      <c r="R418" s="39" t="str">
        <f t="shared" si="139"/>
        <v>Acmeda External 30nm Remote Motor</v>
      </c>
      <c r="S418" s="39" t="str">
        <f t="shared" si="140"/>
        <v>Acmeda External 30nm Remote Motor</v>
      </c>
      <c r="T418" s="39" t="str">
        <f t="shared" si="141"/>
        <v>Acmeda External 30nm Remote Motor</v>
      </c>
      <c r="U418" s="39" t="str">
        <f t="shared" si="142"/>
        <v>Acmeda External 30nm Remote Motor</v>
      </c>
      <c r="V418" s="39" t="str">
        <f t="shared" si="143"/>
        <v>Acmeda External 30nm Remote Motor</v>
      </c>
      <c r="W418" s="39" t="str">
        <f t="shared" si="144"/>
        <v>Acmeda External 30nm Remote Motor</v>
      </c>
      <c r="X418" s="39" t="str">
        <f t="shared" si="145"/>
        <v>Acmeda External 50nm Remote Motor</v>
      </c>
      <c r="Y418" s="39" t="str">
        <f t="shared" si="146"/>
        <v>Acmeda External 50nm Remote Motor</v>
      </c>
      <c r="Z418" s="39" t="str">
        <f t="shared" si="147"/>
        <v>Acmeda External 50nm Remote Motor</v>
      </c>
      <c r="AA418" s="39" t="str">
        <f t="shared" si="148"/>
        <v>Acmeda External 50nm Remote Motor</v>
      </c>
      <c r="AB418" s="39" t="str">
        <f t="shared" si="149"/>
        <v>Acmeda External 50nm Remote Motor</v>
      </c>
      <c r="AC418" s="39" t="str">
        <f t="shared" si="150"/>
        <v>Acmeda External 50nm Remote Motor</v>
      </c>
      <c r="AD418" s="39" t="str">
        <f t="shared" si="151"/>
        <v>Acmeda External 50nm Remote Motor</v>
      </c>
      <c r="AE418" s="39" t="str">
        <f t="shared" si="152"/>
        <v>Acmeda External 50nm Remote Motor</v>
      </c>
      <c r="AF418" s="39" t="str">
        <f t="shared" si="153"/>
        <v>Acmeda External 50nm Remote Motor</v>
      </c>
    </row>
    <row r="419" spans="1:32" ht="14.4">
      <c r="A419" s="84">
        <v>2180</v>
      </c>
      <c r="B419" s="39" t="s">
        <v>798</v>
      </c>
      <c r="C419" s="39" t="str">
        <f t="shared" si="124"/>
        <v>Acmeda External 15nm Remote Motor</v>
      </c>
      <c r="D419" s="39" t="str">
        <f t="shared" si="125"/>
        <v>Acmeda External 15nm Remote Motor</v>
      </c>
      <c r="E419" s="39" t="str">
        <f t="shared" si="126"/>
        <v>Acmeda External 15nm Remote Motor</v>
      </c>
      <c r="F419" s="39" t="str">
        <f t="shared" si="127"/>
        <v>Acmeda External 15nm Remote Motor</v>
      </c>
      <c r="G419" s="39" t="str">
        <f t="shared" si="128"/>
        <v>Acmeda External 15nm Remote Motor</v>
      </c>
      <c r="H419" s="39" t="str">
        <f t="shared" si="129"/>
        <v>Acmeda External 30nm Remote Motor</v>
      </c>
      <c r="I419" s="39" t="str">
        <f t="shared" si="130"/>
        <v>Acmeda External 30nm Remote Motor</v>
      </c>
      <c r="J419" s="39" t="str">
        <f t="shared" si="131"/>
        <v>Acmeda External 30nm Remote Motor</v>
      </c>
      <c r="K419" s="39" t="str">
        <f t="shared" si="132"/>
        <v>Acmeda External 30nm Remote Motor</v>
      </c>
      <c r="L419" s="39" t="str">
        <f t="shared" si="133"/>
        <v>Acmeda External 30nm Remote Motor</v>
      </c>
      <c r="M419" s="39" t="str">
        <f t="shared" si="134"/>
        <v>Acmeda External 30nm Remote Motor</v>
      </c>
      <c r="N419" s="39" t="str">
        <f t="shared" si="135"/>
        <v>Acmeda External 30nm Remote Motor</v>
      </c>
      <c r="O419" s="39" t="str">
        <f t="shared" si="136"/>
        <v>Acmeda External 30nm Remote Motor</v>
      </c>
      <c r="P419" s="39" t="str">
        <f t="shared" si="137"/>
        <v>Acmeda External 30nm Remote Motor</v>
      </c>
      <c r="Q419" s="39" t="str">
        <f t="shared" si="138"/>
        <v>Acmeda External 30nm Remote Motor</v>
      </c>
      <c r="R419" s="39" t="str">
        <f t="shared" si="139"/>
        <v>Acmeda External 30nm Remote Motor</v>
      </c>
      <c r="S419" s="39" t="str">
        <f t="shared" si="140"/>
        <v>Acmeda External 30nm Remote Motor</v>
      </c>
      <c r="T419" s="39" t="str">
        <f t="shared" si="141"/>
        <v>Acmeda External 30nm Remote Motor</v>
      </c>
      <c r="U419" s="39" t="str">
        <f t="shared" si="142"/>
        <v>Acmeda External 30nm Remote Motor</v>
      </c>
      <c r="V419" s="39" t="str">
        <f t="shared" si="143"/>
        <v>Acmeda External 30nm Remote Motor</v>
      </c>
      <c r="W419" s="39" t="str">
        <f t="shared" si="144"/>
        <v>Acmeda External 50nm Remote Motor</v>
      </c>
      <c r="X419" s="39" t="str">
        <f t="shared" si="145"/>
        <v>Acmeda External 50nm Remote Motor</v>
      </c>
      <c r="Y419" s="39" t="str">
        <f t="shared" si="146"/>
        <v>Acmeda External 50nm Remote Motor</v>
      </c>
      <c r="Z419" s="39" t="str">
        <f t="shared" si="147"/>
        <v>Acmeda External 50nm Remote Motor</v>
      </c>
      <c r="AA419" s="39" t="str">
        <f t="shared" si="148"/>
        <v>Acmeda External 50nm Remote Motor</v>
      </c>
      <c r="AB419" s="39" t="str">
        <f t="shared" si="149"/>
        <v>Acmeda External 50nm Remote Motor</v>
      </c>
      <c r="AC419" s="39" t="str">
        <f t="shared" si="150"/>
        <v>Acmeda External 50nm Remote Motor</v>
      </c>
      <c r="AD419" s="39" t="str">
        <f t="shared" si="151"/>
        <v>Acmeda External 50nm Remote Motor</v>
      </c>
      <c r="AE419" s="39" t="str">
        <f t="shared" si="152"/>
        <v>Acmeda External 50nm Remote Motor</v>
      </c>
      <c r="AF419" s="39" t="str">
        <f t="shared" si="153"/>
        <v>Acmeda External 50nm Remote Motor</v>
      </c>
    </row>
    <row r="420" spans="1:32" ht="14.4">
      <c r="A420" s="84">
        <v>2280</v>
      </c>
      <c r="B420" s="39" t="s">
        <v>798</v>
      </c>
      <c r="C420" s="39" t="str">
        <f t="shared" si="124"/>
        <v>Acmeda External 15nm Remote Motor</v>
      </c>
      <c r="D420" s="39" t="str">
        <f t="shared" si="125"/>
        <v>Acmeda External 15nm Remote Motor</v>
      </c>
      <c r="E420" s="39" t="str">
        <f t="shared" si="126"/>
        <v>Acmeda External 15nm Remote Motor</v>
      </c>
      <c r="F420" s="39" t="str">
        <f t="shared" si="127"/>
        <v>Acmeda External 15nm Remote Motor</v>
      </c>
      <c r="G420" s="39" t="str">
        <f t="shared" si="128"/>
        <v>Acmeda External 15nm Remote Motor</v>
      </c>
      <c r="H420" s="39" t="str">
        <f t="shared" si="129"/>
        <v>Acmeda External 30nm Remote Motor</v>
      </c>
      <c r="I420" s="39" t="str">
        <f t="shared" si="130"/>
        <v>Acmeda External 30nm Remote Motor</v>
      </c>
      <c r="J420" s="39" t="str">
        <f t="shared" si="131"/>
        <v>Acmeda External 30nm Remote Motor</v>
      </c>
      <c r="K420" s="39" t="str">
        <f t="shared" si="132"/>
        <v>Acmeda External 30nm Remote Motor</v>
      </c>
      <c r="L420" s="39" t="str">
        <f t="shared" si="133"/>
        <v>Acmeda External 30nm Remote Motor</v>
      </c>
      <c r="M420" s="39" t="str">
        <f t="shared" si="134"/>
        <v>Acmeda External 30nm Remote Motor</v>
      </c>
      <c r="N420" s="39" t="str">
        <f t="shared" si="135"/>
        <v>Acmeda External 30nm Remote Motor</v>
      </c>
      <c r="O420" s="39" t="str">
        <f t="shared" si="136"/>
        <v>Acmeda External 30nm Remote Motor</v>
      </c>
      <c r="P420" s="39" t="str">
        <f t="shared" si="137"/>
        <v>Acmeda External 30nm Remote Motor</v>
      </c>
      <c r="Q420" s="39" t="str">
        <f t="shared" si="138"/>
        <v>Acmeda External 30nm Remote Motor</v>
      </c>
      <c r="R420" s="39" t="str">
        <f t="shared" si="139"/>
        <v>Acmeda External 30nm Remote Motor</v>
      </c>
      <c r="S420" s="39" t="str">
        <f t="shared" si="140"/>
        <v>Acmeda External 30nm Remote Motor</v>
      </c>
      <c r="T420" s="39" t="str">
        <f t="shared" si="141"/>
        <v>Acmeda External 30nm Remote Motor</v>
      </c>
      <c r="U420" s="39" t="str">
        <f t="shared" si="142"/>
        <v>Acmeda External 30nm Remote Motor</v>
      </c>
      <c r="V420" s="39" t="str">
        <f t="shared" si="143"/>
        <v>Acmeda External 50nm Remote Motor</v>
      </c>
      <c r="W420" s="39" t="str">
        <f t="shared" si="144"/>
        <v>Acmeda External 50nm Remote Motor</v>
      </c>
      <c r="X420" s="39" t="str">
        <f t="shared" si="145"/>
        <v>Acmeda External 50nm Remote Motor</v>
      </c>
      <c r="Y420" s="39" t="str">
        <f t="shared" si="146"/>
        <v>Acmeda External 50nm Remote Motor</v>
      </c>
      <c r="Z420" s="39" t="str">
        <f t="shared" si="147"/>
        <v>Acmeda External 50nm Remote Motor</v>
      </c>
      <c r="AA420" s="39" t="str">
        <f t="shared" si="148"/>
        <v>Acmeda External 50nm Remote Motor</v>
      </c>
      <c r="AB420" s="39" t="str">
        <f t="shared" si="149"/>
        <v>Acmeda External 50nm Remote Motor</v>
      </c>
      <c r="AC420" s="39" t="str">
        <f t="shared" si="150"/>
        <v>Acmeda External 50nm Remote Motor</v>
      </c>
      <c r="AD420" s="39" t="str">
        <f t="shared" si="151"/>
        <v>Acmeda External 50nm Remote Motor</v>
      </c>
      <c r="AE420" s="39" t="str">
        <f t="shared" si="152"/>
        <v>Acmeda External 50nm Remote Motor</v>
      </c>
      <c r="AF420" s="39" t="str">
        <f t="shared" si="153"/>
        <v>Acmeda External 50nm Remote Motor</v>
      </c>
    </row>
    <row r="421" spans="1:32" ht="14.4">
      <c r="A421" s="84">
        <v>2380</v>
      </c>
      <c r="B421" s="39" t="s">
        <v>798</v>
      </c>
      <c r="C421" s="39" t="str">
        <f t="shared" si="124"/>
        <v>Acmeda External 15nm Remote Motor</v>
      </c>
      <c r="D421" s="39" t="str">
        <f t="shared" si="125"/>
        <v>Acmeda External 15nm Remote Motor</v>
      </c>
      <c r="E421" s="39" t="str">
        <f t="shared" si="126"/>
        <v>Acmeda External 15nm Remote Motor</v>
      </c>
      <c r="F421" s="39" t="str">
        <f t="shared" si="127"/>
        <v>Acmeda External 15nm Remote Motor</v>
      </c>
      <c r="G421" s="39" t="str">
        <f t="shared" si="128"/>
        <v>Acmeda External 30nm Remote Motor</v>
      </c>
      <c r="H421" s="39" t="str">
        <f t="shared" si="129"/>
        <v>Acmeda External 30nm Remote Motor</v>
      </c>
      <c r="I421" s="39" t="str">
        <f t="shared" si="130"/>
        <v>Acmeda External 30nm Remote Motor</v>
      </c>
      <c r="J421" s="39" t="str">
        <f t="shared" si="131"/>
        <v>Acmeda External 30nm Remote Motor</v>
      </c>
      <c r="K421" s="39" t="str">
        <f t="shared" si="132"/>
        <v>Acmeda External 30nm Remote Motor</v>
      </c>
      <c r="L421" s="39" t="str">
        <f t="shared" si="133"/>
        <v>Acmeda External 30nm Remote Motor</v>
      </c>
      <c r="M421" s="39" t="str">
        <f t="shared" si="134"/>
        <v>Acmeda External 30nm Remote Motor</v>
      </c>
      <c r="N421" s="39" t="str">
        <f t="shared" si="135"/>
        <v>Acmeda External 30nm Remote Motor</v>
      </c>
      <c r="O421" s="39" t="str">
        <f t="shared" si="136"/>
        <v>Acmeda External 30nm Remote Motor</v>
      </c>
      <c r="P421" s="39" t="str">
        <f t="shared" si="137"/>
        <v>Acmeda External 30nm Remote Motor</v>
      </c>
      <c r="Q421" s="39" t="str">
        <f t="shared" si="138"/>
        <v>Acmeda External 30nm Remote Motor</v>
      </c>
      <c r="R421" s="39" t="str">
        <f t="shared" si="139"/>
        <v>Acmeda External 30nm Remote Motor</v>
      </c>
      <c r="S421" s="39" t="str">
        <f t="shared" si="140"/>
        <v>Acmeda External 30nm Remote Motor</v>
      </c>
      <c r="T421" s="39" t="str">
        <f t="shared" si="141"/>
        <v>Acmeda External 50nm Remote Motor</v>
      </c>
      <c r="U421" s="39" t="str">
        <f t="shared" si="142"/>
        <v>Acmeda External 50nm Remote Motor</v>
      </c>
      <c r="V421" s="39" t="str">
        <f t="shared" si="143"/>
        <v>Acmeda External 50nm Remote Motor</v>
      </c>
      <c r="W421" s="39" t="str">
        <f t="shared" si="144"/>
        <v>Acmeda External 50nm Remote Motor</v>
      </c>
      <c r="X421" s="39" t="str">
        <f t="shared" si="145"/>
        <v>Acmeda External 50nm Remote Motor</v>
      </c>
      <c r="Y421" s="39" t="str">
        <f t="shared" si="146"/>
        <v>Acmeda External 50nm Remote Motor</v>
      </c>
      <c r="Z421" s="39" t="str">
        <f t="shared" si="147"/>
        <v>Acmeda External 50nm Remote Motor</v>
      </c>
      <c r="AA421" s="39" t="str">
        <f t="shared" si="148"/>
        <v>Acmeda External 50nm Remote Motor</v>
      </c>
      <c r="AB421" s="39" t="str">
        <f t="shared" si="149"/>
        <v>Acmeda External 50nm Remote Motor</v>
      </c>
      <c r="AC421" s="39" t="str">
        <f t="shared" si="150"/>
        <v>Acmeda External 50nm Remote Motor</v>
      </c>
      <c r="AD421" s="39" t="str">
        <f t="shared" si="151"/>
        <v>Acmeda External 50nm Remote Motor</v>
      </c>
      <c r="AE421" s="39" t="str">
        <f t="shared" si="152"/>
        <v>Acmeda External 50nm Remote Motor</v>
      </c>
      <c r="AF421" s="39" t="str">
        <f t="shared" si="153"/>
        <v>Acmeda External 50nm Remote Motor</v>
      </c>
    </row>
    <row r="422" spans="1:32" ht="14.4">
      <c r="A422" s="84">
        <v>2480</v>
      </c>
      <c r="B422" s="39" t="s">
        <v>798</v>
      </c>
      <c r="C422" s="39" t="str">
        <f t="shared" si="124"/>
        <v>Acmeda External 15nm Remote Motor</v>
      </c>
      <c r="D422" s="39" t="str">
        <f t="shared" si="125"/>
        <v>Acmeda External 15nm Remote Motor</v>
      </c>
      <c r="E422" s="39" t="str">
        <f t="shared" si="126"/>
        <v>Acmeda External 15nm Remote Motor</v>
      </c>
      <c r="F422" s="39" t="str">
        <f t="shared" si="127"/>
        <v>Acmeda External 30nm Remote Motor</v>
      </c>
      <c r="G422" s="39" t="str">
        <f t="shared" si="128"/>
        <v>Acmeda External 30nm Remote Motor</v>
      </c>
      <c r="H422" s="39" t="str">
        <f t="shared" si="129"/>
        <v>Acmeda External 30nm Remote Motor</v>
      </c>
      <c r="I422" s="39" t="str">
        <f t="shared" si="130"/>
        <v>Acmeda External 30nm Remote Motor</v>
      </c>
      <c r="J422" s="39" t="str">
        <f t="shared" si="131"/>
        <v>Acmeda External 30nm Remote Motor</v>
      </c>
      <c r="K422" s="39" t="str">
        <f t="shared" si="132"/>
        <v>Acmeda External 30nm Remote Motor</v>
      </c>
      <c r="L422" s="39" t="str">
        <f t="shared" si="133"/>
        <v>Acmeda External 30nm Remote Motor</v>
      </c>
      <c r="M422" s="39" t="str">
        <f t="shared" si="134"/>
        <v>Acmeda External 30nm Remote Motor</v>
      </c>
      <c r="N422" s="39" t="str">
        <f t="shared" si="135"/>
        <v>Acmeda External 30nm Remote Motor</v>
      </c>
      <c r="O422" s="39" t="str">
        <f t="shared" si="136"/>
        <v>Acmeda External 30nm Remote Motor</v>
      </c>
      <c r="P422" s="39" t="str">
        <f t="shared" si="137"/>
        <v>Acmeda External 30nm Remote Motor</v>
      </c>
      <c r="Q422" s="39" t="str">
        <f t="shared" si="138"/>
        <v>Acmeda External 30nm Remote Motor</v>
      </c>
      <c r="R422" s="39" t="str">
        <f t="shared" si="139"/>
        <v>Acmeda External 30nm Remote Motor</v>
      </c>
      <c r="S422" s="39" t="str">
        <f t="shared" si="140"/>
        <v>Acmeda External 50nm Remote Motor</v>
      </c>
      <c r="T422" s="39" t="str">
        <f t="shared" si="141"/>
        <v>Acmeda External 50nm Remote Motor</v>
      </c>
      <c r="U422" s="39" t="str">
        <f t="shared" si="142"/>
        <v>Acmeda External 50nm Remote Motor</v>
      </c>
      <c r="V422" s="39" t="str">
        <f t="shared" si="143"/>
        <v>Acmeda External 50nm Remote Motor</v>
      </c>
      <c r="W422" s="39" t="str">
        <f t="shared" si="144"/>
        <v>Acmeda External 50nm Remote Motor</v>
      </c>
      <c r="X422" s="39" t="str">
        <f t="shared" si="145"/>
        <v>Acmeda External 50nm Remote Motor</v>
      </c>
      <c r="Y422" s="39" t="str">
        <f t="shared" si="146"/>
        <v>Acmeda External 50nm Remote Motor</v>
      </c>
      <c r="Z422" s="39" t="str">
        <f t="shared" si="147"/>
        <v>Acmeda External 50nm Remote Motor</v>
      </c>
      <c r="AA422" s="39" t="str">
        <f t="shared" si="148"/>
        <v>Acmeda External 50nm Remote Motor</v>
      </c>
      <c r="AB422" s="39" t="str">
        <f t="shared" si="149"/>
        <v>Acmeda External 50nm Remote Motor</v>
      </c>
      <c r="AC422" s="39" t="str">
        <f t="shared" si="150"/>
        <v>Acmeda External 50nm Remote Motor</v>
      </c>
      <c r="AD422" s="39" t="str">
        <f t="shared" si="151"/>
        <v>Acmeda External 50nm Remote Motor</v>
      </c>
      <c r="AE422" s="39" t="str">
        <f t="shared" si="152"/>
        <v>Acmeda External 50nm Remote Motor</v>
      </c>
      <c r="AF422" s="39" t="str">
        <f t="shared" si="153"/>
        <v>Acmeda External 50nm Remote Motor</v>
      </c>
    </row>
    <row r="423" spans="1:32" ht="14.4">
      <c r="A423" s="84">
        <v>2580</v>
      </c>
      <c r="B423" s="39" t="s">
        <v>798</v>
      </c>
      <c r="C423" s="39" t="str">
        <f t="shared" si="124"/>
        <v>Acmeda External 15nm Remote Motor</v>
      </c>
      <c r="D423" s="39" t="str">
        <f t="shared" si="125"/>
        <v>Acmeda External 15nm Remote Motor</v>
      </c>
      <c r="E423" s="39" t="str">
        <f t="shared" si="126"/>
        <v>Acmeda External 15nm Remote Motor</v>
      </c>
      <c r="F423" s="39" t="str">
        <f t="shared" si="127"/>
        <v>Acmeda External 30nm Remote Motor</v>
      </c>
      <c r="G423" s="39" t="str">
        <f t="shared" si="128"/>
        <v>Acmeda External 30nm Remote Motor</v>
      </c>
      <c r="H423" s="39" t="str">
        <f t="shared" si="129"/>
        <v>Acmeda External 30nm Remote Motor</v>
      </c>
      <c r="I423" s="39" t="str">
        <f t="shared" si="130"/>
        <v>Acmeda External 30nm Remote Motor</v>
      </c>
      <c r="J423" s="39" t="str">
        <f t="shared" si="131"/>
        <v>Acmeda External 30nm Remote Motor</v>
      </c>
      <c r="K423" s="39" t="str">
        <f t="shared" si="132"/>
        <v>Acmeda External 30nm Remote Motor</v>
      </c>
      <c r="L423" s="39" t="str">
        <f t="shared" si="133"/>
        <v>Acmeda External 30nm Remote Motor</v>
      </c>
      <c r="M423" s="39" t="str">
        <f t="shared" si="134"/>
        <v>Acmeda External 30nm Remote Motor</v>
      </c>
      <c r="N423" s="39" t="str">
        <f t="shared" si="135"/>
        <v>Acmeda External 30nm Remote Motor</v>
      </c>
      <c r="O423" s="39" t="str">
        <f t="shared" si="136"/>
        <v>Acmeda External 30nm Remote Motor</v>
      </c>
      <c r="P423" s="39" t="str">
        <f t="shared" si="137"/>
        <v>Acmeda External 30nm Remote Motor</v>
      </c>
      <c r="Q423" s="39" t="str">
        <f t="shared" si="138"/>
        <v>Acmeda External 30nm Remote Motor</v>
      </c>
      <c r="R423" s="39" t="str">
        <f t="shared" si="139"/>
        <v>Acmeda External 50nm Remote Motor</v>
      </c>
      <c r="S423" s="39" t="str">
        <f t="shared" si="140"/>
        <v>Acmeda External 50nm Remote Motor</v>
      </c>
      <c r="T423" s="39" t="str">
        <f t="shared" si="141"/>
        <v>Acmeda External 50nm Remote Motor</v>
      </c>
      <c r="U423" s="39" t="str">
        <f t="shared" si="142"/>
        <v>Acmeda External 50nm Remote Motor</v>
      </c>
      <c r="V423" s="39" t="str">
        <f t="shared" si="143"/>
        <v>Acmeda External 50nm Remote Motor</v>
      </c>
      <c r="W423" s="39" t="str">
        <f t="shared" si="144"/>
        <v>Acmeda External 50nm Remote Motor</v>
      </c>
      <c r="X423" s="39" t="str">
        <f t="shared" si="145"/>
        <v>Acmeda External 50nm Remote Motor</v>
      </c>
      <c r="Y423" s="39" t="str">
        <f t="shared" si="146"/>
        <v>Acmeda External 50nm Remote Motor</v>
      </c>
      <c r="Z423" s="39" t="str">
        <f t="shared" si="147"/>
        <v>Acmeda External 50nm Remote Motor</v>
      </c>
      <c r="AA423" s="39" t="str">
        <f t="shared" si="148"/>
        <v>Acmeda External 50nm Remote Motor</v>
      </c>
      <c r="AB423" s="39" t="str">
        <f t="shared" si="149"/>
        <v>Acmeda External 50nm Remote Motor</v>
      </c>
      <c r="AC423" s="39" t="str">
        <f t="shared" si="150"/>
        <v>Acmeda External 50nm Remote Motor</v>
      </c>
      <c r="AD423" s="39" t="str">
        <f t="shared" si="151"/>
        <v>Acmeda External 50nm Remote Motor</v>
      </c>
      <c r="AE423" s="39" t="str">
        <f t="shared" si="152"/>
        <v>Acmeda External 50nm Remote Motor</v>
      </c>
      <c r="AF423" s="39" t="str">
        <f t="shared" si="153"/>
        <v>Acmeda External 50nm Remote Motor</v>
      </c>
    </row>
    <row r="424" spans="1:32" ht="14.4">
      <c r="A424" s="84">
        <v>2680</v>
      </c>
      <c r="B424" s="39" t="s">
        <v>798</v>
      </c>
      <c r="C424" s="39" t="str">
        <f t="shared" si="124"/>
        <v>Acmeda External 15nm Remote Motor</v>
      </c>
      <c r="D424" s="39" t="str">
        <f t="shared" si="125"/>
        <v>Acmeda External 15nm Remote Motor</v>
      </c>
      <c r="E424" s="39" t="str">
        <f t="shared" si="126"/>
        <v>Acmeda External 30nm Remote Motor</v>
      </c>
      <c r="F424" s="39" t="str">
        <f t="shared" si="127"/>
        <v>Acmeda External 30nm Remote Motor</v>
      </c>
      <c r="G424" s="39" t="str">
        <f t="shared" si="128"/>
        <v>Acmeda External 30nm Remote Motor</v>
      </c>
      <c r="H424" s="39" t="str">
        <f t="shared" si="129"/>
        <v>Acmeda External 30nm Remote Motor</v>
      </c>
      <c r="I424" s="39" t="str">
        <f t="shared" si="130"/>
        <v>Acmeda External 30nm Remote Motor</v>
      </c>
      <c r="J424" s="39" t="str">
        <f t="shared" si="131"/>
        <v>Acmeda External 30nm Remote Motor</v>
      </c>
      <c r="K424" s="39" t="str">
        <f t="shared" si="132"/>
        <v>Acmeda External 30nm Remote Motor</v>
      </c>
      <c r="L424" s="39" t="str">
        <f t="shared" si="133"/>
        <v>Acmeda External 30nm Remote Motor</v>
      </c>
      <c r="M424" s="39" t="str">
        <f t="shared" si="134"/>
        <v>Acmeda External 30nm Remote Motor</v>
      </c>
      <c r="N424" s="39" t="str">
        <f t="shared" si="135"/>
        <v>Acmeda External 30nm Remote Motor</v>
      </c>
      <c r="O424" s="39" t="str">
        <f t="shared" si="136"/>
        <v>Acmeda External 30nm Remote Motor</v>
      </c>
      <c r="P424" s="39" t="str">
        <f t="shared" si="137"/>
        <v>Acmeda External 30nm Remote Motor</v>
      </c>
      <c r="Q424" s="39" t="str">
        <f t="shared" si="138"/>
        <v>Acmeda External 50nm Remote Motor</v>
      </c>
      <c r="R424" s="39" t="str">
        <f t="shared" si="139"/>
        <v>Acmeda External 50nm Remote Motor</v>
      </c>
      <c r="S424" s="39" t="str">
        <f t="shared" si="140"/>
        <v>Acmeda External 50nm Remote Motor</v>
      </c>
      <c r="T424" s="39" t="str">
        <f t="shared" si="141"/>
        <v>Acmeda External 50nm Remote Motor</v>
      </c>
      <c r="U424" s="39" t="str">
        <f t="shared" si="142"/>
        <v>Acmeda External 50nm Remote Motor</v>
      </c>
      <c r="V424" s="39" t="str">
        <f t="shared" si="143"/>
        <v>Acmeda External 50nm Remote Motor</v>
      </c>
      <c r="W424" s="39" t="str">
        <f t="shared" si="144"/>
        <v>Acmeda External 50nm Remote Motor</v>
      </c>
      <c r="X424" s="39" t="str">
        <f t="shared" si="145"/>
        <v>Acmeda External 50nm Remote Motor</v>
      </c>
      <c r="Y424" s="39" t="str">
        <f t="shared" si="146"/>
        <v>Acmeda External 50nm Remote Motor</v>
      </c>
      <c r="Z424" s="39" t="str">
        <f t="shared" si="147"/>
        <v>Acmeda External 50nm Remote Motor</v>
      </c>
      <c r="AA424" s="39" t="str">
        <f t="shared" si="148"/>
        <v>Acmeda External 50nm Remote Motor</v>
      </c>
      <c r="AB424" s="39" t="str">
        <f t="shared" si="149"/>
        <v>Acmeda External 50nm Remote Motor</v>
      </c>
      <c r="AC424" s="39" t="str">
        <f t="shared" si="150"/>
        <v>Acmeda External 50nm Remote Motor</v>
      </c>
      <c r="AD424" s="39" t="str">
        <f t="shared" si="151"/>
        <v>Acmeda External 50nm Remote Motor</v>
      </c>
      <c r="AE424" s="39" t="str">
        <f t="shared" si="152"/>
        <v>Acmeda External 50nm Remote Motor</v>
      </c>
      <c r="AF424" s="39" t="str">
        <f t="shared" si="153"/>
        <v>Acmeda External 50nm Remote Motor</v>
      </c>
    </row>
    <row r="425" spans="1:32" ht="14.4">
      <c r="A425" s="84">
        <v>2780</v>
      </c>
      <c r="B425" s="39" t="s">
        <v>798</v>
      </c>
      <c r="C425" s="39" t="str">
        <f t="shared" si="124"/>
        <v>Acmeda External 15nm Remote Motor</v>
      </c>
      <c r="D425" s="39" t="str">
        <f t="shared" si="125"/>
        <v>Acmeda External 15nm Remote Motor</v>
      </c>
      <c r="E425" s="39" t="str">
        <f t="shared" si="126"/>
        <v>Acmeda External 30nm Remote Motor</v>
      </c>
      <c r="F425" s="39" t="str">
        <f t="shared" si="127"/>
        <v>Acmeda External 30nm Remote Motor</v>
      </c>
      <c r="G425" s="39" t="str">
        <f t="shared" si="128"/>
        <v>Acmeda External 30nm Remote Motor</v>
      </c>
      <c r="H425" s="39" t="str">
        <f t="shared" si="129"/>
        <v>Acmeda External 30nm Remote Motor</v>
      </c>
      <c r="I425" s="39" t="str">
        <f t="shared" si="130"/>
        <v>Acmeda External 30nm Remote Motor</v>
      </c>
      <c r="J425" s="39" t="str">
        <f t="shared" si="131"/>
        <v>Acmeda External 30nm Remote Motor</v>
      </c>
      <c r="K425" s="39" t="str">
        <f t="shared" si="132"/>
        <v>Acmeda External 30nm Remote Motor</v>
      </c>
      <c r="L425" s="39" t="str">
        <f t="shared" si="133"/>
        <v>Acmeda External 30nm Remote Motor</v>
      </c>
      <c r="M425" s="39" t="str">
        <f t="shared" si="134"/>
        <v>Acmeda External 30nm Remote Motor</v>
      </c>
      <c r="N425" s="39" t="str">
        <f t="shared" si="135"/>
        <v>Acmeda External 30nm Remote Motor</v>
      </c>
      <c r="O425" s="39" t="str">
        <f t="shared" si="136"/>
        <v>Acmeda External 30nm Remote Motor</v>
      </c>
      <c r="P425" s="39" t="str">
        <f t="shared" si="137"/>
        <v>Acmeda External 30nm Remote Motor</v>
      </c>
      <c r="Q425" s="39" t="str">
        <f t="shared" si="138"/>
        <v>Acmeda External 50nm Remote Motor</v>
      </c>
      <c r="R425" s="39" t="str">
        <f t="shared" si="139"/>
        <v>Acmeda External 50nm Remote Motor</v>
      </c>
      <c r="S425" s="39" t="str">
        <f t="shared" si="140"/>
        <v>Acmeda External 50nm Remote Motor</v>
      </c>
      <c r="T425" s="39" t="str">
        <f t="shared" si="141"/>
        <v>Acmeda External 50nm Remote Motor</v>
      </c>
      <c r="U425" s="39" t="str">
        <f t="shared" si="142"/>
        <v>Acmeda External 50nm Remote Motor</v>
      </c>
      <c r="V425" s="39" t="str">
        <f t="shared" si="143"/>
        <v>Acmeda External 50nm Remote Motor</v>
      </c>
      <c r="W425" s="39" t="str">
        <f t="shared" si="144"/>
        <v>Acmeda External 50nm Remote Motor</v>
      </c>
      <c r="X425" s="39" t="str">
        <f t="shared" si="145"/>
        <v>Acmeda External 50nm Remote Motor</v>
      </c>
      <c r="Y425" s="39" t="str">
        <f t="shared" si="146"/>
        <v>Acmeda External 50nm Remote Motor</v>
      </c>
      <c r="Z425" s="39" t="str">
        <f t="shared" si="147"/>
        <v>Acmeda External 50nm Remote Motor</v>
      </c>
      <c r="AA425" s="39" t="str">
        <f t="shared" si="148"/>
        <v>Acmeda External 50nm Remote Motor</v>
      </c>
      <c r="AB425" s="39" t="str">
        <f t="shared" si="149"/>
        <v>Acmeda External 50nm Remote Motor</v>
      </c>
      <c r="AC425" s="39" t="str">
        <f t="shared" si="150"/>
        <v>Acmeda External 50nm Remote Motor</v>
      </c>
      <c r="AD425" s="39" t="str">
        <f t="shared" si="151"/>
        <v>Acmeda External 50nm Remote Motor</v>
      </c>
      <c r="AE425" s="39" t="str">
        <f t="shared" si="152"/>
        <v>Acmeda External 50nm Remote Motor</v>
      </c>
      <c r="AF425" s="39" t="str">
        <f t="shared" si="153"/>
        <v>Acmeda External 50nm Remote Motor</v>
      </c>
    </row>
    <row r="426" spans="1:32" ht="14.4">
      <c r="A426" s="84">
        <v>2880</v>
      </c>
      <c r="B426" s="39" t="s">
        <v>798</v>
      </c>
      <c r="C426" s="39" t="str">
        <f t="shared" si="124"/>
        <v>Acmeda External 15nm Remote Motor</v>
      </c>
      <c r="D426" s="39" t="str">
        <f t="shared" si="125"/>
        <v>Acmeda External 15nm Remote Motor</v>
      </c>
      <c r="E426" s="39" t="str">
        <f t="shared" si="126"/>
        <v>Acmeda External 30nm Remote Motor</v>
      </c>
      <c r="F426" s="39" t="str">
        <f t="shared" si="127"/>
        <v>Acmeda External 30nm Remote Motor</v>
      </c>
      <c r="G426" s="39" t="str">
        <f t="shared" si="128"/>
        <v>Acmeda External 30nm Remote Motor</v>
      </c>
      <c r="H426" s="39" t="str">
        <f t="shared" si="129"/>
        <v>Acmeda External 30nm Remote Motor</v>
      </c>
      <c r="I426" s="39" t="str">
        <f t="shared" si="130"/>
        <v>Acmeda External 30nm Remote Motor</v>
      </c>
      <c r="J426" s="39" t="str">
        <f t="shared" si="131"/>
        <v>Acmeda External 30nm Remote Motor</v>
      </c>
      <c r="K426" s="39" t="str">
        <f t="shared" si="132"/>
        <v>Acmeda External 30nm Remote Motor</v>
      </c>
      <c r="L426" s="39" t="str">
        <f t="shared" si="133"/>
        <v>Acmeda External 30nm Remote Motor</v>
      </c>
      <c r="M426" s="39" t="str">
        <f t="shared" si="134"/>
        <v>Acmeda External 30nm Remote Motor</v>
      </c>
      <c r="N426" s="39" t="str">
        <f t="shared" si="135"/>
        <v>Acmeda External 30nm Remote Motor</v>
      </c>
      <c r="O426" s="39" t="str">
        <f t="shared" si="136"/>
        <v>Acmeda External 30nm Remote Motor</v>
      </c>
      <c r="P426" s="39" t="str">
        <f t="shared" si="137"/>
        <v>Acmeda External 50nm Remote Motor</v>
      </c>
      <c r="Q426" s="39" t="str">
        <f t="shared" si="138"/>
        <v>Acmeda External 50nm Remote Motor</v>
      </c>
      <c r="R426" s="39" t="str">
        <f t="shared" si="139"/>
        <v>Acmeda External 50nm Remote Motor</v>
      </c>
      <c r="S426" s="39" t="str">
        <f t="shared" si="140"/>
        <v>Acmeda External 50nm Remote Motor</v>
      </c>
      <c r="T426" s="39" t="str">
        <f t="shared" si="141"/>
        <v>Acmeda External 50nm Remote Motor</v>
      </c>
      <c r="U426" s="39" t="str">
        <f t="shared" si="142"/>
        <v>Acmeda External 50nm Remote Motor</v>
      </c>
      <c r="V426" s="39" t="str">
        <f t="shared" si="143"/>
        <v>Acmeda External 50nm Remote Motor</v>
      </c>
      <c r="W426" s="39" t="str">
        <f t="shared" si="144"/>
        <v>Acmeda External 50nm Remote Motor</v>
      </c>
      <c r="X426" s="39" t="str">
        <f t="shared" si="145"/>
        <v>Acmeda External 50nm Remote Motor</v>
      </c>
      <c r="Y426" s="39" t="str">
        <f t="shared" si="146"/>
        <v>Acmeda External 50nm Remote Motor</v>
      </c>
      <c r="Z426" s="39" t="str">
        <f t="shared" si="147"/>
        <v>Acmeda External 50nm Remote Motor</v>
      </c>
      <c r="AA426" s="39" t="str">
        <f t="shared" si="148"/>
        <v>Acmeda External 50nm Remote Motor</v>
      </c>
      <c r="AB426" s="39" t="str">
        <f t="shared" si="149"/>
        <v>Acmeda External 50nm Remote Motor</v>
      </c>
      <c r="AC426" s="39" t="str">
        <f t="shared" si="150"/>
        <v>Acmeda External 50nm Remote Motor</v>
      </c>
      <c r="AD426" s="39" t="str">
        <f t="shared" si="151"/>
        <v>Acmeda External 50nm Remote Motor</v>
      </c>
      <c r="AE426" s="39" t="str">
        <f t="shared" si="152"/>
        <v>Acmeda External 50nm Remote Motor</v>
      </c>
      <c r="AF426" s="39" t="str">
        <f t="shared" si="153"/>
        <v>Acmeda External 50nm Remote Motor</v>
      </c>
    </row>
    <row r="427" spans="1:32" ht="14.4">
      <c r="A427" s="85">
        <v>2980</v>
      </c>
      <c r="B427" s="39" t="s">
        <v>798</v>
      </c>
      <c r="C427" s="39" t="str">
        <f t="shared" si="124"/>
        <v>Acmeda External 15nm Remote Motor</v>
      </c>
      <c r="D427" s="39" t="str">
        <f t="shared" si="125"/>
        <v>Acmeda External 30nm Remote Motor</v>
      </c>
      <c r="E427" s="39" t="str">
        <f t="shared" si="126"/>
        <v>Acmeda External 30nm Remote Motor</v>
      </c>
      <c r="F427" s="39" t="str">
        <f t="shared" si="127"/>
        <v>Acmeda External 30nm Remote Motor</v>
      </c>
      <c r="G427" s="39" t="str">
        <f t="shared" si="128"/>
        <v>Acmeda External 30nm Remote Motor</v>
      </c>
      <c r="H427" s="39" t="str">
        <f t="shared" si="129"/>
        <v>Acmeda External 30nm Remote Motor</v>
      </c>
      <c r="I427" s="39" t="str">
        <f t="shared" si="130"/>
        <v>Acmeda External 30nm Remote Motor</v>
      </c>
      <c r="J427" s="39" t="str">
        <f t="shared" si="131"/>
        <v>Acmeda External 30nm Remote Motor</v>
      </c>
      <c r="K427" s="39" t="str">
        <f t="shared" si="132"/>
        <v>Acmeda External 30nm Remote Motor</v>
      </c>
      <c r="L427" s="39" t="str">
        <f t="shared" si="133"/>
        <v>Acmeda External 30nm Remote Motor</v>
      </c>
      <c r="M427" s="39" t="str">
        <f t="shared" si="134"/>
        <v>Acmeda External 30nm Remote Motor</v>
      </c>
      <c r="N427" s="39" t="str">
        <f t="shared" si="135"/>
        <v>Acmeda External 30nm Remote Motor</v>
      </c>
      <c r="O427" s="39" t="str">
        <f t="shared" si="136"/>
        <v>Acmeda External 50nm Remote Motor</v>
      </c>
      <c r="P427" s="39" t="str">
        <f t="shared" si="137"/>
        <v>Acmeda External 50nm Remote Motor</v>
      </c>
      <c r="Q427" s="39" t="str">
        <f t="shared" si="138"/>
        <v>Acmeda External 50nm Remote Motor</v>
      </c>
      <c r="R427" s="39" t="str">
        <f t="shared" si="139"/>
        <v>Acmeda External 50nm Remote Motor</v>
      </c>
      <c r="S427" s="39" t="str">
        <f t="shared" si="140"/>
        <v>Acmeda External 50nm Remote Motor</v>
      </c>
      <c r="T427" s="39" t="str">
        <f t="shared" si="141"/>
        <v>Acmeda External 50nm Remote Motor</v>
      </c>
      <c r="U427" s="39" t="str">
        <f t="shared" si="142"/>
        <v>Acmeda External 50nm Remote Motor</v>
      </c>
      <c r="V427" s="39" t="str">
        <f t="shared" si="143"/>
        <v>Acmeda External 50nm Remote Motor</v>
      </c>
      <c r="W427" s="39" t="str">
        <f t="shared" si="144"/>
        <v>Acmeda External 50nm Remote Motor</v>
      </c>
      <c r="X427" s="39" t="str">
        <f t="shared" si="145"/>
        <v>Acmeda External 50nm Remote Motor</v>
      </c>
      <c r="Y427" s="39" t="str">
        <f t="shared" si="146"/>
        <v>Acmeda External 50nm Remote Motor</v>
      </c>
      <c r="Z427" s="39" t="str">
        <f t="shared" si="147"/>
        <v>Acmeda External 50nm Remote Motor</v>
      </c>
      <c r="AA427" s="39" t="str">
        <f t="shared" si="148"/>
        <v>Acmeda External 50nm Remote Motor</v>
      </c>
      <c r="AB427" s="39" t="str">
        <f t="shared" si="149"/>
        <v>Acmeda External 50nm Remote Motor</v>
      </c>
      <c r="AC427" s="39" t="str">
        <f t="shared" si="150"/>
        <v>Acmeda External 50nm Remote Motor</v>
      </c>
      <c r="AD427" s="39" t="str">
        <f t="shared" si="151"/>
        <v>Acmeda External 50nm Remote Motor</v>
      </c>
      <c r="AE427" s="39" t="str">
        <f t="shared" si="152"/>
        <v>Acmeda External 50nm Remote Motor</v>
      </c>
      <c r="AF427" s="39" t="str">
        <f t="shared" si="153"/>
        <v>Acmeda External 50nm Remote Motor</v>
      </c>
    </row>
  </sheetData>
  <mergeCells count="15">
    <mergeCell ref="A57:V57"/>
    <mergeCell ref="A1:Y1"/>
    <mergeCell ref="A113:F113"/>
    <mergeCell ref="A29:V29"/>
    <mergeCell ref="A85:W85"/>
    <mergeCell ref="A402:AH402"/>
    <mergeCell ref="A197:E197"/>
    <mergeCell ref="A141:AJ141"/>
    <mergeCell ref="A169:AJ169"/>
    <mergeCell ref="A346:AH346"/>
    <mergeCell ref="A374:P374"/>
    <mergeCell ref="A318:D318"/>
    <mergeCell ref="A256:D256"/>
    <mergeCell ref="A287:D287"/>
    <mergeCell ref="A225:D225"/>
  </mergeCells>
  <pageMargins left="1.55433070866203" right="1.55433070866203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2026-04-20T21:13:35Z</cp:lastPrinted>
  <dcterms:created xsi:type="dcterms:W3CDTF">2004-01-09T05:29:38Z</dcterms:created>
  <dcterms:modified xsi:type="dcterms:W3CDTF">2026-08-20T21:54:22Z</dcterms:modified>
  <cp:category/>
  <cp:contentType/>
  <cp:contentStatus/>
</cp:coreProperties>
</file>
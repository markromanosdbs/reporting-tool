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bookViews>
    <workbookView xWindow="16635" yWindow="49216" windowWidth="29040" windowHeight="15720" tabRatio="772" firstSheet="6" activeTab="0"/>
  </bookViews>
  <sheets>
    <sheet name="Data" sheetId="8" r:id="rId1"/>
    <sheet name="Job Sheet" sheetId="1" r:id="rId2"/>
    <sheet name="Tapes" sheetId="25" r:id="rId3"/>
    <sheet name="Tube Cutting" sheetId="14" r:id="rId4"/>
    <sheet name="Assembly" sheetId="15" r:id="rId5"/>
    <sheet name="Bagging" sheetId="20" r:id="rId6"/>
    <sheet name="TBS Order Form" sheetId="21" r:id="rId7"/>
    <sheet name="Electrical Form" sheetId="22" r:id="rId8"/>
    <sheet name="Components" sheetId="24" r:id="rId9"/>
    <sheet name="Labels" sheetId="9" r:id="rId10"/>
    <sheet name="Deductions" sheetId="10" r:id="rId11"/>
    <sheet name="Tape Look Up" sheetId="23" r:id="rId12"/>
  </sheets>
  <definedNames>
    <definedName name="_xleta.N" hidden="1">#NAME?</definedName>
    <definedName name="_xleta.RIGHT" hidden="1">#NAME?</definedName>
    <definedName name="_xleta.SINGLE" hidden="1">#NAME?</definedName>
    <definedName name="BracketProj">Deductions!$BG$2:$BH$128</definedName>
    <definedName name="Brackets">Deductions!$A$22:$B$39</definedName>
    <definedName name="BracketType">Deductions!$E$1:$F$42</definedName>
    <definedName name="CompanyPkId">Data!$BB$2</definedName>
    <definedName name="COPEN100">'Tape Look Up'!$O$3:$P$57</definedName>
    <definedName name="COPEN120">'Tape Look Up'!$U$3:$V$57</definedName>
    <definedName name="COPEN80">'Tape Look Up'!$I$3:$J$57</definedName>
    <definedName name="CornerBlocks">Deductions!$BB$2:$BC$46</definedName>
    <definedName name="CustName" localSheetId="4">Assembly!$E$2</definedName>
    <definedName name="CustName" localSheetId="5">Bagging!$G$2</definedName>
    <definedName name="CustName" localSheetId="6">'TBS Order Form'!$H$4</definedName>
    <definedName name="CustName">'Job Sheet'!$I$2</definedName>
    <definedName name="CustOrdOpt" localSheetId="4">Data!$CE$10:$CK$43</definedName>
    <definedName name="CustOrdOpt" localSheetId="5">Data!$CE$10:$CK$43</definedName>
    <definedName name="CustOrdOpt">Data!$CE$10:$CK$73</definedName>
    <definedName name="DataSettings">Data!$A$5:$F$24</definedName>
    <definedName name="FitDeduct" localSheetId="4">Deductions!$A$1:$B$5</definedName>
    <definedName name="FitDeduct" localSheetId="5">Deductions!$A$1:$B$5</definedName>
    <definedName name="FitDeduct">Deductions!$A$1:$B$5</definedName>
    <definedName name="InventoryGroup">Data!$BA$1</definedName>
    <definedName name="JobPickLastRow">Data!$BA$2</definedName>
    <definedName name="OneWay100">'Tape Look Up'!$L$3:$M$114</definedName>
    <definedName name="OneWay80">'Tape Look Up'!$F$3:$G$106</definedName>
    <definedName name="OnwWay120">'Tape Look Up'!$R$3:$S$129</definedName>
    <definedName name="Operation">Deductions!$L$1:$M$68</definedName>
    <definedName name="PelmetDeduct" localSheetId="4">Deductions!$E$21:$F$31</definedName>
    <definedName name="PelmetDeduct" localSheetId="5">Deductions!$E$21:$F$31</definedName>
    <definedName name="PelmetDeduct">Deductions!$E$21:$F$31</definedName>
    <definedName name="_xlnm.Print_Area" localSheetId="4">Assembly!$A$1:$P$20</definedName>
    <definedName name="_xlnm.Print_Area" localSheetId="5">Bagging!$A$1:$N$20</definedName>
    <definedName name="_xlnm.Print_Area" localSheetId="1">'Job Sheet'!$A$1:$AK$20</definedName>
    <definedName name="_xlnm.Print_Area" localSheetId="6">'TBS Order Form'!$A$1:$T$19</definedName>
    <definedName name="_xlnm.Print_Area" localSheetId="3">'Tube Cutting'!$A$1:$G$20</definedName>
    <definedName name="_xlnm.Print_Titles" localSheetId="4">Assembly!$1:$10</definedName>
    <definedName name="_xlnm.Print_Titles" localSheetId="5">Bagging!$1:$10</definedName>
    <definedName name="_xlnm.Print_Titles" localSheetId="1">'Job Sheet'!$1:$10</definedName>
    <definedName name="_xlnm.Print_Titles" localSheetId="6">'TBS Order Form'!$1:$9</definedName>
    <definedName name="PulleysEndCaps">Deductions!$AQ$2:$AX$50</definedName>
    <definedName name="ReturnLookUp">'Tape Look Up'!$A$22:$C$28</definedName>
    <definedName name="RightColumn">Data!$BA$3</definedName>
    <definedName name="RodBrackets">Deductions!$G$2:$H$24</definedName>
    <definedName name="SaberTracks">Deductions!$BJ$2:$BL$102</definedName>
    <definedName name="SideDeduct" localSheetId="4">Deductions!$C$2:$D$99</definedName>
    <definedName name="SideDeduct" localSheetId="5">Deductions!$C$2:$D$99</definedName>
    <definedName name="SideDeduct">Deductions!$C$2:$D$99</definedName>
    <definedName name="TBSTracks">Deductions!$R$2:$V$4003</definedName>
    <definedName name="TrackManufacturing">Deductions!$AL$2:$AM$24</definedName>
    <definedName name="UserPkId">Data!$AV$3</definedName>
    <definedName name="WavefoldLookUp">'Tape Look Up'!$C$3:$D$19</definedName>
    <definedName name="WavefoldReturns">Deductions!$AA$2:$AB$95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<sst xmlns="http://schemas.openxmlformats.org/spreadsheetml/2006/main" count="5761" uniqueCount="1033">
  <si>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</si>
  <si>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</si>
  <si>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</si>
  <si>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</si>
  <si>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</si>
  <si>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</si>
  <si>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</si>
  <si>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</si>
  <si>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</si>
  <si>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</si>
  <si>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</si>
  <si>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</si>
  <si>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</si>
  <si>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</si>
  <si>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</si>
  <si>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</si>
  <si>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</si>
  <si>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</si>
  <si>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</si>
  <si>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</si>
  <si>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</si>
  <si>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</si>
  <si>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</si>
  <si>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CTRA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</si>
  <si>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</si>
  <si>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</si>
  <si>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</si>
  <si>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</si>
  <si>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</si>
  <si>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</si>
  <si>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</si>
  <si>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</si>
  <si>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</si>
  <si>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</si>
  <si>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</si>
  <si>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</si>
  <si>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</si>
  <si>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</si>
  <si>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</si>
  <si>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</si>
  <si>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</si>
  <si>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</si>
  <si>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</si>
  <si>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</si>
  <si>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</si>
  <si>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</si>
  <si>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</si>
  <si>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</si>
  <si>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</si>
  <si>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</si>
  <si>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</si>
  <si>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</si>
  <si>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</si>
  <si>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</si>
  <si>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</si>
  <si>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</si>
  <si>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</si>
  <si>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</si>
  <si>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</si>
  <si>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</si>
  <si>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</si>
  <si>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</si>
  <si>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</si>
  <si>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</si>
  <si>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</si>
  <si>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</si>
  <si>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</si>
  <si>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</si>
  <si>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</si>
  <si>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</si>
  <si>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</si>
  <si>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</si>
  <si>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</si>
  <si>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</si>
  <si>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</si>
  <si>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</si>
  <si>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</si>
  <si>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</si>
  <si>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</si>
  <si>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</si>
  <si>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</si>
  <si>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</si>
  <si>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</si>
  <si>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</si>
  <si>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</si>
  <si>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</si>
  <si>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</si>
  <si>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</si>
  <si>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</si>
  <si>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</si>
  <si>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</si>
  <si>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</si>
  <si>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</si>
  <si>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</si>
  <si>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</si>
  <si>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</si>
  <si>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</si>
  <si>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</si>
  <si>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</si>
  <si>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</si>
  <si>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</si>
  <si>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</si>
  <si>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</si>
  <si>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</si>
  <si>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</si>
  <si>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</si>
  <si>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</si>
  <si>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</si>
  <si>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</si>
  <si>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</si>
  <si>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</si>
  <si>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</si>
  <si>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</si>
  <si>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</si>
  <si>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</si>
  <si>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</si>
  <si>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</si>
  <si>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</si>
  <si>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</si>
  <si>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</si>
  <si>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</si>
  <si>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</si>
  <si>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</si>
  <si>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</si>
  <si>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</si>
  <si>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</si>
  <si>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</si>
  <si>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</si>
  <si>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</si>
  <si>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</si>
  <si>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</si>
  <si>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</si>
  <si>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</si>
  <si>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</si>
  <si>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</si>
  <si>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</si>
  <si>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Side by Side</t>
  </si>
  <si>
    <t>Job required</t>
  </si>
  <si>
    <t>Flag</t>
  </si>
  <si>
    <t>Fabric Width</t>
  </si>
  <si>
    <t>CustVar1 (PackSize)</t>
  </si>
  <si>
    <t>CustVar2 (PackOpt)</t>
  </si>
  <si>
    <t>Control Side</t>
  </si>
  <si>
    <t>Sticker No.</t>
  </si>
  <si>
    <t>Order #</t>
  </si>
  <si>
    <t>CustVar3 (PackType)</t>
  </si>
  <si>
    <t>Sizes</t>
  </si>
  <si>
    <t>Deduction</t>
  </si>
  <si>
    <t>Face</t>
  </si>
  <si>
    <t>No</t>
  </si>
  <si>
    <t>Reveal</t>
  </si>
  <si>
    <t>Tube Cutting</t>
  </si>
  <si>
    <t>Thru</t>
  </si>
  <si>
    <t>Butt</t>
  </si>
  <si>
    <t>Installation Deliver or Supply Only</t>
  </si>
  <si>
    <t>Is Rework / Remake</t>
  </si>
  <si>
    <t>Recess Fit (No Deduction)</t>
  </si>
  <si>
    <t>Entered Width</t>
  </si>
  <si>
    <t>Additional Deductions</t>
  </si>
  <si>
    <t>Deductions</t>
  </si>
  <si>
    <t>A</t>
  </si>
  <si>
    <t>Streamline Cord Operation</t>
  </si>
  <si>
    <t>Face Fit (5mm Deduction)</t>
  </si>
  <si>
    <t>Face Fit (10mm Deduction)</t>
  </si>
  <si>
    <t>Flick Stick Qty</t>
  </si>
  <si>
    <t>Number of Bends</t>
  </si>
  <si>
    <t>Track Cut Length</t>
  </si>
  <si>
    <t>Centre Opening</t>
  </si>
  <si>
    <t>Operation</t>
  </si>
  <si>
    <t>Flick Sticks or Cord</t>
  </si>
  <si>
    <t>Lookup</t>
  </si>
  <si>
    <t>Single Panel - Left Stacking</t>
  </si>
  <si>
    <t>Single Panel - Right Stacking</t>
  </si>
  <si>
    <t>Single Panel - Free Flowing</t>
  </si>
  <si>
    <t>Streamline Hand Operation</t>
  </si>
  <si>
    <t>Conduit</t>
  </si>
  <si>
    <t>29mm Rod</t>
  </si>
  <si>
    <t>Track Type</t>
  </si>
  <si>
    <t xml:space="preserve">CURTAIN TRACK/ROD Cutting </t>
  </si>
  <si>
    <t>Brackets</t>
  </si>
  <si>
    <t>Flick Sticks Qty</t>
  </si>
  <si>
    <t>Ceiling</t>
  </si>
  <si>
    <t>Brackets Type</t>
  </si>
  <si>
    <t>Track Width</t>
  </si>
  <si>
    <t>Flick Sticks or Cord Length</t>
  </si>
  <si>
    <t>No Movement</t>
  </si>
  <si>
    <t>Track Shape</t>
  </si>
  <si>
    <t>Muslin Brackets</t>
  </si>
  <si>
    <t>Muslin Brackets with Wire Support Bracket</t>
  </si>
  <si>
    <t>Single Face Fix Brackets</t>
  </si>
  <si>
    <t>Top Fix Brackets</t>
  </si>
  <si>
    <t>Double Face Fix Brackets</t>
  </si>
  <si>
    <t>25mm Brackets with Acorns</t>
  </si>
  <si>
    <t>100mm Unstayed Brackets with Acorns</t>
  </si>
  <si>
    <t>Track/Rod Type</t>
  </si>
  <si>
    <t>Track/Rod Colour</t>
  </si>
  <si>
    <t>CURTAIN TRACK/ROD Job Sheet</t>
  </si>
  <si>
    <t>Opening</t>
  </si>
  <si>
    <t>Straight</t>
  </si>
  <si>
    <t>Track</t>
  </si>
  <si>
    <t>1st Bend Measurement from LHS</t>
  </si>
  <si>
    <t>4th Bend Measurement from LHS</t>
  </si>
  <si>
    <t>2nd Bend Measurement from LHS</t>
  </si>
  <si>
    <t>3rd Bend Measurement from LHS</t>
  </si>
  <si>
    <t>No Track</t>
  </si>
  <si>
    <t>No Rod</t>
  </si>
  <si>
    <t>TBS Order Form</t>
  </si>
  <si>
    <t>Wall to Wall</t>
  </si>
  <si>
    <t>Butt Muslin Brackets</t>
  </si>
  <si>
    <t>Butt 25mm Brackets</t>
  </si>
  <si>
    <t>Butt 170mm Brackets</t>
  </si>
  <si>
    <t>2 Wall Sockets</t>
  </si>
  <si>
    <t>1 Wall Socket &amp; 1 L Bracket</t>
  </si>
  <si>
    <t>2 x L Bracket</t>
  </si>
  <si>
    <t>Top Fix</t>
  </si>
  <si>
    <t>Susp. Tube</t>
  </si>
  <si>
    <t>Colour</t>
  </si>
  <si>
    <t>Look Up</t>
  </si>
  <si>
    <t>Anwser</t>
  </si>
  <si>
    <t>White</t>
  </si>
  <si>
    <t>DBS to Make</t>
  </si>
  <si>
    <t>Birch White</t>
  </si>
  <si>
    <t>Black</t>
  </si>
  <si>
    <t>Track from TBS</t>
  </si>
  <si>
    <t>Designer 25 Hand Drawn</t>
  </si>
  <si>
    <t>Butt Double Track</t>
  </si>
  <si>
    <t>S-Fold Cord Operation</t>
  </si>
  <si>
    <t>S-Fold Hand Operation</t>
  </si>
  <si>
    <t>Ivory</t>
  </si>
  <si>
    <t>100mm Brackets with Ball Finials</t>
  </si>
  <si>
    <t>170mm Brackets with Ball Finials</t>
  </si>
  <si>
    <t>100mm Brackets with End Caps</t>
  </si>
  <si>
    <t>170mm Brackets with End Caps</t>
  </si>
  <si>
    <t>System 30 Heavy Duty Commercial Track Cord Drawn</t>
  </si>
  <si>
    <t>Chrome</t>
  </si>
  <si>
    <t>Finials</t>
  </si>
  <si>
    <t>Hospital</t>
  </si>
  <si>
    <t>Anodised Silver</t>
  </si>
  <si>
    <t>Matt Satin</t>
  </si>
  <si>
    <t>Designer 25 Cord Drawn</t>
  </si>
  <si>
    <t>System 30 Heavy Duty Commercial Track Hand Drawn</t>
  </si>
  <si>
    <t>System 20 Light Commercial Track Cord Drawn</t>
  </si>
  <si>
    <t>System 20 Light Commercial Track Hand Drawn</t>
  </si>
  <si>
    <t>Designer 25 S-Fold Cord Drawn</t>
  </si>
  <si>
    <t>Antique Brass</t>
  </si>
  <si>
    <t>Designer 25 S-Fold Hand Drawn</t>
  </si>
  <si>
    <t>Conduit x 2</t>
  </si>
  <si>
    <t>Rod Brackets</t>
  </si>
  <si>
    <t>No.</t>
  </si>
  <si>
    <t>Muslin Brackets Top &amp; Bottom</t>
  </si>
  <si>
    <t>Muslin Brackets Top and Bottom</t>
  </si>
  <si>
    <t>Double Face Fix Brackets with End Caps</t>
  </si>
  <si>
    <t>Tape</t>
  </si>
  <si>
    <t>S-Fold Heavy Duty Hand Operation</t>
  </si>
  <si>
    <t>S-Fold Heavy Duty Cord Operation</t>
  </si>
  <si>
    <t>Hospital with Cassette</t>
  </si>
  <si>
    <t>Designer 38 S-Fold Cord Drawn</t>
  </si>
  <si>
    <t>Designer 38 S-Fold Hand Drawn</t>
  </si>
  <si>
    <t>None Required (Double Track)</t>
  </si>
  <si>
    <t>Customer.Warning</t>
  </si>
  <si>
    <t>Customer.WarningColour</t>
  </si>
  <si>
    <t>Bagging</t>
  </si>
  <si>
    <t>CURTAIN TRACK/ROD Bagging</t>
  </si>
  <si>
    <t>None Required</t>
  </si>
  <si>
    <t>Triple Face Fix Brackets</t>
  </si>
  <si>
    <t>100mm Brackets</t>
  </si>
  <si>
    <t>170mm Brackets</t>
  </si>
  <si>
    <t>Glide Bracket 60mm</t>
  </si>
  <si>
    <t>Glide Bracket 100mm</t>
  </si>
  <si>
    <t>Glide Bracket 140mm</t>
  </si>
  <si>
    <t>Glide Top Fix Bracket</t>
  </si>
  <si>
    <t>Boldtrak Standard 60mm Bracket</t>
  </si>
  <si>
    <t>Boldtrak Premo 100mm Bracket</t>
  </si>
  <si>
    <t>Boldtrak Premo 140mm Bracket</t>
  </si>
  <si>
    <t>Boldtrak Top Fix Bracket</t>
  </si>
  <si>
    <t>Wavefold Cord Operation</t>
  </si>
  <si>
    <t>Yes</t>
  </si>
  <si>
    <t>Thru Double Track (Front)</t>
  </si>
  <si>
    <t>Butt Double Track (Front)</t>
  </si>
  <si>
    <t>Designer 25 Wavefold Cord Drawn</t>
  </si>
  <si>
    <t>Designer 25 Wavefold Hand Drawn</t>
  </si>
  <si>
    <t>Designer 38 Wavefold Cord Drawn</t>
  </si>
  <si>
    <t>Designer 38 Wavefold Hand Drawn</t>
  </si>
  <si>
    <t>Vanda Boldtrak 25 S-Fold</t>
  </si>
  <si>
    <t>Track from Vanda</t>
  </si>
  <si>
    <t>Riverstone</t>
  </si>
  <si>
    <t>Classic White</t>
  </si>
  <si>
    <t>Bronze</t>
  </si>
  <si>
    <t>Pewter</t>
  </si>
  <si>
    <t>Silver Pearl</t>
  </si>
  <si>
    <t>Vanda Boldtrak 25 Wavefold</t>
  </si>
  <si>
    <t>Vanda Boldtrak 25 with Glides</t>
  </si>
  <si>
    <t>Vanda Boldtrak 35 S-Fold</t>
  </si>
  <si>
    <t>Vanda Boldtrak 35 Wavefold</t>
  </si>
  <si>
    <t>Vanda Boldtrak 35 with Glides</t>
  </si>
  <si>
    <t>Vanda Versatrak 25 Rod with Glides</t>
  </si>
  <si>
    <t>Wavefold Hand Operation</t>
  </si>
  <si>
    <t>Vanda Flushfit Recessed Track Wavefold</t>
  </si>
  <si>
    <t>Renaissance Decorator Rod Cord Drawn</t>
  </si>
  <si>
    <t>Renaissance Decorator Rod Hand Drawn</t>
  </si>
  <si>
    <t>Tape with Track</t>
  </si>
  <si>
    <t>Track Order Form</t>
  </si>
  <si>
    <t>Thru Double Track (Back)</t>
  </si>
  <si>
    <t>Butt Double Track (Back)</t>
  </si>
  <si>
    <t>Thru &amp; Wall to Wall</t>
  </si>
  <si>
    <t>Butt &amp; Wall to Wall</t>
  </si>
  <si>
    <t>Centre Opening - Free Flowing</t>
  </si>
  <si>
    <t>Electrical Form</t>
  </si>
  <si>
    <t>Phone Number</t>
  </si>
  <si>
    <t>Electrician Required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</si>
  <si>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</si>
  <si>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</si>
  <si>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</si>
  <si>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</si>
  <si>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</si>
  <si>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</si>
  <si>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</si>
  <si>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M</t>
  </si>
  <si>
    <t>No Track or Rod Required</t>
  </si>
  <si>
    <t>Butt Double Bracket Projection (Back)</t>
  </si>
  <si>
    <t>Butt Double Bracket Projection (Back) &amp; Wall to Wall</t>
  </si>
  <si>
    <t>Butt Double Bracket Projection (Front)</t>
  </si>
  <si>
    <t>Butt Double Bracket Projection (Front) &amp; Wall to Wall</t>
  </si>
  <si>
    <t>Butt Double Track (Back) Triple Bracket</t>
  </si>
  <si>
    <t>Butt Double Track (Back) Triple Bracket Wall to Wall</t>
  </si>
  <si>
    <t>Butt Double Track (Back) Wall to Wall</t>
  </si>
  <si>
    <t>Butt Double Track (Front) Triple Bracket</t>
  </si>
  <si>
    <t>Butt Double Track (Front) Triple Bracket Wall to Wall</t>
  </si>
  <si>
    <t>Butt Double Track (Front) Wall to Wall</t>
  </si>
  <si>
    <t>Butt on Both Ends</t>
  </si>
  <si>
    <t>Butt on Both Ends Double Bracket Projection (Back)</t>
  </si>
  <si>
    <t>Butt on Both Ends Double Bracket Projection (Front)</t>
  </si>
  <si>
    <t>Butt on Both Ends Double Track (Back)</t>
  </si>
  <si>
    <t>Butt on Both Ends Double Track (Front)</t>
  </si>
  <si>
    <t>Butt on Both Ends Double Track Triple Bracket</t>
  </si>
  <si>
    <t>Butt on Both Ends Double Track Triple Bracket (Back)</t>
  </si>
  <si>
    <t>Butt on Both Ends Double Track Triple Bracket (Front)</t>
  </si>
  <si>
    <t>Butt on Both Ends Triple Bracket Projection (Back)</t>
  </si>
  <si>
    <t>Butt on Both Ends Triple Bracket Projection (Front)</t>
  </si>
  <si>
    <t>Butt Triple Bracket Projection (Back)</t>
  </si>
  <si>
    <t>Butt Triple Bracket Projection (Back) &amp; Wall to Wall</t>
  </si>
  <si>
    <t>Butt Triple Bracket Projection (Front)</t>
  </si>
  <si>
    <t>Butt Triple Bracket Projection (Front) &amp; Wall to Wall</t>
  </si>
  <si>
    <t>Double 45 Degree Bay 2 Bends Back Track</t>
  </si>
  <si>
    <t>Double 45 Degree Bay 2 Bends Front Track</t>
  </si>
  <si>
    <t>Double 90 Degree Corner Window 1  Bends Back Track</t>
  </si>
  <si>
    <t>Double 90 Degree Corner Window 1  Bends Front Track</t>
  </si>
  <si>
    <t>Thru Double Bracket Projection (Back)</t>
  </si>
  <si>
    <t>Thru Double Bracket Projection (Back) &amp; Wall to Wall</t>
  </si>
  <si>
    <t>Thru Double Bracket Projection (Front)</t>
  </si>
  <si>
    <t>Thru Double Bracket Projection (Front) &amp; Wall to Wall</t>
  </si>
  <si>
    <t>Thru Double Track (Back) Triple Bracket</t>
  </si>
  <si>
    <t>Thru Double Track (Back) Triple Bracket Wall to Wall</t>
  </si>
  <si>
    <t>Thru Double Track (Back) Wall to Wall</t>
  </si>
  <si>
    <t>Thru Double Track (Front) Triple Bracket</t>
  </si>
  <si>
    <t>Thru Double Track (Front) Triple Bracket Wall to Wall</t>
  </si>
  <si>
    <t>Thru Double Track (Front) Wall to Wall</t>
  </si>
  <si>
    <t>Thru on Both Ends</t>
  </si>
  <si>
    <t>Thru on Both Ends Double Bracket Projection (Back)</t>
  </si>
  <si>
    <t>Thru on Both Ends Double Bracket Projection (Front)</t>
  </si>
  <si>
    <t>Thru on Both Ends Double Track (Back)</t>
  </si>
  <si>
    <t>Thru on Both Ends Double Track (Front)</t>
  </si>
  <si>
    <t>Thru on Both Ends Double Track Triple Bracket (Back)</t>
  </si>
  <si>
    <t>Thru on Both Ends Double Track Triple Bracket (Front)</t>
  </si>
  <si>
    <t>Thru on Both Ends Triple Bracket Projection (Back)</t>
  </si>
  <si>
    <t>Thru on Both Ends Triple Bracket Projection (Front)</t>
  </si>
  <si>
    <t>Thru Triple Bracket Projection (Back)</t>
  </si>
  <si>
    <t>Thru Triple Bracket Projection (Back) &amp; Wall to Wall</t>
  </si>
  <si>
    <t>Thru Triple Bracket Projection (Front)</t>
  </si>
  <si>
    <t>Thru Triple Bracket Projection (Front) &amp; Wall to Wall</t>
  </si>
  <si>
    <t>Gold</t>
  </si>
  <si>
    <t>Matt Black Ink</t>
  </si>
  <si>
    <t>Vanda Boldtrak 32 with Glides</t>
  </si>
  <si>
    <t>Existing Hospital Track</t>
  </si>
  <si>
    <t>Existing Eyelot Rod</t>
  </si>
  <si>
    <t>Existing Normal Track</t>
  </si>
  <si>
    <t>Existing Conduit or Wire</t>
  </si>
  <si>
    <t>Existing Normal S-Fold Track</t>
  </si>
  <si>
    <t>Existing Normal Wavefold Track</t>
  </si>
  <si>
    <t>Existing Vanda Flushfit Recessed Track Wavefold</t>
  </si>
  <si>
    <t>Existing Decorator Track</t>
  </si>
  <si>
    <t>Overlap</t>
  </si>
  <si>
    <t>O/Lap Size</t>
  </si>
  <si>
    <t>SEM Streamline Hand Operation</t>
  </si>
  <si>
    <t>80% One Way</t>
  </si>
  <si>
    <t>Centre Opening 80%</t>
  </si>
  <si>
    <t>One way 100% Fullness</t>
  </si>
  <si>
    <t>Centre Opening 100%</t>
  </si>
  <si>
    <t>One Way 120% Fullness</t>
  </si>
  <si>
    <t>Centre Opening 120% Fullness</t>
  </si>
  <si>
    <t>Heading</t>
  </si>
  <si>
    <t>Table</t>
  </si>
  <si>
    <t>Track Length</t>
  </si>
  <si>
    <t>Hooks</t>
  </si>
  <si>
    <t>1 x 8</t>
  </si>
  <si>
    <t>2 x 8</t>
  </si>
  <si>
    <t>2 x 6</t>
  </si>
  <si>
    <t>1 x 10</t>
  </si>
  <si>
    <t>2 x 10</t>
  </si>
  <si>
    <t>100% One Way</t>
  </si>
  <si>
    <t>1 x 12</t>
  </si>
  <si>
    <t>2 x 12</t>
  </si>
  <si>
    <t>1 x 14</t>
  </si>
  <si>
    <t>2 x 14</t>
  </si>
  <si>
    <t>1 x 16</t>
  </si>
  <si>
    <t>2 x 16</t>
  </si>
  <si>
    <t>1 x 18</t>
  </si>
  <si>
    <t>2 x 18</t>
  </si>
  <si>
    <t>1 x 20</t>
  </si>
  <si>
    <t>2 x 20</t>
  </si>
  <si>
    <t>1 x 22</t>
  </si>
  <si>
    <t>2 x 22</t>
  </si>
  <si>
    <t>1 x 24</t>
  </si>
  <si>
    <t>2 x 24</t>
  </si>
  <si>
    <t>1 x 26</t>
  </si>
  <si>
    <t>2 x 26</t>
  </si>
  <si>
    <t>1 x 28</t>
  </si>
  <si>
    <t>2 x 28</t>
  </si>
  <si>
    <t>1 x 30</t>
  </si>
  <si>
    <t>2 x 30</t>
  </si>
  <si>
    <t>1 x 32</t>
  </si>
  <si>
    <t>2 x 32</t>
  </si>
  <si>
    <t>1 x 34</t>
  </si>
  <si>
    <t>2 x 34</t>
  </si>
  <si>
    <t>1 x 36</t>
  </si>
  <si>
    <t>2 x 36</t>
  </si>
  <si>
    <t>1 x 38</t>
  </si>
  <si>
    <t>2 x 38</t>
  </si>
  <si>
    <t>1 x 40</t>
  </si>
  <si>
    <t>2 x 40</t>
  </si>
  <si>
    <t>1 x 42</t>
  </si>
  <si>
    <t>2 x 42</t>
  </si>
  <si>
    <t>1 x 44</t>
  </si>
  <si>
    <t>2 x 44</t>
  </si>
  <si>
    <t>1 x 46</t>
  </si>
  <si>
    <t>2 x 46</t>
  </si>
  <si>
    <t>Returns</t>
  </si>
  <si>
    <t>1 x 48</t>
  </si>
  <si>
    <t>2 x 48</t>
  </si>
  <si>
    <t>Both Sides</t>
  </si>
  <si>
    <t>Plus 1 Hook Spacing Each Side</t>
  </si>
  <si>
    <t>1 x 50</t>
  </si>
  <si>
    <t>2 x 50</t>
  </si>
  <si>
    <t>Left Only</t>
  </si>
  <si>
    <t>Plus 1 Hook Spacing</t>
  </si>
  <si>
    <t>1 x 52</t>
  </si>
  <si>
    <t>2 x 52</t>
  </si>
  <si>
    <t>Right Only</t>
  </si>
  <si>
    <t>1 x 54</t>
  </si>
  <si>
    <t>2 x 54</t>
  </si>
  <si>
    <t>None</t>
  </si>
  <si>
    <t>1 x 56</t>
  </si>
  <si>
    <t>2 x 56</t>
  </si>
  <si>
    <t>Double Left</t>
  </si>
  <si>
    <t>Plus 2 Hook Spacings</t>
  </si>
  <si>
    <t>1 x 58</t>
  </si>
  <si>
    <t>2 x 58</t>
  </si>
  <si>
    <t>Double Right</t>
  </si>
  <si>
    <t>1 x 60</t>
  </si>
  <si>
    <t>2 x 60</t>
  </si>
  <si>
    <t>Double Both Sides</t>
  </si>
  <si>
    <t>Plus 2 Hook Spacings Each Side</t>
  </si>
  <si>
    <t>1 x 62</t>
  </si>
  <si>
    <t>2 x 62</t>
  </si>
  <si>
    <t>1 x 64</t>
  </si>
  <si>
    <t>2 x 64</t>
  </si>
  <si>
    <t>1 x 66</t>
  </si>
  <si>
    <t>2 x 66</t>
  </si>
  <si>
    <t>1 x 68</t>
  </si>
  <si>
    <t>2 x 68</t>
  </si>
  <si>
    <t>1 x 70</t>
  </si>
  <si>
    <t>2 x 70</t>
  </si>
  <si>
    <t>1 x 72</t>
  </si>
  <si>
    <t>2 x 72</t>
  </si>
  <si>
    <t>1 x 74</t>
  </si>
  <si>
    <t>2 x 74</t>
  </si>
  <si>
    <t>1 x 76</t>
  </si>
  <si>
    <t>2 x 76</t>
  </si>
  <si>
    <t>1 x 78</t>
  </si>
  <si>
    <t>2 x 78</t>
  </si>
  <si>
    <t>1 x 80</t>
  </si>
  <si>
    <t>2 x 80</t>
  </si>
  <si>
    <t>1 x 82</t>
  </si>
  <si>
    <t>2 x 82</t>
  </si>
  <si>
    <t>1 x 84</t>
  </si>
  <si>
    <t>2 x 84</t>
  </si>
  <si>
    <t>1 x 86</t>
  </si>
  <si>
    <t>2 x 86</t>
  </si>
  <si>
    <t>1 x 88</t>
  </si>
  <si>
    <t>2 x 88</t>
  </si>
  <si>
    <t>1 x 90</t>
  </si>
  <si>
    <t>2 x 90</t>
  </si>
  <si>
    <t>1 x 92</t>
  </si>
  <si>
    <t>2 x 92</t>
  </si>
  <si>
    <t>1 x 94</t>
  </si>
  <si>
    <t>2 x 94</t>
  </si>
  <si>
    <t>1 x 96</t>
  </si>
  <si>
    <t>2 x 96</t>
  </si>
  <si>
    <t>1 x 98</t>
  </si>
  <si>
    <t>2 x 98</t>
  </si>
  <si>
    <t>1 x 100</t>
  </si>
  <si>
    <t>2 x 100</t>
  </si>
  <si>
    <t>1 x 102</t>
  </si>
  <si>
    <t>2 x 102</t>
  </si>
  <si>
    <t>1 x 104</t>
  </si>
  <si>
    <t>2 x 104</t>
  </si>
  <si>
    <t>1 x 106</t>
  </si>
  <si>
    <t>2 x 106</t>
  </si>
  <si>
    <t>1 x 108</t>
  </si>
  <si>
    <t>2 x 108</t>
  </si>
  <si>
    <t>1 x 110</t>
  </si>
  <si>
    <t>2 x 110</t>
  </si>
  <si>
    <t>1 x 112</t>
  </si>
  <si>
    <t>2 x 112</t>
  </si>
  <si>
    <t>1 x 114</t>
  </si>
  <si>
    <t>1 x 116</t>
  </si>
  <si>
    <t>1 x 118</t>
  </si>
  <si>
    <t>1 x 120</t>
  </si>
  <si>
    <t>1 x 122</t>
  </si>
  <si>
    <t>1 x 124</t>
  </si>
  <si>
    <t>1 x 126</t>
  </si>
  <si>
    <t>1 x 128</t>
  </si>
  <si>
    <t>1 x 130</t>
  </si>
  <si>
    <t>1 x 132</t>
  </si>
  <si>
    <t>1 x 134</t>
  </si>
  <si>
    <t>1 x 136</t>
  </si>
  <si>
    <t>1 x 138</t>
  </si>
  <si>
    <t>1 x 140</t>
  </si>
  <si>
    <t>1 x 142</t>
  </si>
  <si>
    <t>1 x 144</t>
  </si>
  <si>
    <t>1 x 146</t>
  </si>
  <si>
    <t>1 x 148</t>
  </si>
  <si>
    <t>1 x 150</t>
  </si>
  <si>
    <t>1 x 152</t>
  </si>
  <si>
    <t>1 x 154</t>
  </si>
  <si>
    <t>1 x 156</t>
  </si>
  <si>
    <t>1 x 158</t>
  </si>
  <si>
    <t>1 x 160</t>
  </si>
  <si>
    <t>1 x 162</t>
  </si>
  <si>
    <t>1 x 164</t>
  </si>
  <si>
    <t>1 x 166</t>
  </si>
  <si>
    <t>1 x 168</t>
  </si>
  <si>
    <t>1 x 170</t>
  </si>
  <si>
    <t>1 x 172</t>
  </si>
  <si>
    <t>1 x 174</t>
  </si>
  <si>
    <t>1 x 176</t>
  </si>
  <si>
    <t>1 x 178</t>
  </si>
  <si>
    <t>1 x 180</t>
  </si>
  <si>
    <t>1 x 182</t>
  </si>
  <si>
    <t>1 x 184</t>
  </si>
  <si>
    <t>1 x 186</t>
  </si>
  <si>
    <t>1 x 188</t>
  </si>
  <si>
    <t>1 x 190</t>
  </si>
  <si>
    <t>1 x 192</t>
  </si>
  <si>
    <t>1 x 194</t>
  </si>
  <si>
    <t>1 x 196</t>
  </si>
  <si>
    <t>1 x 198</t>
  </si>
  <si>
    <t>1 x 200</t>
  </si>
  <si>
    <t>1 x 202</t>
  </si>
  <si>
    <t>1 x 204</t>
  </si>
  <si>
    <t>1 x 206</t>
  </si>
  <si>
    <t>1 x 208</t>
  </si>
  <si>
    <t>1 x 210</t>
  </si>
  <si>
    <t>1 x 212</t>
  </si>
  <si>
    <t>1 x 214</t>
  </si>
  <si>
    <t>1 x 216</t>
  </si>
  <si>
    <t>1 x 218</t>
  </si>
  <si>
    <t>1 x 220</t>
  </si>
  <si>
    <t>1 x 222</t>
  </si>
  <si>
    <t>1 x 224</t>
  </si>
  <si>
    <t>1 x 226</t>
  </si>
  <si>
    <t>1 x 228</t>
  </si>
  <si>
    <t>1 x 230</t>
  </si>
  <si>
    <t>1 x 232</t>
  </si>
  <si>
    <t>1 x 234</t>
  </si>
  <si>
    <t>1 x 236</t>
  </si>
  <si>
    <t>1 x 238</t>
  </si>
  <si>
    <t>1 x 240</t>
  </si>
  <si>
    <t>1 x 242</t>
  </si>
  <si>
    <t>1 x 244</t>
  </si>
  <si>
    <t>1 x 246</t>
  </si>
  <si>
    <t>1 x 248</t>
  </si>
  <si>
    <t>1 x 250</t>
  </si>
  <si>
    <t>1 x 252</t>
  </si>
  <si>
    <t>1 x 254</t>
  </si>
  <si>
    <t>1 x 256</t>
  </si>
  <si>
    <t>1 x 258</t>
  </si>
  <si>
    <t>1 x 260</t>
  </si>
  <si>
    <r>
      <rPr>
        <b/>
        <u val="single"/>
        <sz val="11"/>
        <color rgb="FFFF0000"/>
        <rFont val="Arial"/>
        <family val="2"/>
      </rPr>
      <t>IT IS THE RESPONSIBILITY OF RETAILERS TO COMMUNICATE WITH WORKROOMS IN REGARDS TO</t>
    </r>
    <r>
      <rPr>
        <b/>
        <sz val="11"/>
        <color rgb="FFFF0000"/>
        <rFont val="Arial"/>
        <family val="2"/>
      </rPr>
      <t xml:space="preserve"> </t>
    </r>
    <r>
      <rPr>
        <b/>
        <u val="single"/>
        <sz val="11"/>
        <color rgb="FFFF0000"/>
        <rFont val="Arial"/>
        <family val="2"/>
      </rPr>
      <t>DISTANCES ON RETURNS TO THE WALL. TBS WILL SUPPLY 1 EXTRA 'HOOK SPACE' FOR SINGLE</t>
    </r>
    <r>
      <rPr>
        <b/>
        <sz val="11"/>
        <color rgb="FFFF0000"/>
        <rFont val="Arial"/>
        <family val="2"/>
      </rPr>
      <t xml:space="preserve"> </t>
    </r>
    <r>
      <rPr>
        <b/>
        <u val="single"/>
        <sz val="11"/>
        <color rgb="FFFF0000"/>
        <rFont val="Arial"/>
        <family val="2"/>
      </rPr>
      <t xml:space="preserve">RETURNS AND 2 EXTRA 'HOOK SPACINGS' FOR DOUBLE RETURNS
</t>
    </r>
    <r>
      <rPr>
        <b/>
        <sz val="11"/>
        <color rgb="FFFF0000"/>
        <rFont val="Arial"/>
        <family val="2"/>
      </rPr>
      <t>TBS WILL NOT BE RESPOSNIBLE FOR MANUFACTURING ERRORS WHICH OCCUR DUE TO INCORRECT TAPE SIZES. PLEASE TAKE CARE TO DOUBLE CHECK ALL TAPE LENGTHS BEFORE
MANUFACTURING.</t>
    </r>
  </si>
  <si>
    <t>Wavefold Look Up</t>
  </si>
  <si>
    <t>Wavefold Hooks</t>
  </si>
  <si>
    <t>Wavefold Returns</t>
  </si>
  <si>
    <t>Vanda Versatrak 16 Rod with Rings</t>
  </si>
  <si>
    <t>Vanda Versatrak 25 Rod with Rings</t>
  </si>
  <si>
    <t>Track Rod Colour</t>
  </si>
  <si>
    <t>Track Rod Width</t>
  </si>
  <si>
    <t>Centre Opening Offset LHS</t>
  </si>
  <si>
    <t>Centre Opening Offset RHS</t>
  </si>
  <si>
    <t>Centre Opening - Free Flowing (Offset Split)</t>
  </si>
  <si>
    <t>Centre Opening (Offset Split)</t>
  </si>
  <si>
    <t>Wavefold Track</t>
  </si>
  <si>
    <t>Single Left &amp; Right</t>
  </si>
  <si>
    <t>Single Left</t>
  </si>
  <si>
    <t>Single Right</t>
  </si>
  <si>
    <t>Double Left &amp; Right</t>
  </si>
  <si>
    <t>Wavefold Return Brackets</t>
  </si>
  <si>
    <t>Q</t>
  </si>
  <si>
    <t>Components</t>
  </si>
  <si>
    <t>Quote No.</t>
  </si>
  <si>
    <t>Line No</t>
  </si>
  <si>
    <t>Order Item Code</t>
  </si>
  <si>
    <t>Business Name</t>
  </si>
  <si>
    <t>Quote Ref</t>
  </si>
  <si>
    <t>Wavefold Tape Metres</t>
  </si>
  <si>
    <t>Wavefold Hooks White</t>
  </si>
  <si>
    <t>Wavefold Hooks Black</t>
  </si>
  <si>
    <t>Wavefold Track White Metres</t>
  </si>
  <si>
    <t>Wavefold Track Black Metres</t>
  </si>
  <si>
    <t>Streamline Gliders</t>
  </si>
  <si>
    <t>Streamline Track White Metres</t>
  </si>
  <si>
    <t>Streamline Matt Black Ink Metres</t>
  </si>
  <si>
    <t>Streamline Birch White Metres</t>
  </si>
  <si>
    <t>White Aluminium Flick Sticks 100cm</t>
  </si>
  <si>
    <t>White Aluminium Flick Sticks 125cm</t>
  </si>
  <si>
    <t>White Aluminium Flick Sticks 150cm</t>
  </si>
  <si>
    <t>Black Aluminium Flick Sticks 100cm</t>
  </si>
  <si>
    <t>Black Aluminium Flick Sticks 125cm</t>
  </si>
  <si>
    <t>Black Aluminium Flick Sticks 150cm</t>
  </si>
  <si>
    <t>Matt Satin Aluminium Flick Sticks 100cm</t>
  </si>
  <si>
    <t>Matt Satin Aluminium Flick Sticks 125cm</t>
  </si>
  <si>
    <t>Matt Satin Aluminium Flick Sticks 150cm</t>
  </si>
  <si>
    <t>Standard Clear Flick Sticks 75cm</t>
  </si>
  <si>
    <t>Standard Clear Flick Sticks 100cm</t>
  </si>
  <si>
    <t>Standard Clear Flick Sticks 125cm</t>
  </si>
  <si>
    <t>Standard Clear Flick Sticks 150cm</t>
  </si>
  <si>
    <t>White Fibreglass 200cm</t>
  </si>
  <si>
    <t>Wavefold Top Fix Brackets White</t>
  </si>
  <si>
    <t>Wavefold Single Face Fix Brackets White</t>
  </si>
  <si>
    <t>Wavefold Double Face Fix Brackets White</t>
  </si>
  <si>
    <t>Wavefold Triple Face Fix Brackets White</t>
  </si>
  <si>
    <t>Wavefold Top Fix Brackets Black</t>
  </si>
  <si>
    <t>Wavefold Single Face Fix Brackets Black</t>
  </si>
  <si>
    <t>Wavefold Double Face Fix Brackets Black</t>
  </si>
  <si>
    <t>Wavefold Triple Face Fix Brackets Black</t>
  </si>
  <si>
    <t>Streamline Single Face Fix Brackets White</t>
  </si>
  <si>
    <t>Streamline Double Face Fix Brackets White</t>
  </si>
  <si>
    <t>Streamline Triple Face Fix Brackets White</t>
  </si>
  <si>
    <t>Streamline Top Fix Brackets Matt Black Ink</t>
  </si>
  <si>
    <t>Streamline Single Face Fix Brackets Matt Black Ink</t>
  </si>
  <si>
    <t>Streamline Double Face Fix Brackets Matt Black Ink</t>
  </si>
  <si>
    <t>Streamline Triple Face Fix Brackets Matt Black Ink</t>
  </si>
  <si>
    <t>Streamline Top Fix Brackets Birch White</t>
  </si>
  <si>
    <t>Streamline Single Face Fix Brackets Birch White</t>
  </si>
  <si>
    <t>Streamline Double Face Fix Brackets Birch White</t>
  </si>
  <si>
    <t>Streamline Triple Face Fix Brackets Birch White</t>
  </si>
  <si>
    <t>Wavefold Top Fix Brackets Cover White</t>
  </si>
  <si>
    <t>Wavefold Single Face Fix Brackets Cover White</t>
  </si>
  <si>
    <t>Wavefold Double Face Fix Brackets Cover White</t>
  </si>
  <si>
    <t>Wavefold Triple Face Fix Brackets Cover White</t>
  </si>
  <si>
    <t>Wavefold Top Fix Brackets Cover Black</t>
  </si>
  <si>
    <t>Wavefold Single Face Fix Brackets Cover Black</t>
  </si>
  <si>
    <t>Wavefold Double Face Fix Brackets Cover Black</t>
  </si>
  <si>
    <t>Wavefold Triple Face Fix Brackets Cover Black</t>
  </si>
  <si>
    <t>Wavefold Single Return Brackets Left White</t>
  </si>
  <si>
    <t>Wavefold Single Return Brackets Left Black</t>
  </si>
  <si>
    <t>Wavefold Single Return Brackets Right White</t>
  </si>
  <si>
    <t>Wavefold Single Return Brackets Right Black</t>
  </si>
  <si>
    <t>Wavefold Double Return Brackets Left White</t>
  </si>
  <si>
    <t>Wavefold Double Return Brackets Left Black</t>
  </si>
  <si>
    <t>Wavefold Double Return Brackets Right White</t>
  </si>
  <si>
    <t>Wavefold Double Return Brackets Right Black</t>
  </si>
  <si>
    <t>Streamline Underlap Arm White</t>
  </si>
  <si>
    <t>Streamline Underlap Arm Matt Black Ink</t>
  </si>
  <si>
    <t>Streamline Underlap Arm Birch White</t>
  </si>
  <si>
    <t>Streamline Overlap Arm White</t>
  </si>
  <si>
    <t>Streamline Overlap Arm Matt Black Ink</t>
  </si>
  <si>
    <t>Streamline Overlap Arm Birch White</t>
  </si>
  <si>
    <t>Wavefold Single Cord Pulley White</t>
  </si>
  <si>
    <t>Wavefold Single Cord Pulley Black</t>
  </si>
  <si>
    <t>Wavefold Double Cord Pulley White</t>
  </si>
  <si>
    <t>Wavefold Double Cord Pulley Black</t>
  </si>
  <si>
    <t>Streamline Cord Pulley White</t>
  </si>
  <si>
    <t>Streamline Cord Pulley Matt Black Ink</t>
  </si>
  <si>
    <t>Streamline Cord Pulley Birch White</t>
  </si>
  <si>
    <t>Wavefold Insert Pulley</t>
  </si>
  <si>
    <t>Streamline Insert Pulley</t>
  </si>
  <si>
    <t>Wavefold Track Joiner</t>
  </si>
  <si>
    <t>Streamline Track Joiner</t>
  </si>
  <si>
    <t>Wavefold End Cap White</t>
  </si>
  <si>
    <t>Wavefold End Cap Black</t>
  </si>
  <si>
    <t>Streamline End Cap White</t>
  </si>
  <si>
    <t>Streamline End Cap Matt Black Ink</t>
  </si>
  <si>
    <t>Streamline End Cap Birch White</t>
  </si>
  <si>
    <t>Wavefold Cord Drawn Block White</t>
  </si>
  <si>
    <t>Wavefold Cord Drawn Block Black</t>
  </si>
  <si>
    <t>Wavefold Flick Stick Carrier White</t>
  </si>
  <si>
    <t>Wavefold Flick Stick Carrier Black</t>
  </si>
  <si>
    <t>Streamline Bent Track Corner Blocks</t>
  </si>
  <si>
    <t>Cord Tensioning Pulley</t>
  </si>
  <si>
    <t>Bracket Covers</t>
  </si>
  <si>
    <t>Track Manufacturing</t>
  </si>
  <si>
    <t>Wavefold White</t>
  </si>
  <si>
    <t>Wavefold Black</t>
  </si>
  <si>
    <t>Streamline White</t>
  </si>
  <si>
    <t>Streamline Matt Black Ink</t>
  </si>
  <si>
    <t>Wavefold Single Pulley</t>
  </si>
  <si>
    <t>Wavefold Double Pulley</t>
  </si>
  <si>
    <t>Wavefold End Cap</t>
  </si>
  <si>
    <t>Streamline Cord Pulley</t>
  </si>
  <si>
    <t>Streamline End Caps</t>
  </si>
  <si>
    <t>Wavefold Runners Black</t>
  </si>
  <si>
    <t>Wavefold Runners White</t>
  </si>
  <si>
    <t>Streamline Nylon Top Fix Brackets White</t>
  </si>
  <si>
    <t>Streamline Metal Top Fix Brackets White</t>
  </si>
  <si>
    <t>Wavefold Tapes &amp; Hooks</t>
  </si>
  <si>
    <t xml:space="preserve">Please Deliver Tapes to </t>
  </si>
  <si>
    <t>Customer</t>
  </si>
  <si>
    <t>Fullness</t>
  </si>
  <si>
    <t>Hook Colour</t>
  </si>
  <si>
    <t>Tapes</t>
  </si>
  <si>
    <t>H</t>
  </si>
  <si>
    <t>System 20 White</t>
  </si>
  <si>
    <t>System 20 Matt Black Ink</t>
  </si>
  <si>
    <t>System 20 Runners</t>
  </si>
  <si>
    <t>Streamline Nylon Top Fix Brackets Matt Black Ink</t>
  </si>
  <si>
    <t>Streamline Nylon Top Fix Brackets  Birch White</t>
  </si>
  <si>
    <t>Vanda Vantage 25mm Eyelot Rod</t>
  </si>
  <si>
    <t>Motorised Saber 240v Remote Track</t>
  </si>
  <si>
    <t>Motorised Saber 240v Switch Track</t>
  </si>
  <si>
    <t>Motorised Saber 12v Remote Track</t>
  </si>
  <si>
    <t>Motorised Acmeda 12v Remote Curtain Track</t>
  </si>
  <si>
    <t>Motorised Acmeda 240v Remote Curtain Track</t>
  </si>
  <si>
    <t>Motorised Somfy 12v Remote Curtain Track</t>
  </si>
  <si>
    <t>Motorised Somfy 240v Remote Curtain Track</t>
  </si>
  <si>
    <t>Motorised Somfy 240v Switch Curtain Track</t>
  </si>
  <si>
    <t>S-Fold Motorised Acmeda 12v Remote Curtain Track</t>
  </si>
  <si>
    <t>S-Fold Motorised Acmeda 240v Remote Curtain Track</t>
  </si>
  <si>
    <t>S-Fold Motorised Somfy 12v Remote Curtain Track</t>
  </si>
  <si>
    <t>S-Fold Motorised Somfy 240v Switch Curtain Track</t>
  </si>
  <si>
    <t>S-Fold Motorised Somfy 240v Remote Curtain Track</t>
  </si>
  <si>
    <t>Wavefold Motorised Somfy 240v Remote Curtain Track</t>
  </si>
  <si>
    <t>Wavefold Motorised Somfy 12v Remote Curtain Track</t>
  </si>
  <si>
    <t>Wavefold Motorised Somfy 240v Switch Curtain Track</t>
  </si>
  <si>
    <t>S-Fold Motorised Saber 240v Remote Track</t>
  </si>
  <si>
    <t>S-Fold Motorised Saber 240v Switch Track</t>
  </si>
  <si>
    <t>S-Fold Motorised Saber 12v Remote Track</t>
  </si>
  <si>
    <t>Wavefold Motorised Saber 240v Remote Track</t>
  </si>
  <si>
    <t>Wavefold Motorised Saber 240v Switch Track</t>
  </si>
  <si>
    <t>Wavefold Motorised Saber 12v Remote Track</t>
  </si>
  <si>
    <t>Existing Designer 25 Track</t>
  </si>
  <si>
    <t>Email</t>
  </si>
  <si>
    <t>System 20 Underlap Arm White</t>
  </si>
  <si>
    <t>System 20 Underlap Arm Black</t>
  </si>
  <si>
    <t>System 20 Overlap Arm White</t>
  </si>
  <si>
    <t>System 20 Overlap Arm Black</t>
  </si>
  <si>
    <t>System 20 Black</t>
  </si>
  <si>
    <t>Streamline 32mm Face Fix Brackets White</t>
  </si>
  <si>
    <t>Streamline 32mm Face Fix Brackets Matt Black Ink</t>
  </si>
  <si>
    <t>Streamline 32mm Face Fix Brackets Birch White</t>
  </si>
  <si>
    <t>Silver</t>
  </si>
  <si>
    <t>Designer 15 Cord Drawn</t>
  </si>
  <si>
    <t>Designer 15 Hand Drawn</t>
  </si>
  <si>
    <t>Designer 15 S-Fold Cord Drawn</t>
  </si>
  <si>
    <t>Designer 15 S-Fold Hand Drawn</t>
  </si>
  <si>
    <t>Designer 15 Wavefold Cord Drawn</t>
  </si>
  <si>
    <t>Designer 15 Wavefold Hand Drawn</t>
  </si>
  <si>
    <t>Existing Motorised S-Fold Track</t>
  </si>
  <si>
    <t>Existing Motorised Track</t>
  </si>
  <si>
    <t>Existing Motorised Wavefold Track</t>
  </si>
  <si>
    <t>Existing Versatrak 25 Track with Glides and 100mm Bracket</t>
  </si>
  <si>
    <t>Renaissance Decorator Rod with Rings Cord Drawn</t>
  </si>
  <si>
    <t>Renaissance Decorator Rod with Rings Hand Drawn</t>
  </si>
  <si>
    <t>Wavefold Matt Satin</t>
  </si>
  <si>
    <t>Wavefold Track Matt Satin Metres</t>
  </si>
  <si>
    <t>Wavefold Top Fix Brackets Matt Satin</t>
  </si>
  <si>
    <t>Wavefold Single Face Fix Brackets Matt Satin</t>
  </si>
  <si>
    <t>Wavefold Double Face Fix Brackets Matt Satin</t>
  </si>
  <si>
    <t>Wavefold Triple Face Fix Brackets Matt Satin</t>
  </si>
  <si>
    <t>Wavefold Top Fix Brackets Cover Matt Satin</t>
  </si>
  <si>
    <t>Wavefold Single Face Fix Brackets Cover Matt Satin</t>
  </si>
  <si>
    <t>Wavefold Double Face Fix Brackets Cover Matt Satin</t>
  </si>
  <si>
    <t>Wavefold Triple Face Fix Brackets Cover Matt Satin</t>
  </si>
  <si>
    <t>Wavefold Single Return Brackets Left Matt Satin</t>
  </si>
  <si>
    <t>Wavefold Single Return Brackets Right Matt Satin</t>
  </si>
  <si>
    <t>Wavefold Double Return Brackets Left Matt Satin</t>
  </si>
  <si>
    <t>Wavefold Double Return Brackets Right Matt Satin</t>
  </si>
  <si>
    <t>Wavefold Single Cord Pulley Matt Satin</t>
  </si>
  <si>
    <t>Wavefold Double Cord Pulley Matt Satin</t>
  </si>
  <si>
    <t>Wavefold End Cap Matt Satin</t>
  </si>
  <si>
    <t>Track from Unique Screens</t>
  </si>
  <si>
    <t>32mm Face Fix Brackets</t>
  </si>
  <si>
    <t>Corner Blocks</t>
  </si>
  <si>
    <t>Existing Designer 15 Wavefold Track</t>
  </si>
  <si>
    <t>Existing Designer 25 Wavefold Track</t>
  </si>
  <si>
    <t>Existing Versatrak 25 Rod with Rings</t>
  </si>
  <si>
    <t>Inside Pelmet</t>
  </si>
  <si>
    <t>White Fibreglass 250cm</t>
  </si>
  <si>
    <t>Streamline Birch White</t>
  </si>
  <si>
    <t>Metal Top Fix Brackets</t>
  </si>
  <si>
    <t>100mm Unstayed Brackets</t>
  </si>
  <si>
    <t>25mm Brackets</t>
  </si>
  <si>
    <t>Acorns</t>
  </si>
  <si>
    <t>This should be in column AX</t>
  </si>
  <si>
    <t>Sign</t>
  </si>
  <si>
    <t>G</t>
  </si>
  <si>
    <t>1st Bend from LHS</t>
  </si>
  <si>
    <t>2nd Bend from LHS</t>
  </si>
  <si>
    <t>3rd Bend from LHS</t>
  </si>
  <si>
    <t>4th Bend from LHS</t>
  </si>
  <si>
    <t>Glider Qty</t>
  </si>
  <si>
    <t>Bracket Colour</t>
  </si>
  <si>
    <t>Bracket Qty</t>
  </si>
  <si>
    <t>N</t>
  </si>
  <si>
    <t/>
  </si>
  <si>
    <t>ConduitIvory</t>
  </si>
  <si>
    <t>N/A</t>
  </si>
  <si>
    <t>Wavefold Motorised Acmeda 240v Remote Track</t>
  </si>
  <si>
    <t>Bent</t>
  </si>
  <si>
    <t>Champagne</t>
  </si>
  <si>
    <t>Matt Black</t>
  </si>
  <si>
    <t>Existing Designer 15 Track</t>
  </si>
  <si>
    <t>Existing Vanda Flushfit Recessed Track with Runners</t>
  </si>
  <si>
    <t>Vanda Flushfit Recessed Track with Runners</t>
  </si>
  <si>
    <t>Wavefold Motorised Acmeda 12v Remote Track</t>
  </si>
  <si>
    <t>1st Bend Internal or External</t>
  </si>
  <si>
    <t>1st Bend (mm) from LHS</t>
  </si>
  <si>
    <t>1st Bend Angle</t>
  </si>
  <si>
    <t>2nd Bend Internal or External</t>
  </si>
  <si>
    <t>2nd Bend (mm) from LHS</t>
  </si>
  <si>
    <t>2nd Bend Angle</t>
  </si>
  <si>
    <t>3rd Bend Internal or External</t>
  </si>
  <si>
    <t>3rd Bend (mm) from LHS</t>
  </si>
  <si>
    <t>3rd Bend Angle</t>
  </si>
  <si>
    <t>4th Bend Internal or External</t>
  </si>
  <si>
    <t>4th Bend (mm) from LHS</t>
  </si>
  <si>
    <t>4th Bend Angle</t>
  </si>
  <si>
    <t>Bent Track Length Allowance</t>
  </si>
  <si>
    <t>Single or Double</t>
  </si>
  <si>
    <t>Bracket</t>
  </si>
  <si>
    <t>Projection</t>
  </si>
  <si>
    <t>Single</t>
  </si>
  <si>
    <t>2 x L Brackets</t>
  </si>
  <si>
    <t>Boldtrak Standard 145mm Bracket</t>
  </si>
  <si>
    <t>Boldtrak Top Fix Suspension Bracket</t>
  </si>
  <si>
    <t>Vantage Single Bracket 100mm</t>
  </si>
  <si>
    <t>Vantage Single Bracket 140mm</t>
  </si>
  <si>
    <t>Vantage Top Fix Bracket</t>
  </si>
  <si>
    <t>Versatrak 16mm Top Fix 100mm Suspension Bracket</t>
  </si>
  <si>
    <t>Versatrak 25mm Top Fix 100mm Suspension Bracket</t>
  </si>
  <si>
    <t>Versatrak Glide Bracket 100mm</t>
  </si>
  <si>
    <t>Versatrak Glide Bracket 140mm</t>
  </si>
  <si>
    <t>Versatrak Glide Bracket 40mm</t>
  </si>
  <si>
    <t>Versatrak Glide Bracket 60mm</t>
  </si>
  <si>
    <t>Versatrak Ring Bracket 100mm</t>
  </si>
  <si>
    <t>Versatrak Ring Bracket 140mm</t>
  </si>
  <si>
    <t>Versatrak Ring Bracket 60mm</t>
  </si>
  <si>
    <t>Versatrak Top Fix Ring Bracket</t>
  </si>
  <si>
    <t>Versatrak Top Fix Suspension Bracket</t>
  </si>
  <si>
    <t>Versatrak Top Fix Suspension Bracket with 1 Wall Bracket</t>
  </si>
  <si>
    <t>Versatrak Top Fix Suspension Bracket with 2 Wall Brackets</t>
  </si>
  <si>
    <t>Versatrak Ultra Top Fix Glide Bracket</t>
  </si>
  <si>
    <t>Double Rear</t>
  </si>
  <si>
    <t>Boldtrak Premo Double Bracket Suit 16mm on Back</t>
  </si>
  <si>
    <t>Boldtrak Premo Double Bracket Suit 25mm on Back</t>
  </si>
  <si>
    <t>Boldtrak Standard Double Bracket Suit 25mm on Back</t>
  </si>
  <si>
    <t>Boldtrak Standard Double Bracket Suit 25mm on Front</t>
  </si>
  <si>
    <t>Boldtrak Standard Double Bracket Suit 32mm on Back</t>
  </si>
  <si>
    <t>Boldtrak Standard Double Bracket Suit 35mm on Back</t>
  </si>
  <si>
    <t>Versatrak 16mm Front and 25mm Back Combo Glide Bracket</t>
  </si>
  <si>
    <t>Versatrak 16mm Front and Back Combo Glide Bracket</t>
  </si>
  <si>
    <t>Versatrak 25mm Front and Back Combo Glide Bracket</t>
  </si>
  <si>
    <t>Versatrak 25mm Glide Front and 16mm Glide Back Combo Bracket</t>
  </si>
  <si>
    <t>Versatrak 25mm Ring Front and 16mm Glide Back Combo Bracket</t>
  </si>
  <si>
    <t>Versatrak 25mm Ring Front and 25mm Glide Back Combo Bracket</t>
  </si>
  <si>
    <t>Double Front</t>
  </si>
  <si>
    <t>DBS Saber Tracks</t>
  </si>
  <si>
    <t>TBS Saber Tracks</t>
  </si>
  <si>
    <t>Track Bend Radius</t>
  </si>
  <si>
    <t>Saber 100 Runners</t>
  </si>
  <si>
    <t>Saber 75 Runners</t>
  </si>
  <si>
    <t>Saber 50 LQ Runners</t>
  </si>
  <si>
    <t>S-Fold Saber 100</t>
  </si>
  <si>
    <t>S-Fold Saber 75</t>
  </si>
  <si>
    <t>S-Fold Saber 50 LQ</t>
  </si>
  <si>
    <t>Wavefold Saber 100</t>
  </si>
  <si>
    <t>Wavefold Saber 75</t>
  </si>
  <si>
    <t>Wavefold Saber 50 LQ</t>
  </si>
  <si>
    <t>Conduit x 3</t>
  </si>
  <si>
    <t>Renaissance Decorator Rod</t>
  </si>
  <si>
    <t>Wavefold Motorised Acmeda 12v Remote Curtain Track</t>
  </si>
  <si>
    <t>Wavefold Motorised Acmeda 240v Remote Curtain Track</t>
  </si>
  <si>
    <t>T</t>
  </si>
  <si>
    <t>Streamline Matt Satin Metres</t>
  </si>
  <si>
    <t>Streamline Matt Satin</t>
  </si>
  <si>
    <t>Streamline Nylon Top Fix Brackets Matt Satin</t>
  </si>
  <si>
    <t>Streamline Metal Top Fix Brackets Matt Satin</t>
  </si>
  <si>
    <t>Streamline Single Face Fix Brackets Matt Satin</t>
  </si>
  <si>
    <t>Streamline Double Face Fix Brackets Matt Satin</t>
  </si>
  <si>
    <t>Streamline Triple Face Fix Brackets Matt Satin</t>
  </si>
  <si>
    <t>Streamline 32mm Face Fix Brackets Matt Satin</t>
  </si>
  <si>
    <t>Streamline Underlap Arm Matt Satin</t>
  </si>
  <si>
    <t>Streamline Overlap Arm Matt Satin</t>
  </si>
  <si>
    <t>Streamline Cord Pulley Matt Satin</t>
  </si>
  <si>
    <t>Streamline End Cap Matt Satin</t>
  </si>
  <si>
    <t>Cord Length</t>
  </si>
  <si>
    <t>Job Tracking Action</t>
  </si>
  <si>
    <t>Dispatch Action</t>
  </si>
  <si>
    <t>Dispatch Date</t>
  </si>
  <si>
    <t>Assembly</t>
  </si>
  <si>
    <t>Curtain Track / Rod Assembly</t>
  </si>
  <si>
    <t>Track Status</t>
  </si>
  <si>
    <t>Elbow Joiner</t>
  </si>
  <si>
    <t>EM</t>
  </si>
  <si>
    <t>Bend Radius + Bracket Allow.</t>
  </si>
  <si>
    <t>1st Bend Allowance</t>
  </si>
  <si>
    <t>2nd Bend Allowance</t>
  </si>
  <si>
    <t>3rd Bend Allowance</t>
  </si>
  <si>
    <t>4th Bend Allowance</t>
  </si>
  <si>
    <t>Track Supplier</t>
  </si>
  <si>
    <t>BA</t>
  </si>
  <si>
    <t>c17c21b8-d675-4155-a5c4-af3c5add4121</t>
  </si>
  <si>
    <t>e49ceced-be27-42c9-a2c6-d2cc2dd62502</t>
  </si>
  <si>
    <t>Curtains</t>
  </si>
  <si>
    <t>26/08/2026 12:00:00 AM</t>
  </si>
  <si>
    <t>19/08/2026 4:00:02 PM</t>
  </si>
  <si>
    <t>20/10/2026 12:00:00 AM</t>
  </si>
  <si>
    <t>12027</t>
  </si>
  <si>
    <t>C</t>
  </si>
  <si>
    <t>SYMO3350.210</t>
  </si>
  <si>
    <t>Symons, Dianne</t>
  </si>
  <si>
    <t>210</t>
  </si>
  <si>
    <t>Eddy Avenue</t>
  </si>
  <si>
    <t>Mount Helen</t>
  </si>
  <si>
    <t>VIC</t>
  </si>
  <si>
    <t>3350</t>
  </si>
  <si>
    <t>Australia</t>
  </si>
  <si>
    <t>dianesymons56@gmail.com</t>
  </si>
  <si>
    <t>0422583519</t>
  </si>
  <si>
    <t>Head Office</t>
  </si>
  <si>
    <t>Kate Coffey</t>
  </si>
  <si>
    <t>kate@davidsonsblinds.com.au</t>
  </si>
  <si>
    <t>Dianne</t>
  </si>
  <si>
    <t>Symons</t>
  </si>
  <si>
    <t>Retail Customer</t>
  </si>
  <si>
    <t>mark@davidsonsblinds.com.au</t>
  </si>
  <si>
    <t>Unassigned installer 1</t>
  </si>
  <si>
    <t>U</t>
  </si>
  <si>
    <t>False</t>
  </si>
  <si>
    <t>0fee3f31-9625-4836-bb3d-0fac30f58f55</t>
  </si>
  <si>
    <t>Curtain Tracks &amp; Rods</t>
  </si>
  <si>
    <t>Bed 1</t>
  </si>
  <si>
    <t>20 x hooks 2071</t>
  </si>
  <si>
    <t>CTRAM399T40</t>
  </si>
  <si>
    <t>CTRA Streamline Cord Operation Birch White</t>
  </si>
  <si>
    <t>Production - Curtain Tracks &amp; Rods</t>
  </si>
  <si>
    <t>0</t>
  </si>
  <si>
    <t>0fee3f31-9625-4836-bb3d-0fac30f58f55|DESCN</t>
  </si>
  <si>
    <t>f52cbeb9-2ac0-4983-bd32-87296cf2ca40</t>
  </si>
  <si>
    <t>DESCN</t>
  </si>
  <si>
    <t>0fee3f31-9625-4836-bb3d-0fac30f58f55|SINGLE</t>
  </si>
  <si>
    <t>d3d7f98c-ca23-4bc0-b929-c935661285f4</t>
  </si>
  <si>
    <t>SINGLE</t>
  </si>
  <si>
    <t>0fee3f31-9625-4836-bb3d-0fac30f58f55|ITEMWIDTH</t>
  </si>
  <si>
    <t>0ebe1487-38df-4546-abd5-d70612ff1680</t>
  </si>
  <si>
    <t>ITEMWIDTH</t>
  </si>
  <si>
    <t>1880</t>
  </si>
  <si>
    <t>0fee3f31-9625-4836-bb3d-0fac30f58f55|SIZE</t>
  </si>
  <si>
    <t>5cf81752-a99f-4f73-82dd-c9125d8ae510</t>
  </si>
  <si>
    <t>SIZE</t>
  </si>
  <si>
    <t>0fee3f31-9625-4836-bb3d-0fac30f58f55|FIT</t>
  </si>
  <si>
    <t>ac3832e9-9e29-4825-b3ca-eea1240803af</t>
  </si>
  <si>
    <t>FIT</t>
  </si>
  <si>
    <t>0fee3f31-9625-4836-bb3d-0fac30f58f55|FIXING</t>
  </si>
  <si>
    <t>c48eb68a-def8-4aa5-be21-5743b7bc6da7</t>
  </si>
  <si>
    <t>FIXING</t>
  </si>
  <si>
    <t>Timber</t>
  </si>
  <si>
    <t>0fee3f31-9625-4836-bb3d-0fac30f58f55|CORDOP</t>
  </si>
  <si>
    <t>7103935b-99db-4eef-962c-5286342bf155</t>
  </si>
  <si>
    <t>CORDOP</t>
  </si>
  <si>
    <t>Right Cord</t>
  </si>
  <si>
    <t>0fee3f31-9625-4836-bb3d-0fac30f58f55|OPENING</t>
  </si>
  <si>
    <t>5ca1d33a-4d7c-4d25-a0cf-4f8ba6185aa5</t>
  </si>
  <si>
    <t>OPENING</t>
  </si>
  <si>
    <t>0fee3f31-9625-4836-bb3d-0fac30f58f55|BRACKETS</t>
  </si>
  <si>
    <t>ba9b2754-e793-479b-8af2-b734fb9bdb92</t>
  </si>
  <si>
    <t>BRACKETS</t>
  </si>
  <si>
    <t>0fee3f31-9625-4836-bb3d-0fac30f58f55|FLICKSTICKS</t>
  </si>
  <si>
    <t>1ff09cd2-5c73-4635-92e2-04199ffc82f8</t>
  </si>
  <si>
    <t>FLICKSTICKS</t>
  </si>
  <si>
    <t>150cm Cord Length</t>
  </si>
  <si>
    <t>0fee3f31-9625-4836-bb3d-0fac30f58f55|TRACKSHAPE</t>
  </si>
  <si>
    <t>7081ed1a-c40d-4445-8cc8-805e4ba1e9e5</t>
  </si>
  <si>
    <t>TRACKSHAPE</t>
  </si>
  <si>
    <t>0fee3f31-9625-4836-bb3d-0fac30f58f55|SIDEBYSIDE</t>
  </si>
  <si>
    <t>d63fd67d-7b8c-4837-99a6-d1595dfd61e1</t>
  </si>
  <si>
    <t>SIDEBYSIDE</t>
  </si>
  <si>
    <t>0fee3f31-9625-4836-bb3d-0fac30f58f55|INSTALLATION</t>
  </si>
  <si>
    <t>0878f954-bce4-45ef-93fe-65e47dadf756</t>
  </si>
  <si>
    <t>INSTALLATION</t>
  </si>
  <si>
    <t>Installation</t>
  </si>
  <si>
    <t>0fee3f31-9625-4836-bb3d-0fac30f58f55|HANGHEIGHT</t>
  </si>
  <si>
    <t>807a5b7f-e298-428b-9527-e77702d6867c</t>
  </si>
  <si>
    <t>HANGHEIGHT</t>
  </si>
  <si>
    <t>2.1m-2.4m</t>
  </si>
  <si>
    <t>0fee3f31-9625-4836-bb3d-0fac30f58f55|INSTALLG</t>
  </si>
  <si>
    <t>52f1b386-9793-495c-a8fd-6986a0504ffa</t>
  </si>
  <si>
    <t>INSTALLG</t>
  </si>
  <si>
    <t>Occupied Home</t>
  </si>
  <si>
    <t>0fee3f31-9625-4836-bb3d-0fac30f58f55|TAKEDOWN</t>
  </si>
  <si>
    <t>30cd26b3-3e35-4bbb-86e6-8b207a4b8f39</t>
  </si>
  <si>
    <t>TAKEDOWN</t>
  </si>
  <si>
    <t>0fee3f31-9625-4836-bb3d-0fac30f58f55|CHECKM</t>
  </si>
  <si>
    <t>a8459610-122e-4e77-8e13-800468415eb8</t>
  </si>
  <si>
    <t>CHECKM</t>
  </si>
  <si>
    <t>0fee3f31-9625-4836-bb3d-0fac30f58f55|EXTRACOSTS</t>
  </si>
  <si>
    <t>1f0b57bf-2fae-4ca2-a674-2c0a05e18dc7</t>
  </si>
  <si>
    <t>EXTRACOSTS</t>
  </si>
  <si>
    <t>$20</t>
  </si>
  <si>
    <t>0fee3f31-9625-4836-bb3d-0fac30f58f55|NOTES</t>
  </si>
  <si>
    <t>4c53ffc4-de36-4944-bf66-f136239d9719</t>
  </si>
  <si>
    <t>NOTES</t>
  </si>
  <si>
    <t>0fee3f31-9625-4836-bb3d-0fac30f58f55|NOTESQ</t>
  </si>
  <si>
    <t>fc21c650-8d4f-4659-8f26-093ca0118667</t>
  </si>
  <si>
    <t>NOTESQ</t>
  </si>
  <si>
    <t xml:space="preserve">This includes 20 curtain hooks. </t>
  </si>
  <si>
    <t>|CHECKMEAS</t>
  </si>
  <si>
    <t>165371f7-545a-4e04-a608-1664b5654712</t>
  </si>
  <si>
    <t>Extras</t>
  </si>
  <si>
    <t>CHECKMEAS</t>
  </si>
  <si>
    <t>|CURTMAKING</t>
  </si>
  <si>
    <t>18e40b29-da7e-48b9-8cd4-204c71139631</t>
  </si>
  <si>
    <t>CURTMAKING</t>
  </si>
  <si>
    <t>Jenny's Curtains - 9 Whitehills Rd, Creswick, Vic, 3363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</si>
</sst>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/mm/yyyy"/>
    <numFmt numFmtId="165" formatCode="0.0"/>
    <numFmt numFmtId="166" formatCode="0;\-0;&quot;0&quot;"/>
    <numFmt numFmtId="167" formatCode="0.0;\-0.0;&quot;0.0&quot;"/>
  </numFmts>
  <fonts count="58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8"/>
      <name val="Arial"/>
      <family val="2"/>
    </font>
    <font>
      <sz val="18"/>
      <name val="Arial"/>
      <family val="2"/>
    </font>
    <font>
      <b/>
      <sz val="26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i/>
      <sz val="26"/>
      <name val="Arial"/>
      <family val="2"/>
    </font>
    <font>
      <b/>
      <sz val="48"/>
      <color theme="0"/>
      <name val="Arial"/>
      <family val="2"/>
    </font>
    <font>
      <b/>
      <sz val="36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72"/>
      <color theme="0"/>
      <name val="Arial"/>
      <family val="2"/>
    </font>
    <font>
      <sz val="10"/>
      <color theme="1"/>
      <name val="Arial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u val="single"/>
      <sz val="11"/>
      <color rgb="FFFF0000"/>
      <name val="Arial"/>
      <family val="2"/>
    </font>
    <font>
      <b/>
      <sz val="11"/>
      <color rgb="FFFF0000"/>
      <name val="Arial"/>
      <family val="2"/>
    </font>
    <font>
      <sz val="24"/>
      <name val="Arial"/>
      <family val="2"/>
    </font>
    <font>
      <b/>
      <sz val="10"/>
      <color theme="1"/>
      <name val="Arial"/>
      <family val="2"/>
    </font>
    <font>
      <b/>
      <sz val="36"/>
      <name val="Arial"/>
      <family val="2"/>
    </font>
    <font>
      <b/>
      <sz val="24"/>
      <name val="Arial"/>
      <family val="2"/>
    </font>
    <font>
      <sz val="48"/>
      <name val="Arial"/>
      <family val="2"/>
    </font>
    <font>
      <i/>
      <sz val="48"/>
      <name val="Arial"/>
      <family val="2"/>
    </font>
    <font>
      <b/>
      <sz val="20"/>
      <name val="Arial"/>
      <family val="2"/>
    </font>
    <font>
      <b/>
      <sz val="28"/>
      <name val="Arial"/>
      <family val="2"/>
    </font>
    <font>
      <sz val="28"/>
      <name val="Arial"/>
      <family val="2"/>
    </font>
    <font>
      <b/>
      <u val="single"/>
      <sz val="28"/>
      <name val="Arial"/>
      <family val="2"/>
    </font>
    <font>
      <sz val="20"/>
      <name val="Arial"/>
      <family val="2"/>
    </font>
  </fonts>
  <fills count="34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6850004792213"/>
        <bgColor indexed="64"/>
      </patternFill>
    </fill>
    <fill>
      <patternFill patternType="solid">
        <fgColor theme="0" tint="-0.147149994969368"/>
        <bgColor indexed="64"/>
      </patternFill>
    </fill>
    <fill>
      <patternFill patternType="solid">
        <fgColor theme="0" tint="-0.147119998931885"/>
        <bgColor indexed="64"/>
      </patternFill>
    </fill>
    <fill>
      <patternFill patternType="solid">
        <fgColor theme="6" tint="0.59974998235702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680012464523"/>
        <bgColor indexed="64"/>
      </patternFill>
    </fill>
    <fill>
      <patternFill patternType="solid">
        <fgColor theme="0" tint="-0.246820002794266"/>
        <bgColor indexed="64"/>
      </patternFill>
    </fill>
    <fill>
      <patternFill patternType="solid">
        <fgColor theme="0" tint="-0.144010007381439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/>
      <bottom/>
    </border>
    <border>
      <left style="thin"/>
      <right style="thin"/>
      <top style="thin"/>
      <bottom/>
    </border>
    <border>
      <left style="thin"/>
      <right style="thin"/>
      <top style="thin"/>
      <bottom style="thin"/>
    </border>
    <border>
      <left/>
      <right/>
      <top/>
      <bottom style="thin"/>
    </border>
    <border>
      <left/>
      <right style="medium"/>
      <top style="medium"/>
      <bottom style="medium"/>
    </border>
    <border>
      <left style="medium"/>
      <right style="medium"/>
      <top style="medium"/>
      <bottom style="medium"/>
    </border>
    <border>
      <left/>
      <right/>
      <top style="medium"/>
      <bottom style="medium"/>
    </border>
    <border>
      <left style="medium"/>
      <right style="thin">
        <color rgb="FF000000"/>
      </right>
      <top style="medium"/>
      <bottom/>
    </border>
    <border>
      <left style="thin">
        <color rgb="FF000000"/>
      </left>
      <right style="thin">
        <color rgb="FF000000"/>
      </right>
      <top style="medium"/>
      <bottom/>
    </border>
    <border>
      <left style="medium"/>
      <right style="thin"/>
      <top/>
      <bottom style="thin"/>
    </border>
    <border>
      <left style="thin"/>
      <right style="thin"/>
      <top/>
      <bottom style="thin"/>
    </border>
    <border>
      <left style="thin"/>
      <right style="medium"/>
      <top/>
      <bottom style="thin"/>
    </border>
    <border>
      <left style="medium"/>
      <right style="thin"/>
      <top style="medium"/>
      <bottom style="thin"/>
    </border>
    <border>
      <left style="medium"/>
      <right style="thin"/>
      <top style="thin"/>
      <bottom style="thin"/>
    </border>
    <border>
      <left style="thin"/>
      <right style="medium"/>
      <top style="thin"/>
      <bottom style="thin"/>
    </border>
    <border>
      <left/>
      <right/>
      <top style="medium"/>
      <bottom/>
    </border>
    <border>
      <left style="medium"/>
      <right style="thin"/>
      <top style="thin"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 style="medium"/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thin"/>
      <right/>
      <top/>
      <bottom/>
    </border>
    <border>
      <left/>
      <right style="thin"/>
      <top/>
      <bottom/>
    </border>
    <border>
      <left style="thin"/>
      <right/>
      <top/>
      <bottom style="thin"/>
    </border>
    <border>
      <left/>
      <right style="thin"/>
      <top/>
      <bottom style="thin"/>
    </border>
    <border>
      <left style="thin"/>
      <right/>
      <top style="thin"/>
      <bottom style="thin"/>
    </border>
    <border>
      <left/>
      <right/>
      <top style="thin"/>
      <bottom style="thin"/>
    </border>
    <border>
      <left/>
      <right style="thin"/>
      <top style="thin"/>
      <bottom style="thin"/>
    </border>
    <border>
      <left style="medium"/>
      <right/>
      <top style="medium"/>
      <bottom style="medium"/>
    </border>
    <border>
      <left style="medium"/>
      <right/>
      <top style="medium"/>
      <bottom/>
    </border>
    <border>
      <left/>
      <right style="medium"/>
      <top style="medium"/>
      <bottom/>
    </border>
  </borders>
  <cellStyleXfs count="104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41" fillId="0" borderId="0">
      <alignment/>
      <protection/>
    </xf>
  </cellStyleXfs>
  <cellXfs count="240">
    <xf numFmtId="0" fontId="0" fillId="0" borderId="0" xfId="0"/>
    <xf numFmtId="0" fontId="27" fillId="15" borderId="11" xfId="0" applyFont="1" applyFill="1" applyBorder="1" applyAlignment="1" applyProtection="1">
      <alignment horizontal="center" vertical="center" wrapText="1"/>
      <protection hidden="1"/>
    </xf>
    <xf numFmtId="0" fontId="27" fillId="15" borderId="12" xfId="0" applyFont="1" applyFill="1" applyBorder="1" applyAlignment="1" applyProtection="1">
      <alignment horizontal="center" vertical="center" wrapText="1"/>
      <protection hidden="1"/>
    </xf>
    <xf numFmtId="14" fontId="29" fillId="15" borderId="13" xfId="0" applyNumberFormat="1" applyFont="1" applyFill="1" applyBorder="1" applyAlignment="1" applyProtection="1">
      <alignment horizontal="center" vertical="center" wrapText="1"/>
      <protection locked="0"/>
    </xf>
    <xf numFmtId="0" fontId="29" fillId="15" borderId="13" xfId="0" applyFont="1" applyFill="1" applyBorder="1" applyAlignment="1">
      <alignment horizontal="center" vertical="center" wrapText="1"/>
    </xf>
    <xf numFmtId="0" fontId="33" fillId="0" borderId="13" xfId="0" applyFont="1" applyBorder="1" applyAlignment="1" applyProtection="1">
      <alignment horizontal="center" wrapText="1"/>
      <protection hidden="1"/>
    </xf>
    <xf numFmtId="0" fontId="33" fillId="0" borderId="13" xfId="0" applyFont="1" applyBorder="1" applyAlignment="1">
      <alignment horizontal="center" vertical="center" wrapText="1"/>
    </xf>
    <xf numFmtId="0" fontId="34" fillId="0" borderId="13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21" borderId="13" xfId="0" applyFont="1" applyFill="1" applyBorder="1" applyAlignment="1" applyProtection="1">
      <alignment horizontal="center" vertical="center" wrapText="1"/>
      <protection hidden="1"/>
    </xf>
    <xf numFmtId="0" fontId="30" fillId="0" borderId="13" xfId="0" applyFont="1" applyBorder="1" applyAlignment="1" applyProtection="1">
      <alignment horizontal="center" vertical="center" wrapText="1"/>
      <protection hidden="1" locked="0"/>
    </xf>
    <xf numFmtId="0" fontId="33" fillId="0" borderId="13" xfId="0" applyFont="1" applyBorder="1" applyAlignment="1" applyProtection="1">
      <alignment horizontal="center" vertical="center" wrapText="1"/>
      <protection locked="0"/>
    </xf>
    <xf numFmtId="0" fontId="29" fillId="0" borderId="13" xfId="0" applyFont="1" applyBorder="1" applyAlignment="1" applyProtection="1">
      <alignment horizontal="center" vertical="center" wrapText="1"/>
      <protection hidden="1"/>
    </xf>
    <xf numFmtId="0" fontId="29" fillId="0" borderId="13" xfId="0" applyFont="1" applyBorder="1" applyAlignment="1" applyProtection="1">
      <alignment horizontal="center" vertical="center" wrapText="1"/>
      <protection locked="0"/>
    </xf>
    <xf numFmtId="0" fontId="5" fillId="0" borderId="14" xfId="0" applyFont="1" applyBorder="1" applyAlignment="1">
      <alignment horizontal="center" vertical="center"/>
    </xf>
    <xf numFmtId="0" fontId="29" fillId="15" borderId="13" xfId="0" applyFont="1" applyFill="1" applyBorder="1" applyAlignment="1" applyProtection="1">
      <alignment horizontal="center" vertical="center" wrapText="1"/>
      <protection locked="0"/>
    </xf>
    <xf numFmtId="0" fontId="29" fillId="15" borderId="13" xfId="0" applyFont="1" applyFill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3" xfId="0" applyFont="1" applyBorder="1" applyAlignment="1" applyProtection="1">
      <alignment horizontal="center" vertical="center" wrapText="1"/>
      <protection locked="0"/>
    </xf>
    <xf numFmtId="0" fontId="29" fillId="0" borderId="13" xfId="0" applyFont="1" applyBorder="1" applyAlignment="1" applyProtection="1">
      <alignment horizontal="center" vertical="center" wrapText="1"/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72"/>
    <xf numFmtId="0" fontId="4" fillId="0" borderId="13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1" fillId="22" borderId="0" xfId="85" applyFill="1">
      <alignment/>
      <protection/>
    </xf>
    <xf numFmtId="0" fontId="1" fillId="0" borderId="0" xfId="85">
      <alignment/>
      <protection/>
    </xf>
    <xf numFmtId="0" fontId="0" fillId="0" borderId="13" xfId="0" applyBorder="1"/>
    <xf numFmtId="0" fontId="29" fillId="0" borderId="13" xfId="0" applyFont="1" applyBorder="1" applyAlignment="1" applyProtection="1">
      <alignment horizontal="center" vertical="center" wrapText="1"/>
      <protection hidden="1" locked="0"/>
    </xf>
    <xf numFmtId="0" fontId="33" fillId="0" borderId="13" xfId="0" applyFont="1" applyBorder="1" applyAlignment="1" applyProtection="1">
      <alignment horizontal="center" vertical="center" wrapText="1"/>
      <protection hidden="1" locked="0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3" fillId="0" borderId="0" xfId="0" applyFont="1" applyAlignment="1">
      <alignment vertical="center"/>
    </xf>
    <xf numFmtId="0" fontId="33" fillId="0" borderId="0" xfId="0" applyFont="1"/>
    <xf numFmtId="0" fontId="35" fillId="0" borderId="13" xfId="0" applyFont="1" applyBorder="1" applyAlignment="1" applyProtection="1">
      <alignment horizontal="center" vertical="center" wrapText="1"/>
      <protection hidden="1" locked="0"/>
    </xf>
    <xf numFmtId="2" fontId="0" fillId="0" borderId="0" xfId="0" applyNumberForma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28" fillId="0" borderId="0" xfId="0" applyFont="1"/>
    <xf numFmtId="0" fontId="28" fillId="0" borderId="0" xfId="0" applyFont="1" applyAlignment="1">
      <alignment horizontal="center"/>
    </xf>
    <xf numFmtId="164" fontId="0" fillId="0" borderId="0" xfId="0" applyNumberFormat="1"/>
    <xf numFmtId="0" fontId="1" fillId="23" borderId="0" xfId="85" applyFill="1">
      <alignment/>
      <protection/>
    </xf>
    <xf numFmtId="0" fontId="32" fillId="0" borderId="0" xfId="0" applyFont="1" applyAlignment="1">
      <alignment wrapText="1"/>
    </xf>
    <xf numFmtId="0" fontId="32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38" fillId="22" borderId="0" xfId="85" applyFont="1" applyFill="1">
      <alignment/>
      <protection/>
    </xf>
    <xf numFmtId="0" fontId="33" fillId="0" borderId="0" xfId="0" applyFont="1" applyAlignment="1" applyProtection="1">
      <alignment horizontal="center" vertical="center" wrapText="1"/>
      <protection locked="0"/>
    </xf>
    <xf numFmtId="0" fontId="33" fillId="0" borderId="0" xfId="0" applyFont="1" applyAlignment="1">
      <alignment horizontal="right" vertical="center" wrapText="1"/>
    </xf>
    <xf numFmtId="0" fontId="35" fillId="0" borderId="0" xfId="0" applyFont="1" applyAlignment="1" applyProtection="1">
      <alignment horizontal="center" vertical="center" wrapText="1"/>
      <protection hidden="1" locked="0"/>
    </xf>
    <xf numFmtId="0" fontId="33" fillId="0" borderId="0" xfId="0" applyFont="1" applyAlignment="1" applyProtection="1">
      <alignment horizontal="center" vertical="center" wrapText="1"/>
      <protection hidden="1" locked="0"/>
    </xf>
    <xf numFmtId="0" fontId="33" fillId="0" borderId="0" xfId="0" applyFont="1" applyAlignment="1">
      <alignment wrapText="1"/>
    </xf>
    <xf numFmtId="0" fontId="33" fillId="0" borderId="0" xfId="0" applyFont="1" applyAlignment="1">
      <alignment horizontal="center"/>
    </xf>
    <xf numFmtId="0" fontId="33" fillId="0" borderId="0" xfId="0" applyFont="1" applyAlignment="1">
      <alignment horizontal="left"/>
    </xf>
    <xf numFmtId="0" fontId="33" fillId="0" borderId="0" xfId="0" applyFont="1" applyAlignment="1">
      <alignment horizontal="center" wrapText="1"/>
    </xf>
    <xf numFmtId="0" fontId="33" fillId="15" borderId="0" xfId="0" applyFont="1" applyFill="1" applyAlignment="1">
      <alignment horizontal="center" wrapText="1"/>
    </xf>
    <xf numFmtId="1" fontId="33" fillId="0" borderId="13" xfId="0" applyNumberFormat="1" applyFont="1" applyBorder="1" applyAlignment="1" applyProtection="1">
      <alignment horizontal="center" vertical="center" wrapText="1"/>
      <protection hidden="1" locked="0"/>
    </xf>
    <xf numFmtId="0" fontId="40" fillId="0" borderId="0" xfId="85" applyFont="1">
      <alignment/>
      <protection/>
    </xf>
    <xf numFmtId="14" fontId="29" fillId="0" borderId="13" xfId="0" applyNumberFormat="1" applyFont="1" applyBorder="1" applyAlignment="1" applyProtection="1">
      <alignment horizontal="center" vertical="center" wrapText="1"/>
      <protection locked="0"/>
    </xf>
    <xf numFmtId="0" fontId="42" fillId="0" borderId="0" xfId="103" applyFont="1" applyAlignment="1">
      <alignment horizontal="left" vertical="top"/>
      <protection/>
    </xf>
    <xf numFmtId="0" fontId="43" fillId="22" borderId="15" xfId="103" applyFont="1" applyFill="1" applyBorder="1" applyAlignment="1">
      <alignment horizontal="center" vertical="center"/>
      <protection/>
    </xf>
    <xf numFmtId="0" fontId="42" fillId="0" borderId="0" xfId="103" applyFont="1" applyAlignment="1">
      <alignment horizontal="left" wrapText="1"/>
      <protection/>
    </xf>
    <xf numFmtId="0" fontId="43" fillId="22" borderId="16" xfId="103" applyFont="1" applyFill="1" applyBorder="1" applyAlignment="1">
      <alignment horizontal="center" vertical="center"/>
      <protection/>
    </xf>
    <xf numFmtId="0" fontId="43" fillId="22" borderId="17" xfId="103" applyFont="1" applyFill="1" applyBorder="1" applyAlignment="1">
      <alignment horizontal="center" vertical="center"/>
      <protection/>
    </xf>
    <xf numFmtId="0" fontId="43" fillId="0" borderId="0" xfId="103" applyFont="1" applyAlignment="1">
      <alignment horizontal="center" vertical="center"/>
      <protection/>
    </xf>
    <xf numFmtId="0" fontId="4" fillId="0" borderId="18" xfId="103" applyFont="1" applyBorder="1" applyAlignment="1">
      <alignment horizontal="center" vertical="center" wrapText="1"/>
      <protection/>
    </xf>
    <xf numFmtId="0" fontId="4" fillId="0" borderId="19" xfId="103" applyFont="1" applyBorder="1" applyAlignment="1">
      <alignment horizontal="center" vertical="center" wrapText="1"/>
      <protection/>
    </xf>
    <xf numFmtId="0" fontId="43" fillId="0" borderId="0" xfId="103" applyFont="1" applyAlignment="1">
      <alignment horizontal="center" vertical="center" wrapText="1"/>
      <protection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42" fillId="0" borderId="0" xfId="103" applyFont="1" applyAlignment="1">
      <alignment horizontal="center" vertical="center"/>
      <protection/>
    </xf>
    <xf numFmtId="0" fontId="0" fillId="0" borderId="23" xfId="103" applyFont="1" applyBorder="1" applyAlignment="1">
      <alignment horizontal="center" vertical="center" wrapText="1"/>
      <protection/>
    </xf>
    <xf numFmtId="0" fontId="0" fillId="0" borderId="13" xfId="0" applyBorder="1" applyAlignment="1">
      <alignment horizontal="center"/>
    </xf>
    <xf numFmtId="0" fontId="42" fillId="0" borderId="0" xfId="103" applyFont="1" applyAlignment="1">
      <alignment horizontal="center" vertical="center" wrapText="1"/>
      <protection/>
    </xf>
    <xf numFmtId="0" fontId="0" fillId="0" borderId="13" xfId="103" applyFont="1" applyBorder="1" applyAlignment="1">
      <alignment horizontal="center" vertical="center" wrapText="1"/>
      <protection/>
    </xf>
    <xf numFmtId="0" fontId="0" fillId="0" borderId="24" xfId="0" applyBorder="1"/>
    <xf numFmtId="0" fontId="0" fillId="0" borderId="25" xfId="0" applyBorder="1"/>
    <xf numFmtId="1" fontId="42" fillId="0" borderId="24" xfId="103" applyNumberFormat="1" applyFont="1" applyBorder="1" applyAlignment="1">
      <alignment horizontal="center" vertical="center" shrinkToFit="1"/>
      <protection/>
    </xf>
    <xf numFmtId="0" fontId="42" fillId="0" borderId="26" xfId="103" applyFont="1" applyBorder="1" applyAlignment="1">
      <alignment horizontal="center" vertical="center" wrapText="1"/>
      <protection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23" xfId="0" applyBorder="1"/>
    <xf numFmtId="0" fontId="42" fillId="0" borderId="30" xfId="103" applyFont="1" applyBorder="1" applyAlignment="1">
      <alignment horizontal="left" vertical="top"/>
      <protection/>
    </xf>
    <xf numFmtId="0" fontId="42" fillId="0" borderId="31" xfId="103" applyFont="1" applyBorder="1" applyAlignment="1">
      <alignment horizontal="left" vertical="top"/>
      <protection/>
    </xf>
    <xf numFmtId="0" fontId="42" fillId="0" borderId="13" xfId="103" applyFont="1" applyBorder="1" applyAlignment="1">
      <alignment horizontal="left" vertical="top"/>
      <protection/>
    </xf>
    <xf numFmtId="0" fontId="42" fillId="0" borderId="25" xfId="103" applyFont="1" applyBorder="1" applyAlignment="1">
      <alignment horizontal="left" vertical="top"/>
      <protection/>
    </xf>
    <xf numFmtId="0" fontId="42" fillId="0" borderId="28" xfId="103" applyFont="1" applyBorder="1" applyAlignment="1">
      <alignment horizontal="left" vertical="top"/>
      <protection/>
    </xf>
    <xf numFmtId="0" fontId="42" fillId="0" borderId="29" xfId="103" applyFont="1" applyBorder="1" applyAlignment="1">
      <alignment horizontal="left" vertical="top"/>
      <protection/>
    </xf>
    <xf numFmtId="0" fontId="0" fillId="0" borderId="13" xfId="0" applyBorder="1" applyAlignment="1">
      <alignment horizontal="center" vertical="center"/>
    </xf>
    <xf numFmtId="0" fontId="42" fillId="0" borderId="28" xfId="103" applyFont="1" applyBorder="1" applyAlignment="1">
      <alignment horizontal="center" vertical="center"/>
      <protection/>
    </xf>
    <xf numFmtId="1" fontId="42" fillId="0" borderId="27" xfId="103" applyNumberFormat="1" applyFont="1" applyBorder="1" applyAlignment="1">
      <alignment horizontal="center" vertical="center" shrinkToFit="1"/>
      <protection/>
    </xf>
    <xf numFmtId="0" fontId="42" fillId="0" borderId="32" xfId="103" applyFont="1" applyBorder="1" applyAlignment="1">
      <alignment horizontal="center" vertical="center"/>
      <protection/>
    </xf>
    <xf numFmtId="0" fontId="42" fillId="0" borderId="0" xfId="103" applyFont="1" applyAlignment="1">
      <alignment horizontal="center" vertical="top" wrapText="1"/>
      <protection/>
    </xf>
    <xf numFmtId="0" fontId="47" fillId="0" borderId="0" xfId="0" applyFont="1"/>
    <xf numFmtId="0" fontId="40" fillId="0" borderId="0" xfId="85" applyFont="1" applyAlignment="1">
      <alignment horizontal="left"/>
      <protection/>
    </xf>
    <xf numFmtId="0" fontId="0" fillId="0" borderId="0" xfId="0" applyAlignment="1" applyProtection="1">
      <alignment horizontal="left" vertical="center" wrapText="1"/>
      <protection hidden="1" locked="0"/>
    </xf>
    <xf numFmtId="0" fontId="48" fillId="23" borderId="0" xfId="85" applyFont="1" applyFill="1" applyAlignment="1">
      <alignment horizontal="center" vertical="center" wrapText="1"/>
      <protection/>
    </xf>
    <xf numFmtId="0" fontId="28" fillId="0" borderId="13" xfId="0" applyFont="1" applyBorder="1" applyAlignment="1" applyProtection="1">
      <alignment horizontal="center" vertical="center" wrapText="1"/>
      <protection hidden="1" locked="0"/>
    </xf>
    <xf numFmtId="0" fontId="29" fillId="15" borderId="13" xfId="0" applyFont="1" applyFill="1" applyBorder="1" applyAlignment="1">
      <alignment vertical="center" wrapText="1"/>
    </xf>
    <xf numFmtId="14" fontId="29" fillId="15" borderId="13" xfId="0" applyNumberFormat="1" applyFont="1" applyFill="1" applyBorder="1" applyAlignment="1" applyProtection="1">
      <alignment vertical="center" wrapText="1"/>
      <protection locked="0"/>
    </xf>
    <xf numFmtId="14" fontId="29" fillId="15" borderId="13" xfId="0" applyNumberFormat="1" applyFont="1" applyFill="1" applyBorder="1" applyAlignment="1" applyProtection="1">
      <alignment wrapText="1"/>
      <protection locked="0"/>
    </xf>
    <xf numFmtId="0" fontId="33" fillId="0" borderId="13" xfId="0" applyFont="1" applyBorder="1" applyAlignment="1">
      <alignment horizontal="right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3" xfId="0" applyFont="1" applyBorder="1" applyAlignment="1" applyProtection="1">
      <alignment horizontal="center" vertical="center" wrapText="1"/>
      <protection locked="0"/>
    </xf>
    <xf numFmtId="0" fontId="29" fillId="24" borderId="13" xfId="0" applyFont="1" applyFill="1" applyBorder="1" applyAlignment="1" applyProtection="1">
      <alignment horizontal="center" vertical="center" wrapText="1"/>
      <protection locked="0"/>
    </xf>
    <xf numFmtId="0" fontId="28" fillId="25" borderId="13" xfId="0" applyFont="1" applyFill="1" applyBorder="1" applyAlignment="1" applyProtection="1">
      <alignment horizontal="center" vertical="center" wrapText="1"/>
      <protection hidden="1" locked="0"/>
    </xf>
    <xf numFmtId="0" fontId="28" fillId="26" borderId="13" xfId="0" applyFont="1" applyFill="1" applyBorder="1" applyAlignment="1" applyProtection="1">
      <alignment horizontal="center" vertical="center" wrapText="1"/>
      <protection hidden="1" locked="0"/>
    </xf>
    <xf numFmtId="0" fontId="48" fillId="23" borderId="0" xfId="85" applyFont="1" applyFill="1" applyAlignment="1">
      <alignment horizontal="center" vertical="center"/>
      <protection/>
    </xf>
    <xf numFmtId="1" fontId="2" fillId="0" borderId="0" xfId="0" applyNumberFormat="1" applyFont="1"/>
    <xf numFmtId="165" fontId="2" fillId="0" borderId="0" xfId="0" applyNumberFormat="1" applyFont="1"/>
    <xf numFmtId="0" fontId="2" fillId="0" borderId="0" xfId="0" applyFont="1" applyAlignment="1">
      <alignment horizontal="center" textRotation="90" wrapText="1"/>
    </xf>
    <xf numFmtId="0" fontId="2" fillId="0" borderId="0" xfId="0" applyFont="1" applyAlignment="1">
      <alignment horizontal="center" vertical="center" wrapText="1"/>
    </xf>
    <xf numFmtId="1" fontId="2" fillId="0" borderId="0" xfId="0" applyNumberFormat="1" applyFont="1" applyAlignment="1">
      <alignment horizontal="center" textRotation="90" wrapText="1"/>
    </xf>
    <xf numFmtId="165" fontId="2" fillId="0" borderId="0" xfId="0" applyNumberFormat="1" applyFont="1" applyAlignment="1">
      <alignment horizontal="center" textRotation="90" wrapText="1"/>
    </xf>
    <xf numFmtId="0" fontId="48" fillId="0" borderId="0" xfId="85" applyFont="1">
      <alignment/>
      <protection/>
    </xf>
    <xf numFmtId="0" fontId="40" fillId="0" borderId="13" xfId="85" applyFont="1" applyBorder="1">
      <alignment/>
      <protection/>
    </xf>
    <xf numFmtId="0" fontId="50" fillId="0" borderId="13" xfId="0" applyFont="1" applyBorder="1" applyAlignment="1" applyProtection="1">
      <alignment horizontal="center" vertical="center" wrapText="1"/>
      <protection locked="0"/>
    </xf>
    <xf numFmtId="14" fontId="50" fillId="0" borderId="13" xfId="0" applyNumberFormat="1" applyFont="1" applyBorder="1" applyAlignment="1" applyProtection="1">
      <alignment horizontal="center" vertical="center" wrapText="1"/>
      <protection locked="0"/>
    </xf>
    <xf numFmtId="14" fontId="50" fillId="15" borderId="13" xfId="0" applyNumberFormat="1" applyFont="1" applyFill="1" applyBorder="1" applyAlignment="1" applyProtection="1">
      <alignment wrapText="1"/>
      <protection locked="0"/>
    </xf>
    <xf numFmtId="0" fontId="51" fillId="0" borderId="13" xfId="0" applyFont="1" applyBorder="1" applyAlignment="1">
      <alignment horizontal="right" vertical="center" wrapText="1"/>
    </xf>
    <xf numFmtId="0" fontId="52" fillId="0" borderId="13" xfId="0" applyFont="1" applyBorder="1" applyAlignment="1" applyProtection="1">
      <alignment horizontal="center" vertical="center" wrapText="1"/>
      <protection hidden="1" locked="0"/>
    </xf>
    <xf numFmtId="0" fontId="51" fillId="0" borderId="13" xfId="0" applyFont="1" applyBorder="1" applyAlignment="1" applyProtection="1">
      <alignment horizontal="center" vertical="center" wrapText="1"/>
      <protection locked="0"/>
    </xf>
    <xf numFmtId="0" fontId="51" fillId="0" borderId="13" xfId="0" applyFont="1" applyBorder="1" applyAlignment="1" applyProtection="1">
      <alignment horizontal="center" vertical="center" wrapText="1"/>
      <protection hidden="1" locked="0"/>
    </xf>
    <xf numFmtId="0" fontId="51" fillId="0" borderId="0" xfId="0" applyFont="1" applyAlignment="1">
      <alignment wrapText="1"/>
    </xf>
    <xf numFmtId="0" fontId="51" fillId="0" borderId="0" xfId="0" applyFont="1"/>
    <xf numFmtId="0" fontId="47" fillId="0" borderId="0" xfId="0" applyFont="1" applyAlignment="1">
      <alignment wrapText="1"/>
    </xf>
    <xf numFmtId="1" fontId="28" fillId="0" borderId="13" xfId="0" applyNumberFormat="1" applyFont="1" applyBorder="1" applyAlignment="1" applyProtection="1">
      <alignment horizontal="center" vertical="center" wrapText="1"/>
      <protection hidden="1" locked="0"/>
    </xf>
    <xf numFmtId="0" fontId="33" fillId="27" borderId="13" xfId="0" applyFont="1" applyFill="1" applyBorder="1" applyAlignment="1" applyProtection="1">
      <alignment horizontal="center" vertical="center" wrapText="1"/>
      <protection hidden="1" locked="0"/>
    </xf>
    <xf numFmtId="0" fontId="33" fillId="27" borderId="13" xfId="0" applyFont="1" applyFill="1" applyBorder="1" applyAlignment="1" applyProtection="1">
      <alignment horizontal="center" vertical="center" wrapText="1"/>
      <protection locked="0"/>
    </xf>
    <xf numFmtId="0" fontId="2" fillId="0" borderId="14" xfId="0" applyFont="1" applyBorder="1"/>
    <xf numFmtId="1" fontId="2" fillId="0" borderId="14" xfId="0" applyNumberFormat="1" applyFont="1" applyBorder="1"/>
    <xf numFmtId="165" fontId="2" fillId="0" borderId="14" xfId="0" applyNumberFormat="1" applyFont="1" applyBorder="1"/>
    <xf numFmtId="0" fontId="0" fillId="0" borderId="14" xfId="0" applyBorder="1"/>
    <xf numFmtId="0" fontId="47" fillId="0" borderId="13" xfId="0" applyFont="1" applyBorder="1" applyAlignment="1" applyProtection="1">
      <alignment horizontal="center" vertical="center" wrapText="1"/>
      <protection hidden="1" locked="0"/>
    </xf>
    <xf numFmtId="0" fontId="48" fillId="23" borderId="0" xfId="85" applyFont="1" applyFill="1" applyAlignment="1">
      <alignment wrapText="1"/>
      <protection/>
    </xf>
    <xf numFmtId="0" fontId="48" fillId="23" borderId="0" xfId="85" applyFont="1" applyFill="1">
      <alignment/>
      <protection/>
    </xf>
    <xf numFmtId="0" fontId="48" fillId="23" borderId="16" xfId="85" applyFont="1" applyFill="1" applyBorder="1" applyAlignment="1">
      <alignment horizontal="center" vertical="center"/>
      <protection/>
    </xf>
    <xf numFmtId="0" fontId="53" fillId="24" borderId="13" xfId="0" applyFont="1" applyFill="1" applyBorder="1" applyAlignment="1" applyProtection="1">
      <alignment horizontal="center" vertical="center" wrapText="1"/>
      <protection locked="0"/>
    </xf>
    <xf numFmtId="0" fontId="33" fillId="0" borderId="13" xfId="0" applyFont="1" applyBorder="1" applyAlignment="1">
      <alignment horizontal="right" vertical="top"/>
    </xf>
    <xf numFmtId="0" fontId="33" fillId="0" borderId="13" xfId="0" applyFont="1" applyBorder="1" applyAlignment="1" applyProtection="1">
      <alignment horizontal="right" vertical="top" wrapText="1"/>
      <protection hidden="1" locked="0"/>
    </xf>
    <xf numFmtId="0" fontId="54" fillId="15" borderId="13" xfId="0" applyFont="1" applyFill="1" applyBorder="1" applyAlignment="1">
      <alignment vertical="center" wrapText="1"/>
    </xf>
    <xf numFmtId="14" fontId="54" fillId="15" borderId="13" xfId="0" applyNumberFormat="1" applyFont="1" applyFill="1" applyBorder="1" applyAlignment="1" applyProtection="1">
      <alignment vertical="center" wrapText="1"/>
      <protection locked="0"/>
    </xf>
    <xf numFmtId="166" fontId="28" fillId="0" borderId="13" xfId="0" applyNumberFormat="1" applyFont="1" applyBorder="1" applyAlignment="1" applyProtection="1">
      <alignment horizontal="center" vertical="center" wrapText="1"/>
      <protection hidden="1" locked="0"/>
    </xf>
    <xf numFmtId="0" fontId="27" fillId="15" borderId="21" xfId="0" applyFont="1" applyFill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27" fillId="0" borderId="12" xfId="0" applyFont="1" applyBorder="1" applyAlignment="1" applyProtection="1">
      <alignment horizontal="center" vertical="center" wrapText="1"/>
      <protection hidden="1"/>
    </xf>
    <xf numFmtId="0" fontId="27" fillId="0" borderId="12" xfId="0" applyFont="1" applyBorder="1" applyAlignment="1">
      <alignment horizontal="center" vertical="center" wrapText="1"/>
    </xf>
    <xf numFmtId="0" fontId="27" fillId="0" borderId="11" xfId="0" applyFont="1" applyBorder="1" applyAlignment="1">
      <alignment horizontal="center" vertical="center" wrapText="1"/>
    </xf>
    <xf numFmtId="0" fontId="27" fillId="0" borderId="21" xfId="0" applyFont="1" applyBorder="1" applyAlignment="1">
      <alignment horizontal="center" vertical="center" wrapText="1"/>
    </xf>
    <xf numFmtId="0" fontId="2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7" fillId="15" borderId="21" xfId="0" applyFont="1" applyFill="1" applyBorder="1" applyAlignment="1" applyProtection="1">
      <alignment horizontal="center" vertical="center" textRotation="90" wrapText="1"/>
      <protection hidden="1"/>
    </xf>
    <xf numFmtId="0" fontId="27" fillId="24" borderId="11" xfId="0" applyFont="1" applyFill="1" applyBorder="1" applyAlignment="1" applyProtection="1">
      <alignment horizontal="center" vertical="center" wrapText="1"/>
      <protection hidden="1"/>
    </xf>
    <xf numFmtId="0" fontId="27" fillId="24" borderId="21" xfId="0" applyFont="1" applyFill="1" applyBorder="1" applyAlignment="1" applyProtection="1">
      <alignment horizontal="center" vertical="center" wrapText="1"/>
      <protection hidden="1"/>
    </xf>
    <xf numFmtId="0" fontId="27" fillId="25" borderId="11" xfId="0" applyFont="1" applyFill="1" applyBorder="1" applyAlignment="1">
      <alignment horizontal="center" vertical="center" wrapText="1"/>
    </xf>
    <xf numFmtId="0" fontId="27" fillId="25" borderId="21" xfId="0" applyFont="1" applyFill="1" applyBorder="1" applyAlignment="1">
      <alignment horizontal="center" vertical="center" wrapText="1"/>
    </xf>
    <xf numFmtId="0" fontId="27" fillId="26" borderId="11" xfId="0" applyFont="1" applyFill="1" applyBorder="1" applyAlignment="1">
      <alignment horizontal="center" vertical="center" wrapText="1"/>
    </xf>
    <xf numFmtId="0" fontId="27" fillId="26" borderId="21" xfId="0" applyFont="1" applyFill="1" applyBorder="1" applyAlignment="1">
      <alignment horizontal="center" vertical="center" wrapText="1"/>
    </xf>
    <xf numFmtId="14" fontId="29" fillId="15" borderId="13" xfId="0" applyNumberFormat="1" applyFont="1" applyFill="1" applyBorder="1" applyAlignment="1" applyProtection="1">
      <alignment horizontal="center" wrapText="1"/>
      <protection locked="0"/>
    </xf>
    <xf numFmtId="0" fontId="29" fillId="15" borderId="13" xfId="0" applyFont="1" applyFill="1" applyBorder="1" applyAlignment="1" applyProtection="1">
      <alignment horizontal="center" vertical="center" wrapText="1"/>
      <protection locked="0"/>
    </xf>
    <xf numFmtId="0" fontId="49" fillId="15" borderId="13" xfId="0" applyFont="1" applyFill="1" applyBorder="1" applyAlignment="1" applyProtection="1">
      <alignment horizontal="center" vertical="center" wrapText="1"/>
      <protection hidden="1"/>
    </xf>
    <xf numFmtId="0" fontId="49" fillId="0" borderId="13" xfId="0" applyFont="1" applyBorder="1" applyAlignment="1" applyProtection="1">
      <alignment horizontal="center" vertical="center" wrapText="1"/>
      <protection hidden="1"/>
    </xf>
    <xf numFmtId="0" fontId="54" fillId="21" borderId="13" xfId="0" applyFont="1" applyFill="1" applyBorder="1" applyAlignment="1" applyProtection="1">
      <alignment horizontal="center" vertical="center" wrapText="1"/>
      <protection hidden="1"/>
    </xf>
    <xf numFmtId="0" fontId="50" fillId="15" borderId="13" xfId="0" applyFont="1" applyFill="1" applyBorder="1" applyAlignment="1" applyProtection="1">
      <alignment horizontal="center" vertical="center" textRotation="90" wrapText="1"/>
      <protection hidden="1"/>
    </xf>
    <xf numFmtId="0" fontId="50" fillId="15" borderId="13" xfId="0" applyFont="1" applyFill="1" applyBorder="1" applyAlignment="1" applyProtection="1">
      <alignment horizontal="center" vertical="center" wrapText="1"/>
      <protection hidden="1"/>
    </xf>
    <xf numFmtId="0" fontId="30" fillId="28" borderId="13" xfId="0" applyFont="1" applyFill="1" applyBorder="1" applyAlignment="1" applyProtection="1">
      <alignment horizontal="center" vertical="center" wrapText="1"/>
      <protection hidden="1" locked="0"/>
    </xf>
    <xf numFmtId="0" fontId="49" fillId="28" borderId="13" xfId="0" applyFont="1" applyFill="1" applyBorder="1" applyAlignment="1" applyProtection="1">
      <alignment horizontal="center" vertical="center" wrapText="1"/>
      <protection hidden="1" locked="0"/>
    </xf>
    <xf numFmtId="0" fontId="54" fillId="0" borderId="13" xfId="0" applyFont="1" applyBorder="1" applyAlignment="1">
      <alignment horizontal="center" vertical="center" wrapText="1"/>
    </xf>
    <xf numFmtId="0" fontId="54" fillId="0" borderId="13" xfId="0" applyFont="1" applyBorder="1" applyAlignment="1" applyProtection="1">
      <alignment horizontal="center" vertical="center" wrapText="1"/>
      <protection hidden="1"/>
    </xf>
    <xf numFmtId="0" fontId="56" fillId="0" borderId="13" xfId="0" applyFont="1" applyBorder="1" applyAlignment="1">
      <alignment horizontal="center" vertical="center" wrapText="1"/>
    </xf>
    <xf numFmtId="0" fontId="55" fillId="0" borderId="13" xfId="0" applyFont="1" applyBorder="1" applyAlignment="1" applyProtection="1">
      <alignment horizontal="center" vertical="center" wrapText="1"/>
      <protection locked="0"/>
    </xf>
    <xf numFmtId="0" fontId="55" fillId="0" borderId="13" xfId="0" applyFont="1" applyBorder="1" applyAlignment="1">
      <alignment horizontal="center" vertical="center" wrapText="1"/>
    </xf>
    <xf numFmtId="0" fontId="55" fillId="0" borderId="13" xfId="0" applyFont="1" applyBorder="1" applyAlignment="1" applyProtection="1">
      <alignment horizontal="center" wrapText="1"/>
      <protection hidden="1"/>
    </xf>
    <xf numFmtId="0" fontId="30" fillId="23" borderId="13" xfId="0" applyFont="1" applyFill="1" applyBorder="1" applyAlignment="1" applyProtection="1">
      <alignment horizontal="center" wrapText="1"/>
      <protection hidden="1" locked="0"/>
    </xf>
    <xf numFmtId="0" fontId="29" fillId="0" borderId="13" xfId="0" applyFont="1" applyBorder="1" applyAlignment="1" applyProtection="1">
      <alignment horizontal="center" wrapText="1"/>
      <protection hidden="1"/>
    </xf>
    <xf numFmtId="0" fontId="29" fillId="15" borderId="13" xfId="0" applyFont="1" applyFill="1" applyBorder="1" applyAlignment="1" applyProtection="1">
      <alignment horizontal="center" vertical="center" wrapText="1"/>
      <protection hidden="1"/>
    </xf>
    <xf numFmtId="0" fontId="31" fillId="15" borderId="13" xfId="0" applyFont="1" applyFill="1" applyBorder="1" applyAlignment="1" applyProtection="1">
      <alignment horizontal="center" vertical="center" textRotation="90" wrapText="1"/>
      <protection hidden="1"/>
    </xf>
    <xf numFmtId="14" fontId="29" fillId="0" borderId="13" xfId="0" applyNumberFormat="1" applyFont="1" applyBorder="1" applyAlignment="1" applyProtection="1">
      <alignment horizontal="center" vertical="center" wrapText="1"/>
      <protection locked="0"/>
    </xf>
    <xf numFmtId="0" fontId="31" fillId="15" borderId="13" xfId="0" applyFont="1" applyFill="1" applyBorder="1" applyAlignment="1" applyProtection="1">
      <alignment horizontal="center" vertical="center" wrapText="1"/>
      <protection hidden="1"/>
    </xf>
    <xf numFmtId="0" fontId="39" fillId="29" borderId="13" xfId="0" applyFont="1" applyFill="1" applyBorder="1" applyAlignment="1" applyProtection="1">
      <alignment horizontal="center" vertical="center" wrapText="1"/>
      <protection hidden="1" locked="0"/>
    </xf>
    <xf numFmtId="0" fontId="29" fillId="27" borderId="13" xfId="0" applyFont="1" applyFill="1" applyBorder="1" applyAlignment="1" applyProtection="1">
      <alignment horizontal="center" vertical="center" wrapText="1"/>
      <protection hidden="1"/>
    </xf>
    <xf numFmtId="0" fontId="31" fillId="0" borderId="13" xfId="0" applyFont="1" applyBorder="1" applyAlignment="1" applyProtection="1">
      <alignment horizontal="center" vertical="center" wrapText="1"/>
      <protection hidden="1"/>
    </xf>
    <xf numFmtId="0" fontId="33" fillId="0" borderId="33" xfId="0" applyFont="1" applyBorder="1" applyAlignment="1" applyProtection="1">
      <alignment horizontal="center" vertical="center" wrapText="1"/>
      <protection locked="0"/>
    </xf>
    <xf numFmtId="0" fontId="33" fillId="0" borderId="34" xfId="0" applyFont="1" applyBorder="1" applyAlignment="1" applyProtection="1">
      <alignment horizontal="center" vertical="center" wrapText="1"/>
      <protection locked="0"/>
    </xf>
    <xf numFmtId="0" fontId="33" fillId="0" borderId="35" xfId="0" applyFont="1" applyBorder="1" applyAlignment="1" applyProtection="1">
      <alignment horizontal="center" vertical="center" wrapText="1"/>
      <protection locked="0"/>
    </xf>
    <xf numFmtId="0" fontId="33" fillId="0" borderId="36" xfId="0" applyFont="1" applyBorder="1" applyAlignment="1" applyProtection="1">
      <alignment horizontal="center" vertical="center" wrapText="1"/>
      <protection locked="0"/>
    </xf>
    <xf numFmtId="0" fontId="33" fillId="0" borderId="0" xfId="0" applyFont="1" applyAlignment="1" applyProtection="1">
      <alignment horizontal="center" vertical="center" wrapText="1"/>
      <protection locked="0"/>
    </xf>
    <xf numFmtId="0" fontId="33" fillId="0" borderId="37" xfId="0" applyFont="1" applyBorder="1" applyAlignment="1" applyProtection="1">
      <alignment horizontal="center" vertical="center" wrapText="1"/>
      <protection locked="0"/>
    </xf>
    <xf numFmtId="0" fontId="33" fillId="0" borderId="38" xfId="0" applyFont="1" applyBorder="1" applyAlignment="1" applyProtection="1">
      <alignment horizontal="center" vertical="center" wrapText="1"/>
      <protection locked="0"/>
    </xf>
    <xf numFmtId="0" fontId="33" fillId="0" borderId="14" xfId="0" applyFont="1" applyBorder="1" applyAlignment="1" applyProtection="1">
      <alignment horizontal="center" vertical="center" wrapText="1"/>
      <protection locked="0"/>
    </xf>
    <xf numFmtId="0" fontId="33" fillId="0" borderId="39" xfId="0" applyFont="1" applyBorder="1" applyAlignment="1" applyProtection="1">
      <alignment horizontal="center" vertical="center" wrapText="1"/>
      <protection locked="0"/>
    </xf>
    <xf numFmtId="0" fontId="29" fillId="0" borderId="40" xfId="0" applyFont="1" applyBorder="1" applyAlignment="1" applyProtection="1">
      <alignment horizontal="center" vertical="center" wrapText="1"/>
      <protection hidden="1"/>
    </xf>
    <xf numFmtId="0" fontId="29" fillId="0" borderId="41" xfId="0" applyFont="1" applyBorder="1" applyAlignment="1" applyProtection="1">
      <alignment horizontal="center" vertical="center" wrapText="1"/>
      <protection hidden="1"/>
    </xf>
    <xf numFmtId="0" fontId="29" fillId="0" borderId="42" xfId="0" applyFont="1" applyBorder="1" applyAlignment="1" applyProtection="1">
      <alignment horizontal="center" vertical="center" wrapText="1"/>
      <protection hidden="1"/>
    </xf>
    <xf numFmtId="0" fontId="39" fillId="30" borderId="40" xfId="0" applyFont="1" applyFill="1" applyBorder="1" applyAlignment="1" applyProtection="1">
      <alignment horizontal="center" vertical="center" wrapText="1"/>
      <protection hidden="1" locked="0"/>
    </xf>
    <xf numFmtId="0" fontId="39" fillId="30" borderId="41" xfId="0" applyFont="1" applyFill="1" applyBorder="1" applyAlignment="1" applyProtection="1">
      <alignment horizontal="center" vertical="center" wrapText="1"/>
      <protection hidden="1" locked="0"/>
    </xf>
    <xf numFmtId="0" fontId="39" fillId="30" borderId="42" xfId="0" applyFont="1" applyFill="1" applyBorder="1" applyAlignment="1" applyProtection="1">
      <alignment horizontal="center" vertical="center" wrapText="1"/>
      <protection hidden="1" locked="0"/>
    </xf>
    <xf numFmtId="0" fontId="36" fillId="31" borderId="40" xfId="0" applyFont="1" applyFill="1" applyBorder="1" applyAlignment="1" applyProtection="1">
      <alignment horizontal="center" vertical="center" wrapText="1"/>
      <protection hidden="1" locked="0"/>
    </xf>
    <xf numFmtId="0" fontId="36" fillId="31" borderId="41" xfId="0" applyFont="1" applyFill="1" applyBorder="1" applyAlignment="1" applyProtection="1">
      <alignment horizontal="center" vertical="center" wrapText="1"/>
      <protection hidden="1" locked="0"/>
    </xf>
    <xf numFmtId="0" fontId="37" fillId="31" borderId="41" xfId="0" applyFont="1" applyFill="1" applyBorder="1" applyAlignment="1">
      <alignment horizontal="center" vertical="center" wrapText="1"/>
    </xf>
    <xf numFmtId="0" fontId="37" fillId="31" borderId="40" xfId="0" applyFont="1" applyFill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15" borderId="21" xfId="0" applyFont="1" applyFill="1" applyBorder="1" applyAlignment="1">
      <alignment horizontal="center" vertical="center" wrapText="1"/>
    </xf>
    <xf numFmtId="0" fontId="29" fillId="0" borderId="21" xfId="0" applyFont="1" applyBorder="1" applyAlignment="1" applyProtection="1">
      <alignment horizontal="center" vertical="center" wrapText="1"/>
      <protection locked="0"/>
    </xf>
    <xf numFmtId="0" fontId="29" fillId="15" borderId="13" xfId="0" applyFont="1" applyFill="1" applyBorder="1" applyAlignment="1" applyProtection="1">
      <alignment horizontal="center" vertical="center" textRotation="90" wrapText="1"/>
      <protection hidden="1"/>
    </xf>
    <xf numFmtId="0" fontId="30" fillId="32" borderId="13" xfId="0" applyFont="1" applyFill="1" applyBorder="1" applyAlignment="1" applyProtection="1">
      <alignment horizontal="center" vertical="center" wrapText="1"/>
      <protection hidden="1" locked="0"/>
    </xf>
    <xf numFmtId="0" fontId="27" fillId="15" borderId="13" xfId="0" applyFont="1" applyFill="1" applyBorder="1" applyAlignment="1" applyProtection="1">
      <alignment horizontal="center" vertical="center" textRotation="90" wrapText="1"/>
      <protection hidden="1"/>
    </xf>
    <xf numFmtId="0" fontId="27" fillId="15" borderId="13" xfId="0" applyFont="1" applyFill="1" applyBorder="1" applyAlignment="1" applyProtection="1">
      <alignment horizontal="center" vertical="center" wrapText="1"/>
      <protection hidden="1"/>
    </xf>
    <xf numFmtId="0" fontId="27" fillId="0" borderId="13" xfId="0" applyFont="1" applyBorder="1" applyAlignment="1" applyProtection="1">
      <alignment horizontal="center" vertical="center" wrapText="1"/>
      <protection hidden="1"/>
    </xf>
    <xf numFmtId="22" fontId="32" fillId="0" borderId="40" xfId="0" applyNumberFormat="1" applyFont="1" applyBorder="1" applyAlignment="1" applyProtection="1">
      <alignment horizontal="center" vertical="center" wrapText="1"/>
      <protection locked="0"/>
    </xf>
    <xf numFmtId="0" fontId="32" fillId="0" borderId="42" xfId="0" applyFont="1" applyBorder="1" applyAlignment="1" applyProtection="1">
      <alignment horizontal="center" vertical="center" wrapText="1"/>
      <protection locked="0"/>
    </xf>
    <xf numFmtId="0" fontId="40" fillId="33" borderId="13" xfId="85" applyFont="1" applyFill="1" applyBorder="1" applyAlignment="1">
      <alignment horizontal="center"/>
      <protection/>
    </xf>
    <xf numFmtId="1" fontId="44" fillId="22" borderId="43" xfId="103" applyNumberFormat="1" applyFont="1" applyFill="1" applyBorder="1" applyAlignment="1">
      <alignment horizontal="center" vertical="center" wrapText="1" shrinkToFit="1"/>
      <protection/>
    </xf>
    <xf numFmtId="1" fontId="44" fillId="22" borderId="15" xfId="103" applyNumberFormat="1" applyFont="1" applyFill="1" applyBorder="1" applyAlignment="1">
      <alignment horizontal="center" vertical="center" wrapText="1" shrinkToFit="1"/>
      <protection/>
    </xf>
    <xf numFmtId="0" fontId="42" fillId="22" borderId="44" xfId="103" applyFont="1" applyFill="1" applyBorder="1" applyAlignment="1">
      <alignment horizontal="center" vertical="top"/>
      <protection/>
    </xf>
    <xf numFmtId="0" fontId="42" fillId="22" borderId="26" xfId="103" applyFont="1" applyFill="1" applyBorder="1" applyAlignment="1">
      <alignment horizontal="center" vertical="top"/>
      <protection/>
    </xf>
    <xf numFmtId="0" fontId="42" fillId="22" borderId="45" xfId="103" applyFont="1" applyFill="1" applyBorder="1" applyAlignment="1">
      <alignment horizontal="center" vertical="top"/>
      <protection/>
    </xf>
    <xf numFmtId="0" fontId="43" fillId="22" borderId="43" xfId="103" applyFont="1" applyFill="1" applyBorder="1" applyAlignment="1">
      <alignment horizontal="center" vertical="center"/>
      <protection/>
    </xf>
    <xf numFmtId="0" fontId="43" fillId="22" borderId="15" xfId="103" applyFont="1" applyFill="1" applyBorder="1" applyAlignment="1">
      <alignment horizontal="center" vertical="center"/>
      <protection/>
    </xf>
    <xf numFmtId="0" fontId="53" fillId="0" borderId="13" xfId="0" applyFont="1" applyBorder="1" applyAlignment="1">
      <alignment horizontal="center" wrapText="1"/>
    </xf>
    <xf numFmtId="167" fontId="28" fillId="0" borderId="13" xfId="0" applyNumberFormat="1" applyFont="1" applyBorder="1" applyAlignment="1">
      <alignment horizontal="center" vertical="center"/>
    </xf>
    <xf numFmtId="0" fontId="57" fillId="0" borderId="13" xfId="0" applyFont="1" applyBorder="1" applyAlignment="1" applyProtection="1">
      <alignment horizontal="center" vertical="center" wrapText="1"/>
      <protection hidden="1" locked="0"/>
    </xf>
  </cellXfs>
  <cellStyles count="90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  <cellStyle name="Normal 3 4" xfId="87"/>
    <cellStyle name="Normal 2 3 2" xfId="88"/>
    <cellStyle name="Normal 8 2" xfId="89"/>
    <cellStyle name="Normal 3 3 2" xfId="90"/>
    <cellStyle name="Normal 3 6" xfId="91"/>
    <cellStyle name="Normal 2 3 4" xfId="92"/>
    <cellStyle name="Normal 8 4" xfId="93"/>
    <cellStyle name="Normal 3 3 4" xfId="94"/>
    <cellStyle name="Normal 3 5" xfId="95"/>
    <cellStyle name="Normal 2 3 3" xfId="96"/>
    <cellStyle name="Normal 8 3" xfId="97"/>
    <cellStyle name="Normal 3 3 3" xfId="98"/>
    <cellStyle name="Normal 3 4 2" xfId="99"/>
    <cellStyle name="Normal 2 3 2 2" xfId="100"/>
    <cellStyle name="Normal 8 2 2" xfId="101"/>
    <cellStyle name="Normal 3 3 2 2" xfId="102"/>
    <cellStyle name="Normal 9" xfId="10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openxmlformats.org/officeDocument/2006/relationships/worksheet" Target="worksheets/sheet12.xml" /><Relationship Id="rId13" Type="http://schemas.microsoft.com/office/2006/relationships/vbaProject" Target="vbaProject.bin" /><Relationship Id="rId14" Type="http://schemas.openxmlformats.org/officeDocument/2006/relationships/styles" Target="styles.xml" /><Relationship Id="rId15" Type="http://schemas.openxmlformats.org/officeDocument/2006/relationships/sharedStrings" Target="sharedStrings.xml" /><Relationship Id="rId16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00"/>
  <sheetViews>
    <sheetView tabSelected="1" workbookViewId="0" topLeftCell="A1">
      <selection pane="topLeft" activeCell="AV11" sqref="AV11:XFD1048576"/>
    </sheetView>
  </sheetViews>
  <sheetFormatPr defaultColWidth="9.44140625" defaultRowHeight="13.5"/>
  <cols>
    <col min="1" max="1" width="14.7142857142857" bestFit="1" customWidth="1"/>
    <col min="4" max="4" width="13.5714285714286" customWidth="1"/>
    <col min="5" max="5" width="14.4285714285714" bestFit="1" customWidth="1"/>
    <col min="6" max="6" width="17.5714285714286" bestFit="1" customWidth="1"/>
    <col min="8" max="47" width="9.42857142857143" hidden="1" customWidth="1"/>
    <col min="48" max="49" width="11" customWidth="1"/>
    <col min="50" max="50" width="18.4285714285714" customWidth="1"/>
    <col min="51" max="51" width="15.4285714285714" customWidth="1"/>
    <col min="52" max="52" width="14.4285714285714" customWidth="1"/>
    <col min="53" max="53" width="10.4285714285714" bestFit="1" customWidth="1"/>
    <col min="54" max="54" width="11.5714285714286" bestFit="1" customWidth="1"/>
    <col min="55" max="55" width="20.5714285714286" customWidth="1"/>
    <col min="56" max="56" width="47.4285714285714" customWidth="1"/>
    <col min="57" max="57" width="8.42857142857143" bestFit="1" customWidth="1"/>
    <col min="58" max="58" width="16.5714285714286" customWidth="1"/>
    <col min="59" max="59" width="61" bestFit="1" customWidth="1"/>
    <col min="60" max="60" width="11.4285714285714" customWidth="1"/>
    <col min="61" max="61" width="9" customWidth="1"/>
    <col min="62" max="62" width="42.5714285714286" bestFit="1" customWidth="1"/>
    <col min="63" max="63" width="23.5714285714286" customWidth="1"/>
    <col min="64" max="64" width="29.4285714285714" customWidth="1"/>
    <col min="65" max="65" width="16.5714285714286" bestFit="1" customWidth="1"/>
    <col min="66" max="66" width="20.1428571428571" bestFit="1" customWidth="1"/>
    <col min="67" max="67" width="22.4285714285714" bestFit="1" customWidth="1"/>
    <col min="68" max="68" width="17" bestFit="1" customWidth="1"/>
    <col min="69" max="69" width="14.5714285714286" customWidth="1"/>
    <col min="71" max="71" width="16.5714285714286" customWidth="1"/>
    <col min="72" max="72" width="21" customWidth="1"/>
    <col min="74" max="74" width="9.42857142857143" customWidth="1"/>
    <col min="75" max="75" width="12.5714285714286" customWidth="1"/>
    <col min="76" max="76" width="14.4285714285714" customWidth="1"/>
    <col min="77" max="77" width="15.5714285714286" customWidth="1"/>
    <col min="78" max="78" width="7.57142857142857" customWidth="1"/>
    <col min="79" max="79" width="10" bestFit="1" customWidth="1"/>
    <col min="80" max="80" width="6.57142857142857" customWidth="1"/>
    <col min="81" max="81" width="13.4285714285714" customWidth="1"/>
    <col min="82" max="83" width="12.5714285714286" customWidth="1"/>
    <col min="84" max="84" width="17.4285714285714" customWidth="1"/>
    <col min="85" max="85" width="11.4285714285714" customWidth="1"/>
    <col min="86" max="86" width="13.5714285714286" customWidth="1"/>
    <col min="87" max="87" width="16.4285714285714" customWidth="1"/>
    <col min="88" max="88" width="29" bestFit="1" customWidth="1"/>
    <col min="89" max="89" width="13.5714285714286" style="53" bestFit="1" customWidth="1"/>
    <col min="90" max="90" width="12.5714285714286" customWidth="1"/>
    <col min="91" max="91" width="17.5714285714286" customWidth="1"/>
    <col min="92" max="92" width="16.4285714285714" bestFit="1" customWidth="1"/>
    <col min="93" max="93" width="7.57142857142857" customWidth="1"/>
    <col min="94" max="94" width="15" customWidth="1"/>
    <col min="95" max="95" width="12" customWidth="1"/>
    <col min="96" max="97" width="11.4285714285714" customWidth="1"/>
    <col min="98" max="98" width="9.57142857142857" bestFit="1" customWidth="1"/>
    <col min="99" max="99" width="12.5714285714286" customWidth="1"/>
    <col min="100" max="100" width="13.4285714285714" customWidth="1"/>
    <col min="101" max="101" width="11.4285714285714" customWidth="1"/>
    <col min="102" max="102" width="13" customWidth="1"/>
    <col min="103" max="103" width="13.5714285714286" customWidth="1"/>
    <col min="104" max="104" width="7.42857142857143" customWidth="1"/>
    <col min="105" max="105" width="12.5714285714286" customWidth="1"/>
    <col min="106" max="106" width="12.4285714285714" customWidth="1"/>
    <col min="107" max="107" width="9.57142857142857" bestFit="1" customWidth="1"/>
    <col min="108" max="108" width="11.4285714285714" customWidth="1"/>
    <col min="109" max="110" width="12.4285714285714" customWidth="1"/>
    <col min="111" max="111" width="7.42857142857143" customWidth="1"/>
    <col min="112" max="112" width="8.42857142857143" customWidth="1"/>
    <col min="113" max="113" width="13.5714285714286" customWidth="1"/>
  </cols>
  <sheetData>
    <row r="1" spans="48:123" ht="26.4">
      <c r="AV1" s="28"/>
      <c r="AW1" s="28"/>
      <c r="AX1" s="32" t="s">
        <v>802</v>
      </c>
      <c r="AY1" s="29"/>
      <c r="AZ1" s="29" t="s">
        <v>16</v>
      </c>
      <c r="BA1" s="31" t="s">
        <v>23</v>
      </c>
      <c r="BB1" s="29"/>
      <c r="BC1" s="29"/>
      <c r="BD1" s="29"/>
      <c r="BE1" s="29"/>
      <c r="BF1" s="29"/>
      <c r="BG1" s="29" t="s">
        <v>10</v>
      </c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48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</row>
    <row r="2" spans="48:123" ht="13.2">
      <c r="AV2" s="30"/>
      <c r="AW2" s="30"/>
      <c r="AX2" s="30"/>
      <c r="AY2" s="31"/>
      <c r="AZ2" s="29" t="s">
        <v>14</v>
      </c>
      <c r="BA2" s="33">
        <v>20</v>
      </c>
      <c r="BB2" s="29" t="s">
        <v>26</v>
      </c>
      <c r="BC2" s="29"/>
      <c r="BD2" s="29"/>
      <c r="BE2" s="29"/>
      <c r="BF2" s="29"/>
      <c r="BG2" s="29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49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</row>
    <row r="3" spans="48:123" ht="13.2">
      <c r="AV3" s="30" t="s">
        <v>25</v>
      </c>
      <c r="AW3" s="30"/>
      <c r="AX3" s="30"/>
      <c r="AY3" s="31"/>
      <c r="AZ3" s="31" t="s">
        <v>17</v>
      </c>
      <c r="BA3" s="31" t="s">
        <v>18</v>
      </c>
      <c r="BB3" s="31"/>
      <c r="BC3" s="31"/>
      <c r="BD3" s="29"/>
      <c r="BE3" s="29"/>
      <c r="BF3" s="29"/>
      <c r="BG3" s="29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49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</row>
    <row r="4" spans="48:127" ht="13.2">
      <c r="AV4" s="25" t="s">
        <v>0</v>
      </c>
      <c r="AW4" s="25" t="s">
        <v>19</v>
      </c>
      <c r="AX4" s="25" t="s">
        <v>1</v>
      </c>
      <c r="AY4" s="25" t="s">
        <v>2</v>
      </c>
      <c r="AZ4" s="25" t="s">
        <v>22</v>
      </c>
      <c r="BA4" s="25" t="s">
        <v>20</v>
      </c>
      <c r="BB4" s="22" t="s">
        <v>27</v>
      </c>
      <c r="BC4" s="22" t="s">
        <v>3</v>
      </c>
      <c r="BD4" s="22" t="s">
        <v>28</v>
      </c>
      <c r="BE4" s="22" t="s">
        <v>29</v>
      </c>
      <c r="BF4" s="22" t="s">
        <v>30</v>
      </c>
      <c r="BG4" s="22" t="s">
        <v>6</v>
      </c>
      <c r="BH4" s="22" t="s">
        <v>31</v>
      </c>
      <c r="BI4" s="22" t="s">
        <v>32</v>
      </c>
      <c r="BJ4" s="22" t="s">
        <v>33</v>
      </c>
      <c r="BK4" s="22" t="s">
        <v>34</v>
      </c>
      <c r="BL4" s="22" t="s">
        <v>35</v>
      </c>
      <c r="BM4" s="22" t="s">
        <v>36</v>
      </c>
      <c r="BN4" s="22" t="s">
        <v>37</v>
      </c>
      <c r="BO4" s="25" t="s">
        <v>38</v>
      </c>
      <c r="BP4" s="25" t="s">
        <v>39</v>
      </c>
      <c r="BQ4" s="25" t="s">
        <v>24</v>
      </c>
      <c r="BR4" s="25" t="s">
        <v>40</v>
      </c>
      <c r="BS4" s="20" t="s">
        <v>41</v>
      </c>
      <c r="BT4" s="20" t="s">
        <v>42</v>
      </c>
      <c r="BU4" s="20" t="s">
        <v>43</v>
      </c>
      <c r="BV4" s="20" t="s">
        <v>44</v>
      </c>
      <c r="BW4" s="20" t="s">
        <v>45</v>
      </c>
      <c r="BX4" s="20" t="s">
        <v>46</v>
      </c>
      <c r="BY4" s="20" t="s">
        <v>47</v>
      </c>
      <c r="BZ4" s="20" t="s">
        <v>48</v>
      </c>
      <c r="CA4" s="20" t="s">
        <v>49</v>
      </c>
      <c r="CB4" s="20" t="s">
        <v>50</v>
      </c>
      <c r="CC4" s="20" t="s">
        <v>51</v>
      </c>
      <c r="CD4" s="20" t="s">
        <v>52</v>
      </c>
      <c r="CE4" s="20" t="s">
        <v>53</v>
      </c>
      <c r="CF4" s="20" t="s">
        <v>54</v>
      </c>
      <c r="CG4" s="20"/>
      <c r="CH4" s="20" t="s">
        <v>55</v>
      </c>
      <c r="CI4" s="20" t="s">
        <v>56</v>
      </c>
      <c r="CJ4" s="20" t="s">
        <v>57</v>
      </c>
      <c r="CK4" s="50" t="s">
        <v>58</v>
      </c>
      <c r="CL4" s="20" t="s">
        <v>59</v>
      </c>
      <c r="CM4" s="20" t="s">
        <v>60</v>
      </c>
      <c r="CN4" s="20" t="s">
        <v>61</v>
      </c>
      <c r="CO4" s="20" t="s">
        <v>62</v>
      </c>
      <c r="CP4" s="20" t="s">
        <v>63</v>
      </c>
      <c r="CQ4" s="20" t="s">
        <v>64</v>
      </c>
      <c r="CR4" s="20" t="s">
        <v>65</v>
      </c>
      <c r="CS4" s="20" t="s">
        <v>66</v>
      </c>
      <c r="CT4" s="20" t="s">
        <v>67</v>
      </c>
      <c r="CU4" s="20" t="s">
        <v>68</v>
      </c>
      <c r="CV4" s="20" t="s">
        <v>69</v>
      </c>
      <c r="CW4" s="20" t="s">
        <v>70</v>
      </c>
      <c r="CX4" s="20" t="s">
        <v>71</v>
      </c>
      <c r="CY4" s="20" t="s">
        <v>72</v>
      </c>
      <c r="CZ4" s="20" t="s">
        <v>73</v>
      </c>
      <c r="DA4" s="20" t="s">
        <v>74</v>
      </c>
      <c r="DB4" s="20" t="s">
        <v>75</v>
      </c>
      <c r="DC4" s="20" t="s">
        <v>76</v>
      </c>
      <c r="DD4" s="20" t="s">
        <v>77</v>
      </c>
      <c r="DE4" s="20" t="s">
        <v>78</v>
      </c>
      <c r="DF4" s="20" t="s">
        <v>79</v>
      </c>
      <c r="DG4" s="20" t="s">
        <v>80</v>
      </c>
      <c r="DH4" s="20" t="s">
        <v>81</v>
      </c>
      <c r="DI4" s="20" t="s">
        <v>82</v>
      </c>
      <c r="DJ4" s="20" t="s">
        <v>83</v>
      </c>
      <c r="DK4" s="20" t="s">
        <v>84</v>
      </c>
      <c r="DL4" s="20" t="s">
        <v>85</v>
      </c>
      <c r="DM4" s="20" t="s">
        <v>86</v>
      </c>
      <c r="DN4" s="20" t="s">
        <v>87</v>
      </c>
      <c r="DO4" s="20" t="s">
        <v>88</v>
      </c>
      <c r="DP4" s="20" t="s">
        <v>89</v>
      </c>
      <c r="DQ4" s="20" t="s">
        <v>90</v>
      </c>
      <c r="DR4" s="20" t="s">
        <v>91</v>
      </c>
      <c r="DS4" s="20" t="s">
        <v>92</v>
      </c>
      <c r="DT4" t="s">
        <v>138</v>
      </c>
      <c r="DU4" t="s">
        <v>155</v>
      </c>
      <c r="DV4" t="s">
        <v>259</v>
      </c>
      <c r="DW4" t="s">
        <v>260</v>
      </c>
    </row>
    <row r="5" spans="1:127" ht="17.4">
      <c r="A5" s="14" t="s">
        <v>124</v>
      </c>
      <c r="B5" s="14"/>
      <c r="C5" s="14"/>
      <c r="D5" s="14"/>
      <c r="E5" s="14"/>
      <c r="F5" s="14"/>
      <c r="AV5" t="s">
        <v>920</v>
      </c>
      <c r="AW5" s="26" t="s">
        <v>921</v>
      </c>
      <c r="AX5" s="26" t="s">
        <v>922</v>
      </c>
      <c r="AY5" s="26" t="s">
        <v>923</v>
      </c>
      <c r="AZ5" s="26" t="s">
        <v>924</v>
      </c>
      <c r="BA5" s="26" t="s">
        <v>925</v>
      </c>
      <c r="BC5" s="26" t="s">
        <v>926</v>
      </c>
      <c r="BD5" s="26" t="s">
        <v>927</v>
      </c>
      <c r="BE5" t="s">
        <v>928</v>
      </c>
      <c r="BF5" t="s">
        <v>929</v>
      </c>
      <c r="BH5" t="s">
        <v>813</v>
      </c>
      <c r="BI5" t="s">
        <v>930</v>
      </c>
      <c r="BJ5" t="s">
        <v>813</v>
      </c>
      <c r="BK5" t="s">
        <v>931</v>
      </c>
      <c r="BM5" t="s">
        <v>932</v>
      </c>
      <c r="BN5" t="s">
        <v>933</v>
      </c>
      <c r="BO5" s="20" t="s">
        <v>934</v>
      </c>
      <c r="BP5" s="24" t="s">
        <v>935</v>
      </c>
      <c r="BQ5" s="24"/>
      <c r="BR5" s="24" t="s">
        <v>936</v>
      </c>
      <c r="BS5" s="20" t="s">
        <v>813</v>
      </c>
      <c r="BT5" s="20" t="s">
        <v>937</v>
      </c>
      <c r="BU5" s="20"/>
      <c r="BV5" s="20"/>
      <c r="BW5" s="20"/>
      <c r="BX5" s="20"/>
      <c r="BY5" s="20" t="s">
        <v>938</v>
      </c>
      <c r="BZ5" s="20" t="s">
        <v>813</v>
      </c>
      <c r="CA5" s="20" t="s">
        <v>813</v>
      </c>
      <c r="CB5" s="20" t="s">
        <v>813</v>
      </c>
      <c r="CC5" s="20" t="s">
        <v>813</v>
      </c>
      <c r="CD5" s="20" t="s">
        <v>813</v>
      </c>
      <c r="CE5" s="20" t="s">
        <v>939</v>
      </c>
      <c r="CF5" s="20" t="s">
        <v>813</v>
      </c>
      <c r="CG5" s="20"/>
      <c r="CH5" s="20"/>
      <c r="CI5" s="20" t="s">
        <v>813</v>
      </c>
      <c r="CJ5" s="20" t="s">
        <v>930</v>
      </c>
      <c r="CK5" s="50" t="s">
        <v>813</v>
      </c>
      <c r="CL5" s="20" t="s">
        <v>931</v>
      </c>
      <c r="CM5" s="20"/>
      <c r="CN5" s="20" t="s">
        <v>932</v>
      </c>
      <c r="CO5" s="20" t="s">
        <v>933</v>
      </c>
      <c r="CP5" s="20" t="s">
        <v>934</v>
      </c>
      <c r="CQ5" s="20" t="s">
        <v>935</v>
      </c>
      <c r="CR5" s="20">
        <v>0</v>
      </c>
      <c r="CS5" s="20">
        <v>0</v>
      </c>
      <c r="CT5" s="20"/>
      <c r="CU5" s="20" t="s">
        <v>941</v>
      </c>
      <c r="CV5" s="20" t="s">
        <v>942</v>
      </c>
      <c r="CW5" s="20"/>
      <c r="CX5" s="20" t="s">
        <v>941</v>
      </c>
      <c r="CY5" s="20" t="s">
        <v>942</v>
      </c>
      <c r="CZ5" s="20" t="s">
        <v>943</v>
      </c>
      <c r="DA5" s="20" t="s">
        <v>813</v>
      </c>
      <c r="DB5" s="20" t="s">
        <v>937</v>
      </c>
      <c r="DC5" s="20"/>
      <c r="DD5" s="20"/>
      <c r="DE5" s="20"/>
      <c r="DF5" s="20"/>
      <c r="DG5" s="20" t="s">
        <v>944</v>
      </c>
      <c r="DH5" s="20">
        <v>0</v>
      </c>
      <c r="DI5" s="20">
        <v>2806.575</v>
      </c>
      <c r="DJ5" s="20" t="s">
        <v>940</v>
      </c>
      <c r="DK5" s="20" t="s">
        <v>936</v>
      </c>
      <c r="DL5" s="20" t="s">
        <v>813</v>
      </c>
      <c r="DM5" s="20">
        <v>0</v>
      </c>
      <c r="DN5" s="20">
        <v>0</v>
      </c>
      <c r="DO5" s="20">
        <v>0</v>
      </c>
      <c r="DP5" s="20">
        <v>0</v>
      </c>
      <c r="DQ5" s="20">
        <v>3087.2325</v>
      </c>
      <c r="DR5" s="20" t="s">
        <v>940</v>
      </c>
      <c r="DS5" s="20" t="s">
        <v>945</v>
      </c>
      <c r="DT5" t="s">
        <v>946</v>
      </c>
      <c r="DU5" t="s">
        <v>947</v>
      </c>
    </row>
    <row r="6" spans="1:123" ht="13.2">
      <c r="A6" s="35" t="s">
        <v>125</v>
      </c>
      <c r="B6" s="35" t="s">
        <v>126</v>
      </c>
      <c r="C6" s="35" t="s">
        <v>127</v>
      </c>
      <c r="D6" s="35" t="s">
        <v>128</v>
      </c>
      <c r="E6" s="35" t="s">
        <v>129</v>
      </c>
      <c r="F6" s="35" t="s">
        <v>130</v>
      </c>
      <c r="AV6" s="20"/>
      <c r="AW6" s="20"/>
      <c r="AX6" s="20"/>
      <c r="AY6" s="24"/>
      <c r="AZ6" s="24"/>
      <c r="BA6" s="20"/>
      <c r="BO6" s="20"/>
      <c r="BP6" s="20"/>
      <c r="BQ6" s="20"/>
      <c r="BR6" s="20"/>
      <c r="BS6" s="20"/>
      <c r="BT6" s="24"/>
      <c r="BU6" s="24"/>
      <c r="BV6" s="24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5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</row>
    <row r="7" spans="1:123" ht="13.2">
      <c r="A7" s="39" t="s">
        <v>131</v>
      </c>
      <c r="B7" s="39">
        <v>11</v>
      </c>
      <c r="C7" s="39">
        <v>20</v>
      </c>
      <c r="D7" s="39" t="s">
        <v>919</v>
      </c>
      <c r="E7" s="39" t="b">
        <v>1</v>
      </c>
      <c r="F7" s="39">
        <v>1</v>
      </c>
      <c r="AV7" s="20"/>
      <c r="AW7" s="20"/>
      <c r="AX7" s="20"/>
      <c r="AY7" s="20"/>
      <c r="AZ7" s="20"/>
      <c r="BA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5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</row>
    <row r="8" spans="1:123" ht="13.2">
      <c r="A8" s="39" t="s">
        <v>719</v>
      </c>
      <c r="B8" s="39">
        <v>12</v>
      </c>
      <c r="C8" s="39">
        <v>21</v>
      </c>
      <c r="D8" s="39" t="s">
        <v>720</v>
      </c>
      <c r="E8" s="39" t="b">
        <v>1</v>
      </c>
      <c r="F8" s="39">
        <v>1</v>
      </c>
      <c r="AV8" s="20"/>
      <c r="AW8" s="20"/>
      <c r="AX8" s="20"/>
      <c r="AY8" s="20"/>
      <c r="AZ8" s="20"/>
      <c r="BA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5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</row>
    <row r="9" spans="1:123" ht="13.2">
      <c r="A9" s="39" t="s">
        <v>151</v>
      </c>
      <c r="B9" s="39">
        <v>11</v>
      </c>
      <c r="C9" s="39">
        <v>20</v>
      </c>
      <c r="D9" s="39" t="s">
        <v>804</v>
      </c>
      <c r="E9" s="39" t="b">
        <v>1</v>
      </c>
      <c r="F9" s="39">
        <v>1</v>
      </c>
      <c r="AV9" s="20"/>
      <c r="AW9" s="20"/>
      <c r="AX9" s="20"/>
      <c r="AY9" s="20"/>
      <c r="AZ9" s="20"/>
      <c r="BA9" s="20"/>
      <c r="BP9" s="20"/>
      <c r="BQ9" s="20"/>
      <c r="BR9" s="20"/>
      <c r="BS9" s="20"/>
      <c r="BT9" s="20"/>
      <c r="BU9" s="20"/>
      <c r="BV9" s="20"/>
      <c r="BW9" s="20"/>
      <c r="BX9" s="21"/>
      <c r="BY9" s="21"/>
      <c r="BZ9" s="21"/>
      <c r="CA9" s="21"/>
      <c r="CB9" s="20"/>
      <c r="CC9" s="20"/>
      <c r="CD9" s="20"/>
      <c r="CE9" s="20"/>
      <c r="CF9" s="20"/>
      <c r="CG9" s="20"/>
      <c r="CH9" s="20"/>
      <c r="CI9" s="20"/>
      <c r="CJ9" s="20"/>
      <c r="CK9" s="5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</row>
    <row r="10" spans="1:123" ht="13.2">
      <c r="A10" s="39" t="s">
        <v>908</v>
      </c>
      <c r="B10" s="39">
        <v>11</v>
      </c>
      <c r="C10" s="39">
        <v>20</v>
      </c>
      <c r="D10" s="39" t="s">
        <v>606</v>
      </c>
      <c r="E10" s="39" t="b">
        <v>1</v>
      </c>
      <c r="F10" s="39">
        <v>1</v>
      </c>
      <c r="AV10" s="22" t="s">
        <v>0</v>
      </c>
      <c r="AW10" s="22" t="s">
        <v>13</v>
      </c>
      <c r="AX10" s="22" t="s">
        <v>93</v>
      </c>
      <c r="AY10" s="22" t="s">
        <v>1</v>
      </c>
      <c r="AZ10" s="22" t="s">
        <v>94</v>
      </c>
      <c r="BA10" s="22" t="s">
        <v>95</v>
      </c>
      <c r="BB10" s="22" t="s">
        <v>96</v>
      </c>
      <c r="BC10" s="22" t="s">
        <v>6</v>
      </c>
      <c r="BD10" s="22" t="s">
        <v>97</v>
      </c>
      <c r="BE10" s="22" t="s">
        <v>98</v>
      </c>
      <c r="BF10" s="22" t="s">
        <v>99</v>
      </c>
      <c r="BG10" s="22" t="s">
        <v>82</v>
      </c>
      <c r="BH10" s="22" t="s">
        <v>100</v>
      </c>
      <c r="BI10" s="22" t="s">
        <v>101</v>
      </c>
      <c r="BJ10" s="22" t="s">
        <v>102</v>
      </c>
      <c r="BK10" s="22" t="s">
        <v>103</v>
      </c>
      <c r="BL10" s="22" t="s">
        <v>104</v>
      </c>
      <c r="BM10" s="22" t="s">
        <v>105</v>
      </c>
      <c r="BN10" t="s">
        <v>106</v>
      </c>
      <c r="BO10" s="22" t="s">
        <v>107</v>
      </c>
      <c r="BP10" s="22" t="s">
        <v>108</v>
      </c>
      <c r="BQ10" s="22" t="s">
        <v>109</v>
      </c>
      <c r="BR10" s="22" t="s">
        <v>110</v>
      </c>
      <c r="BS10" s="22" t="s">
        <v>111</v>
      </c>
      <c r="BT10" s="21" t="s">
        <v>139</v>
      </c>
      <c r="BU10" s="21" t="s">
        <v>140</v>
      </c>
      <c r="BV10" s="21" t="s">
        <v>141</v>
      </c>
      <c r="BW10" s="21" t="s">
        <v>145</v>
      </c>
      <c r="BX10" s="21"/>
      <c r="BY10" s="21"/>
      <c r="BZ10" s="21"/>
      <c r="CA10" s="21" t="s">
        <v>112</v>
      </c>
      <c r="CB10" s="21" t="s">
        <v>0</v>
      </c>
      <c r="CC10" s="21" t="s">
        <v>0</v>
      </c>
      <c r="CD10" s="21" t="s">
        <v>21</v>
      </c>
      <c r="CE10" s="21" t="s">
        <v>112</v>
      </c>
      <c r="CF10" s="21" t="s">
        <v>0</v>
      </c>
      <c r="CG10" s="21" t="s">
        <v>0</v>
      </c>
      <c r="CH10" s="21" t="s">
        <v>21</v>
      </c>
      <c r="CI10" s="21" t="s">
        <v>1</v>
      </c>
      <c r="CJ10" s="21" t="s">
        <v>113</v>
      </c>
      <c r="CK10" s="5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</row>
    <row r="11" spans="1:123" ht="13.2">
      <c r="A11" s="39" t="s">
        <v>261</v>
      </c>
      <c r="B11" s="39">
        <v>11</v>
      </c>
      <c r="C11" s="39">
        <v>20</v>
      </c>
      <c r="D11" s="39" t="s">
        <v>812</v>
      </c>
      <c r="E11" s="39" t="b">
        <v>1</v>
      </c>
      <c r="F11" s="39">
        <v>1</v>
      </c>
      <c r="AV11" t="s">
        <v>948</v>
      </c>
      <c r="AW11">
        <v>5</v>
      </c>
      <c r="AX11" t="s">
        <v>949</v>
      </c>
      <c r="AY11" t="s">
        <v>950</v>
      </c>
      <c r="AZ11">
        <v>1</v>
      </c>
      <c r="BA11">
        <v>1880</v>
      </c>
      <c r="BB11">
        <v>0</v>
      </c>
      <c r="BC11" t="s">
        <v>951</v>
      </c>
      <c r="BD11" t="s">
        <v>952</v>
      </c>
      <c r="BE11" t="s">
        <v>953</v>
      </c>
      <c r="BF11" s="56">
        <v>46254</v>
      </c>
      <c r="BG11">
        <v>126</v>
      </c>
      <c r="BH11">
        <v>0</v>
      </c>
      <c r="BI11">
        <v>12.6</v>
      </c>
      <c r="BJ11">
        <v>126</v>
      </c>
      <c r="BK11">
        <v>0</v>
      </c>
      <c r="BL11">
        <v>66</v>
      </c>
      <c r="BM11" t="s">
        <v>954</v>
      </c>
      <c r="BN11" t="s">
        <v>161</v>
      </c>
      <c r="BO11" t="s">
        <v>221</v>
      </c>
      <c r="BR11" s="26" t="s">
        <v>813</v>
      </c>
      <c r="BS11" s="23" t="s">
        <v>813</v>
      </c>
      <c r="BT11" s="23" t="s">
        <v>955</v>
      </c>
      <c r="BU11" s="23">
        <v>0</v>
      </c>
      <c r="BV11" s="23" t="s">
        <v>813</v>
      </c>
      <c r="BW11" s="23" t="s">
        <v>813</v>
      </c>
      <c r="BX11" s="23"/>
      <c r="BY11" s="23"/>
      <c r="BZ11" s="23"/>
      <c r="CA11" s="23"/>
      <c r="CB11" s="23"/>
      <c r="CC11" s="23"/>
      <c r="CD11" s="23"/>
      <c r="CE11" s="23" t="s">
        <v>956</v>
      </c>
      <c r="CF11" s="23" t="s">
        <v>957</v>
      </c>
      <c r="CG11" s="23" t="s">
        <v>957</v>
      </c>
      <c r="CH11" s="23" t="s">
        <v>948</v>
      </c>
      <c r="CI11" s="23" t="s">
        <v>958</v>
      </c>
      <c r="CJ11" s="23" t="s">
        <v>950</v>
      </c>
      <c r="CK11" s="52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</row>
    <row r="12" spans="1:123" ht="13.2">
      <c r="A12" s="39" t="s">
        <v>206</v>
      </c>
      <c r="B12" s="39">
        <v>10</v>
      </c>
      <c r="C12" s="39">
        <v>19</v>
      </c>
      <c r="D12" s="39" t="s">
        <v>891</v>
      </c>
      <c r="E12" s="39" t="b">
        <v>1</v>
      </c>
      <c r="F12" s="39">
        <v>1</v>
      </c>
      <c r="BF12" s="56"/>
      <c r="BR12" s="26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 t="s">
        <v>959</v>
      </c>
      <c r="CF12" s="23" t="s">
        <v>960</v>
      </c>
      <c r="CG12" s="23" t="s">
        <v>960</v>
      </c>
      <c r="CH12" s="27" t="s">
        <v>948</v>
      </c>
      <c r="CI12" s="23" t="s">
        <v>961</v>
      </c>
      <c r="CJ12" s="27" t="s">
        <v>840</v>
      </c>
      <c r="CK12" s="52"/>
      <c r="CL12" s="27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</row>
    <row r="13" spans="1:123" ht="13.2">
      <c r="A13" s="39" t="s">
        <v>307</v>
      </c>
      <c r="B13" s="39">
        <v>11</v>
      </c>
      <c r="C13" s="39">
        <v>20</v>
      </c>
      <c r="D13" s="39" t="s">
        <v>317</v>
      </c>
      <c r="E13" s="39" t="b">
        <v>1</v>
      </c>
      <c r="F13" s="39">
        <v>1</v>
      </c>
      <c r="BF13" s="56"/>
      <c r="BR13" s="26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 t="s">
        <v>962</v>
      </c>
      <c r="CF13" s="23" t="s">
        <v>963</v>
      </c>
      <c r="CG13" s="23" t="s">
        <v>963</v>
      </c>
      <c r="CH13" s="27" t="s">
        <v>948</v>
      </c>
      <c r="CI13" s="23" t="s">
        <v>964</v>
      </c>
      <c r="CJ13" s="27" t="s">
        <v>965</v>
      </c>
      <c r="CK13" s="52"/>
      <c r="CL13" s="27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</row>
    <row r="14" spans="1:123" ht="13.2">
      <c r="A14" s="39" t="s">
        <v>607</v>
      </c>
      <c r="B14" s="39">
        <v>3</v>
      </c>
      <c r="C14" s="39">
        <v>12</v>
      </c>
      <c r="D14" s="39" t="s">
        <v>912</v>
      </c>
      <c r="E14" s="39" t="b">
        <v>0</v>
      </c>
      <c r="F14" s="39">
        <v>0</v>
      </c>
      <c r="BF14" s="56"/>
      <c r="BR14" s="26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 t="s">
        <v>966</v>
      </c>
      <c r="CF14" s="23" t="s">
        <v>967</v>
      </c>
      <c r="CG14" s="23" t="s">
        <v>967</v>
      </c>
      <c r="CH14" s="27" t="s">
        <v>948</v>
      </c>
      <c r="CI14" s="23" t="s">
        <v>968</v>
      </c>
      <c r="CJ14" s="27" t="s">
        <v>197</v>
      </c>
      <c r="CK14" s="52"/>
      <c r="CL14" s="27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</row>
    <row r="15" spans="1:123" ht="13.2">
      <c r="A15" s="39" t="s">
        <v>132</v>
      </c>
      <c r="B15" s="39">
        <v>11</v>
      </c>
      <c r="C15" s="39">
        <v>20</v>
      </c>
      <c r="D15" s="39" t="s">
        <v>133</v>
      </c>
      <c r="E15" s="39" t="b">
        <v>0</v>
      </c>
      <c r="F15" s="39">
        <v>2</v>
      </c>
      <c r="BF15" s="56"/>
      <c r="BR15" s="26"/>
      <c r="BS15" s="23"/>
      <c r="BT15" s="27"/>
      <c r="BU15" s="27"/>
      <c r="BV15" s="23"/>
      <c r="BW15" s="23"/>
      <c r="BX15" s="23"/>
      <c r="BY15" s="23"/>
      <c r="BZ15" s="23"/>
      <c r="CA15" s="23"/>
      <c r="CB15" s="23"/>
      <c r="CC15" s="23"/>
      <c r="CD15" s="23"/>
      <c r="CE15" s="23" t="s">
        <v>969</v>
      </c>
      <c r="CF15" s="23" t="s">
        <v>970</v>
      </c>
      <c r="CG15" s="23" t="s">
        <v>970</v>
      </c>
      <c r="CH15" s="23" t="s">
        <v>948</v>
      </c>
      <c r="CI15" s="23" t="s">
        <v>971</v>
      </c>
      <c r="CJ15" s="23" t="s">
        <v>148</v>
      </c>
      <c r="CK15" s="52"/>
      <c r="CL15" s="23"/>
      <c r="CM15" s="27"/>
      <c r="CN15" s="27"/>
      <c r="CO15" s="27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</row>
    <row r="16" spans="1:123" ht="13.2">
      <c r="A16" s="39" t="s">
        <v>159</v>
      </c>
      <c r="B16" s="39">
        <v>0</v>
      </c>
      <c r="C16" s="39">
        <v>0</v>
      </c>
      <c r="D16" s="39" t="s">
        <v>160</v>
      </c>
      <c r="E16" s="39" t="b">
        <v>0</v>
      </c>
      <c r="F16" s="39">
        <v>0</v>
      </c>
      <c r="BF16" s="56"/>
      <c r="BR16" s="26"/>
      <c r="BS16" s="23"/>
      <c r="BT16" s="27"/>
      <c r="BU16" s="27"/>
      <c r="BV16" s="23"/>
      <c r="BW16" s="23"/>
      <c r="BX16" s="23"/>
      <c r="BY16" s="23"/>
      <c r="BZ16" s="23"/>
      <c r="CA16" s="23"/>
      <c r="CB16" s="23"/>
      <c r="CC16" s="23"/>
      <c r="CD16" s="23"/>
      <c r="CE16" s="23" t="s">
        <v>972</v>
      </c>
      <c r="CF16" s="23" t="s">
        <v>973</v>
      </c>
      <c r="CG16" s="23" t="s">
        <v>973</v>
      </c>
      <c r="CH16" s="23" t="s">
        <v>948</v>
      </c>
      <c r="CI16" s="23" t="s">
        <v>974</v>
      </c>
      <c r="CJ16" s="23" t="s">
        <v>975</v>
      </c>
      <c r="CK16" s="52"/>
      <c r="CL16" s="23"/>
      <c r="CM16" s="27"/>
      <c r="CN16" s="27"/>
      <c r="CO16" s="27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</row>
    <row r="17" spans="1:123" ht="13.2">
      <c r="A17" s="39"/>
      <c r="B17" s="39"/>
      <c r="C17" s="39"/>
      <c r="D17" s="39"/>
      <c r="E17" s="39"/>
      <c r="F17" s="39"/>
      <c r="BF17" s="56"/>
      <c r="BR17" s="26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 t="s">
        <v>976</v>
      </c>
      <c r="CF17" s="23" t="s">
        <v>977</v>
      </c>
      <c r="CG17" s="23" t="s">
        <v>977</v>
      </c>
      <c r="CH17" s="23" t="s">
        <v>948</v>
      </c>
      <c r="CI17" s="23" t="s">
        <v>978</v>
      </c>
      <c r="CJ17" s="23" t="s">
        <v>979</v>
      </c>
      <c r="CK17" s="52"/>
      <c r="CL17" s="23"/>
      <c r="CM17" s="27"/>
      <c r="CN17" s="27"/>
      <c r="CO17" s="27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</row>
    <row r="18" spans="1:123" ht="13.2">
      <c r="A18" s="39"/>
      <c r="B18" s="39"/>
      <c r="C18" s="39"/>
      <c r="D18" s="39"/>
      <c r="E18" s="39"/>
      <c r="F18" s="39"/>
      <c r="BF18" s="56"/>
      <c r="BR18" s="26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 t="s">
        <v>980</v>
      </c>
      <c r="CF18" s="23" t="s">
        <v>981</v>
      </c>
      <c r="CG18" s="23" t="s">
        <v>981</v>
      </c>
      <c r="CH18" s="23" t="s">
        <v>948</v>
      </c>
      <c r="CI18" s="23" t="s">
        <v>982</v>
      </c>
      <c r="CJ18" s="23" t="s">
        <v>167</v>
      </c>
      <c r="CK18" s="52"/>
      <c r="CL18" s="23"/>
      <c r="CM18" s="27"/>
      <c r="CN18" s="27"/>
      <c r="CO18" s="27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</row>
    <row r="19" spans="1:123" ht="13.2">
      <c r="A19" s="39"/>
      <c r="B19" s="39"/>
      <c r="C19" s="39"/>
      <c r="D19" s="39"/>
      <c r="E19" s="39"/>
      <c r="F19" s="39"/>
      <c r="BF19" s="56"/>
      <c r="BR19" s="26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 t="s">
        <v>983</v>
      </c>
      <c r="CF19" s="23" t="s">
        <v>984</v>
      </c>
      <c r="CG19" s="23" t="s">
        <v>984</v>
      </c>
      <c r="CH19" s="23" t="s">
        <v>948</v>
      </c>
      <c r="CI19" s="23" t="s">
        <v>985</v>
      </c>
      <c r="CJ19" s="23" t="s">
        <v>189</v>
      </c>
      <c r="CK19" s="52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</row>
    <row r="20" spans="1:123" ht="13.2">
      <c r="A20" s="39"/>
      <c r="B20" s="39"/>
      <c r="C20" s="39"/>
      <c r="D20" s="39"/>
      <c r="E20" s="39"/>
      <c r="F20" s="39"/>
      <c r="BF20" s="56"/>
      <c r="BR20" s="26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 t="s">
        <v>986</v>
      </c>
      <c r="CF20" s="23" t="s">
        <v>987</v>
      </c>
      <c r="CG20" s="23" t="s">
        <v>987</v>
      </c>
      <c r="CH20" s="23" t="s">
        <v>948</v>
      </c>
      <c r="CI20" s="23" t="s">
        <v>988</v>
      </c>
      <c r="CJ20" s="23" t="s">
        <v>989</v>
      </c>
      <c r="CK20" s="52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</row>
    <row r="21" spans="1:123" ht="13.2">
      <c r="A21" s="39"/>
      <c r="B21" s="39"/>
      <c r="C21" s="39"/>
      <c r="D21" s="39"/>
      <c r="E21" s="39"/>
      <c r="F21" s="39"/>
      <c r="BF21" s="56"/>
      <c r="BR21" s="26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 t="s">
        <v>990</v>
      </c>
      <c r="CF21" s="23" t="s">
        <v>991</v>
      </c>
      <c r="CG21" s="23" t="s">
        <v>991</v>
      </c>
      <c r="CH21" s="23" t="s">
        <v>948</v>
      </c>
      <c r="CI21" s="23" t="s">
        <v>992</v>
      </c>
      <c r="CJ21" s="23" t="s">
        <v>198</v>
      </c>
      <c r="CK21" s="52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</row>
    <row r="22" spans="1:88" ht="13.2">
      <c r="BF22" s="56"/>
      <c r="BR22" s="26"/>
      <c r="CE22" t="s">
        <v>993</v>
      </c>
      <c r="CF22" t="s">
        <v>994</v>
      </c>
      <c r="CG22" t="s">
        <v>994</v>
      </c>
      <c r="CH22" t="s">
        <v>948</v>
      </c>
      <c r="CI22" t="s">
        <v>995</v>
      </c>
      <c r="CJ22" t="s">
        <v>149</v>
      </c>
    </row>
    <row r="23" spans="1:89" ht="13.2">
      <c r="BF23" s="56"/>
      <c r="CE23" t="s">
        <v>996</v>
      </c>
      <c r="CF23" t="s">
        <v>997</v>
      </c>
      <c r="CG23" t="s">
        <v>997</v>
      </c>
      <c r="CH23" t="s">
        <v>948</v>
      </c>
      <c r="CI23" t="s">
        <v>998</v>
      </c>
      <c r="CJ23" t="s">
        <v>999</v>
      </c>
      <c r="CK23" s="53">
        <v>30</v>
      </c>
    </row>
    <row r="24" spans="1:88" ht="13.2">
      <c r="BF24" s="56"/>
      <c r="CE24" t="s">
        <v>1000</v>
      </c>
      <c r="CF24" t="s">
        <v>1001</v>
      </c>
      <c r="CG24" t="s">
        <v>1001</v>
      </c>
      <c r="CH24" t="s">
        <v>948</v>
      </c>
      <c r="CI24" t="s">
        <v>1002</v>
      </c>
      <c r="CJ24" t="s">
        <v>1003</v>
      </c>
    </row>
    <row r="25" spans="48:88" ht="13.2">
      <c r="BF25" s="56"/>
      <c r="CE25" t="s">
        <v>1004</v>
      </c>
      <c r="CF25" t="s">
        <v>1005</v>
      </c>
      <c r="CG25" t="s">
        <v>1005</v>
      </c>
      <c r="CH25" t="s">
        <v>948</v>
      </c>
      <c r="CI25" t="s">
        <v>1006</v>
      </c>
      <c r="CJ25" t="s">
        <v>1007</v>
      </c>
    </row>
    <row r="26" spans="48:88" ht="13.2">
      <c r="BF26" s="26"/>
      <c r="CE26" t="s">
        <v>1008</v>
      </c>
      <c r="CF26" t="s">
        <v>1009</v>
      </c>
      <c r="CG26" t="s">
        <v>1009</v>
      </c>
      <c r="CH26" t="s">
        <v>948</v>
      </c>
      <c r="CI26" t="s">
        <v>1010</v>
      </c>
      <c r="CJ26" t="s">
        <v>276</v>
      </c>
    </row>
    <row r="27" spans="48:88" ht="22.8">
      <c r="AX27" s="23"/>
      <c r="AY27" s="23"/>
      <c r="AZ27" s="36"/>
      <c r="BA27" s="23"/>
      <c r="BF27" s="26"/>
      <c r="CE27" t="s">
        <v>1011</v>
      </c>
      <c r="CF27" t="s">
        <v>1012</v>
      </c>
      <c r="CG27" t="s">
        <v>1012</v>
      </c>
      <c r="CH27" t="s">
        <v>948</v>
      </c>
      <c r="CI27" t="s">
        <v>1013</v>
      </c>
      <c r="CJ27" t="s">
        <v>149</v>
      </c>
    </row>
    <row r="28" spans="48:89" ht="22.8">
      <c r="AX28" s="23"/>
      <c r="AY28" s="23"/>
      <c r="AZ28" s="36"/>
      <c r="BF28" s="26"/>
      <c r="CE28" t="s">
        <v>1014</v>
      </c>
      <c r="CF28" t="s">
        <v>1015</v>
      </c>
      <c r="CG28" t="s">
        <v>1015</v>
      </c>
      <c r="CH28" t="s">
        <v>948</v>
      </c>
      <c r="CI28" t="s">
        <v>1016</v>
      </c>
      <c r="CJ28" t="s">
        <v>1017</v>
      </c>
      <c r="CK28" s="53">
        <v>20</v>
      </c>
    </row>
    <row r="29" spans="48:88" ht="13.2">
      <c r="BF29" s="26"/>
      <c r="CE29" t="s">
        <v>1018</v>
      </c>
      <c r="CF29" t="s">
        <v>1019</v>
      </c>
      <c r="CG29" t="s">
        <v>1019</v>
      </c>
      <c r="CH29" t="s">
        <v>948</v>
      </c>
      <c r="CI29" t="s">
        <v>1020</v>
      </c>
      <c r="CJ29" t="s">
        <v>951</v>
      </c>
    </row>
    <row r="30" spans="48:88" ht="13.2">
      <c r="BF30" s="26"/>
      <c r="CE30" t="s">
        <v>1021</v>
      </c>
      <c r="CF30" t="s">
        <v>1022</v>
      </c>
      <c r="CG30" t="s">
        <v>1022</v>
      </c>
      <c r="CH30" t="s">
        <v>948</v>
      </c>
      <c r="CI30" t="s">
        <v>1023</v>
      </c>
      <c r="CJ30" t="s">
        <v>1024</v>
      </c>
    </row>
    <row r="31" spans="48:88" ht="13.2">
      <c r="BF31" s="26"/>
      <c r="CE31" t="s">
        <v>1025</v>
      </c>
      <c r="CF31" t="s">
        <v>1026</v>
      </c>
      <c r="CG31" t="s">
        <v>1026</v>
      </c>
      <c r="CH31" t="s">
        <v>1027</v>
      </c>
      <c r="CI31" t="s">
        <v>1028</v>
      </c>
      <c r="CJ31" t="s">
        <v>149</v>
      </c>
    </row>
    <row r="32" spans="48:88" ht="13.2">
      <c r="BF32" s="26"/>
      <c r="CE32" t="s">
        <v>1029</v>
      </c>
      <c r="CF32" t="s">
        <v>1030</v>
      </c>
      <c r="CG32" t="s">
        <v>1030</v>
      </c>
      <c r="CH32" t="s">
        <v>1027</v>
      </c>
      <c r="CI32" t="s">
        <v>1031</v>
      </c>
      <c r="CJ32" t="s">
        <v>1032</v>
      </c>
    </row>
    <row r="33" spans="48:74" ht="13.2"/>
    <row r="34" spans="48:74" ht="13.2"/>
    <row r="35" spans="48:74" ht="13.2"/>
    <row r="36" spans="48:74" ht="13.2"/>
    <row r="37" spans="48:74" ht="13.2"/>
    <row r="38" spans="48:74" ht="13.2"/>
    <row r="39" spans="48:74" ht="13.2"/>
    <row r="40" spans="48:74" ht="13.2"/>
    <row r="41" spans="48:74" ht="13.2"/>
    <row r="42" spans="48:74" ht="13.2"/>
    <row r="43" spans="48:74" ht="13.2"/>
    <row r="44" spans="48:74" ht="13.2"/>
    <row r="45" spans="48:74" ht="13.2"/>
    <row r="46" spans="48:74" ht="13.2"/>
    <row r="47" spans="48:74" ht="13.2"/>
    <row r="48" spans="48:74" ht="13.2"/>
    <row r="49" spans="48:74" ht="13.2"/>
    <row r="50" spans="48:74" ht="13.2"/>
    <row r="51" spans="48:74" ht="13.2"/>
    <row r="52" spans="48:74" ht="13.2"/>
    <row r="53" spans="48:74" ht="13.2"/>
    <row r="54" spans="48:74" ht="13.2"/>
    <row r="55" spans="48:74" ht="13.2"/>
    <row r="56" spans="48:74" ht="13.2"/>
    <row r="57" spans="48:74" ht="13.2"/>
    <row r="58" spans="48:74" ht="13.2"/>
    <row r="59" spans="48:74" ht="13.2"/>
    <row r="60" spans="48:74" ht="13.2"/>
    <row r="61" spans="48:74" ht="13.2"/>
    <row r="62" spans="48:74" ht="13.2"/>
    <row r="63" spans="48:74" ht="13.2"/>
    <row r="64" spans="48:74" ht="13.2"/>
    <row r="65" spans="48:74" ht="13.2"/>
    <row r="66" spans="48:74" ht="13.2"/>
    <row r="67" spans="48:74" ht="13.2"/>
    <row r="68" spans="48:74" ht="13.2"/>
    <row r="69" spans="48:74" ht="13.2"/>
    <row r="70" spans="48:74" ht="13.2"/>
    <row r="71" spans="48:74" ht="13.2"/>
    <row r="72" spans="48:74" ht="13.2"/>
    <row r="73" spans="48:74" ht="13.2"/>
    <row r="74" spans="48:74" ht="13.2"/>
    <row r="75" spans="48:74" ht="13.2"/>
    <row r="76" spans="48:74" ht="13.2"/>
    <row r="77" spans="48:74" ht="13.2"/>
    <row r="78" spans="48:74" ht="13.2"/>
    <row r="79" spans="48:74" ht="13.2"/>
    <row r="80" spans="48:74" ht="13.2"/>
    <row r="81" spans="48:74" ht="13.2"/>
    <row r="82" spans="48:74" ht="13.2"/>
    <row r="83" spans="48:74" ht="13.2"/>
    <row r="84" spans="48:74" ht="13.2"/>
    <row r="85" spans="48:74" ht="13.2"/>
    <row r="86" spans="48:74" ht="13.2"/>
    <row r="87" spans="48:74" ht="13.2"/>
    <row r="88" spans="48:74" ht="13.2"/>
    <row r="89" spans="48:74" ht="13.2"/>
    <row r="90" spans="48:74" ht="13.2"/>
    <row r="91" spans="48:74" ht="13.2"/>
    <row r="92" spans="48:74" ht="13.2"/>
    <row r="93" spans="48:74" ht="13.2"/>
    <row r="94" spans="48:74" ht="13.2"/>
    <row r="95" spans="48:74" ht="13.2"/>
    <row r="96" spans="48:74" ht="13.2"/>
    <row r="97" spans="48:74" ht="13.2"/>
    <row r="98" spans="48:74" ht="13.2"/>
    <row r="99" spans="48:74" ht="13.2"/>
    <row r="100" spans="48:74" ht="13.2"/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BA110"/>
  <sheetViews>
    <sheetView showZeros="0" view="pageBreakPreview" zoomScale="50" zoomScaleNormal="25" zoomScaleSheetLayoutView="50" zoomScalePageLayoutView="25" workbookViewId="0" topLeftCell="P2">
      <selection pane="topLeft" activeCell="P11" sqref="A11:XFD20"/>
    </sheetView>
  </sheetViews>
  <sheetFormatPr defaultColWidth="9.44140625" defaultRowHeight="39.9" customHeight="1"/>
  <cols>
    <col min="1" max="1" width="10.4285714285714" style="60" customWidth="1"/>
    <col min="2" max="2" width="30.5714285714286" style="60" customWidth="1"/>
    <col min="3" max="3" width="17.5714285714286" style="60" customWidth="1"/>
    <col min="4" max="4" width="17.4285714285714" style="60" customWidth="1"/>
    <col min="5" max="5" width="16.8571428571429" style="60" customWidth="1"/>
    <col min="6" max="6" width="22.4285714285714" style="60" customWidth="1"/>
    <col min="7" max="7" width="18" style="60" customWidth="1"/>
    <col min="8" max="8" width="28.4285714285714" style="60" customWidth="1"/>
    <col min="9" max="9" width="21.2857142857143" style="60" customWidth="1"/>
    <col min="10" max="10" width="18.4285714285714" style="61" customWidth="1"/>
    <col min="11" max="11" width="19.7142857142857" style="61" customWidth="1"/>
    <col min="12" max="12" width="21.2857142857143" style="60" customWidth="1"/>
    <col min="13" max="13" width="20.4285714285714" style="60" customWidth="1"/>
    <col min="14" max="14" width="20.7142857142857" style="60" customWidth="1"/>
    <col min="15" max="15" width="14.7142857142857" style="60" customWidth="1"/>
    <col min="16" max="16" width="20.2857142857143" style="60" customWidth="1"/>
    <col min="17" max="17" width="14.7142857142857" style="60" customWidth="1"/>
    <col min="18" max="18" width="16" style="60" customWidth="1"/>
    <col min="19" max="19" width="13.5714285714286" style="60" customWidth="1"/>
    <col min="20" max="20" width="27.2857142857143" style="60" customWidth="1"/>
    <col min="21" max="21" width="14.1428571428571" style="60" customWidth="1"/>
    <col min="22" max="22" width="15.1428571428571" style="60" customWidth="1"/>
    <col min="23" max="23" width="20.2857142857143" customWidth="1"/>
    <col min="24" max="24" width="17.1428571428571" customWidth="1"/>
    <col min="25" max="25" width="16.5714285714286" customWidth="1"/>
    <col min="26" max="26" width="19.1428571428571" customWidth="1"/>
    <col min="27" max="27" width="20.4285714285714" customWidth="1"/>
    <col min="28" max="28" width="18.5714285714286" customWidth="1"/>
    <col min="29" max="29" width="20.2857142857143" customWidth="1"/>
    <col min="30" max="30" width="17.1428571428571" customWidth="1"/>
    <col min="31" max="31" width="17.7142857142857" customWidth="1"/>
    <col min="32" max="32" width="18.2857142857143" customWidth="1"/>
    <col min="33" max="33" width="19" customWidth="1"/>
    <col min="34" max="35" width="16" customWidth="1"/>
    <col min="36" max="36" width="22.5714285714286" customWidth="1"/>
    <col min="37" max="37" width="44.5714285714286" customWidth="1"/>
    <col min="38" max="41" width="24.5714285714286" customWidth="1"/>
    <col min="42" max="42" width="24.8571428571429" customWidth="1"/>
    <col min="43" max="43" width="19.4285714285714" customWidth="1"/>
    <col min="44" max="44" width="18" customWidth="1"/>
    <col min="45" max="45" width="18.2857142857143" customWidth="1"/>
    <col min="46" max="46" width="16.8571428571429" customWidth="1"/>
    <col min="47" max="47" width="19.1428571428571" customWidth="1"/>
    <col min="48" max="48" width="21.4285714285714" customWidth="1"/>
    <col min="49" max="49" width="22.1428571428571" customWidth="1"/>
    <col min="50" max="50" width="21.4285714285714" customWidth="1"/>
    <col min="51" max="51" width="22.2857142857143" customWidth="1"/>
    <col min="52" max="52" width="22" customWidth="1"/>
    <col min="53" max="53" width="22.2857142857143" customWidth="1"/>
  </cols>
  <sheetData>
    <row r="1" spans="1:37" s="29" customFormat="1" ht="219" customHeight="1">
      <c r="A1" s="10" t="s">
        <v>196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45" customFormat="1" ht="50.1" customHeight="1">
      <c r="A2" s="8" t="s">
        <v>7</v>
      </c>
      <c r="B2" s="8"/>
      <c r="C2" s="4"/>
      <c r="D2" s="4"/>
      <c r="E2" s="4"/>
      <c r="F2" s="4" t="s">
        <v>118</v>
      </c>
      <c r="G2" s="4"/>
      <c r="H2" s="4"/>
      <c r="I2" s="13" t="str">
        <f>Data!BF5</f>
        <v>Symons, Dianne</v>
      </c>
      <c r="J2" s="13"/>
      <c r="K2" s="13"/>
      <c r="L2" s="13"/>
      <c r="M2" s="13"/>
      <c r="N2" s="13"/>
      <c r="O2" s="13"/>
      <c r="P2" s="12" t="s">
        <v>4</v>
      </c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</row>
    <row r="3" spans="1:37" s="45" customFormat="1" ht="50.1" customHeight="1">
      <c r="A3" s="7" t="s">
        <v>144</v>
      </c>
      <c r="B3" s="7"/>
      <c r="C3" s="3" t="str">
        <f>Data!BC5</f>
        <v>12027</v>
      </c>
      <c r="D3" s="3"/>
      <c r="E3" s="3"/>
      <c r="F3" s="177" t="s">
        <v>8</v>
      </c>
      <c r="G3" s="177"/>
      <c r="H3" s="177"/>
      <c r="I3" s="13" t="str">
        <f>TRIM(Data!AX5)</f>
        <v>Curtains</v>
      </c>
      <c r="J3" s="13"/>
      <c r="K3" s="13"/>
      <c r="L3" s="13"/>
      <c r="M3" s="13"/>
      <c r="N3" s="13"/>
      <c r="O3" s="13"/>
      <c r="P3" s="11" t="str">
        <f>TRIM(Data!BG5)</f>
        <v/>
      </c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37" s="46" customFormat="1" ht="50.1" customHeight="1">
      <c r="A4" s="6" t="s">
        <v>15</v>
      </c>
      <c r="B4" s="6"/>
      <c r="C4" s="3" t="str">
        <f>Data!BD5</f>
        <v>C</v>
      </c>
      <c r="D4" s="3"/>
      <c r="E4" s="3"/>
      <c r="F4" s="177" t="s">
        <v>137</v>
      </c>
      <c r="G4" s="177"/>
      <c r="H4" s="177"/>
      <c r="I4" s="13" t="str">
        <f>LEFT(Data!BA5,10)</f>
        <v>20/10/2026</v>
      </c>
      <c r="J4" s="13"/>
      <c r="K4" s="13"/>
      <c r="L4" s="13"/>
      <c r="M4" s="13"/>
      <c r="N4" s="13"/>
      <c r="O4" s="13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37" s="46" customFormat="1" ht="50.1" customHeight="1">
      <c r="A5" s="5" t="s">
        <v>9</v>
      </c>
      <c r="B5" s="5"/>
      <c r="C5" s="176" t="str">
        <f>Data!AY5</f>
        <v>26/08/2026 12:00:00 AM</v>
      </c>
      <c r="D5" s="176"/>
      <c r="E5" s="176"/>
      <c r="F5" s="3" t="s">
        <v>12</v>
      </c>
      <c r="G5" s="3"/>
      <c r="H5" s="3"/>
      <c r="I5" s="13" t="str">
        <f>TRIM(Data!BF5)</f>
        <v>Symons, Dianne</v>
      </c>
      <c r="J5" s="13"/>
      <c r="K5" s="13"/>
      <c r="L5" s="13"/>
      <c r="M5" s="13"/>
      <c r="N5" s="13"/>
      <c r="O5" s="13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1:37" s="46" customFormat="1" ht="50.1" customHeight="1">
      <c r="A6" s="9" t="str">
        <f>Data!CZ5</f>
        <v>Retail Customer</v>
      </c>
      <c r="B6" s="9"/>
      <c r="C6" s="9"/>
      <c r="D6" s="9"/>
      <c r="E6" s="9"/>
      <c r="F6" s="3"/>
      <c r="G6" s="3"/>
      <c r="H6" s="3"/>
      <c r="I6" s="13" t="str">
        <f>CONCATENATE(Data!BH5," ",Data!BI5," ",Data!BJ5," ",Data!BK5," ",Data!BL5)</f>
        <v xml:space="preserve"> 210  Eddy Avenue </v>
      </c>
      <c r="J6" s="13"/>
      <c r="K6" s="13"/>
      <c r="L6" s="13"/>
      <c r="M6" s="13"/>
      <c r="N6" s="13"/>
      <c r="O6" s="13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1:37" s="46" customFormat="1" ht="50.1" customHeight="1">
      <c r="A7" s="9"/>
      <c r="B7" s="9"/>
      <c r="C7" s="9"/>
      <c r="D7" s="9"/>
      <c r="E7" s="9"/>
      <c r="F7" s="3"/>
      <c r="G7" s="3"/>
      <c r="H7" s="3"/>
      <c r="I7" s="13" t="str">
        <f>CONCATENATE(Data!BM5," ",Data!BN5," ",Data!BO5," ",Data!BP5)</f>
        <v>Mount Helen VIC 3350 Australia</v>
      </c>
      <c r="J7" s="13"/>
      <c r="K7" s="13"/>
      <c r="L7" s="13"/>
      <c r="M7" s="13"/>
      <c r="N7" s="13"/>
      <c r="O7" s="13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1:53" s="54" customFormat="1" ht="50.1" customHeight="1">
      <c r="A8" s="168" t="s">
        <v>143</v>
      </c>
      <c r="B8" s="1" t="s">
        <v>120</v>
      </c>
      <c r="C8" s="170" t="s">
        <v>837</v>
      </c>
      <c r="D8" s="170" t="s">
        <v>157</v>
      </c>
      <c r="E8" s="172" t="s">
        <v>146</v>
      </c>
      <c r="F8" s="174" t="s">
        <v>158</v>
      </c>
      <c r="G8" s="162" t="s">
        <v>183</v>
      </c>
      <c r="H8" s="162" t="s">
        <v>194</v>
      </c>
      <c r="I8" s="162" t="s">
        <v>195</v>
      </c>
      <c r="J8" s="162" t="s">
        <v>11</v>
      </c>
      <c r="K8" s="162" t="s">
        <v>142</v>
      </c>
      <c r="L8" s="1" t="s">
        <v>168</v>
      </c>
      <c r="M8" s="1" t="s">
        <v>596</v>
      </c>
      <c r="N8" s="1" t="s">
        <v>597</v>
      </c>
      <c r="O8" s="1" t="s">
        <v>252</v>
      </c>
      <c r="P8" s="1" t="s">
        <v>179</v>
      </c>
      <c r="Q8" s="1" t="s">
        <v>436</v>
      </c>
      <c r="R8" s="1" t="s">
        <v>235</v>
      </c>
      <c r="S8" s="1" t="s">
        <v>215</v>
      </c>
      <c r="T8" s="1" t="s">
        <v>184</v>
      </c>
      <c r="U8" s="1" t="s">
        <v>186</v>
      </c>
      <c r="V8" s="1" t="s">
        <v>165</v>
      </c>
      <c r="W8" s="162" t="s">
        <v>824</v>
      </c>
      <c r="X8" s="162" t="s">
        <v>825</v>
      </c>
      <c r="Y8" s="162" t="s">
        <v>826</v>
      </c>
      <c r="Z8" s="162" t="s">
        <v>827</v>
      </c>
      <c r="AA8" s="162" t="s">
        <v>828</v>
      </c>
      <c r="AB8" s="162" t="s">
        <v>829</v>
      </c>
      <c r="AC8" s="162" t="s">
        <v>830</v>
      </c>
      <c r="AD8" s="162" t="s">
        <v>831</v>
      </c>
      <c r="AE8" s="162" t="s">
        <v>832</v>
      </c>
      <c r="AF8" s="162" t="s">
        <v>833</v>
      </c>
      <c r="AG8" s="162" t="s">
        <v>834</v>
      </c>
      <c r="AH8" s="162" t="s">
        <v>835</v>
      </c>
      <c r="AI8" s="164" t="s">
        <v>918</v>
      </c>
      <c r="AJ8" s="162" t="s">
        <v>154</v>
      </c>
      <c r="AK8" s="162" t="s">
        <v>5</v>
      </c>
      <c r="AM8" s="164" t="s">
        <v>200</v>
      </c>
      <c r="AN8" s="164" t="s">
        <v>202</v>
      </c>
      <c r="AO8" s="164" t="s">
        <v>203</v>
      </c>
      <c r="AP8" s="164" t="s">
        <v>201</v>
      </c>
      <c r="AQ8" s="164" t="s">
        <v>381</v>
      </c>
      <c r="AR8" s="165" t="s">
        <v>589</v>
      </c>
      <c r="AS8" s="165" t="s">
        <v>590</v>
      </c>
      <c r="AT8" s="165" t="s">
        <v>591</v>
      </c>
      <c r="AU8" s="2" t="s">
        <v>166</v>
      </c>
      <c r="AV8" s="2" t="s">
        <v>836</v>
      </c>
      <c r="AW8" s="237" t="s">
        <v>913</v>
      </c>
      <c r="AX8" s="237" t="s">
        <v>914</v>
      </c>
      <c r="AY8" s="237" t="s">
        <v>915</v>
      </c>
      <c r="AZ8" s="237" t="s">
        <v>916</v>
      </c>
      <c r="BA8" s="237" t="s">
        <v>917</v>
      </c>
    </row>
    <row r="9" spans="1:53" s="54" customFormat="1" ht="14.25" customHeight="1" hidden="1">
      <c r="A9" s="168"/>
      <c r="B9" s="1"/>
      <c r="C9" s="170"/>
      <c r="D9" s="170"/>
      <c r="E9" s="172"/>
      <c r="F9" s="174"/>
      <c r="G9" s="162"/>
      <c r="H9" s="162"/>
      <c r="I9" s="162"/>
      <c r="J9" s="162"/>
      <c r="K9" s="162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2"/>
      <c r="AJ9" s="162"/>
      <c r="AK9" s="162"/>
      <c r="AM9" s="162"/>
      <c r="AN9" s="162"/>
      <c r="AO9" s="162"/>
      <c r="AP9" s="162"/>
      <c r="AQ9" s="162"/>
      <c r="AR9" s="166"/>
      <c r="AS9" s="166"/>
      <c r="AT9" s="166"/>
      <c r="AU9" s="1"/>
      <c r="AV9" s="1"/>
      <c r="AW9" s="237"/>
      <c r="AX9" s="237"/>
      <c r="AY9" s="237"/>
      <c r="AZ9" s="237"/>
      <c r="BA9" s="237"/>
    </row>
    <row r="10" spans="1:53" s="55" customFormat="1" ht="50.1" customHeight="1">
      <c r="A10" s="169"/>
      <c r="B10" s="161"/>
      <c r="C10" s="171"/>
      <c r="D10" s="171"/>
      <c r="E10" s="173"/>
      <c r="F10" s="175"/>
      <c r="G10" s="163"/>
      <c r="H10" s="163"/>
      <c r="I10" s="163"/>
      <c r="J10" s="163"/>
      <c r="K10" s="163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M10" s="163"/>
      <c r="AN10" s="163"/>
      <c r="AO10" s="163"/>
      <c r="AP10" s="163"/>
      <c r="AQ10" s="163"/>
      <c r="AR10" s="167"/>
      <c r="AS10" s="167"/>
      <c r="AT10" s="167"/>
      <c r="AU10" s="161"/>
      <c r="AV10" s="161"/>
      <c r="AW10" s="237"/>
      <c r="AX10" s="237"/>
      <c r="AY10" s="237"/>
      <c r="AZ10" s="237"/>
      <c r="BA10" s="237"/>
    </row>
    <row r="11" spans="1:53" s="36" customFormat="1" ht="60" customHeight="1">
      <c r="A11" s="120">
        <f>Data!AW11</f>
        <v>5</v>
      </c>
      <c r="B11" s="121" t="str">
        <f>Data!AY11</f>
        <v>Bed 1</v>
      </c>
      <c r="C11" s="155" t="str">
        <f t="array" ref="C11">bpLOOKUP(Data!$AV11,"SINGLE",CustOrdOpt,6,FALSE)</f>
        <v>Single</v>
      </c>
      <c r="D11" s="122">
        <f>SUM(Data!BA11)</f>
        <v>1880</v>
      </c>
      <c r="E11" s="123" t="str">
        <f t="array" ref="E11">bpLOOKUP(Data!$AV11,"Size",CustOrdOpt,6,FALSE)</f>
        <v>Opening</v>
      </c>
      <c r="F11" s="124" t="str">
        <f t="array" ref="F11">bpLOOKUP(Data!$AV11,"SIDEBYSIDE",CustOrdOpt,6,FALSE)</f>
        <v>No</v>
      </c>
      <c r="G11" s="40">
        <f>IF(Data!AV11="","",IF(AND(E11="Opening",U11="Bent"),Data!BA11-VLOOKUP(J11,FitDeduct,2,FALSE)-VLOOKUP(F11,SideDeduct,2,FALSE)-AV11,IF(E11="Opening",Data!BA11-VLOOKUP(J11,FitDeduct,2,FALSE)-VLOOKUP(F11,SideDeduct,2,FALSE),IF(E11="Making",Data!BA11,IF(E11="Making",Data!BA11)))))</f>
        <v>1880</v>
      </c>
      <c r="H11" s="121" t="str">
        <f>IF(Data!BE11="","",Data!BN11)</f>
        <v>Streamline Cord Operation</v>
      </c>
      <c r="I11" s="121" t="str">
        <f>IF(Data!BF11="","",Data!BO11)</f>
        <v>Birch White</v>
      </c>
      <c r="J11" s="115" t="str">
        <f t="array" ref="J11">bpLOOKUP(Data!$AV11,"FIT",CustOrdOpt,6,FALSE)</f>
        <v>Face</v>
      </c>
      <c r="K11" s="115" t="str">
        <f t="array" ref="K11">bpLOOKUP(Data!$AV11,"CORDOP",CustOrdOpt,6,FALSE)</f>
        <v>Right Cord</v>
      </c>
      <c r="L11" s="115" t="str">
        <f t="array" ref="L11">bpLOOKUP(Data!$AV11,"OPENING",CustOrdOpt,6,FALSE)</f>
        <v>Centre Opening</v>
      </c>
      <c r="M11" s="115" t="str">
        <f t="array" ref="M11">bpLOOKUP(Data!$AV11,"OFFSETL",CustOrdOpt,6,FALSE)</f>
        <v/>
      </c>
      <c r="N11" s="115" t="str">
        <f t="array" ref="N11">bpLOOKUP(Data!$AV11,"OFFSETR",CustOrdOpt,6,FALSE)</f>
        <v/>
      </c>
      <c r="O11" s="115" t="str">
        <f t="array" ref="O11">bpLOOKUP(Data!$AV11,"TAPE",CustOrdOpt,6,FALSE)</f>
        <v/>
      </c>
      <c r="P11" s="115" t="str">
        <f t="array" ref="P11">bpLOOKUP(Data!$AV11,"BRACKETS",CustOrdOpt,6,FALSE)</f>
        <v>Single Face Fix Brackets</v>
      </c>
      <c r="Q11" s="115" t="str">
        <f t="array" ref="Q11">bpLOOKUP(Data!$AV11,"RETURNS",CustOrdOpt,6,FALSE)</f>
        <v/>
      </c>
      <c r="R11" s="115" t="str">
        <f t="array" ref="R11">bpLOOKUP(Data!$AV11,"FINIALS",CustOrdOpt,6,FALSE)</f>
        <v/>
      </c>
      <c r="S11" s="115" t="str">
        <f t="array" ref="S11">IF(OR(Data!AV11="",bpLOOKUP(Data!$AV11,"HANGERQTY",CustOrdOpt,6,FALSE)=""),"",CONCATENATE(bpLOOKUP(Data!$AV11,"HANGERQTY",CustOrdOpt,6,FALSE)," x ",bpLOOKUP(Data!$AV11,"HANGERL",CustOrdOpt,6,FALSE),"mm"))</f>
        <v/>
      </c>
      <c r="T11" s="115" t="str">
        <f t="array" ref="T11">bpLOOKUP(Data!$AV11,"FLICKSTICKS",CustOrdOpt,6,FALSE)</f>
        <v>150cm Cord Length</v>
      </c>
      <c r="U11" s="115" t="str">
        <f t="array" ref="U11">bpLOOKUP(Data!$AV11,"TRACKSHAPE",CustOrdOpt,6,FALSE)</f>
        <v>Straight</v>
      </c>
      <c r="V11" s="115" t="str">
        <f t="array" ref="V11">bpLOOKUP(Data!$AV11,"BENDS",CustOrdOpt,6,FALSE)</f>
        <v/>
      </c>
      <c r="W11" s="151" t="str">
        <f t="array" ref="W11">bpLOOKUP(Data!$AV11,"1STBENDSH",CustOrdOpt,6,FALSE)</f>
        <v/>
      </c>
      <c r="X11" s="151" t="str">
        <f t="array" ref="X11">bpLOOKUP(Data!$AV11,"1STBEND",CustOrdOpt,6,FALSE)</f>
        <v/>
      </c>
      <c r="Y11" s="151" t="str">
        <f t="array" ref="Y11">bpLOOKUP(Data!$AV11,"1STBENDA",CustOrdOpt,6,FALSE)</f>
        <v/>
      </c>
      <c r="Z11" s="151" t="str">
        <f t="array" ref="Z11">bpLOOKUP(Data!$AV11,"2NDBENDSH",CustOrdOpt,6,FALSE)</f>
        <v/>
      </c>
      <c r="AA11" s="151" t="str">
        <f t="array" ref="AA11">bpLOOKUP(Data!$AV11,"2NDBEND",CustOrdOpt,6,FALSE)</f>
        <v/>
      </c>
      <c r="AB11" s="151" t="str">
        <f t="array" ref="AB11">bpLOOKUP(Data!$AV11,"2NDBENDA",CustOrdOpt,6,FALSE)</f>
        <v/>
      </c>
      <c r="AC11" s="151" t="str">
        <f t="array" ref="AC11">bpLOOKUP(Data!$AV11,"3RDBENDSH",CustOrdOpt,6,FALSE)</f>
        <v/>
      </c>
      <c r="AD11" s="151" t="str">
        <f t="array" ref="AD11">bpLOOKUP(Data!$AV11,"3RDBEND",CustOrdOpt,6,FALSE)</f>
        <v/>
      </c>
      <c r="AE11" s="151" t="str">
        <f t="array" ref="AE11">bpLOOKUP(Data!$AV11,"3RDBENDA",CustOrdOpt,6,FALSE)</f>
        <v/>
      </c>
      <c r="AF11" s="151" t="str">
        <f t="array" ref="AF11">bpLOOKUP(Data!$AV11,"4THBENDSH",CustOrdOpt,6,FALSE)</f>
        <v/>
      </c>
      <c r="AG11" s="151" t="str">
        <f t="array" ref="AG11">bpLOOKUP(Data!$AV11,"4THBEND",CustOrdOpt,6,FALSE)</f>
        <v/>
      </c>
      <c r="AH11" s="151" t="str">
        <f t="array" ref="AH11">bpLOOKUP(Data!$AV11,"4THBENDA",CustOrdOpt,6,FALSE)</f>
        <v/>
      </c>
      <c r="AI11" s="239" t="str">
        <f>IF(Data!AW11="","",VLOOKUP(CONCATENATE('Job Sheet'!H11,'Job Sheet'!I11,'Job Sheet'!U11),TBSTracks,2,FALSE))</f>
        <v>DBS to Make</v>
      </c>
      <c r="AJ11" s="115" t="str">
        <f t="array" ref="AJ11">bpLOOKUP(Data!$AV11,"INSTALLATION",CustOrdOpt,6,FALSE)</f>
        <v>Installation</v>
      </c>
      <c r="AK11" s="115" t="str">
        <f t="array" ref="AK11">bpLOOKUP(Data!$AV11,"Notes",CustOrdOpt,6,FALSE)</f>
        <v>20 x hooks 2071</v>
      </c>
      <c r="AM11" s="115" t="str">
        <f>IF(E11="Making",X11,IF(AND(E11="Opening",U11="Bent",IFERROR(VALUE(V11),0)&gt;=1),ROUND(IFERROR(VALUE(X11),0)-AX11/2,0),""))</f>
        <v/>
      </c>
      <c r="AN11" s="115" t="str">
        <f>IF(E11="Making",AA11,IF(AND(E11="Opening",U11="Bent",IFERROR(VALUE(V11),0)&gt;=2),ROUND(IFERROR(VALUE(AA11),0)-(AX11+AY11/2),0),""))</f>
        <v/>
      </c>
      <c r="AO11" s="115" t="str">
        <f>IF(E11="Making",AD11,IF(AND(E11="Opening",U11="Bent",IFERROR(VALUE(V11),0)&gt;=3),ROUND(IFERROR(VALUE(AD11),0)-(AX11+AY11+AZ11/2),0),""))</f>
        <v/>
      </c>
      <c r="AP11" s="115" t="str">
        <f>IF(E11="Making",AG11,IF(AND(E11="Opening",U11="Bent",IFERROR(VALUE(V11),0)&gt;=4),ROUND(IFERROR(VALUE(AG11),0)-(AX11+AY11+AZ11+BA11/2),0),""))</f>
        <v/>
      </c>
      <c r="AQ11" s="115" t="str">
        <f>IF(Data!AV11="","",IF(VLOOKUP(CONCATENATE(H11,I11,U11),TBSTracks,4,FALSE)="0","0",VLOOKUP(CONCATENATE(H11,I11,U11),TBSTracks,5,FALSE)))</f>
        <v>No</v>
      </c>
      <c r="AR11" s="120" t="str">
        <f t="shared" si="0" ref="AR11">IF(OR(AU11="Track from TBS",AU11="Track from Vanda"),"",IF(OR(H11="Wavefold Cord Operation",H11="Wavefold Hand Operation"),VLOOKUP(CONCATENATE(H11,L11),WavefoldLookUp,2,FALSE),""))</f>
        <v/>
      </c>
      <c r="AS11" s="120" t="str">
        <f t="shared" si="1" ref="AS11">IF(OR(AR11="Centre Opening 100%",AR11="Centre Opening 120%",AR11="Centre Opening 80% One Way"),VLOOKUP(G11,COPEN100,2,TRUE),IF(OR(AR11="100% One Way",AR11="120% One Way",AR11="80% One Way"),VLOOKUP(G11,OneWay100,2,TRUE),""))</f>
        <v/>
      </c>
      <c r="AT11" s="120" t="str">
        <f t="shared" si="2" ref="AT11">IF(AR11="","",VLOOKUP(Q11,ReturnLookUp,2,FALSE))</f>
        <v/>
      </c>
      <c r="AU11" s="115">
        <f>IF(Data!BA11="","",IF(VLOOKUP(CONCATENATE(H11,I11,U11),TBSTracks,2,FALSE)="DBS to Make",G11-VLOOKUP(CONCATENATE(H11,L11),Operation,2,FALSE)-VLOOKUP(P11,BracketType,2,FALSE),VLOOKUP(CONCATENATE(H11,I11,U11),TBSTracks,2,FALSE)))</f>
        <v>1780</v>
      </c>
      <c r="AV11" s="160">
        <f>IF(U11&lt;&gt;"Bent",0,ROUND(SUM(AX11:BA11),0))</f>
        <v>0</v>
      </c>
      <c r="AW11" s="238">
        <f t="shared" si="3" ref="AW11:AW20">IF(U11&lt;&gt;"Bent",0,IFERROR(VLOOKUP(H11,SaberTracks,3,FALSE),0)+MAX(IFERROR(VLOOKUP(C11&amp;P11,BracketProj,2,FALSE),0)-75,0)*1.25)</f>
        <v>0</v>
      </c>
      <c r="AX11" s="238">
        <f>IF(IFERROR(VALUE($V11),0)&gt;=1,$AW11*RADIANS(ABS(180-IFERROR(VALUE(Y11),0)))*IF(LEFT(UPPER(TRIM(W11)),8)="INTERNAL",1,IF(LEFT(UPPER(TRIM(W11)),8)="EXTERNAL",-1,0)),0)</f>
        <v>0</v>
      </c>
      <c r="AY11" s="238">
        <f>IF(IFERROR(VALUE($V11),0)&gt;=2,$AW11*RADIANS(ABS(180-IFERROR(VALUE(AB11),0)))*IF(LEFT(UPPER(TRIM(Z11)),8)="INTERNAL",1,IF(LEFT(UPPER(TRIM(Z11)),8)="EXTERNAL",-1,0)),0)</f>
        <v>0</v>
      </c>
      <c r="AZ11" s="238">
        <f>IF(IFERROR(VALUE($V11),0)&gt;=3,$AW11*RADIANS(ABS(180-IFERROR(VALUE(AE11),0)))*IF(LEFT(UPPER(TRIM(AC11)),8)="INTERNAL",1,IF(LEFT(UPPER(TRIM(AC11)),8)="EXTERNAL",-1,0)),0)</f>
        <v>0</v>
      </c>
      <c r="BA11" s="238">
        <f>IF(IFERROR(VALUE($V11),0)&gt;=4,$AW11*RADIANS(ABS(180-IFERROR(VALUE(AH11),0)))*IF(LEFT(UPPER(TRIM(AF11)),8)="INTERNAL",1,IF(LEFT(UPPER(TRIM(AF11)),8)="EXTERNAL",-1,0)),0)</f>
        <v>0</v>
      </c>
    </row>
    <row r="12" spans="1:53" s="36" customFormat="1" ht="60" customHeight="1">
      <c r="A12" s="120">
        <f>Data!AW12</f>
        <v>0</v>
      </c>
      <c r="B12" s="121">
        <f>Data!AY12</f>
        <v>0</v>
      </c>
      <c r="C12" s="155" t="str">
        <f t="array" ref="C12">bpLOOKUP(Data!$AV12,"SINGLE",CustOrdOpt,6,FALSE)</f>
        <v/>
      </c>
      <c r="D12" s="122">
        <f>SUM(Data!BA12)</f>
        <v>0</v>
      </c>
      <c r="E12" s="123" t="str">
        <f t="array" ref="E12">bpLOOKUP(Data!$AV12,"Size",CustOrdOpt,6,FALSE)</f>
        <v/>
      </c>
      <c r="F12" s="124" t="str">
        <f t="array" ref="F12">bpLOOKUP(Data!$AV12,"SIDEBYSIDE",CustOrdOpt,6,FALSE)</f>
        <v/>
      </c>
      <c r="G12" s="40" t="str">
        <f>IF(Data!AV12="","",IF(AND(E12="Opening",U12="Bent"),Data!BA12-VLOOKUP(J12,FitDeduct,2,FALSE)-VLOOKUP(F12,SideDeduct,2,FALSE)-AV12,IF(E12="Opening",Data!BA12-VLOOKUP(J12,FitDeduct,2,FALSE)-VLOOKUP(F12,SideDeduct,2,FALSE),IF(E12="Making",Data!BA12,IF(E12="Making",Data!BA12)))))</f>
        <v/>
      </c>
      <c r="H12" s="121" t="str">
        <f>IF(Data!BE12="","",Data!BN12)</f>
        <v/>
      </c>
      <c r="I12" s="121" t="str">
        <f>IF(Data!BF12="","",Data!BO12)</f>
        <v/>
      </c>
      <c r="J12" s="115" t="str">
        <f t="array" ref="J12">bpLOOKUP(Data!$AV12,"FIT",CustOrdOpt,6,FALSE)</f>
        <v/>
      </c>
      <c r="K12" s="115" t="str">
        <f t="array" ref="K12">bpLOOKUP(Data!$AV12,"CORDOP",CustOrdOpt,6,FALSE)</f>
        <v/>
      </c>
      <c r="L12" s="115" t="str">
        <f t="array" ref="L12">bpLOOKUP(Data!$AV12,"OPENING",CustOrdOpt,6,FALSE)</f>
        <v/>
      </c>
      <c r="M12" s="115" t="str">
        <f t="array" ref="M12">bpLOOKUP(Data!$AV12,"OFFSETL",CustOrdOpt,6,FALSE)</f>
        <v/>
      </c>
      <c r="N12" s="115" t="str">
        <f t="array" ref="N12">bpLOOKUP(Data!$AV12,"OFFSETR",CustOrdOpt,6,FALSE)</f>
        <v/>
      </c>
      <c r="O12" s="115" t="str">
        <f t="array" ref="O12">bpLOOKUP(Data!$AV12,"TAPE",CustOrdOpt,6,FALSE)</f>
        <v/>
      </c>
      <c r="P12" s="115" t="str">
        <f t="array" ref="P12">bpLOOKUP(Data!$AV12,"BRACKETS",CustOrdOpt,6,FALSE)</f>
        <v/>
      </c>
      <c r="Q12" s="115" t="str">
        <f t="array" ref="Q12">bpLOOKUP(Data!$AV12,"RETURNS",CustOrdOpt,6,FALSE)</f>
        <v/>
      </c>
      <c r="R12" s="115" t="str">
        <f t="array" ref="R12">bpLOOKUP(Data!$AV12,"FINIALS",CustOrdOpt,6,FALSE)</f>
        <v/>
      </c>
      <c r="S12" s="115" t="str">
        <f t="array" ref="S12">IF(OR(Data!AV12="",bpLOOKUP(Data!$AV12,"HANGERQTY",CustOrdOpt,6,FALSE)=""),"",CONCATENATE(bpLOOKUP(Data!$AV12,"HANGERQTY",CustOrdOpt,6,FALSE)," x ",bpLOOKUP(Data!$AV12,"HANGERL",CustOrdOpt,6,FALSE),"mm"))</f>
        <v/>
      </c>
      <c r="T12" s="115" t="str">
        <f t="array" ref="T12">bpLOOKUP(Data!$AV12,"FLICKSTICKS",CustOrdOpt,6,FALSE)</f>
        <v/>
      </c>
      <c r="U12" s="115" t="str">
        <f t="array" ref="U12">bpLOOKUP(Data!$AV12,"TRACKSHAPE",CustOrdOpt,6,FALSE)</f>
        <v/>
      </c>
      <c r="V12" s="115" t="str">
        <f t="array" ref="V12">bpLOOKUP(Data!$AV12,"BENDS",CustOrdOpt,6,FALSE)</f>
        <v/>
      </c>
      <c r="W12" s="151" t="str">
        <f t="array" ref="W12">bpLOOKUP(Data!$AV12,"1STBENDSH",CustOrdOpt,6,FALSE)</f>
        <v/>
      </c>
      <c r="X12" s="151" t="str">
        <f t="array" ref="X12">bpLOOKUP(Data!$AV12,"1STBEND",CustOrdOpt,6,FALSE)</f>
        <v/>
      </c>
      <c r="Y12" s="151" t="str">
        <f t="array" ref="Y12">bpLOOKUP(Data!$AV12,"1STBENDA",CustOrdOpt,6,FALSE)</f>
        <v/>
      </c>
      <c r="Z12" s="151" t="str">
        <f t="array" ref="Z12">bpLOOKUP(Data!$AV12,"2NDBENDSH",CustOrdOpt,6,FALSE)</f>
        <v/>
      </c>
      <c r="AA12" s="151" t="str">
        <f t="array" ref="AA12">bpLOOKUP(Data!$AV12,"2NDBEND",CustOrdOpt,6,FALSE)</f>
        <v/>
      </c>
      <c r="AB12" s="151" t="str">
        <f t="array" ref="AB12">bpLOOKUP(Data!$AV12,"2NDBENDA",CustOrdOpt,6,FALSE)</f>
        <v/>
      </c>
      <c r="AC12" s="151" t="str">
        <f t="array" ref="AC12">bpLOOKUP(Data!$AV12,"3RDBENDSH",CustOrdOpt,6,FALSE)</f>
        <v/>
      </c>
      <c r="AD12" s="151" t="str">
        <f t="array" ref="AD12">bpLOOKUP(Data!$AV12,"3RDBEND",CustOrdOpt,6,FALSE)</f>
        <v/>
      </c>
      <c r="AE12" s="151" t="str">
        <f t="array" ref="AE12">bpLOOKUP(Data!$AV12,"3RDBENDA",CustOrdOpt,6,FALSE)</f>
        <v/>
      </c>
      <c r="AF12" s="151" t="str">
        <f t="array" ref="AF12">bpLOOKUP(Data!$AV12,"4THBENDSH",CustOrdOpt,6,FALSE)</f>
        <v/>
      </c>
      <c r="AG12" s="151" t="str">
        <f t="array" ref="AG12">bpLOOKUP(Data!$AV12,"4THBEND",CustOrdOpt,6,FALSE)</f>
        <v/>
      </c>
      <c r="AH12" s="151" t="str">
        <f t="array" ref="AH12">bpLOOKUP(Data!$AV12,"4THBENDA",CustOrdOpt,6,FALSE)</f>
        <v/>
      </c>
      <c r="AI12" s="239" t="str">
        <f>IF(Data!AW12="","",VLOOKUP(CONCATENATE('Job Sheet'!H12,'Job Sheet'!I12,'Job Sheet'!U12),TBSTracks,2,FALSE))</f>
        <v/>
      </c>
      <c r="AJ12" s="115" t="str">
        <f t="array" ref="AJ12">bpLOOKUP(Data!$AV12,"INSTALLATION",CustOrdOpt,6,FALSE)</f>
        <v/>
      </c>
      <c r="AK12" s="115" t="str">
        <f t="array" ref="AK12">bpLOOKUP(Data!$AV12,"Notes",CustOrdOpt,6,FALSE)</f>
        <v/>
      </c>
      <c r="AM12" s="115" t="str">
        <f t="shared" si="4" ref="AM12:AM20">IF(E12="Making",X12,IF(AND(E12="Opening",U12="Bent",IFERROR(VALUE(V12),0)&gt;=1),ROUND(IFERROR(VALUE(X12),0)-AX12/2,0),""))</f>
        <v/>
      </c>
      <c r="AN12" s="115" t="str">
        <f t="shared" si="5" ref="AN12:AN20">IF(E12="Making",AA12,IF(AND(E12="Opening",U12="Bent",IFERROR(VALUE(V12),0)&gt;=2),ROUND(IFERROR(VALUE(AA12),0)-(AX12+AY12/2),0),""))</f>
        <v/>
      </c>
      <c r="AO12" s="115" t="str">
        <f t="shared" si="6" ref="AO12:AO20">IF(E12="Making",AD12,IF(AND(E12="Opening",U12="Bent",IFERROR(VALUE(V12),0)&gt;=3),ROUND(IFERROR(VALUE(AD12),0)-(AX12+AY12+AZ12/2),0),""))</f>
        <v/>
      </c>
      <c r="AP12" s="115" t="str">
        <f t="shared" si="7" ref="AP12:AP20">IF(E12="Making",AG12,IF(AND(E12="Opening",U12="Bent",IFERROR(VALUE(V12),0)&gt;=4),ROUND(IFERROR(VALUE(AG12),0)-(AX12+AY12+AZ12+BA12/2),0),""))</f>
        <v/>
      </c>
      <c r="AQ12" s="115" t="str">
        <f>IF(Data!AV12="","",IF(VLOOKUP(CONCATENATE(H12,I12,U12),TBSTracks,4,FALSE)="0","0",VLOOKUP(CONCATENATE(H12,I12,U12),TBSTracks,5,FALSE)))</f>
        <v/>
      </c>
      <c r="AR12" s="120" t="str">
        <f t="shared" si="8" ref="AR12:AR20">IF(OR(AU12="Track from TBS",AU12="Track from Vanda"),"",IF(OR(H12="Wavefold Cord Operation",H12="Wavefold Hand Operation"),VLOOKUP(CONCATENATE(H12,L12),WavefoldLookUp,2,FALSE),""))</f>
        <v/>
      </c>
      <c r="AS12" s="120" t="str">
        <f t="shared" si="9" ref="AS12:AS20">IF(OR(AR12="Centre Opening 100%",AR12="Centre Opening 120%",AR12="Centre Opening 80% One Way"),VLOOKUP(G12,COPEN100,2,TRUE),IF(OR(AR12="100% One Way",AR12="120% One Way",AR12="80% One Way"),VLOOKUP(G12,OneWay100,2,TRUE),""))</f>
        <v/>
      </c>
      <c r="AT12" s="120" t="str">
        <f t="shared" si="10" ref="AT12:AT20">IF(AR12="","",VLOOKUP(Q12,ReturnLookUp,2,FALSE))</f>
        <v/>
      </c>
      <c r="AU12" s="115" t="str">
        <f>IF(Data!BA12="","",IF(VLOOKUP(CONCATENATE(H12,I12,U12),TBSTracks,2,FALSE)="DBS to Make",G12-VLOOKUP(CONCATENATE(H12,L12),Operation,2,FALSE)-VLOOKUP(P12,BracketType,2,FALSE),VLOOKUP(CONCATENATE(H12,I12,U12),TBSTracks,2,FALSE)))</f>
        <v/>
      </c>
      <c r="AV12" s="160">
        <f t="shared" si="11" ref="AV12:AV20">IF(U12&lt;&gt;"Bent",0,ROUND(SUM(AX12:BA12),0))</f>
        <v>0</v>
      </c>
      <c r="AW12" s="238">
        <f t="shared" si="3"/>
        <v>0</v>
      </c>
      <c r="AX12" s="238">
        <f t="shared" si="12" ref="AX12:AX20">IF(IFERROR(VALUE($V12),0)&gt;=1,$AW12*RADIANS(ABS(180-IFERROR(VALUE(Y12),0)))*IF(LEFT(UPPER(TRIM(W12)),8)="INTERNAL",1,IF(LEFT(UPPER(TRIM(W12)),8)="EXTERNAL",-1,0)),0)</f>
        <v>0</v>
      </c>
      <c r="AY12" s="238">
        <f t="shared" si="13" ref="AY12:AY20">IF(IFERROR(VALUE($V12),0)&gt;=2,$AW12*RADIANS(ABS(180-IFERROR(VALUE(AB12),0)))*IF(LEFT(UPPER(TRIM(Z12)),8)="INTERNAL",1,IF(LEFT(UPPER(TRIM(Z12)),8)="EXTERNAL",-1,0)),0)</f>
        <v>0</v>
      </c>
      <c r="AZ12" s="238">
        <f t="shared" si="14" ref="AZ12:AZ20">IF(IFERROR(VALUE($V12),0)&gt;=3,$AW12*RADIANS(ABS(180-IFERROR(VALUE(AE12),0)))*IF(LEFT(UPPER(TRIM(AC12)),8)="INTERNAL",1,IF(LEFT(UPPER(TRIM(AC12)),8)="EXTERNAL",-1,0)),0)</f>
        <v>0</v>
      </c>
      <c r="BA12" s="238">
        <f t="shared" si="15" ref="BA12:BA20">IF(IFERROR(VALUE($V12),0)&gt;=4,$AW12*RADIANS(ABS(180-IFERROR(VALUE(AH12),0)))*IF(LEFT(UPPER(TRIM(AF12)),8)="INTERNAL",1,IF(LEFT(UPPER(TRIM(AF12)),8)="EXTERNAL",-1,0)),0)</f>
        <v>0</v>
      </c>
    </row>
    <row r="13" spans="1:53" s="36" customFormat="1" ht="60" customHeight="1">
      <c r="A13" s="120">
        <f>Data!AW13</f>
        <v>0</v>
      </c>
      <c r="B13" s="121">
        <f>Data!AY13</f>
        <v>0</v>
      </c>
      <c r="C13" s="155" t="str">
        <f t="array" ref="C13">bpLOOKUP(Data!$AV13,"SINGLE",CustOrdOpt,6,FALSE)</f>
        <v/>
      </c>
      <c r="D13" s="122">
        <f>SUM(Data!BA13)</f>
        <v>0</v>
      </c>
      <c r="E13" s="123" t="str">
        <f t="array" ref="E13">bpLOOKUP(Data!$AV13,"Size",CustOrdOpt,6,FALSE)</f>
        <v/>
      </c>
      <c r="F13" s="124" t="str">
        <f t="array" ref="F13">bpLOOKUP(Data!$AV13,"SIDEBYSIDE",CustOrdOpt,6,FALSE)</f>
        <v/>
      </c>
      <c r="G13" s="40" t="str">
        <f>IF(Data!AV13="","",IF(AND(E13="Opening",U13="Bent"),Data!BA13-VLOOKUP(J13,FitDeduct,2,FALSE)-VLOOKUP(F13,SideDeduct,2,FALSE)-AV13,IF(E13="Opening",Data!BA13-VLOOKUP(J13,FitDeduct,2,FALSE)-VLOOKUP(F13,SideDeduct,2,FALSE),IF(E13="Making",Data!BA13,IF(E13="Making",Data!BA13)))))</f>
        <v/>
      </c>
      <c r="H13" s="121" t="str">
        <f>IF(Data!BE13="","",Data!BN13)</f>
        <v/>
      </c>
      <c r="I13" s="121" t="str">
        <f>IF(Data!BF13="","",Data!BO13)</f>
        <v/>
      </c>
      <c r="J13" s="115" t="str">
        <f t="array" ref="J13">bpLOOKUP(Data!$AV13,"FIT",CustOrdOpt,6,FALSE)</f>
        <v/>
      </c>
      <c r="K13" s="115" t="str">
        <f t="array" ref="K13">bpLOOKUP(Data!$AV13,"CORDOP",CustOrdOpt,6,FALSE)</f>
        <v/>
      </c>
      <c r="L13" s="115" t="str">
        <f t="array" ref="L13">bpLOOKUP(Data!$AV13,"OPENING",CustOrdOpt,6,FALSE)</f>
        <v/>
      </c>
      <c r="M13" s="115" t="str">
        <f t="array" ref="M13">bpLOOKUP(Data!$AV13,"OFFSETL",CustOrdOpt,6,FALSE)</f>
        <v/>
      </c>
      <c r="N13" s="115" t="str">
        <f t="array" ref="N13">bpLOOKUP(Data!$AV13,"OFFSETR",CustOrdOpt,6,FALSE)</f>
        <v/>
      </c>
      <c r="O13" s="115" t="str">
        <f t="array" ref="O13">bpLOOKUP(Data!$AV13,"TAPE",CustOrdOpt,6,FALSE)</f>
        <v/>
      </c>
      <c r="P13" s="115" t="str">
        <f t="array" ref="P13">bpLOOKUP(Data!$AV13,"BRACKETS",CustOrdOpt,6,FALSE)</f>
        <v/>
      </c>
      <c r="Q13" s="115" t="str">
        <f t="array" ref="Q13">bpLOOKUP(Data!$AV13,"RETURNS",CustOrdOpt,6,FALSE)</f>
        <v/>
      </c>
      <c r="R13" s="115" t="str">
        <f t="array" ref="R13">bpLOOKUP(Data!$AV13,"FINIALS",CustOrdOpt,6,FALSE)</f>
        <v/>
      </c>
      <c r="S13" s="115" t="str">
        <f t="array" ref="S13">IF(OR(Data!AV13="",bpLOOKUP(Data!$AV13,"HANGERQTY",CustOrdOpt,6,FALSE)=""),"",CONCATENATE(bpLOOKUP(Data!$AV13,"HANGERQTY",CustOrdOpt,6,FALSE)," x ",bpLOOKUP(Data!$AV13,"HANGERL",CustOrdOpt,6,FALSE),"mm"))</f>
        <v/>
      </c>
      <c r="T13" s="115" t="str">
        <f t="array" ref="T13">bpLOOKUP(Data!$AV13,"FLICKSTICKS",CustOrdOpt,6,FALSE)</f>
        <v/>
      </c>
      <c r="U13" s="115" t="str">
        <f t="array" ref="U13">bpLOOKUP(Data!$AV13,"TRACKSHAPE",CustOrdOpt,6,FALSE)</f>
        <v/>
      </c>
      <c r="V13" s="115" t="str">
        <f t="array" ref="V13">bpLOOKUP(Data!$AV13,"BENDS",CustOrdOpt,6,FALSE)</f>
        <v/>
      </c>
      <c r="W13" s="151" t="str">
        <f t="array" ref="W13">bpLOOKUP(Data!$AV13,"1STBENDSH",CustOrdOpt,6,FALSE)</f>
        <v/>
      </c>
      <c r="X13" s="151" t="str">
        <f t="array" ref="X13">bpLOOKUP(Data!$AV13,"1STBEND",CustOrdOpt,6,FALSE)</f>
        <v/>
      </c>
      <c r="Y13" s="151" t="str">
        <f t="array" ref="Y13">bpLOOKUP(Data!$AV13,"1STBENDA",CustOrdOpt,6,FALSE)</f>
        <v/>
      </c>
      <c r="Z13" s="151" t="str">
        <f t="array" ref="Z13">bpLOOKUP(Data!$AV13,"2NDBENDSH",CustOrdOpt,6,FALSE)</f>
        <v/>
      </c>
      <c r="AA13" s="151" t="str">
        <f t="array" ref="AA13">bpLOOKUP(Data!$AV13,"2NDBEND",CustOrdOpt,6,FALSE)</f>
        <v/>
      </c>
      <c r="AB13" s="151" t="str">
        <f t="array" ref="AB13">bpLOOKUP(Data!$AV13,"2NDBENDA",CustOrdOpt,6,FALSE)</f>
        <v/>
      </c>
      <c r="AC13" s="151" t="str">
        <f t="array" ref="AC13">bpLOOKUP(Data!$AV13,"3RDBENDSH",CustOrdOpt,6,FALSE)</f>
        <v/>
      </c>
      <c r="AD13" s="151" t="str">
        <f t="array" ref="AD13">bpLOOKUP(Data!$AV13,"3RDBEND",CustOrdOpt,6,FALSE)</f>
        <v/>
      </c>
      <c r="AE13" s="151" t="str">
        <f t="array" ref="AE13">bpLOOKUP(Data!$AV13,"3RDBENDA",CustOrdOpt,6,FALSE)</f>
        <v/>
      </c>
      <c r="AF13" s="151" t="str">
        <f t="array" ref="AF13">bpLOOKUP(Data!$AV13,"4THBENDSH",CustOrdOpt,6,FALSE)</f>
        <v/>
      </c>
      <c r="AG13" s="151" t="str">
        <f t="array" ref="AG13">bpLOOKUP(Data!$AV13,"4THBEND",CustOrdOpt,6,FALSE)</f>
        <v/>
      </c>
      <c r="AH13" s="151" t="str">
        <f t="array" ref="AH13">bpLOOKUP(Data!$AV13,"4THBENDA",CustOrdOpt,6,FALSE)</f>
        <v/>
      </c>
      <c r="AI13" s="239" t="str">
        <f>IF(Data!AW13="","",VLOOKUP(CONCATENATE('Job Sheet'!H13,'Job Sheet'!I13,'Job Sheet'!U13),TBSTracks,2,FALSE))</f>
        <v/>
      </c>
      <c r="AJ13" s="115" t="str">
        <f t="array" ref="AJ13">bpLOOKUP(Data!$AV13,"INSTALLATION",CustOrdOpt,6,FALSE)</f>
        <v/>
      </c>
      <c r="AK13" s="115" t="str">
        <f t="array" ref="AK13">bpLOOKUP(Data!$AV13,"Notes",CustOrdOpt,6,FALSE)</f>
        <v/>
      </c>
      <c r="AM13" s="115" t="str">
        <f t="shared" si="4"/>
        <v/>
      </c>
      <c r="AN13" s="115" t="str">
        <f t="shared" si="5"/>
        <v/>
      </c>
      <c r="AO13" s="115" t="str">
        <f t="shared" si="6"/>
        <v/>
      </c>
      <c r="AP13" s="115" t="str">
        <f t="shared" si="7"/>
        <v/>
      </c>
      <c r="AQ13" s="115" t="str">
        <f>IF(Data!AV13="","",IF(VLOOKUP(CONCATENATE(H13,I13,U13),TBSTracks,4,FALSE)="0","0",VLOOKUP(CONCATENATE(H13,I13,U13),TBSTracks,5,FALSE)))</f>
        <v/>
      </c>
      <c r="AR13" s="120" t="str">
        <f t="shared" si="8"/>
        <v/>
      </c>
      <c r="AS13" s="120" t="str">
        <f t="shared" si="9"/>
        <v/>
      </c>
      <c r="AT13" s="120" t="str">
        <f t="shared" si="10"/>
        <v/>
      </c>
      <c r="AU13" s="115" t="str">
        <f>IF(Data!BA13="","",IF(VLOOKUP(CONCATENATE(H13,I13,U13),TBSTracks,2,FALSE)="DBS to Make",G13-VLOOKUP(CONCATENATE(H13,L13),Operation,2,FALSE)-VLOOKUP(P13,BracketType,2,FALSE),VLOOKUP(CONCATENATE(H13,I13,U13),TBSTracks,2,FALSE)))</f>
        <v/>
      </c>
      <c r="AV13" s="160">
        <f t="shared" si="11"/>
        <v>0</v>
      </c>
      <c r="AW13" s="238">
        <f t="shared" si="3"/>
        <v>0</v>
      </c>
      <c r="AX13" s="238">
        <f t="shared" si="12"/>
        <v>0</v>
      </c>
      <c r="AY13" s="238">
        <f t="shared" si="13"/>
        <v>0</v>
      </c>
      <c r="AZ13" s="238">
        <f t="shared" si="14"/>
        <v>0</v>
      </c>
      <c r="BA13" s="238">
        <f t="shared" si="15"/>
        <v>0</v>
      </c>
    </row>
    <row r="14" spans="1:53" s="36" customFormat="1" ht="60" customHeight="1">
      <c r="A14" s="120">
        <f>Data!AW14</f>
        <v>0</v>
      </c>
      <c r="B14" s="121">
        <f>Data!AY14</f>
        <v>0</v>
      </c>
      <c r="C14" s="155" t="str">
        <f t="array" ref="C14">bpLOOKUP(Data!$AV14,"SINGLE",CustOrdOpt,6,FALSE)</f>
        <v/>
      </c>
      <c r="D14" s="122">
        <f>SUM(Data!BA14)</f>
        <v>0</v>
      </c>
      <c r="E14" s="123" t="str">
        <f t="array" ref="E14">bpLOOKUP(Data!$AV14,"Size",CustOrdOpt,6,FALSE)</f>
        <v/>
      </c>
      <c r="F14" s="124" t="str">
        <f t="array" ref="F14">bpLOOKUP(Data!$AV14,"SIDEBYSIDE",CustOrdOpt,6,FALSE)</f>
        <v/>
      </c>
      <c r="G14" s="40" t="str">
        <f>IF(Data!AV14="","",IF(AND(E14="Opening",U14="Bent"),Data!BA14-VLOOKUP(J14,FitDeduct,2,FALSE)-VLOOKUP(F14,SideDeduct,2,FALSE)-AV14,IF(E14="Opening",Data!BA14-VLOOKUP(J14,FitDeduct,2,FALSE)-VLOOKUP(F14,SideDeduct,2,FALSE),IF(E14="Making",Data!BA14,IF(E14="Making",Data!BA14)))))</f>
        <v/>
      </c>
      <c r="H14" s="121" t="str">
        <f>IF(Data!BE14="","",Data!BN14)</f>
        <v/>
      </c>
      <c r="I14" s="121" t="str">
        <f>IF(Data!BF14="","",Data!BO14)</f>
        <v/>
      </c>
      <c r="J14" s="115" t="str">
        <f t="array" ref="J14">bpLOOKUP(Data!$AV14,"FIT",CustOrdOpt,6,FALSE)</f>
        <v/>
      </c>
      <c r="K14" s="115" t="str">
        <f t="array" ref="K14">bpLOOKUP(Data!$AV14,"CORDOP",CustOrdOpt,6,FALSE)</f>
        <v/>
      </c>
      <c r="L14" s="115" t="str">
        <f t="array" ref="L14">bpLOOKUP(Data!$AV14,"OPENING",CustOrdOpt,6,FALSE)</f>
        <v/>
      </c>
      <c r="M14" s="115" t="str">
        <f t="array" ref="M14">bpLOOKUP(Data!$AV14,"OFFSETL",CustOrdOpt,6,FALSE)</f>
        <v/>
      </c>
      <c r="N14" s="115" t="str">
        <f t="array" ref="N14">bpLOOKUP(Data!$AV14,"OFFSETR",CustOrdOpt,6,FALSE)</f>
        <v/>
      </c>
      <c r="O14" s="115" t="str">
        <f t="array" ref="O14">bpLOOKUP(Data!$AV14,"TAPE",CustOrdOpt,6,FALSE)</f>
        <v/>
      </c>
      <c r="P14" s="115" t="str">
        <f t="array" ref="P14">bpLOOKUP(Data!$AV14,"BRACKETS",CustOrdOpt,6,FALSE)</f>
        <v/>
      </c>
      <c r="Q14" s="115" t="str">
        <f t="array" ref="Q14">bpLOOKUP(Data!$AV14,"RETURNS",CustOrdOpt,6,FALSE)</f>
        <v/>
      </c>
      <c r="R14" s="115" t="str">
        <f t="array" ref="R14">bpLOOKUP(Data!$AV14,"FINIALS",CustOrdOpt,6,FALSE)</f>
        <v/>
      </c>
      <c r="S14" s="115" t="str">
        <f t="array" ref="S14">IF(OR(Data!AV14="",bpLOOKUP(Data!$AV14,"HANGERQTY",CustOrdOpt,6,FALSE)=""),"",CONCATENATE(bpLOOKUP(Data!$AV14,"HANGERQTY",CustOrdOpt,6,FALSE)," x ",bpLOOKUP(Data!$AV14,"HANGERL",CustOrdOpt,6,FALSE),"mm"))</f>
        <v/>
      </c>
      <c r="T14" s="115" t="str">
        <f t="array" ref="T14">bpLOOKUP(Data!$AV14,"FLICKSTICKS",CustOrdOpt,6,FALSE)</f>
        <v/>
      </c>
      <c r="U14" s="115" t="str">
        <f t="array" ref="U14">bpLOOKUP(Data!$AV14,"TRACKSHAPE",CustOrdOpt,6,FALSE)</f>
        <v/>
      </c>
      <c r="V14" s="115" t="str">
        <f t="array" ref="V14">bpLOOKUP(Data!$AV14,"BENDS",CustOrdOpt,6,FALSE)</f>
        <v/>
      </c>
      <c r="W14" s="151" t="str">
        <f t="array" ref="W14">bpLOOKUP(Data!$AV14,"1STBENDSH",CustOrdOpt,6,FALSE)</f>
        <v/>
      </c>
      <c r="X14" s="151" t="str">
        <f t="array" ref="X14">bpLOOKUP(Data!$AV14,"1STBEND",CustOrdOpt,6,FALSE)</f>
        <v/>
      </c>
      <c r="Y14" s="151" t="str">
        <f t="array" ref="Y14">bpLOOKUP(Data!$AV14,"1STBENDA",CustOrdOpt,6,FALSE)</f>
        <v/>
      </c>
      <c r="Z14" s="151" t="str">
        <f t="array" ref="Z14">bpLOOKUP(Data!$AV14,"2NDBENDSH",CustOrdOpt,6,FALSE)</f>
        <v/>
      </c>
      <c r="AA14" s="151" t="str">
        <f t="array" ref="AA14">bpLOOKUP(Data!$AV14,"2NDBEND",CustOrdOpt,6,FALSE)</f>
        <v/>
      </c>
      <c r="AB14" s="151" t="str">
        <f t="array" ref="AB14">bpLOOKUP(Data!$AV14,"2NDBENDA",CustOrdOpt,6,FALSE)</f>
        <v/>
      </c>
      <c r="AC14" s="151" t="str">
        <f t="array" ref="AC14">bpLOOKUP(Data!$AV14,"3RDBENDSH",CustOrdOpt,6,FALSE)</f>
        <v/>
      </c>
      <c r="AD14" s="151" t="str">
        <f t="array" ref="AD14">bpLOOKUP(Data!$AV14,"3RDBEND",CustOrdOpt,6,FALSE)</f>
        <v/>
      </c>
      <c r="AE14" s="151" t="str">
        <f t="array" ref="AE14">bpLOOKUP(Data!$AV14,"3RDBENDA",CustOrdOpt,6,FALSE)</f>
        <v/>
      </c>
      <c r="AF14" s="151" t="str">
        <f t="array" ref="AF14">bpLOOKUP(Data!$AV14,"4THBENDSH",CustOrdOpt,6,FALSE)</f>
        <v/>
      </c>
      <c r="AG14" s="151" t="str">
        <f t="array" ref="AG14">bpLOOKUP(Data!$AV14,"4THBEND",CustOrdOpt,6,FALSE)</f>
        <v/>
      </c>
      <c r="AH14" s="151" t="str">
        <f t="array" ref="AH14">bpLOOKUP(Data!$AV14,"4THBENDA",CustOrdOpt,6,FALSE)</f>
        <v/>
      </c>
      <c r="AI14" s="239" t="str">
        <f>IF(Data!AW14="","",VLOOKUP(CONCATENATE('Job Sheet'!H14,'Job Sheet'!I14,'Job Sheet'!U14),TBSTracks,2,FALSE))</f>
        <v/>
      </c>
      <c r="AJ14" s="115" t="str">
        <f t="array" ref="AJ14">bpLOOKUP(Data!$AV14,"INSTALLATION",CustOrdOpt,6,FALSE)</f>
        <v/>
      </c>
      <c r="AK14" s="115" t="str">
        <f t="array" ref="AK14">bpLOOKUP(Data!$AV14,"Notes",CustOrdOpt,6,FALSE)</f>
        <v/>
      </c>
      <c r="AM14" s="115" t="str">
        <f t="shared" si="4"/>
        <v/>
      </c>
      <c r="AN14" s="115" t="str">
        <f t="shared" si="5"/>
        <v/>
      </c>
      <c r="AO14" s="115" t="str">
        <f t="shared" si="6"/>
        <v/>
      </c>
      <c r="AP14" s="115" t="str">
        <f t="shared" si="7"/>
        <v/>
      </c>
      <c r="AQ14" s="115" t="str">
        <f>IF(Data!AV14="","",IF(VLOOKUP(CONCATENATE(H14,I14,U14),TBSTracks,4,FALSE)="0","0",VLOOKUP(CONCATENATE(H14,I14,U14),TBSTracks,5,FALSE)))</f>
        <v/>
      </c>
      <c r="AR14" s="120" t="str">
        <f t="shared" si="8"/>
        <v/>
      </c>
      <c r="AS14" s="120" t="str">
        <f t="shared" si="9"/>
        <v/>
      </c>
      <c r="AT14" s="120" t="str">
        <f t="shared" si="10"/>
        <v/>
      </c>
      <c r="AU14" s="115" t="str">
        <f>IF(Data!BA14="","",IF(VLOOKUP(CONCATENATE(H14,I14,U14),TBSTracks,2,FALSE)="DBS to Make",G14-VLOOKUP(CONCATENATE(H14,L14),Operation,2,FALSE)-VLOOKUP(P14,BracketType,2,FALSE),VLOOKUP(CONCATENATE(H14,I14,U14),TBSTracks,2,FALSE)))</f>
        <v/>
      </c>
      <c r="AV14" s="160">
        <f t="shared" si="11"/>
        <v>0</v>
      </c>
      <c r="AW14" s="238">
        <f t="shared" si="3"/>
        <v>0</v>
      </c>
      <c r="AX14" s="238">
        <f t="shared" si="12"/>
        <v>0</v>
      </c>
      <c r="AY14" s="238">
        <f t="shared" si="13"/>
        <v>0</v>
      </c>
      <c r="AZ14" s="238">
        <f t="shared" si="14"/>
        <v>0</v>
      </c>
      <c r="BA14" s="238">
        <f t="shared" si="15"/>
        <v>0</v>
      </c>
    </row>
    <row r="15" spans="1:53" s="36" customFormat="1" ht="60" customHeight="1">
      <c r="A15" s="120">
        <f>Data!AW15</f>
        <v>0</v>
      </c>
      <c r="B15" s="121">
        <f>Data!AY15</f>
        <v>0</v>
      </c>
      <c r="C15" s="155" t="str">
        <f t="array" ref="C15">bpLOOKUP(Data!$AV15,"SINGLE",CustOrdOpt,6,FALSE)</f>
        <v/>
      </c>
      <c r="D15" s="122">
        <f>SUM(Data!BA15)</f>
        <v>0</v>
      </c>
      <c r="E15" s="123" t="str">
        <f t="array" ref="E15">bpLOOKUP(Data!$AV15,"Size",CustOrdOpt,6,FALSE)</f>
        <v/>
      </c>
      <c r="F15" s="124" t="str">
        <f t="array" ref="F15">bpLOOKUP(Data!$AV15,"SIDEBYSIDE",CustOrdOpt,6,FALSE)</f>
        <v/>
      </c>
      <c r="G15" s="40" t="str">
        <f>IF(Data!AV15="","",IF(AND(E15="Opening",U15="Bent"),Data!BA15-VLOOKUP(J15,FitDeduct,2,FALSE)-VLOOKUP(F15,SideDeduct,2,FALSE)-AV15,IF(E15="Opening",Data!BA15-VLOOKUP(J15,FitDeduct,2,FALSE)-VLOOKUP(F15,SideDeduct,2,FALSE),IF(E15="Making",Data!BA15,IF(E15="Making",Data!BA15)))))</f>
        <v/>
      </c>
      <c r="H15" s="121" t="str">
        <f>IF(Data!BE15="","",Data!BN15)</f>
        <v/>
      </c>
      <c r="I15" s="121" t="str">
        <f>IF(Data!BF15="","",Data!BO15)</f>
        <v/>
      </c>
      <c r="J15" s="115" t="str">
        <f t="array" ref="J15">bpLOOKUP(Data!$AV15,"FIT",CustOrdOpt,6,FALSE)</f>
        <v/>
      </c>
      <c r="K15" s="115" t="str">
        <f t="array" ref="K15">bpLOOKUP(Data!$AV15,"CORDOP",CustOrdOpt,6,FALSE)</f>
        <v/>
      </c>
      <c r="L15" s="115" t="str">
        <f t="array" ref="L15">bpLOOKUP(Data!$AV15,"OPENING",CustOrdOpt,6,FALSE)</f>
        <v/>
      </c>
      <c r="M15" s="115" t="str">
        <f t="array" ref="M15">bpLOOKUP(Data!$AV15,"OFFSETL",CustOrdOpt,6,FALSE)</f>
        <v/>
      </c>
      <c r="N15" s="115" t="str">
        <f t="array" ref="N15">bpLOOKUP(Data!$AV15,"OFFSETR",CustOrdOpt,6,FALSE)</f>
        <v/>
      </c>
      <c r="O15" s="115" t="str">
        <f t="array" ref="O15">bpLOOKUP(Data!$AV15,"TAPE",CustOrdOpt,6,FALSE)</f>
        <v/>
      </c>
      <c r="P15" s="115" t="str">
        <f t="array" ref="P15">bpLOOKUP(Data!$AV15,"BRACKETS",CustOrdOpt,6,FALSE)</f>
        <v/>
      </c>
      <c r="Q15" s="115" t="str">
        <f t="array" ref="Q15">bpLOOKUP(Data!$AV15,"RETURNS",CustOrdOpt,6,FALSE)</f>
        <v/>
      </c>
      <c r="R15" s="115" t="str">
        <f t="array" ref="R15">bpLOOKUP(Data!$AV15,"FINIALS",CustOrdOpt,6,FALSE)</f>
        <v/>
      </c>
      <c r="S15" s="115" t="str">
        <f t="array" ref="S15">IF(OR(Data!AV15="",bpLOOKUP(Data!$AV15,"HANGERQTY",CustOrdOpt,6,FALSE)=""),"",CONCATENATE(bpLOOKUP(Data!$AV15,"HANGERQTY",CustOrdOpt,6,FALSE)," x ",bpLOOKUP(Data!$AV15,"HANGERL",CustOrdOpt,6,FALSE),"mm"))</f>
        <v/>
      </c>
      <c r="T15" s="115" t="str">
        <f t="array" ref="T15">bpLOOKUP(Data!$AV15,"FLICKSTICKS",CustOrdOpt,6,FALSE)</f>
        <v/>
      </c>
      <c r="U15" s="115" t="str">
        <f t="array" ref="U15">bpLOOKUP(Data!$AV15,"TRACKSHAPE",CustOrdOpt,6,FALSE)</f>
        <v/>
      </c>
      <c r="V15" s="115" t="str">
        <f t="array" ref="V15">bpLOOKUP(Data!$AV15,"BENDS",CustOrdOpt,6,FALSE)</f>
        <v/>
      </c>
      <c r="W15" s="151" t="str">
        <f t="array" ref="W15">bpLOOKUP(Data!$AV15,"1STBENDSH",CustOrdOpt,6,FALSE)</f>
        <v/>
      </c>
      <c r="X15" s="151" t="str">
        <f t="array" ref="X15">bpLOOKUP(Data!$AV15,"1STBEND",CustOrdOpt,6,FALSE)</f>
        <v/>
      </c>
      <c r="Y15" s="151" t="str">
        <f t="array" ref="Y15">bpLOOKUP(Data!$AV15,"1STBENDA",CustOrdOpt,6,FALSE)</f>
        <v/>
      </c>
      <c r="Z15" s="151" t="str">
        <f t="array" ref="Z15">bpLOOKUP(Data!$AV15,"2NDBENDSH",CustOrdOpt,6,FALSE)</f>
        <v/>
      </c>
      <c r="AA15" s="151" t="str">
        <f t="array" ref="AA15">bpLOOKUP(Data!$AV15,"2NDBEND",CustOrdOpt,6,FALSE)</f>
        <v/>
      </c>
      <c r="AB15" s="151" t="str">
        <f t="array" ref="AB15">bpLOOKUP(Data!$AV15,"2NDBENDA",CustOrdOpt,6,FALSE)</f>
        <v/>
      </c>
      <c r="AC15" s="151" t="str">
        <f t="array" ref="AC15">bpLOOKUP(Data!$AV15,"3RDBENDSH",CustOrdOpt,6,FALSE)</f>
        <v/>
      </c>
      <c r="AD15" s="151" t="str">
        <f t="array" ref="AD15">bpLOOKUP(Data!$AV15,"3RDBEND",CustOrdOpt,6,FALSE)</f>
        <v/>
      </c>
      <c r="AE15" s="151" t="str">
        <f t="array" ref="AE15">bpLOOKUP(Data!$AV15,"3RDBENDA",CustOrdOpt,6,FALSE)</f>
        <v/>
      </c>
      <c r="AF15" s="151" t="str">
        <f t="array" ref="AF15">bpLOOKUP(Data!$AV15,"4THBENDSH",CustOrdOpt,6,FALSE)</f>
        <v/>
      </c>
      <c r="AG15" s="151" t="str">
        <f t="array" ref="AG15">bpLOOKUP(Data!$AV15,"4THBEND",CustOrdOpt,6,FALSE)</f>
        <v/>
      </c>
      <c r="AH15" s="151" t="str">
        <f t="array" ref="AH15">bpLOOKUP(Data!$AV15,"4THBENDA",CustOrdOpt,6,FALSE)</f>
        <v/>
      </c>
      <c r="AI15" s="239" t="str">
        <f>IF(Data!AW15="","",VLOOKUP(CONCATENATE('Job Sheet'!H15,'Job Sheet'!I15,'Job Sheet'!U15),TBSTracks,2,FALSE))</f>
        <v/>
      </c>
      <c r="AJ15" s="115" t="str">
        <f t="array" ref="AJ15">bpLOOKUP(Data!$AV15,"INSTALLATION",CustOrdOpt,6,FALSE)</f>
        <v/>
      </c>
      <c r="AK15" s="115" t="str">
        <f t="array" ref="AK15">bpLOOKUP(Data!$AV15,"Notes",CustOrdOpt,6,FALSE)</f>
        <v/>
      </c>
      <c r="AM15" s="115" t="str">
        <f t="shared" si="4"/>
        <v/>
      </c>
      <c r="AN15" s="115" t="str">
        <f t="shared" si="5"/>
        <v/>
      </c>
      <c r="AO15" s="115" t="str">
        <f t="shared" si="6"/>
        <v/>
      </c>
      <c r="AP15" s="115" t="str">
        <f t="shared" si="7"/>
        <v/>
      </c>
      <c r="AQ15" s="115" t="str">
        <f>IF(Data!AV15="","",IF(VLOOKUP(CONCATENATE(H15,I15,U15),TBSTracks,4,FALSE)="0","0",VLOOKUP(CONCATENATE(H15,I15,U15),TBSTracks,5,FALSE)))</f>
        <v/>
      </c>
      <c r="AR15" s="120" t="str">
        <f t="shared" si="8"/>
        <v/>
      </c>
      <c r="AS15" s="120" t="str">
        <f t="shared" si="9"/>
        <v/>
      </c>
      <c r="AT15" s="120" t="str">
        <f t="shared" si="10"/>
        <v/>
      </c>
      <c r="AU15" s="115" t="str">
        <f>IF(Data!BA15="","",IF(VLOOKUP(CONCATENATE(H15,I15,U15),TBSTracks,2,FALSE)="DBS to Make",G15-VLOOKUP(CONCATENATE(H15,L15),Operation,2,FALSE)-VLOOKUP(P15,BracketType,2,FALSE),VLOOKUP(CONCATENATE(H15,I15,U15),TBSTracks,2,FALSE)))</f>
        <v/>
      </c>
      <c r="AV15" s="160">
        <f t="shared" si="11"/>
        <v>0</v>
      </c>
      <c r="AW15" s="238">
        <f t="shared" si="3"/>
        <v>0</v>
      </c>
      <c r="AX15" s="238">
        <f t="shared" si="12"/>
        <v>0</v>
      </c>
      <c r="AY15" s="238">
        <f t="shared" si="13"/>
        <v>0</v>
      </c>
      <c r="AZ15" s="238">
        <f t="shared" si="14"/>
        <v>0</v>
      </c>
      <c r="BA15" s="238">
        <f t="shared" si="15"/>
        <v>0</v>
      </c>
    </row>
    <row r="16" spans="1:53" s="36" customFormat="1" ht="60" customHeight="1">
      <c r="A16" s="120">
        <f>Data!AW16</f>
        <v>0</v>
      </c>
      <c r="B16" s="121">
        <f>Data!AY16</f>
        <v>0</v>
      </c>
      <c r="C16" s="155" t="str">
        <f t="array" ref="C16">bpLOOKUP(Data!$AV16,"SINGLE",CustOrdOpt,6,FALSE)</f>
        <v/>
      </c>
      <c r="D16" s="122">
        <f>SUM(Data!BA16)</f>
        <v>0</v>
      </c>
      <c r="E16" s="123" t="str">
        <f t="array" ref="E16">bpLOOKUP(Data!$AV16,"Size",CustOrdOpt,6,FALSE)</f>
        <v/>
      </c>
      <c r="F16" s="124" t="str">
        <f t="array" ref="F16">bpLOOKUP(Data!$AV16,"SIDEBYSIDE",CustOrdOpt,6,FALSE)</f>
        <v/>
      </c>
      <c r="G16" s="40" t="str">
        <f>IF(Data!AV16="","",IF(AND(E16="Opening",U16="Bent"),Data!BA16-VLOOKUP(J16,FitDeduct,2,FALSE)-VLOOKUP(F16,SideDeduct,2,FALSE)-AV16,IF(E16="Opening",Data!BA16-VLOOKUP(J16,FitDeduct,2,FALSE)-VLOOKUP(F16,SideDeduct,2,FALSE),IF(E16="Making",Data!BA16,IF(E16="Making",Data!BA16)))))</f>
        <v/>
      </c>
      <c r="H16" s="121" t="str">
        <f>IF(Data!BE16="","",Data!BN16)</f>
        <v/>
      </c>
      <c r="I16" s="121" t="str">
        <f>IF(Data!BF16="","",Data!BO16)</f>
        <v/>
      </c>
      <c r="J16" s="115" t="str">
        <f t="array" ref="J16">bpLOOKUP(Data!$AV16,"FIT",CustOrdOpt,6,FALSE)</f>
        <v/>
      </c>
      <c r="K16" s="115" t="str">
        <f t="array" ref="K16">bpLOOKUP(Data!$AV16,"CORDOP",CustOrdOpt,6,FALSE)</f>
        <v/>
      </c>
      <c r="L16" s="115" t="str">
        <f t="array" ref="L16">bpLOOKUP(Data!$AV16,"OPENING",CustOrdOpt,6,FALSE)</f>
        <v/>
      </c>
      <c r="M16" s="115" t="str">
        <f t="array" ref="M16">bpLOOKUP(Data!$AV16,"OFFSETL",CustOrdOpt,6,FALSE)</f>
        <v/>
      </c>
      <c r="N16" s="115" t="str">
        <f t="array" ref="N16">bpLOOKUP(Data!$AV16,"OFFSETR",CustOrdOpt,6,FALSE)</f>
        <v/>
      </c>
      <c r="O16" s="115" t="str">
        <f t="array" ref="O16">bpLOOKUP(Data!$AV16,"TAPE",CustOrdOpt,6,FALSE)</f>
        <v/>
      </c>
      <c r="P16" s="115" t="str">
        <f t="array" ref="P16">bpLOOKUP(Data!$AV16,"BRACKETS",CustOrdOpt,6,FALSE)</f>
        <v/>
      </c>
      <c r="Q16" s="115" t="str">
        <f t="array" ref="Q16">bpLOOKUP(Data!$AV16,"RETURNS",CustOrdOpt,6,FALSE)</f>
        <v/>
      </c>
      <c r="R16" s="115" t="str">
        <f t="array" ref="R16">bpLOOKUP(Data!$AV16,"FINIALS",CustOrdOpt,6,FALSE)</f>
        <v/>
      </c>
      <c r="S16" s="115" t="str">
        <f t="array" ref="S16">IF(OR(Data!AV16="",bpLOOKUP(Data!$AV16,"HANGERQTY",CustOrdOpt,6,FALSE)=""),"",CONCATENATE(bpLOOKUP(Data!$AV16,"HANGERQTY",CustOrdOpt,6,FALSE)," x ",bpLOOKUP(Data!$AV16,"HANGERL",CustOrdOpt,6,FALSE),"mm"))</f>
        <v/>
      </c>
      <c r="T16" s="115" t="str">
        <f t="array" ref="T16">bpLOOKUP(Data!$AV16,"FLICKSTICKS",CustOrdOpt,6,FALSE)</f>
        <v/>
      </c>
      <c r="U16" s="115" t="str">
        <f t="array" ref="U16">bpLOOKUP(Data!$AV16,"TRACKSHAPE",CustOrdOpt,6,FALSE)</f>
        <v/>
      </c>
      <c r="V16" s="115" t="str">
        <f t="array" ref="V16">bpLOOKUP(Data!$AV16,"BENDS",CustOrdOpt,6,FALSE)</f>
        <v/>
      </c>
      <c r="W16" s="151" t="str">
        <f t="array" ref="W16">bpLOOKUP(Data!$AV16,"1STBENDSH",CustOrdOpt,6,FALSE)</f>
        <v/>
      </c>
      <c r="X16" s="151" t="str">
        <f t="array" ref="X16">bpLOOKUP(Data!$AV16,"1STBEND",CustOrdOpt,6,FALSE)</f>
        <v/>
      </c>
      <c r="Y16" s="151" t="str">
        <f t="array" ref="Y16">bpLOOKUP(Data!$AV16,"1STBENDA",CustOrdOpt,6,FALSE)</f>
        <v/>
      </c>
      <c r="Z16" s="151" t="str">
        <f t="array" ref="Z16">bpLOOKUP(Data!$AV16,"2NDBENDSH",CustOrdOpt,6,FALSE)</f>
        <v/>
      </c>
      <c r="AA16" s="151" t="str">
        <f t="array" ref="AA16">bpLOOKUP(Data!$AV16,"2NDBEND",CustOrdOpt,6,FALSE)</f>
        <v/>
      </c>
      <c r="AB16" s="151" t="str">
        <f t="array" ref="AB16">bpLOOKUP(Data!$AV16,"2NDBENDA",CustOrdOpt,6,FALSE)</f>
        <v/>
      </c>
      <c r="AC16" s="151" t="str">
        <f t="array" ref="AC16">bpLOOKUP(Data!$AV16,"3RDBENDSH",CustOrdOpt,6,FALSE)</f>
        <v/>
      </c>
      <c r="AD16" s="151" t="str">
        <f t="array" ref="AD16">bpLOOKUP(Data!$AV16,"3RDBEND",CustOrdOpt,6,FALSE)</f>
        <v/>
      </c>
      <c r="AE16" s="151" t="str">
        <f t="array" ref="AE16">bpLOOKUP(Data!$AV16,"3RDBENDA",CustOrdOpt,6,FALSE)</f>
        <v/>
      </c>
      <c r="AF16" s="151" t="str">
        <f t="array" ref="AF16">bpLOOKUP(Data!$AV16,"4THBENDSH",CustOrdOpt,6,FALSE)</f>
        <v/>
      </c>
      <c r="AG16" s="151" t="str">
        <f t="array" ref="AG16">bpLOOKUP(Data!$AV16,"4THBEND",CustOrdOpt,6,FALSE)</f>
        <v/>
      </c>
      <c r="AH16" s="151" t="str">
        <f t="array" ref="AH16">bpLOOKUP(Data!$AV16,"4THBENDA",CustOrdOpt,6,FALSE)</f>
        <v/>
      </c>
      <c r="AI16" s="239" t="str">
        <f>IF(Data!AW16="","",VLOOKUP(CONCATENATE('Job Sheet'!H16,'Job Sheet'!I16,'Job Sheet'!U16),TBSTracks,2,FALSE))</f>
        <v/>
      </c>
      <c r="AJ16" s="115" t="str">
        <f t="array" ref="AJ16">bpLOOKUP(Data!$AV16,"INSTALLATION",CustOrdOpt,6,FALSE)</f>
        <v/>
      </c>
      <c r="AK16" s="115" t="str">
        <f t="array" ref="AK16">bpLOOKUP(Data!$AV16,"Notes",CustOrdOpt,6,FALSE)</f>
        <v/>
      </c>
      <c r="AM16" s="115" t="str">
        <f t="shared" si="4"/>
        <v/>
      </c>
      <c r="AN16" s="115" t="str">
        <f t="shared" si="5"/>
        <v/>
      </c>
      <c r="AO16" s="115" t="str">
        <f t="shared" si="6"/>
        <v/>
      </c>
      <c r="AP16" s="115" t="str">
        <f t="shared" si="7"/>
        <v/>
      </c>
      <c r="AQ16" s="115" t="str">
        <f>IF(Data!AV16="","",IF(VLOOKUP(CONCATENATE(H16,I16,U16),TBSTracks,4,FALSE)="0","0",VLOOKUP(CONCATENATE(H16,I16,U16),TBSTracks,5,FALSE)))</f>
        <v/>
      </c>
      <c r="AR16" s="120" t="str">
        <f t="shared" si="8"/>
        <v/>
      </c>
      <c r="AS16" s="120" t="str">
        <f t="shared" si="9"/>
        <v/>
      </c>
      <c r="AT16" s="120" t="str">
        <f t="shared" si="10"/>
        <v/>
      </c>
      <c r="AU16" s="115" t="str">
        <f>IF(Data!BA16="","",IF(VLOOKUP(CONCATENATE(H16,I16,U16),TBSTracks,2,FALSE)="DBS to Make",G16-VLOOKUP(CONCATENATE(H16,L16),Operation,2,FALSE)-VLOOKUP(P16,BracketType,2,FALSE),VLOOKUP(CONCATENATE(H16,I16,U16),TBSTracks,2,FALSE)))</f>
        <v/>
      </c>
      <c r="AV16" s="160">
        <f t="shared" si="11"/>
        <v>0</v>
      </c>
      <c r="AW16" s="238">
        <f t="shared" si="3"/>
        <v>0</v>
      </c>
      <c r="AX16" s="238">
        <f t="shared" si="12"/>
        <v>0</v>
      </c>
      <c r="AY16" s="238">
        <f t="shared" si="13"/>
        <v>0</v>
      </c>
      <c r="AZ16" s="238">
        <f t="shared" si="14"/>
        <v>0</v>
      </c>
      <c r="BA16" s="238">
        <f t="shared" si="15"/>
        <v>0</v>
      </c>
    </row>
    <row r="17" spans="1:53" s="36" customFormat="1" ht="60" customHeight="1">
      <c r="A17" s="120">
        <f>Data!AW17</f>
        <v>0</v>
      </c>
      <c r="B17" s="121">
        <f>Data!AY17</f>
        <v>0</v>
      </c>
      <c r="C17" s="155" t="str">
        <f t="array" ref="C17">bpLOOKUP(Data!$AV17,"SINGLE",CustOrdOpt,6,FALSE)</f>
        <v/>
      </c>
      <c r="D17" s="122">
        <f>SUM(Data!BA17)</f>
        <v>0</v>
      </c>
      <c r="E17" s="123" t="str">
        <f t="array" ref="E17">bpLOOKUP(Data!$AV17,"Size",CustOrdOpt,6,FALSE)</f>
        <v/>
      </c>
      <c r="F17" s="124" t="str">
        <f t="array" ref="F17">bpLOOKUP(Data!$AV17,"SIDEBYSIDE",CustOrdOpt,6,FALSE)</f>
        <v/>
      </c>
      <c r="G17" s="40" t="str">
        <f>IF(Data!AV17="","",IF(AND(E17="Opening",U17="Bent"),Data!BA17-VLOOKUP(J17,FitDeduct,2,FALSE)-VLOOKUP(F17,SideDeduct,2,FALSE)-AV17,IF(E17="Opening",Data!BA17-VLOOKUP(J17,FitDeduct,2,FALSE)-VLOOKUP(F17,SideDeduct,2,FALSE),IF(E17="Making",Data!BA17,IF(E17="Making",Data!BA17)))))</f>
        <v/>
      </c>
      <c r="H17" s="121" t="str">
        <f>IF(Data!BE17="","",Data!BN17)</f>
        <v/>
      </c>
      <c r="I17" s="121" t="str">
        <f>IF(Data!BF17="","",Data!BO17)</f>
        <v/>
      </c>
      <c r="J17" s="115" t="str">
        <f t="array" ref="J17">bpLOOKUP(Data!$AV17,"FIT",CustOrdOpt,6,FALSE)</f>
        <v/>
      </c>
      <c r="K17" s="115" t="str">
        <f t="array" ref="K17">bpLOOKUP(Data!$AV17,"CORDOP",CustOrdOpt,6,FALSE)</f>
        <v/>
      </c>
      <c r="L17" s="115" t="str">
        <f t="array" ref="L17">bpLOOKUP(Data!$AV17,"OPENING",CustOrdOpt,6,FALSE)</f>
        <v/>
      </c>
      <c r="M17" s="115" t="str">
        <f t="array" ref="M17">bpLOOKUP(Data!$AV17,"OFFSETL",CustOrdOpt,6,FALSE)</f>
        <v/>
      </c>
      <c r="N17" s="115" t="str">
        <f t="array" ref="N17">bpLOOKUP(Data!$AV17,"OFFSETR",CustOrdOpt,6,FALSE)</f>
        <v/>
      </c>
      <c r="O17" s="115" t="str">
        <f t="array" ref="O17">bpLOOKUP(Data!$AV17,"TAPE",CustOrdOpt,6,FALSE)</f>
        <v/>
      </c>
      <c r="P17" s="115" t="str">
        <f t="array" ref="P17">bpLOOKUP(Data!$AV17,"BRACKETS",CustOrdOpt,6,FALSE)</f>
        <v/>
      </c>
      <c r="Q17" s="115" t="str">
        <f t="array" ref="Q17">bpLOOKUP(Data!$AV17,"RETURNS",CustOrdOpt,6,FALSE)</f>
        <v/>
      </c>
      <c r="R17" s="115" t="str">
        <f t="array" ref="R17">bpLOOKUP(Data!$AV17,"FINIALS",CustOrdOpt,6,FALSE)</f>
        <v/>
      </c>
      <c r="S17" s="115" t="str">
        <f t="array" ref="S17">IF(OR(Data!AV17="",bpLOOKUP(Data!$AV17,"HANGERQTY",CustOrdOpt,6,FALSE)=""),"",CONCATENATE(bpLOOKUP(Data!$AV17,"HANGERQTY",CustOrdOpt,6,FALSE)," x ",bpLOOKUP(Data!$AV17,"HANGERL",CustOrdOpt,6,FALSE),"mm"))</f>
        <v/>
      </c>
      <c r="T17" s="115" t="str">
        <f t="array" ref="T17">bpLOOKUP(Data!$AV17,"FLICKSTICKS",CustOrdOpt,6,FALSE)</f>
        <v/>
      </c>
      <c r="U17" s="115" t="str">
        <f t="array" ref="U17">bpLOOKUP(Data!$AV17,"TRACKSHAPE",CustOrdOpt,6,FALSE)</f>
        <v/>
      </c>
      <c r="V17" s="115" t="str">
        <f t="array" ref="V17">bpLOOKUP(Data!$AV17,"BENDS",CustOrdOpt,6,FALSE)</f>
        <v/>
      </c>
      <c r="W17" s="151" t="str">
        <f t="array" ref="W17">bpLOOKUP(Data!$AV17,"1STBENDSH",CustOrdOpt,6,FALSE)</f>
        <v/>
      </c>
      <c r="X17" s="151" t="str">
        <f t="array" ref="X17">bpLOOKUP(Data!$AV17,"1STBEND",CustOrdOpt,6,FALSE)</f>
        <v/>
      </c>
      <c r="Y17" s="151" t="str">
        <f t="array" ref="Y17">bpLOOKUP(Data!$AV17,"1STBENDA",CustOrdOpt,6,FALSE)</f>
        <v/>
      </c>
      <c r="Z17" s="151" t="str">
        <f t="array" ref="Z17">bpLOOKUP(Data!$AV17,"2NDBENDSH",CustOrdOpt,6,FALSE)</f>
        <v/>
      </c>
      <c r="AA17" s="151" t="str">
        <f t="array" ref="AA17">bpLOOKUP(Data!$AV17,"2NDBEND",CustOrdOpt,6,FALSE)</f>
        <v/>
      </c>
      <c r="AB17" s="151" t="str">
        <f t="array" ref="AB17">bpLOOKUP(Data!$AV17,"2NDBENDA",CustOrdOpt,6,FALSE)</f>
        <v/>
      </c>
      <c r="AC17" s="151" t="str">
        <f t="array" ref="AC17">bpLOOKUP(Data!$AV17,"3RDBENDSH",CustOrdOpt,6,FALSE)</f>
        <v/>
      </c>
      <c r="AD17" s="151" t="str">
        <f t="array" ref="AD17">bpLOOKUP(Data!$AV17,"3RDBEND",CustOrdOpt,6,FALSE)</f>
        <v/>
      </c>
      <c r="AE17" s="151" t="str">
        <f t="array" ref="AE17">bpLOOKUP(Data!$AV17,"3RDBENDA",CustOrdOpt,6,FALSE)</f>
        <v/>
      </c>
      <c r="AF17" s="151" t="str">
        <f t="array" ref="AF17">bpLOOKUP(Data!$AV17,"4THBENDSH",CustOrdOpt,6,FALSE)</f>
        <v/>
      </c>
      <c r="AG17" s="151" t="str">
        <f t="array" ref="AG17">bpLOOKUP(Data!$AV17,"4THBEND",CustOrdOpt,6,FALSE)</f>
        <v/>
      </c>
      <c r="AH17" s="151" t="str">
        <f t="array" ref="AH17">bpLOOKUP(Data!$AV17,"4THBENDA",CustOrdOpt,6,FALSE)</f>
        <v/>
      </c>
      <c r="AI17" s="239" t="str">
        <f>IF(Data!AW17="","",VLOOKUP(CONCATENATE('Job Sheet'!H17,'Job Sheet'!I17,'Job Sheet'!U17),TBSTracks,2,FALSE))</f>
        <v/>
      </c>
      <c r="AJ17" s="115" t="str">
        <f t="array" ref="AJ17">bpLOOKUP(Data!$AV17,"INSTALLATION",CustOrdOpt,6,FALSE)</f>
        <v/>
      </c>
      <c r="AK17" s="115" t="str">
        <f t="array" ref="AK17">bpLOOKUP(Data!$AV17,"Notes",CustOrdOpt,6,FALSE)</f>
        <v/>
      </c>
      <c r="AM17" s="115" t="str">
        <f t="shared" si="4"/>
        <v/>
      </c>
      <c r="AN17" s="115" t="str">
        <f t="shared" si="5"/>
        <v/>
      </c>
      <c r="AO17" s="115" t="str">
        <f t="shared" si="6"/>
        <v/>
      </c>
      <c r="AP17" s="115" t="str">
        <f t="shared" si="7"/>
        <v/>
      </c>
      <c r="AQ17" s="115" t="str">
        <f>IF(Data!AV17="","",IF(VLOOKUP(CONCATENATE(H17,I17,U17),TBSTracks,4,FALSE)="0","0",VLOOKUP(CONCATENATE(H17,I17,U17),TBSTracks,5,FALSE)))</f>
        <v/>
      </c>
      <c r="AR17" s="120" t="str">
        <f t="shared" si="8"/>
        <v/>
      </c>
      <c r="AS17" s="120" t="str">
        <f t="shared" si="9"/>
        <v/>
      </c>
      <c r="AT17" s="120" t="str">
        <f t="shared" si="10"/>
        <v/>
      </c>
      <c r="AU17" s="115" t="str">
        <f>IF(Data!BA17="","",IF(VLOOKUP(CONCATENATE(H17,I17,U17),TBSTracks,2,FALSE)="DBS to Make",G17-VLOOKUP(CONCATENATE(H17,L17),Operation,2,FALSE)-VLOOKUP(P17,BracketType,2,FALSE),VLOOKUP(CONCATENATE(H17,I17,U17),TBSTracks,2,FALSE)))</f>
        <v/>
      </c>
      <c r="AV17" s="160">
        <f t="shared" si="11"/>
        <v>0</v>
      </c>
      <c r="AW17" s="238">
        <f t="shared" si="3"/>
        <v>0</v>
      </c>
      <c r="AX17" s="238">
        <f t="shared" si="12"/>
        <v>0</v>
      </c>
      <c r="AY17" s="238">
        <f t="shared" si="13"/>
        <v>0</v>
      </c>
      <c r="AZ17" s="238">
        <f t="shared" si="14"/>
        <v>0</v>
      </c>
      <c r="BA17" s="238">
        <f t="shared" si="15"/>
        <v>0</v>
      </c>
    </row>
    <row r="18" spans="1:53" s="36" customFormat="1" ht="60" customHeight="1">
      <c r="A18" s="120">
        <f>Data!AW18</f>
        <v>0</v>
      </c>
      <c r="B18" s="121">
        <f>Data!AY18</f>
        <v>0</v>
      </c>
      <c r="C18" s="155" t="str">
        <f t="array" ref="C18">bpLOOKUP(Data!$AV18,"SINGLE",CustOrdOpt,6,FALSE)</f>
        <v/>
      </c>
      <c r="D18" s="122">
        <f>SUM(Data!BA18)</f>
        <v>0</v>
      </c>
      <c r="E18" s="123" t="str">
        <f t="array" ref="E18">bpLOOKUP(Data!$AV18,"Size",CustOrdOpt,6,FALSE)</f>
        <v/>
      </c>
      <c r="F18" s="124" t="str">
        <f t="array" ref="F18">bpLOOKUP(Data!$AV18,"SIDEBYSIDE",CustOrdOpt,6,FALSE)</f>
        <v/>
      </c>
      <c r="G18" s="40" t="str">
        <f>IF(Data!AV18="","",IF(AND(E18="Opening",U18="Bent"),Data!BA18-VLOOKUP(J18,FitDeduct,2,FALSE)-VLOOKUP(F18,SideDeduct,2,FALSE)-AV18,IF(E18="Opening",Data!BA18-VLOOKUP(J18,FitDeduct,2,FALSE)-VLOOKUP(F18,SideDeduct,2,FALSE),IF(E18="Making",Data!BA18,IF(E18="Making",Data!BA18)))))</f>
        <v/>
      </c>
      <c r="H18" s="121" t="str">
        <f>IF(Data!BE18="","",Data!BN18)</f>
        <v/>
      </c>
      <c r="I18" s="121" t="str">
        <f>IF(Data!BF18="","",Data!BO18)</f>
        <v/>
      </c>
      <c r="J18" s="115" t="str">
        <f t="array" ref="J18">bpLOOKUP(Data!$AV18,"FIT",CustOrdOpt,6,FALSE)</f>
        <v/>
      </c>
      <c r="K18" s="115" t="str">
        <f t="array" ref="K18">bpLOOKUP(Data!$AV18,"CORDOP",CustOrdOpt,6,FALSE)</f>
        <v/>
      </c>
      <c r="L18" s="115" t="str">
        <f t="array" ref="L18">bpLOOKUP(Data!$AV18,"OPENING",CustOrdOpt,6,FALSE)</f>
        <v/>
      </c>
      <c r="M18" s="115" t="str">
        <f t="array" ref="M18">bpLOOKUP(Data!$AV18,"OFFSETL",CustOrdOpt,6,FALSE)</f>
        <v/>
      </c>
      <c r="N18" s="115" t="str">
        <f t="array" ref="N18">bpLOOKUP(Data!$AV18,"OFFSETR",CustOrdOpt,6,FALSE)</f>
        <v/>
      </c>
      <c r="O18" s="115" t="str">
        <f t="array" ref="O18">bpLOOKUP(Data!$AV18,"TAPE",CustOrdOpt,6,FALSE)</f>
        <v/>
      </c>
      <c r="P18" s="115" t="str">
        <f t="array" ref="P18">bpLOOKUP(Data!$AV18,"BRACKETS",CustOrdOpt,6,FALSE)</f>
        <v/>
      </c>
      <c r="Q18" s="115" t="str">
        <f t="array" ref="Q18">bpLOOKUP(Data!$AV18,"RETURNS",CustOrdOpt,6,FALSE)</f>
        <v/>
      </c>
      <c r="R18" s="115" t="str">
        <f t="array" ref="R18">bpLOOKUP(Data!$AV18,"FINIALS",CustOrdOpt,6,FALSE)</f>
        <v/>
      </c>
      <c r="S18" s="115" t="str">
        <f t="array" ref="S18">IF(OR(Data!AV18="",bpLOOKUP(Data!$AV18,"HANGERQTY",CustOrdOpt,6,FALSE)=""),"",CONCATENATE(bpLOOKUP(Data!$AV18,"HANGERQTY",CustOrdOpt,6,FALSE)," x ",bpLOOKUP(Data!$AV18,"HANGERL",CustOrdOpt,6,FALSE),"mm"))</f>
        <v/>
      </c>
      <c r="T18" s="115" t="str">
        <f t="array" ref="T18">bpLOOKUP(Data!$AV18,"FLICKSTICKS",CustOrdOpt,6,FALSE)</f>
        <v/>
      </c>
      <c r="U18" s="115" t="str">
        <f t="array" ref="U18">bpLOOKUP(Data!$AV18,"TRACKSHAPE",CustOrdOpt,6,FALSE)</f>
        <v/>
      </c>
      <c r="V18" s="115" t="str">
        <f t="array" ref="V18">bpLOOKUP(Data!$AV18,"BENDS",CustOrdOpt,6,FALSE)</f>
        <v/>
      </c>
      <c r="W18" s="151" t="str">
        <f t="array" ref="W18">bpLOOKUP(Data!$AV18,"1STBENDSH",CustOrdOpt,6,FALSE)</f>
        <v/>
      </c>
      <c r="X18" s="151" t="str">
        <f t="array" ref="X18">bpLOOKUP(Data!$AV18,"1STBEND",CustOrdOpt,6,FALSE)</f>
        <v/>
      </c>
      <c r="Y18" s="151" t="str">
        <f t="array" ref="Y18">bpLOOKUP(Data!$AV18,"1STBENDA",CustOrdOpt,6,FALSE)</f>
        <v/>
      </c>
      <c r="Z18" s="151" t="str">
        <f t="array" ref="Z18">bpLOOKUP(Data!$AV18,"2NDBENDSH",CustOrdOpt,6,FALSE)</f>
        <v/>
      </c>
      <c r="AA18" s="151" t="str">
        <f t="array" ref="AA18">bpLOOKUP(Data!$AV18,"2NDBEND",CustOrdOpt,6,FALSE)</f>
        <v/>
      </c>
      <c r="AB18" s="151" t="str">
        <f t="array" ref="AB18">bpLOOKUP(Data!$AV18,"2NDBENDA",CustOrdOpt,6,FALSE)</f>
        <v/>
      </c>
      <c r="AC18" s="151" t="str">
        <f t="array" ref="AC18">bpLOOKUP(Data!$AV18,"3RDBENDSH",CustOrdOpt,6,FALSE)</f>
        <v/>
      </c>
      <c r="AD18" s="151" t="str">
        <f t="array" ref="AD18">bpLOOKUP(Data!$AV18,"3RDBEND",CustOrdOpt,6,FALSE)</f>
        <v/>
      </c>
      <c r="AE18" s="151" t="str">
        <f t="array" ref="AE18">bpLOOKUP(Data!$AV18,"3RDBENDA",CustOrdOpt,6,FALSE)</f>
        <v/>
      </c>
      <c r="AF18" s="151" t="str">
        <f t="array" ref="AF18">bpLOOKUP(Data!$AV18,"4THBENDSH",CustOrdOpt,6,FALSE)</f>
        <v/>
      </c>
      <c r="AG18" s="151" t="str">
        <f t="array" ref="AG18">bpLOOKUP(Data!$AV18,"4THBEND",CustOrdOpt,6,FALSE)</f>
        <v/>
      </c>
      <c r="AH18" s="151" t="str">
        <f t="array" ref="AH18">bpLOOKUP(Data!$AV18,"4THBENDA",CustOrdOpt,6,FALSE)</f>
        <v/>
      </c>
      <c r="AI18" s="239" t="str">
        <f>IF(Data!AW18="","",VLOOKUP(CONCATENATE('Job Sheet'!H18,'Job Sheet'!I18,'Job Sheet'!U18),TBSTracks,2,FALSE))</f>
        <v/>
      </c>
      <c r="AJ18" s="115" t="str">
        <f t="array" ref="AJ18">bpLOOKUP(Data!$AV18,"INSTALLATION",CustOrdOpt,6,FALSE)</f>
        <v/>
      </c>
      <c r="AK18" s="115" t="str">
        <f t="array" ref="AK18">bpLOOKUP(Data!$AV18,"Notes",CustOrdOpt,6,FALSE)</f>
        <v/>
      </c>
      <c r="AM18" s="115" t="str">
        <f t="shared" si="4"/>
        <v/>
      </c>
      <c r="AN18" s="115" t="str">
        <f t="shared" si="5"/>
        <v/>
      </c>
      <c r="AO18" s="115" t="str">
        <f t="shared" si="6"/>
        <v/>
      </c>
      <c r="AP18" s="115" t="str">
        <f t="shared" si="7"/>
        <v/>
      </c>
      <c r="AQ18" s="115" t="str">
        <f>IF(Data!AV18="","",IF(VLOOKUP(CONCATENATE(H18,I18,U18),TBSTracks,4,FALSE)="0","0",VLOOKUP(CONCATENATE(H18,I18,U18),TBSTracks,5,FALSE)))</f>
        <v/>
      </c>
      <c r="AR18" s="120" t="str">
        <f t="shared" si="8"/>
        <v/>
      </c>
      <c r="AS18" s="120" t="str">
        <f t="shared" si="9"/>
        <v/>
      </c>
      <c r="AT18" s="120" t="str">
        <f t="shared" si="10"/>
        <v/>
      </c>
      <c r="AU18" s="115" t="str">
        <f>IF(Data!BA18="","",IF(VLOOKUP(CONCATENATE(H18,I18,U18),TBSTracks,2,FALSE)="DBS to Make",G18-VLOOKUP(CONCATENATE(H18,L18),Operation,2,FALSE)-VLOOKUP(P18,BracketType,2,FALSE),VLOOKUP(CONCATENATE(H18,I18,U18),TBSTracks,2,FALSE)))</f>
        <v/>
      </c>
      <c r="AV18" s="160">
        <f t="shared" si="11"/>
        <v>0</v>
      </c>
      <c r="AW18" s="238">
        <f t="shared" si="3"/>
        <v>0</v>
      </c>
      <c r="AX18" s="238">
        <f t="shared" si="12"/>
        <v>0</v>
      </c>
      <c r="AY18" s="238">
        <f t="shared" si="13"/>
        <v>0</v>
      </c>
      <c r="AZ18" s="238">
        <f t="shared" si="14"/>
        <v>0</v>
      </c>
      <c r="BA18" s="238">
        <f t="shared" si="15"/>
        <v>0</v>
      </c>
    </row>
    <row r="19" spans="1:53" s="36" customFormat="1" ht="60" customHeight="1">
      <c r="A19" s="120">
        <f>Data!AW19</f>
        <v>0</v>
      </c>
      <c r="B19" s="121">
        <f>Data!AY19</f>
        <v>0</v>
      </c>
      <c r="C19" s="155" t="str">
        <f t="array" ref="C19">bpLOOKUP(Data!$AV19,"SINGLE",CustOrdOpt,6,FALSE)</f>
        <v/>
      </c>
      <c r="D19" s="122">
        <f>SUM(Data!BA19)</f>
        <v>0</v>
      </c>
      <c r="E19" s="123" t="str">
        <f t="array" ref="E19">bpLOOKUP(Data!$AV19,"Size",CustOrdOpt,6,FALSE)</f>
        <v/>
      </c>
      <c r="F19" s="124" t="str">
        <f t="array" ref="F19">bpLOOKUP(Data!$AV19,"SIDEBYSIDE",CustOrdOpt,6,FALSE)</f>
        <v/>
      </c>
      <c r="G19" s="40" t="str">
        <f>IF(Data!AV19="","",IF(AND(E19="Opening",U19="Bent"),Data!BA19-VLOOKUP(J19,FitDeduct,2,FALSE)-VLOOKUP(F19,SideDeduct,2,FALSE)-AV19,IF(E19="Opening",Data!BA19-VLOOKUP(J19,FitDeduct,2,FALSE)-VLOOKUP(F19,SideDeduct,2,FALSE),IF(E19="Making",Data!BA19,IF(E19="Making",Data!BA19)))))</f>
        <v/>
      </c>
      <c r="H19" s="121" t="str">
        <f>IF(Data!BE19="","",Data!BN19)</f>
        <v/>
      </c>
      <c r="I19" s="121" t="str">
        <f>IF(Data!BF19="","",Data!BO19)</f>
        <v/>
      </c>
      <c r="J19" s="115" t="str">
        <f t="array" ref="J19">bpLOOKUP(Data!$AV19,"FIT",CustOrdOpt,6,FALSE)</f>
        <v/>
      </c>
      <c r="K19" s="115" t="str">
        <f t="array" ref="K19">bpLOOKUP(Data!$AV19,"CORDOP",CustOrdOpt,6,FALSE)</f>
        <v/>
      </c>
      <c r="L19" s="115" t="str">
        <f t="array" ref="L19">bpLOOKUP(Data!$AV19,"OPENING",CustOrdOpt,6,FALSE)</f>
        <v/>
      </c>
      <c r="M19" s="115" t="str">
        <f t="array" ref="M19">bpLOOKUP(Data!$AV19,"OFFSETL",CustOrdOpt,6,FALSE)</f>
        <v/>
      </c>
      <c r="N19" s="115" t="str">
        <f t="array" ref="N19">bpLOOKUP(Data!$AV19,"OFFSETR",CustOrdOpt,6,FALSE)</f>
        <v/>
      </c>
      <c r="O19" s="115" t="str">
        <f t="array" ref="O19">bpLOOKUP(Data!$AV19,"TAPE",CustOrdOpt,6,FALSE)</f>
        <v/>
      </c>
      <c r="P19" s="115" t="str">
        <f t="array" ref="P19">bpLOOKUP(Data!$AV19,"BRACKETS",CustOrdOpt,6,FALSE)</f>
        <v/>
      </c>
      <c r="Q19" s="115" t="str">
        <f t="array" ref="Q19">bpLOOKUP(Data!$AV19,"RETURNS",CustOrdOpt,6,FALSE)</f>
        <v/>
      </c>
      <c r="R19" s="115" t="str">
        <f t="array" ref="R19">bpLOOKUP(Data!$AV19,"FINIALS",CustOrdOpt,6,FALSE)</f>
        <v/>
      </c>
      <c r="S19" s="115" t="str">
        <f t="array" ref="S19">IF(OR(Data!AV19="",bpLOOKUP(Data!$AV19,"HANGERQTY",CustOrdOpt,6,FALSE)=""),"",CONCATENATE(bpLOOKUP(Data!$AV19,"HANGERQTY",CustOrdOpt,6,FALSE)," x ",bpLOOKUP(Data!$AV19,"HANGERL",CustOrdOpt,6,FALSE),"mm"))</f>
        <v/>
      </c>
      <c r="T19" s="115" t="str">
        <f t="array" ref="T19">bpLOOKUP(Data!$AV19,"FLICKSTICKS",CustOrdOpt,6,FALSE)</f>
        <v/>
      </c>
      <c r="U19" s="115" t="str">
        <f t="array" ref="U19">bpLOOKUP(Data!$AV19,"TRACKSHAPE",CustOrdOpt,6,FALSE)</f>
        <v/>
      </c>
      <c r="V19" s="115" t="str">
        <f t="array" ref="V19">bpLOOKUP(Data!$AV19,"BENDS",CustOrdOpt,6,FALSE)</f>
        <v/>
      </c>
      <c r="W19" s="151" t="str">
        <f t="array" ref="W19">bpLOOKUP(Data!$AV19,"1STBENDSH",CustOrdOpt,6,FALSE)</f>
        <v/>
      </c>
      <c r="X19" s="151" t="str">
        <f t="array" ref="X19">bpLOOKUP(Data!$AV19,"1STBEND",CustOrdOpt,6,FALSE)</f>
        <v/>
      </c>
      <c r="Y19" s="151" t="str">
        <f t="array" ref="Y19">bpLOOKUP(Data!$AV19,"1STBENDA",CustOrdOpt,6,FALSE)</f>
        <v/>
      </c>
      <c r="Z19" s="151" t="str">
        <f t="array" ref="Z19">bpLOOKUP(Data!$AV19,"2NDBENDSH",CustOrdOpt,6,FALSE)</f>
        <v/>
      </c>
      <c r="AA19" s="151" t="str">
        <f t="array" ref="AA19">bpLOOKUP(Data!$AV19,"2NDBEND",CustOrdOpt,6,FALSE)</f>
        <v/>
      </c>
      <c r="AB19" s="151" t="str">
        <f t="array" ref="AB19">bpLOOKUP(Data!$AV19,"2NDBENDA",CustOrdOpt,6,FALSE)</f>
        <v/>
      </c>
      <c r="AC19" s="151" t="str">
        <f t="array" ref="AC19">bpLOOKUP(Data!$AV19,"3RDBENDSH",CustOrdOpt,6,FALSE)</f>
        <v/>
      </c>
      <c r="AD19" s="151" t="str">
        <f t="array" ref="AD19">bpLOOKUP(Data!$AV19,"3RDBEND",CustOrdOpt,6,FALSE)</f>
        <v/>
      </c>
      <c r="AE19" s="151" t="str">
        <f t="array" ref="AE19">bpLOOKUP(Data!$AV19,"3RDBENDA",CustOrdOpt,6,FALSE)</f>
        <v/>
      </c>
      <c r="AF19" s="151" t="str">
        <f t="array" ref="AF19">bpLOOKUP(Data!$AV19,"4THBENDSH",CustOrdOpt,6,FALSE)</f>
        <v/>
      </c>
      <c r="AG19" s="151" t="str">
        <f t="array" ref="AG19">bpLOOKUP(Data!$AV19,"4THBEND",CustOrdOpt,6,FALSE)</f>
        <v/>
      </c>
      <c r="AH19" s="151" t="str">
        <f t="array" ref="AH19">bpLOOKUP(Data!$AV19,"4THBENDA",CustOrdOpt,6,FALSE)</f>
        <v/>
      </c>
      <c r="AI19" s="239" t="str">
        <f>IF(Data!AW19="","",VLOOKUP(CONCATENATE('Job Sheet'!H19,'Job Sheet'!I19,'Job Sheet'!U19),TBSTracks,2,FALSE))</f>
        <v/>
      </c>
      <c r="AJ19" s="115" t="str">
        <f t="array" ref="AJ19">bpLOOKUP(Data!$AV19,"INSTALLATION",CustOrdOpt,6,FALSE)</f>
        <v/>
      </c>
      <c r="AK19" s="115" t="str">
        <f t="array" ref="AK19">bpLOOKUP(Data!$AV19,"Notes",CustOrdOpt,6,FALSE)</f>
        <v/>
      </c>
      <c r="AM19" s="115" t="str">
        <f t="shared" si="4"/>
        <v/>
      </c>
      <c r="AN19" s="115" t="str">
        <f t="shared" si="5"/>
        <v/>
      </c>
      <c r="AO19" s="115" t="str">
        <f t="shared" si="6"/>
        <v/>
      </c>
      <c r="AP19" s="115" t="str">
        <f t="shared" si="7"/>
        <v/>
      </c>
      <c r="AQ19" s="115" t="str">
        <f>IF(Data!AV19="","",IF(VLOOKUP(CONCATENATE(H19,I19,U19),TBSTracks,4,FALSE)="0","0",VLOOKUP(CONCATENATE(H19,I19,U19),TBSTracks,5,FALSE)))</f>
        <v/>
      </c>
      <c r="AR19" s="120" t="str">
        <f t="shared" si="8"/>
        <v/>
      </c>
      <c r="AS19" s="120" t="str">
        <f t="shared" si="9"/>
        <v/>
      </c>
      <c r="AT19" s="120" t="str">
        <f t="shared" si="10"/>
        <v/>
      </c>
      <c r="AU19" s="115" t="str">
        <f>IF(Data!BA19="","",IF(VLOOKUP(CONCATENATE(H19,I19,U19),TBSTracks,2,FALSE)="DBS to Make",G19-VLOOKUP(CONCATENATE(H19,L19),Operation,2,FALSE)-VLOOKUP(P19,BracketType,2,FALSE),VLOOKUP(CONCATENATE(H19,I19,U19),TBSTracks,2,FALSE)))</f>
        <v/>
      </c>
      <c r="AV19" s="160">
        <f t="shared" si="11"/>
        <v>0</v>
      </c>
      <c r="AW19" s="238">
        <f t="shared" si="3"/>
        <v>0</v>
      </c>
      <c r="AX19" s="238">
        <f t="shared" si="12"/>
        <v>0</v>
      </c>
      <c r="AY19" s="238">
        <f t="shared" si="13"/>
        <v>0</v>
      </c>
      <c r="AZ19" s="238">
        <f t="shared" si="14"/>
        <v>0</v>
      </c>
      <c r="BA19" s="238">
        <f t="shared" si="15"/>
        <v>0</v>
      </c>
    </row>
    <row r="20" spans="1:53" s="36" customFormat="1" ht="60" customHeight="1">
      <c r="A20" s="120">
        <f>Data!AW20</f>
        <v>0</v>
      </c>
      <c r="B20" s="121">
        <f>Data!AY20</f>
        <v>0</v>
      </c>
      <c r="C20" s="155" t="str">
        <f t="array" ref="C20">bpLOOKUP(Data!$AV20,"SINGLE",CustOrdOpt,6,FALSE)</f>
        <v/>
      </c>
      <c r="D20" s="122">
        <f>SUM(Data!BA20)</f>
        <v>0</v>
      </c>
      <c r="E20" s="123" t="str">
        <f t="array" ref="E20">bpLOOKUP(Data!$AV20,"Size",CustOrdOpt,6,FALSE)</f>
        <v/>
      </c>
      <c r="F20" s="124" t="str">
        <f t="array" ref="F20">bpLOOKUP(Data!$AV20,"SIDEBYSIDE",CustOrdOpt,6,FALSE)</f>
        <v/>
      </c>
      <c r="G20" s="40" t="str">
        <f>IF(Data!AV20="","",IF(AND(E20="Opening",U20="Bent"),Data!BA20-VLOOKUP(J20,FitDeduct,2,FALSE)-VLOOKUP(F20,SideDeduct,2,FALSE)-AV20,IF(E20="Opening",Data!BA20-VLOOKUP(J20,FitDeduct,2,FALSE)-VLOOKUP(F20,SideDeduct,2,FALSE),IF(E20="Making",Data!BA20,IF(E20="Making",Data!BA20)))))</f>
        <v/>
      </c>
      <c r="H20" s="121" t="str">
        <f>IF(Data!BE20="","",Data!BN20)</f>
        <v/>
      </c>
      <c r="I20" s="121" t="str">
        <f>IF(Data!BF20="","",Data!BO20)</f>
        <v/>
      </c>
      <c r="J20" s="115" t="str">
        <f t="array" ref="J20">bpLOOKUP(Data!$AV20,"FIT",CustOrdOpt,6,FALSE)</f>
        <v/>
      </c>
      <c r="K20" s="115" t="str">
        <f t="array" ref="K20">bpLOOKUP(Data!$AV20,"CORDOP",CustOrdOpt,6,FALSE)</f>
        <v/>
      </c>
      <c r="L20" s="115" t="str">
        <f t="array" ref="L20">bpLOOKUP(Data!$AV20,"OPENING",CustOrdOpt,6,FALSE)</f>
        <v/>
      </c>
      <c r="M20" s="115" t="str">
        <f t="array" ref="M20">bpLOOKUP(Data!$AV20,"OFFSETL",CustOrdOpt,6,FALSE)</f>
        <v/>
      </c>
      <c r="N20" s="115" t="str">
        <f t="array" ref="N20">bpLOOKUP(Data!$AV20,"OFFSETR",CustOrdOpt,6,FALSE)</f>
        <v/>
      </c>
      <c r="O20" s="115" t="str">
        <f t="array" ref="O20">bpLOOKUP(Data!$AV20,"TAPE",CustOrdOpt,6,FALSE)</f>
        <v/>
      </c>
      <c r="P20" s="115" t="str">
        <f t="array" ref="P20">bpLOOKUP(Data!$AV20,"BRACKETS",CustOrdOpt,6,FALSE)</f>
        <v/>
      </c>
      <c r="Q20" s="115" t="str">
        <f t="array" ref="Q20">bpLOOKUP(Data!$AV20,"RETURNS",CustOrdOpt,6,FALSE)</f>
        <v/>
      </c>
      <c r="R20" s="115" t="str">
        <f t="array" ref="R20">bpLOOKUP(Data!$AV20,"FINIALS",CustOrdOpt,6,FALSE)</f>
        <v/>
      </c>
      <c r="S20" s="115" t="str">
        <f t="array" ref="S20">IF(OR(Data!AV20="",bpLOOKUP(Data!$AV20,"HANGERQTY",CustOrdOpt,6,FALSE)=""),"",CONCATENATE(bpLOOKUP(Data!$AV20,"HANGERQTY",CustOrdOpt,6,FALSE)," x ",bpLOOKUP(Data!$AV20,"HANGERL",CustOrdOpt,6,FALSE),"mm"))</f>
        <v/>
      </c>
      <c r="T20" s="115" t="str">
        <f t="array" ref="T20">bpLOOKUP(Data!$AV20,"FLICKSTICKS",CustOrdOpt,6,FALSE)</f>
        <v/>
      </c>
      <c r="U20" s="115" t="str">
        <f t="array" ref="U20">bpLOOKUP(Data!$AV20,"TRACKSHAPE",CustOrdOpt,6,FALSE)</f>
        <v/>
      </c>
      <c r="V20" s="115" t="str">
        <f t="array" ref="V20">bpLOOKUP(Data!$AV20,"BENDS",CustOrdOpt,6,FALSE)</f>
        <v/>
      </c>
      <c r="W20" s="151" t="str">
        <f t="array" ref="W20">bpLOOKUP(Data!$AV20,"1STBENDSH",CustOrdOpt,6,FALSE)</f>
        <v/>
      </c>
      <c r="X20" s="151" t="str">
        <f t="array" ref="X20">bpLOOKUP(Data!$AV20,"1STBEND",CustOrdOpt,6,FALSE)</f>
        <v/>
      </c>
      <c r="Y20" s="151" t="str">
        <f t="array" ref="Y20">bpLOOKUP(Data!$AV20,"1STBENDA",CustOrdOpt,6,FALSE)</f>
        <v/>
      </c>
      <c r="Z20" s="151" t="str">
        <f t="array" ref="Z20">bpLOOKUP(Data!$AV20,"2NDBENDSH",CustOrdOpt,6,FALSE)</f>
        <v/>
      </c>
      <c r="AA20" s="151" t="str">
        <f t="array" ref="AA20">bpLOOKUP(Data!$AV20,"2NDBEND",CustOrdOpt,6,FALSE)</f>
        <v/>
      </c>
      <c r="AB20" s="151" t="str">
        <f t="array" ref="AB20">bpLOOKUP(Data!$AV20,"2NDBENDA",CustOrdOpt,6,FALSE)</f>
        <v/>
      </c>
      <c r="AC20" s="151" t="str">
        <f t="array" ref="AC20">bpLOOKUP(Data!$AV20,"3RDBENDSH",CustOrdOpt,6,FALSE)</f>
        <v/>
      </c>
      <c r="AD20" s="151" t="str">
        <f t="array" ref="AD20">bpLOOKUP(Data!$AV20,"3RDBEND",CustOrdOpt,6,FALSE)</f>
        <v/>
      </c>
      <c r="AE20" s="151" t="str">
        <f t="array" ref="AE20">bpLOOKUP(Data!$AV20,"3RDBENDA",CustOrdOpt,6,FALSE)</f>
        <v/>
      </c>
      <c r="AF20" s="151" t="str">
        <f t="array" ref="AF20">bpLOOKUP(Data!$AV20,"4THBENDSH",CustOrdOpt,6,FALSE)</f>
        <v/>
      </c>
      <c r="AG20" s="151" t="str">
        <f t="array" ref="AG20">bpLOOKUP(Data!$AV20,"4THBEND",CustOrdOpt,6,FALSE)</f>
        <v/>
      </c>
      <c r="AH20" s="151" t="str">
        <f t="array" ref="AH20">bpLOOKUP(Data!$AV20,"4THBENDA",CustOrdOpt,6,FALSE)</f>
        <v/>
      </c>
      <c r="AI20" s="239" t="str">
        <f>IF(Data!AW20="","",VLOOKUP(CONCATENATE('Job Sheet'!H20,'Job Sheet'!I20,'Job Sheet'!U20),TBSTracks,2,FALSE))</f>
        <v/>
      </c>
      <c r="AJ20" s="115" t="str">
        <f t="array" ref="AJ20">bpLOOKUP(Data!$AV20,"INSTALLATION",CustOrdOpt,6,FALSE)</f>
        <v/>
      </c>
      <c r="AK20" s="115" t="str">
        <f t="array" ref="AK20">bpLOOKUP(Data!$AV20,"Notes",CustOrdOpt,6,FALSE)</f>
        <v/>
      </c>
      <c r="AM20" s="115" t="str">
        <f t="shared" si="4"/>
        <v/>
      </c>
      <c r="AN20" s="115" t="str">
        <f t="shared" si="5"/>
        <v/>
      </c>
      <c r="AO20" s="115" t="str">
        <f t="shared" si="6"/>
        <v/>
      </c>
      <c r="AP20" s="115" t="str">
        <f t="shared" si="7"/>
        <v/>
      </c>
      <c r="AQ20" s="115" t="str">
        <f>IF(Data!AV20="","",IF(VLOOKUP(CONCATENATE(H20,I20,U20),TBSTracks,4,FALSE)="0","0",VLOOKUP(CONCATENATE(H20,I20,U20),TBSTracks,5,FALSE)))</f>
        <v/>
      </c>
      <c r="AR20" s="120" t="str">
        <f t="shared" si="8"/>
        <v/>
      </c>
      <c r="AS20" s="120" t="str">
        <f t="shared" si="9"/>
        <v/>
      </c>
      <c r="AT20" s="120" t="str">
        <f t="shared" si="10"/>
        <v/>
      </c>
      <c r="AU20" s="115" t="str">
        <f>IF(Data!BA20="","",IF(VLOOKUP(CONCATENATE(H20,I20,U20),TBSTracks,2,FALSE)="DBS to Make",G20-VLOOKUP(CONCATENATE(H20,L20),Operation,2,FALSE)-VLOOKUP(P20,BracketType,2,FALSE),VLOOKUP(CONCATENATE(H20,I20,U20),TBSTracks,2,FALSE)))</f>
        <v/>
      </c>
      <c r="AV20" s="160">
        <f t="shared" si="11"/>
        <v>0</v>
      </c>
      <c r="AW20" s="238">
        <f t="shared" si="3"/>
        <v>0</v>
      </c>
      <c r="AX20" s="238">
        <f t="shared" si="12"/>
        <v>0</v>
      </c>
      <c r="AY20" s="238">
        <f t="shared" si="13"/>
        <v>0</v>
      </c>
      <c r="AZ20" s="238">
        <f t="shared" si="14"/>
        <v>0</v>
      </c>
      <c r="BA20" s="238">
        <f t="shared" si="15"/>
        <v>0</v>
      </c>
    </row>
    <row r="21" spans="31:33" ht="60" customHeight="1">
      <c r="AE21" s="111"/>
      <c r="AF21" s="111"/>
      <c r="AG21" s="111"/>
    </row>
    <row r="22" spans="31:33" ht="60" customHeight="1">
      <c r="AE22" s="111"/>
      <c r="AF22" s="111"/>
      <c r="AG22" s="111"/>
    </row>
    <row r="23" spans="31:33" ht="60" customHeight="1">
      <c r="AE23" s="111"/>
      <c r="AF23" s="111"/>
      <c r="AG23" s="111"/>
    </row>
    <row r="24" spans="31:33" ht="60" customHeight="1">
      <c r="AE24" s="111"/>
      <c r="AF24" s="111"/>
      <c r="AG24" s="111"/>
    </row>
    <row r="25" spans="31:33" ht="60" customHeight="1">
      <c r="AE25" s="111"/>
      <c r="AF25" s="111"/>
      <c r="AG25" s="111"/>
    </row>
    <row r="26" spans="31:33" ht="60" customHeight="1">
      <c r="AE26" s="111"/>
      <c r="AF26" s="111"/>
      <c r="AG26" s="111"/>
    </row>
    <row r="27" spans="31:33" ht="60" customHeight="1">
      <c r="AE27" s="111"/>
      <c r="AF27" s="111"/>
      <c r="AG27" s="111"/>
    </row>
    <row r="28" spans="31:33" ht="60" customHeight="1">
      <c r="AE28" s="111"/>
      <c r="AF28" s="111"/>
      <c r="AG28" s="111"/>
    </row>
    <row r="29" spans="31:33" ht="60" customHeight="1">
      <c r="AE29" s="111"/>
      <c r="AF29" s="111"/>
      <c r="AG29" s="111"/>
    </row>
    <row r="30" spans="31:33" ht="60" customHeight="1">
      <c r="AE30" s="111"/>
      <c r="AF30" s="111"/>
      <c r="AG30" s="111"/>
    </row>
    <row r="31" spans="31:33" ht="60" customHeight="1">
      <c r="AE31" s="111"/>
      <c r="AF31" s="111"/>
      <c r="AG31" s="111"/>
    </row>
    <row r="32" spans="31:33" ht="60" customHeight="1">
      <c r="AE32" s="111"/>
      <c r="AF32" s="111"/>
      <c r="AG32" s="111"/>
    </row>
    <row r="33" spans="31:33" ht="60" customHeight="1">
      <c r="AE33" s="111"/>
      <c r="AF33" s="111"/>
      <c r="AG33" s="111"/>
    </row>
    <row r="34" spans="31:33" ht="60" customHeight="1">
      <c r="AE34" s="111"/>
      <c r="AF34" s="111"/>
      <c r="AG34" s="111"/>
    </row>
    <row r="35" spans="31:33" ht="60" customHeight="1">
      <c r="AE35" s="111"/>
      <c r="AF35" s="111"/>
      <c r="AG35" s="111"/>
    </row>
    <row r="36" spans="31:33" ht="60" customHeight="1">
      <c r="AE36" s="111"/>
      <c r="AF36" s="111"/>
      <c r="AG36" s="111"/>
    </row>
    <row r="37" spans="31:33" ht="60" customHeight="1">
      <c r="AE37" s="111"/>
      <c r="AF37" s="111"/>
      <c r="AG37" s="111"/>
    </row>
    <row r="38" spans="31:33" ht="60" customHeight="1">
      <c r="AE38" s="111"/>
      <c r="AF38" s="111"/>
      <c r="AG38" s="111"/>
    </row>
    <row r="39" spans="31:33" ht="60" customHeight="1">
      <c r="AE39" s="111"/>
      <c r="AF39" s="111"/>
      <c r="AG39" s="111"/>
    </row>
    <row r="40" spans="31:33" ht="60" customHeight="1">
      <c r="AE40" s="111"/>
      <c r="AF40" s="111"/>
      <c r="AG40" s="111"/>
    </row>
    <row r="41" spans="31:33" ht="60" customHeight="1">
      <c r="AE41" s="111"/>
      <c r="AF41" s="111"/>
      <c r="AG41" s="111"/>
    </row>
    <row r="42" spans="31:33" ht="60" customHeight="1">
      <c r="AE42" s="111"/>
      <c r="AF42" s="111"/>
      <c r="AG42" s="111"/>
    </row>
    <row r="43" spans="31:33" ht="60" customHeight="1">
      <c r="AE43" s="111"/>
      <c r="AF43" s="111"/>
      <c r="AG43" s="111"/>
    </row>
    <row r="44" spans="31:33" ht="60" customHeight="1">
      <c r="AE44" s="111"/>
      <c r="AF44" s="111"/>
      <c r="AG44" s="111"/>
    </row>
    <row r="45" spans="31:33" ht="60" customHeight="1">
      <c r="AE45" s="111"/>
      <c r="AF45" s="111"/>
      <c r="AG45" s="111"/>
    </row>
    <row r="46" spans="31:33" ht="60" customHeight="1">
      <c r="AE46" s="111"/>
      <c r="AF46" s="111"/>
      <c r="AG46" s="111"/>
    </row>
    <row r="47" spans="31:33" ht="60" customHeight="1">
      <c r="AE47" s="111"/>
      <c r="AF47" s="111"/>
      <c r="AG47" s="111"/>
    </row>
    <row r="48" spans="31:33" ht="60" customHeight="1">
      <c r="AE48" s="111"/>
      <c r="AF48" s="111"/>
      <c r="AG48" s="111"/>
    </row>
    <row r="49" spans="31:33" ht="60" customHeight="1">
      <c r="AE49" s="111"/>
      <c r="AF49" s="111"/>
      <c r="AG49" s="111"/>
    </row>
    <row r="50" spans="31:33" ht="60" customHeight="1">
      <c r="AE50" s="111"/>
      <c r="AF50" s="111"/>
      <c r="AG50" s="111"/>
    </row>
    <row r="51" spans="31:33" ht="60" customHeight="1">
      <c r="AE51" s="111"/>
      <c r="AF51" s="111"/>
      <c r="AG51" s="111"/>
    </row>
    <row r="52" spans="31:33" ht="60" customHeight="1">
      <c r="AE52" s="111"/>
      <c r="AF52" s="111"/>
      <c r="AG52" s="111"/>
    </row>
    <row r="53" spans="31:33" ht="60" customHeight="1">
      <c r="AE53" s="111"/>
      <c r="AF53" s="111"/>
      <c r="AG53" s="111"/>
    </row>
    <row r="54" spans="31:33" ht="60" customHeight="1">
      <c r="AE54" s="111"/>
      <c r="AF54" s="111"/>
      <c r="AG54" s="111"/>
    </row>
    <row r="55" spans="31:33" ht="60" customHeight="1">
      <c r="AE55" s="111"/>
      <c r="AF55" s="111"/>
      <c r="AG55" s="111"/>
    </row>
    <row r="56" spans="31:33" ht="60" customHeight="1">
      <c r="AE56" s="111"/>
      <c r="AF56" s="111"/>
      <c r="AG56" s="111"/>
    </row>
    <row r="57" spans="31:33" ht="60" customHeight="1">
      <c r="AE57" s="111"/>
      <c r="AF57" s="111"/>
      <c r="AG57" s="111"/>
    </row>
    <row r="58" spans="31:33" ht="60" customHeight="1">
      <c r="AE58" s="111"/>
      <c r="AF58" s="111"/>
      <c r="AG58" s="111"/>
    </row>
    <row r="59" spans="31:33" ht="60" customHeight="1">
      <c r="AE59" s="111"/>
      <c r="AF59" s="111"/>
      <c r="AG59" s="111"/>
    </row>
    <row r="60" spans="31:33" ht="60" customHeight="1">
      <c r="AE60" s="111"/>
      <c r="AF60" s="111"/>
      <c r="AG60" s="111"/>
    </row>
    <row r="61" spans="31:33" ht="60" customHeight="1">
      <c r="AE61" s="111"/>
      <c r="AF61" s="111"/>
      <c r="AG61" s="111"/>
    </row>
    <row r="62" spans="31:33" ht="60" customHeight="1">
      <c r="AE62" s="111"/>
      <c r="AF62" s="111"/>
      <c r="AG62" s="111"/>
    </row>
    <row r="63" spans="31:33" ht="60" customHeight="1">
      <c r="AE63" s="111"/>
      <c r="AF63" s="111"/>
      <c r="AG63" s="111"/>
    </row>
    <row r="64" spans="31:33" ht="60" customHeight="1">
      <c r="AE64" s="111"/>
      <c r="AF64" s="111"/>
      <c r="AG64" s="111"/>
    </row>
    <row r="65" spans="31:33" ht="60" customHeight="1">
      <c r="AE65" s="111"/>
      <c r="AF65" s="111"/>
      <c r="AG65" s="111"/>
    </row>
    <row r="66" spans="31:33" ht="60" customHeight="1">
      <c r="AE66" s="111"/>
      <c r="AF66" s="111"/>
      <c r="AG66" s="111"/>
    </row>
    <row r="67" spans="31:33" ht="105" customHeight="1">
      <c r="AE67" s="111"/>
      <c r="AF67" s="111"/>
      <c r="AG67" s="111"/>
    </row>
    <row r="68" spans="31:33" ht="105" customHeight="1">
      <c r="AE68" s="111"/>
      <c r="AF68" s="111"/>
      <c r="AG68" s="111"/>
    </row>
    <row r="69" spans="31:33" ht="105" customHeight="1">
      <c r="AE69" s="111"/>
      <c r="AF69" s="111"/>
      <c r="AG69" s="111"/>
    </row>
    <row r="70" spans="31:33" ht="105" customHeight="1">
      <c r="AE70" s="111"/>
      <c r="AF70" s="111"/>
      <c r="AG70" s="111"/>
    </row>
    <row r="71" spans="31:33" ht="105" customHeight="1">
      <c r="AE71" s="111"/>
      <c r="AF71" s="111"/>
      <c r="AG71" s="111"/>
    </row>
    <row r="72" spans="31:33" ht="105" customHeight="1">
      <c r="AE72" s="111"/>
      <c r="AF72" s="111"/>
      <c r="AG72" s="111"/>
    </row>
    <row r="73" spans="31:33" ht="105" customHeight="1">
      <c r="AE73" s="111"/>
      <c r="AF73" s="111"/>
      <c r="AG73" s="111"/>
    </row>
    <row r="74" spans="31:33" ht="105" customHeight="1">
      <c r="AE74" s="111"/>
      <c r="AF74" s="111"/>
      <c r="AG74" s="111"/>
    </row>
    <row r="75" spans="31:33" ht="105" customHeight="1">
      <c r="AE75" s="111"/>
      <c r="AF75" s="111"/>
      <c r="AG75" s="111"/>
    </row>
    <row r="76" spans="31:33" ht="105" customHeight="1">
      <c r="AE76" s="111"/>
      <c r="AF76" s="111"/>
      <c r="AG76" s="111"/>
    </row>
    <row r="77" spans="31:33" ht="105" customHeight="1">
      <c r="AE77" s="111"/>
      <c r="AF77" s="111"/>
      <c r="AG77" s="111"/>
    </row>
    <row r="78" spans="31:33" ht="105" customHeight="1">
      <c r="AE78" s="111"/>
      <c r="AF78" s="111"/>
      <c r="AG78" s="111"/>
    </row>
    <row r="79" spans="31:33" ht="105" customHeight="1">
      <c r="AE79" s="111"/>
      <c r="AF79" s="111"/>
      <c r="AG79" s="111"/>
    </row>
    <row r="80" spans="31:33" ht="105" customHeight="1">
      <c r="AE80" s="111"/>
      <c r="AF80" s="111"/>
      <c r="AG80" s="111"/>
    </row>
    <row r="81" spans="31:33" ht="105" customHeight="1">
      <c r="AE81" s="111"/>
      <c r="AF81" s="111"/>
      <c r="AG81" s="111"/>
    </row>
    <row r="82" spans="31:33" ht="105" customHeight="1">
      <c r="AE82" s="111"/>
      <c r="AF82" s="111"/>
      <c r="AG82" s="111"/>
    </row>
    <row r="83" spans="31:33" ht="105" customHeight="1">
      <c r="AE83" s="111"/>
      <c r="AF83" s="111"/>
      <c r="AG83" s="111"/>
    </row>
    <row r="84" spans="31:33" ht="105" customHeight="1">
      <c r="AE84" s="111"/>
      <c r="AF84" s="111"/>
      <c r="AG84" s="111"/>
    </row>
    <row r="85" spans="31:33" ht="105" customHeight="1">
      <c r="AE85" s="111"/>
      <c r="AF85" s="111"/>
      <c r="AG85" s="111"/>
    </row>
    <row r="86" spans="31:33" ht="105" customHeight="1">
      <c r="AE86" s="111"/>
      <c r="AF86" s="111"/>
      <c r="AG86" s="111"/>
    </row>
    <row r="87" spans="31:33" ht="105" customHeight="1">
      <c r="AE87" s="111"/>
      <c r="AF87" s="111"/>
      <c r="AG87" s="111"/>
    </row>
    <row r="88" spans="31:33" ht="105" customHeight="1">
      <c r="AE88" s="111"/>
      <c r="AF88" s="111"/>
      <c r="AG88" s="111"/>
    </row>
    <row r="89" spans="31:33" ht="105" customHeight="1">
      <c r="AE89" s="111"/>
      <c r="AF89" s="111"/>
      <c r="AG89" s="111"/>
    </row>
    <row r="90" spans="31:33" ht="105" customHeight="1">
      <c r="AE90" s="111"/>
      <c r="AF90" s="111"/>
      <c r="AG90" s="111"/>
    </row>
    <row r="91" spans="31:33" ht="105" customHeight="1">
      <c r="AE91" s="111"/>
      <c r="AF91" s="111"/>
      <c r="AG91" s="111"/>
    </row>
    <row r="92" spans="31:33" ht="105" customHeight="1">
      <c r="AE92" s="111"/>
      <c r="AF92" s="111"/>
      <c r="AG92" s="111"/>
    </row>
    <row r="93" spans="31:33" ht="105" customHeight="1">
      <c r="AE93" s="111"/>
      <c r="AF93" s="111"/>
      <c r="AG93" s="111"/>
    </row>
    <row r="94" spans="31:33" ht="105" customHeight="1">
      <c r="AE94" s="111"/>
      <c r="AF94" s="111"/>
      <c r="AG94" s="111"/>
    </row>
    <row r="95" spans="31:33" ht="105" customHeight="1">
      <c r="AE95" s="111"/>
      <c r="AF95" s="111"/>
      <c r="AG95" s="111"/>
    </row>
    <row r="96" spans="31:33" ht="105" customHeight="1">
      <c r="AE96" s="111"/>
      <c r="AF96" s="111"/>
      <c r="AG96" s="111"/>
    </row>
    <row r="97" spans="31:33" ht="105" customHeight="1">
      <c r="AE97" s="111"/>
      <c r="AF97" s="111"/>
      <c r="AG97" s="111"/>
    </row>
    <row r="98" spans="31:33" ht="105" customHeight="1">
      <c r="AE98" s="111"/>
      <c r="AF98" s="111"/>
      <c r="AG98" s="111"/>
    </row>
    <row r="99" spans="31:33" ht="105" customHeight="1">
      <c r="AE99" s="111"/>
      <c r="AF99" s="111"/>
      <c r="AG99" s="111"/>
    </row>
    <row r="100" spans="31:33" ht="105" customHeight="1">
      <c r="AE100" s="111"/>
      <c r="AF100" s="111"/>
      <c r="AG100" s="111"/>
    </row>
    <row r="101" spans="31:33" ht="105" customHeight="1">
      <c r="AE101" s="111"/>
      <c r="AF101" s="111"/>
      <c r="AG101" s="111"/>
    </row>
    <row r="102" spans="31:33" ht="105" customHeight="1">
      <c r="AE102" s="111"/>
      <c r="AF102" s="111"/>
      <c r="AG102" s="111"/>
    </row>
    <row r="103" spans="31:33" ht="105" customHeight="1">
      <c r="AE103" s="111"/>
      <c r="AF103" s="111"/>
      <c r="AG103" s="111"/>
    </row>
    <row r="104" spans="31:33" ht="105" customHeight="1">
      <c r="AE104" s="111"/>
      <c r="AF104" s="111"/>
      <c r="AG104" s="111"/>
    </row>
    <row r="105" spans="31:33" ht="105" customHeight="1">
      <c r="AE105" s="111"/>
      <c r="AF105" s="111"/>
      <c r="AG105" s="111"/>
    </row>
    <row r="106" spans="31:33" ht="105" customHeight="1">
      <c r="AE106" s="111"/>
      <c r="AF106" s="111"/>
      <c r="AG106" s="111"/>
    </row>
    <row r="107" spans="31:33" ht="105" customHeight="1">
      <c r="AE107" s="111"/>
      <c r="AF107" s="111"/>
      <c r="AG107" s="111"/>
    </row>
    <row r="108" spans="31:33" ht="105" customHeight="1">
      <c r="AE108" s="111"/>
      <c r="AF108" s="111"/>
      <c r="AG108" s="111"/>
    </row>
    <row r="109" spans="31:33" ht="105" customHeight="1">
      <c r="AE109" s="111"/>
      <c r="AF109" s="111"/>
      <c r="AG109" s="111"/>
    </row>
    <row r="110" spans="31:33" ht="105" customHeight="1">
      <c r="AE110" s="111"/>
      <c r="AF110" s="111"/>
      <c r="AG110" s="111"/>
    </row>
    <row r="111" ht="105" customHeight="1"/>
    <row r="112" ht="105" customHeight="1"/>
    <row r="113" ht="105" customHeight="1"/>
    <row r="114" ht="105" customHeight="1"/>
    <row r="115" ht="105" customHeight="1"/>
    <row r="116" ht="105" customHeight="1"/>
    <row r="117" ht="105" customHeight="1"/>
    <row r="118" ht="105" customHeight="1"/>
    <row r="119" ht="105" customHeight="1"/>
    <row r="120" ht="105" customHeight="1"/>
    <row r="121" ht="105" customHeight="1"/>
    <row r="122" ht="105" customHeight="1"/>
    <row r="123" ht="105" customHeight="1"/>
    <row r="124" ht="105" customHeight="1"/>
    <row r="125" ht="105" customHeight="1"/>
    <row r="126" ht="105" customHeight="1"/>
    <row r="127" ht="105" customHeight="1"/>
    <row r="128" ht="105" customHeight="1"/>
    <row r="129" ht="105" customHeight="1"/>
    <row r="130" ht="105" customHeight="1"/>
    <row r="131" ht="105" customHeight="1"/>
    <row r="132" ht="105" customHeight="1"/>
    <row r="133" ht="105" customHeight="1"/>
    <row r="134" ht="105" customHeight="1"/>
    <row r="135" ht="105" customHeight="1"/>
    <row r="136" ht="105" customHeight="1"/>
    <row r="137" ht="105" customHeight="1"/>
    <row r="138" ht="105" customHeight="1"/>
    <row r="139" ht="105" customHeight="1"/>
    <row r="140" ht="105" customHeight="1"/>
    <row r="141" ht="105" customHeight="1"/>
    <row r="142" ht="105" customHeight="1"/>
    <row r="143" ht="105" customHeight="1"/>
    <row r="144" ht="105" customHeight="1"/>
    <row r="145" ht="105" customHeight="1"/>
    <row r="146" ht="105" customHeight="1"/>
    <row r="147" ht="105" customHeight="1"/>
    <row r="148" ht="105" customHeight="1"/>
    <row r="149" ht="105" customHeight="1"/>
    <row r="150" ht="105" customHeight="1"/>
    <row r="151" ht="105" customHeight="1"/>
    <row r="152" ht="105" customHeight="1"/>
    <row r="153" ht="105" customHeight="1"/>
    <row r="154" ht="105" customHeight="1"/>
    <row r="155" ht="105" customHeight="1"/>
    <row r="156" ht="105" customHeight="1"/>
    <row r="157" ht="105" customHeight="1"/>
    <row r="158" ht="105" customHeight="1"/>
    <row r="159" ht="105" customHeight="1"/>
    <row r="160" ht="105" customHeight="1"/>
    <row r="161" ht="105" customHeight="1"/>
    <row r="162" ht="105" customHeight="1"/>
    <row r="163" ht="105" customHeight="1"/>
    <row r="164" ht="105" customHeight="1"/>
    <row r="165" ht="105" customHeight="1"/>
    <row r="166" ht="105" customHeight="1"/>
    <row r="167" ht="105" customHeight="1"/>
    <row r="168" ht="105" customHeight="1"/>
    <row r="169" ht="105" customHeight="1"/>
    <row r="170" ht="105" customHeight="1"/>
  </sheetData>
  <sheetProtection formatCells="0" formatRows="0" insertColumns="0" insertRows="0"/>
  <mergeCells count="74">
    <mergeCell ref="BA8:BA10"/>
    <mergeCell ref="AZ8:AZ10"/>
    <mergeCell ref="AY8:AY10"/>
    <mergeCell ref="AX8:AX10"/>
    <mergeCell ref="AW8:AW10"/>
    <mergeCell ref="C4:E4"/>
    <mergeCell ref="C5:E5"/>
    <mergeCell ref="F2:H2"/>
    <mergeCell ref="F3:H3"/>
    <mergeCell ref="F4:H4"/>
    <mergeCell ref="F5:H7"/>
    <mergeCell ref="A8:A10"/>
    <mergeCell ref="D8:D10"/>
    <mergeCell ref="E8:E10"/>
    <mergeCell ref="W8:W10"/>
    <mergeCell ref="X8:X10"/>
    <mergeCell ref="C8:C10"/>
    <mergeCell ref="S8:S10"/>
    <mergeCell ref="R8:R10"/>
    <mergeCell ref="O8:O10"/>
    <mergeCell ref="B8:B10"/>
    <mergeCell ref="F8:F10"/>
    <mergeCell ref="G8:G10"/>
    <mergeCell ref="J8:J10"/>
    <mergeCell ref="I8:I10"/>
    <mergeCell ref="H8:H10"/>
    <mergeCell ref="P8:P10"/>
    <mergeCell ref="K8:K10"/>
    <mergeCell ref="T8:T10"/>
    <mergeCell ref="AM8:AM10"/>
    <mergeCell ref="AK8:AK10"/>
    <mergeCell ref="U8:U10"/>
    <mergeCell ref="V8:V10"/>
    <mergeCell ref="Y8:Y10"/>
    <mergeCell ref="Z8:Z10"/>
    <mergeCell ref="AA8:AA10"/>
    <mergeCell ref="AB8:AB10"/>
    <mergeCell ref="AC8:AC10"/>
    <mergeCell ref="L8:L10"/>
    <mergeCell ref="N8:N10"/>
    <mergeCell ref="M8:M10"/>
    <mergeCell ref="Q8:Q10"/>
    <mergeCell ref="AI8:AI10"/>
    <mergeCell ref="AV8:AV10"/>
    <mergeCell ref="AD8:AD10"/>
    <mergeCell ref="AE8:AE10"/>
    <mergeCell ref="AF8:AF10"/>
    <mergeCell ref="AG8:AG10"/>
    <mergeCell ref="AH8:AH10"/>
    <mergeCell ref="AQ8:AQ10"/>
    <mergeCell ref="AR8:AR10"/>
    <mergeCell ref="AJ8:AJ10"/>
    <mergeCell ref="AU8:AU10"/>
    <mergeCell ref="AS8:AS10"/>
    <mergeCell ref="AT8:AT10"/>
    <mergeCell ref="AN8:AN10"/>
    <mergeCell ref="AO8:AO10"/>
    <mergeCell ref="AP8:AP10"/>
    <mergeCell ref="I7:O7"/>
    <mergeCell ref="P2:AK2"/>
    <mergeCell ref="P3:AK7"/>
    <mergeCell ref="A1:AK1"/>
    <mergeCell ref="I2:O2"/>
    <mergeCell ref="I3:O3"/>
    <mergeCell ref="I4:O4"/>
    <mergeCell ref="I5:O5"/>
    <mergeCell ref="I6:O6"/>
    <mergeCell ref="A6:E7"/>
    <mergeCell ref="A2:B2"/>
    <mergeCell ref="A3:B3"/>
    <mergeCell ref="A4:B4"/>
    <mergeCell ref="A5:B5"/>
    <mergeCell ref="C2:E2"/>
    <mergeCell ref="C3:E3"/>
  </mergeCells>
  <printOptions horizontalCentered="1"/>
  <pageMargins left="0.3" right="0.3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A1095-6B07-41C3-B27D-6E9E54D0E7BE}">
  <sheetPr codeName="Sheet7">
    <pageSetUpPr fitToPage="1"/>
  </sheetPr>
  <dimension ref="A1:H396"/>
  <sheetViews>
    <sheetView zoomScale="30" zoomScaleNormal="30" workbookViewId="0" topLeftCell="A2">
      <selection pane="topLeft" activeCell="A12" sqref="A12:XFD38"/>
    </sheetView>
  </sheetViews>
  <sheetFormatPr defaultColWidth="9.109375" defaultRowHeight="13.5"/>
  <cols>
    <col min="1" max="1" width="18" style="42" customWidth="1"/>
    <col min="2" max="2" width="50.2857142857143" style="42" customWidth="1"/>
    <col min="3" max="3" width="54" style="42" customWidth="1"/>
    <col min="4" max="4" width="53.4285714285714" style="42" customWidth="1"/>
    <col min="5" max="5" width="90.8571428571429" style="42" customWidth="1"/>
    <col min="6" max="6" width="40.1428571428571" style="42" bestFit="1" customWidth="1"/>
    <col min="7" max="7" width="30.4285714285714" customWidth="1"/>
    <col min="8" max="8" width="67.8571428571429" customWidth="1"/>
  </cols>
  <sheetData>
    <row r="1" spans="1:8" ht="113.25" customHeight="1">
      <c r="A1" s="183" t="s">
        <v>714</v>
      </c>
      <c r="B1" s="183"/>
      <c r="C1" s="183"/>
      <c r="D1" s="183"/>
      <c r="E1" s="183"/>
      <c r="F1" s="183"/>
      <c r="G1" s="183"/>
      <c r="H1" s="183"/>
    </row>
    <row r="2" spans="1:8" ht="83.25" customHeight="1">
      <c r="A2" s="184" t="s">
        <v>715</v>
      </c>
      <c r="B2" s="184"/>
      <c r="C2" s="184"/>
      <c r="D2" s="184"/>
      <c r="E2" s="184"/>
      <c r="F2" s="184"/>
      <c r="G2" s="184"/>
      <c r="H2" s="184"/>
    </row>
    <row r="3" spans="1:8" ht="60" customHeight="1">
      <c r="A3" s="185" t="s">
        <v>7</v>
      </c>
      <c r="B3" s="185"/>
      <c r="C3" s="158"/>
      <c r="D3" s="16" t="s">
        <v>118</v>
      </c>
      <c r="E3" s="134" t="str">
        <f>TRIM(Data!BF5)</f>
        <v>Symons, Dianne</v>
      </c>
      <c r="F3" s="186" t="s">
        <v>4</v>
      </c>
      <c r="G3" s="186"/>
      <c r="H3" s="186"/>
    </row>
    <row r="4" spans="1:8" ht="60" customHeight="1">
      <c r="A4" s="187" t="s">
        <v>144</v>
      </c>
      <c r="B4" s="187"/>
      <c r="C4" s="159" t="str">
        <f>TRIM(Data!BC5)</f>
        <v>12027</v>
      </c>
      <c r="D4" s="15" t="s">
        <v>8</v>
      </c>
      <c r="E4" s="135" t="str">
        <f>TRIM(Data!AX5)</f>
        <v>Curtains</v>
      </c>
      <c r="F4" s="188" t="str">
        <f>TRIM(Data!BG5)</f>
        <v/>
      </c>
      <c r="G4" s="188"/>
      <c r="H4" s="188"/>
    </row>
    <row r="5" spans="1:8" ht="60" customHeight="1">
      <c r="A5" s="189" t="s">
        <v>15</v>
      </c>
      <c r="B5" s="189"/>
      <c r="C5" s="159" t="str">
        <f>TRIM(Data!BD5)</f>
        <v>C</v>
      </c>
      <c r="D5" s="15" t="s">
        <v>137</v>
      </c>
      <c r="E5" s="135" t="str">
        <f>TRIM(Data!BA5)</f>
        <v>20/10/2026 12:00:00 AM</v>
      </c>
      <c r="F5" s="188"/>
      <c r="G5" s="188"/>
      <c r="H5" s="188"/>
    </row>
    <row r="6" spans="1:8" ht="60" customHeight="1">
      <c r="A6" s="190" t="s">
        <v>9</v>
      </c>
      <c r="B6" s="190"/>
      <c r="C6" s="136" t="str">
        <f>TRIM(Data!AY5)</f>
        <v>26/08/2026 12:00:00 AM</v>
      </c>
      <c r="D6" s="3" t="s">
        <v>12</v>
      </c>
      <c r="E6" s="134" t="str">
        <f>TRIM(Data!BF5)</f>
        <v>Symons, Dianne</v>
      </c>
      <c r="F6" s="188"/>
      <c r="G6" s="188"/>
      <c r="H6" s="188"/>
    </row>
    <row r="7" spans="1:8" ht="60" customHeight="1">
      <c r="A7" s="180" t="str">
        <f>TRIM(Data!CZ5)</f>
        <v>Retail Customer</v>
      </c>
      <c r="B7" s="180"/>
      <c r="C7" s="180"/>
      <c r="D7" s="3"/>
      <c r="E7" s="134" t="str">
        <f>CONCATENATE(Data!BH5," ",Data!BI5," ",Data!BJ5," ",Data!BK5," ",Data!BL5)</f>
        <v xml:space="preserve"> 210  Eddy Avenue </v>
      </c>
      <c r="F7" s="188"/>
      <c r="G7" s="188"/>
      <c r="H7" s="188"/>
    </row>
    <row r="8" spans="1:8" ht="60" customHeight="1">
      <c r="A8" s="180"/>
      <c r="B8" s="180"/>
      <c r="C8" s="180"/>
      <c r="D8" s="3"/>
      <c r="E8" s="134" t="str">
        <f>CONCATENATE(Data!BM5," ",Data!BN5," ",Data!BO5," ",Data!BP5)</f>
        <v>Mount Helen VIC 3350 Australia</v>
      </c>
      <c r="F8" s="188"/>
      <c r="G8" s="188"/>
      <c r="H8" s="188"/>
    </row>
    <row r="9" spans="1:8" ht="23.25" customHeight="1">
      <c r="A9" s="181" t="s">
        <v>143</v>
      </c>
      <c r="B9" s="182"/>
      <c r="C9" s="178" t="s">
        <v>716</v>
      </c>
      <c r="D9" s="178" t="s">
        <v>120</v>
      </c>
      <c r="E9" s="178" t="s">
        <v>717</v>
      </c>
      <c r="F9" s="178" t="s">
        <v>393</v>
      </c>
      <c r="G9" s="179" t="s">
        <v>718</v>
      </c>
      <c r="H9" s="179" t="s">
        <v>5</v>
      </c>
    </row>
    <row r="10" spans="1:8" ht="18.75" customHeight="1">
      <c r="A10" s="181"/>
      <c r="B10" s="182"/>
      <c r="C10" s="178"/>
      <c r="D10" s="178"/>
      <c r="E10" s="178"/>
      <c r="F10" s="178"/>
      <c r="G10" s="179"/>
      <c r="H10" s="179"/>
    </row>
    <row r="11" spans="1:8" ht="122.25" customHeight="1">
      <c r="A11" s="181"/>
      <c r="B11" s="182"/>
      <c r="C11" s="178"/>
      <c r="D11" s="178"/>
      <c r="E11" s="178"/>
      <c r="F11" s="178"/>
      <c r="G11" s="179"/>
      <c r="H11" s="179"/>
    </row>
    <row r="12" spans="1:8" s="111" customFormat="1" ht="270" customHeight="1">
      <c r="A12" s="137" t="str">
        <f>IF(E12="","",Data!AW11)</f>
        <v/>
      </c>
      <c r="B12" s="138" t="str">
        <f t="shared" si="0" ref="B12">IF(D12="","","Davidson's Blinds &amp; Shutters")</f>
        <v/>
      </c>
      <c r="C12" s="138" t="str">
        <f t="shared" si="1" ref="C12">IF(E12="","",$E$3)</f>
        <v/>
      </c>
      <c r="D12" s="139" t="str">
        <f>IF(E12="","",'Job Sheet'!B11)</f>
        <v/>
      </c>
      <c r="E12" s="138" t="str">
        <f>IF(OR(Data!BA11="",'Job Sheet'!AR11="",'Job Sheet'!O11="Not Required"),"",'Job Sheet'!AR11)</f>
        <v/>
      </c>
      <c r="F12" s="138" t="str">
        <f>IF(E12="","",IF(OR('Job Sheet'!L11="Centre Opening (Offset Split)",'Job Sheet'!L11="Centre Opening - Free Flowing (Offset Split)"),"Offset Split",CONCATENATE('Job Sheet'!AS11,"+",VLOOKUP('Job Sheet'!Q11,ReturnLookUp,3,FALSE))))</f>
        <v/>
      </c>
      <c r="G12" s="140" t="str">
        <f>IF(E12="","",IF(OR('Job Sheet'!I11="Matt Black Ink",'Job Sheet'!I11="Matt Black Ink"),"Matt Black Ink","White"))</f>
        <v/>
      </c>
      <c r="H12" s="140" t="str">
        <f>IF(E12="","",'Job Sheet'!AK11)</f>
        <v/>
      </c>
    </row>
    <row r="13" spans="1:8" s="111" customFormat="1" ht="270" customHeight="1">
      <c r="A13" s="137" t="str">
        <f>IF(E13="","",Data!AW12)</f>
        <v/>
      </c>
      <c r="B13" s="138" t="str">
        <f t="shared" si="2" ref="B13:B21">IF(D13="","","Davidson's Blinds &amp; Shutters")</f>
        <v/>
      </c>
      <c r="C13" s="138" t="str">
        <f t="shared" si="3" ref="C13:C21">IF(E13="","",$E$3)</f>
        <v/>
      </c>
      <c r="D13" s="139" t="str">
        <f>IF(E13="","",'Job Sheet'!B12)</f>
        <v/>
      </c>
      <c r="E13" s="138" t="str">
        <f>IF(OR(Data!BA12="",'Job Sheet'!AR12="",'Job Sheet'!O12="Not Required"),"",'Job Sheet'!AR12)</f>
        <v/>
      </c>
      <c r="F13" s="138" t="str">
        <f>IF(E13="","",IF(OR('Job Sheet'!L12="Centre Opening (Offset Split)",'Job Sheet'!L12="Centre Opening - Free Flowing (Offset Split)"),"Offset Split",CONCATENATE('Job Sheet'!AS12,"+",VLOOKUP('Job Sheet'!Q12,ReturnLookUp,3,FALSE))))</f>
        <v/>
      </c>
      <c r="G13" s="140" t="str">
        <f>IF(E13="","",IF(OR('Job Sheet'!I12="Matt Black Ink",'Job Sheet'!I12="Matt Black Ink"),"Matt Black Ink","White"))</f>
        <v/>
      </c>
      <c r="H13" s="140" t="str">
        <f>IF(E13="","",'Job Sheet'!AK12)</f>
        <v/>
      </c>
    </row>
    <row r="14" spans="1:8" s="111" customFormat="1" ht="270" customHeight="1">
      <c r="A14" s="137" t="str">
        <f>IF(E14="","",Data!AW13)</f>
        <v/>
      </c>
      <c r="B14" s="138" t="str">
        <f t="shared" si="2"/>
        <v/>
      </c>
      <c r="C14" s="138" t="str">
        <f t="shared" si="3"/>
        <v/>
      </c>
      <c r="D14" s="139" t="str">
        <f>IF(E14="","",'Job Sheet'!B13)</f>
        <v/>
      </c>
      <c r="E14" s="138" t="str">
        <f>IF(OR(Data!BA13="",'Job Sheet'!AR13="",'Job Sheet'!O13="Not Required"),"",'Job Sheet'!AR13)</f>
        <v/>
      </c>
      <c r="F14" s="138" t="str">
        <f>IF(E14="","",IF(OR('Job Sheet'!L13="Centre Opening (Offset Split)",'Job Sheet'!L13="Centre Opening - Free Flowing (Offset Split)"),"Offset Split",CONCATENATE('Job Sheet'!AS13,"+",VLOOKUP('Job Sheet'!Q13,ReturnLookUp,3,FALSE))))</f>
        <v/>
      </c>
      <c r="G14" s="140" t="str">
        <f>IF(E14="","",IF(OR('Job Sheet'!I13="Matt Black Ink",'Job Sheet'!I13="Matt Black Ink"),"Matt Black Ink","White"))</f>
        <v/>
      </c>
      <c r="H14" s="140" t="str">
        <f>IF(E14="","",'Job Sheet'!AK13)</f>
        <v/>
      </c>
    </row>
    <row r="15" spans="1:8" s="111" customFormat="1" ht="270" customHeight="1">
      <c r="A15" s="137" t="str">
        <f>IF(E15="","",Data!AW14)</f>
        <v/>
      </c>
      <c r="B15" s="138" t="str">
        <f t="shared" si="2"/>
        <v/>
      </c>
      <c r="C15" s="138" t="str">
        <f t="shared" si="3"/>
        <v/>
      </c>
      <c r="D15" s="139" t="str">
        <f>IF(E15="","",'Job Sheet'!B14)</f>
        <v/>
      </c>
      <c r="E15" s="138" t="str">
        <f>IF(OR(Data!BA14="",'Job Sheet'!AR14="",'Job Sheet'!O14="Not Required"),"",'Job Sheet'!AR14)</f>
        <v/>
      </c>
      <c r="F15" s="138" t="str">
        <f>IF(E15="","",IF(OR('Job Sheet'!L14="Centre Opening (Offset Split)",'Job Sheet'!L14="Centre Opening - Free Flowing (Offset Split)"),"Offset Split",CONCATENATE('Job Sheet'!AS14,"+",VLOOKUP('Job Sheet'!Q14,ReturnLookUp,3,FALSE))))</f>
        <v/>
      </c>
      <c r="G15" s="140" t="str">
        <f>IF(E15="","",IF(OR('Job Sheet'!I14="Matt Black Ink",'Job Sheet'!I14="Matt Black Ink"),"Matt Black Ink","White"))</f>
        <v/>
      </c>
      <c r="H15" s="140" t="str">
        <f>IF(E15="","",'Job Sheet'!AK14)</f>
        <v/>
      </c>
    </row>
    <row r="16" spans="1:8" s="111" customFormat="1" ht="270" customHeight="1">
      <c r="A16" s="137" t="str">
        <f>IF(E16="","",Data!AW15)</f>
        <v/>
      </c>
      <c r="B16" s="138" t="str">
        <f t="shared" si="2"/>
        <v/>
      </c>
      <c r="C16" s="138" t="str">
        <f t="shared" si="3"/>
        <v/>
      </c>
      <c r="D16" s="139" t="str">
        <f>IF(E16="","",'Job Sheet'!B15)</f>
        <v/>
      </c>
      <c r="E16" s="138" t="str">
        <f>IF(OR(Data!BA15="",'Job Sheet'!AR15="",'Job Sheet'!O15="Not Required"),"",'Job Sheet'!AR15)</f>
        <v/>
      </c>
      <c r="F16" s="138" t="str">
        <f>IF(E16="","",IF(OR('Job Sheet'!L15="Centre Opening (Offset Split)",'Job Sheet'!L15="Centre Opening - Free Flowing (Offset Split)"),"Offset Split",CONCATENATE('Job Sheet'!AS15,"+",VLOOKUP('Job Sheet'!Q15,ReturnLookUp,3,FALSE))))</f>
        <v/>
      </c>
      <c r="G16" s="140" t="str">
        <f>IF(E16="","",IF(OR('Job Sheet'!I15="Matt Black Ink",'Job Sheet'!I15="Matt Black Ink"),"Matt Black Ink","White"))</f>
        <v/>
      </c>
      <c r="H16" s="140" t="str">
        <f>IF(E16="","",'Job Sheet'!AK15)</f>
        <v/>
      </c>
    </row>
    <row r="17" spans="1:8" s="111" customFormat="1" ht="270" customHeight="1">
      <c r="A17" s="137" t="str">
        <f>IF(E17="","",Data!AW16)</f>
        <v/>
      </c>
      <c r="B17" s="138" t="str">
        <f t="shared" si="2"/>
        <v/>
      </c>
      <c r="C17" s="138" t="str">
        <f t="shared" si="3"/>
        <v/>
      </c>
      <c r="D17" s="139" t="str">
        <f>IF(E17="","",'Job Sheet'!B16)</f>
        <v/>
      </c>
      <c r="E17" s="138" t="str">
        <f>IF(OR(Data!BA16="",'Job Sheet'!AR16="",'Job Sheet'!O16="Not Required"),"",'Job Sheet'!AR16)</f>
        <v/>
      </c>
      <c r="F17" s="138" t="str">
        <f>IF(E17="","",IF(OR('Job Sheet'!L16="Centre Opening (Offset Split)",'Job Sheet'!L16="Centre Opening - Free Flowing (Offset Split)"),"Offset Split",CONCATENATE('Job Sheet'!AS16,"+",VLOOKUP('Job Sheet'!Q16,ReturnLookUp,3,FALSE))))</f>
        <v/>
      </c>
      <c r="G17" s="140" t="str">
        <f>IF(E17="","",IF(OR('Job Sheet'!I16="Matt Black Ink",'Job Sheet'!I16="Matt Black Ink"),"Matt Black Ink","White"))</f>
        <v/>
      </c>
      <c r="H17" s="140" t="str">
        <f>IF(E17="","",'Job Sheet'!AK16)</f>
        <v/>
      </c>
    </row>
    <row r="18" spans="1:8" s="111" customFormat="1" ht="270" customHeight="1">
      <c r="A18" s="137" t="str">
        <f>IF(E18="","",Data!AW17)</f>
        <v/>
      </c>
      <c r="B18" s="138" t="str">
        <f t="shared" si="2"/>
        <v/>
      </c>
      <c r="C18" s="138" t="str">
        <f t="shared" si="3"/>
        <v/>
      </c>
      <c r="D18" s="139" t="str">
        <f>IF(E18="","",'Job Sheet'!B17)</f>
        <v/>
      </c>
      <c r="E18" s="138" t="str">
        <f>IF(OR(Data!BA17="",'Job Sheet'!AR17="",'Job Sheet'!O17="Not Required"),"",'Job Sheet'!AR17)</f>
        <v/>
      </c>
      <c r="F18" s="138" t="str">
        <f>IF(E18="","",IF(OR('Job Sheet'!L17="Centre Opening (Offset Split)",'Job Sheet'!L17="Centre Opening - Free Flowing (Offset Split)"),"Offset Split",CONCATENATE('Job Sheet'!AS17,"+",VLOOKUP('Job Sheet'!Q17,ReturnLookUp,3,FALSE))))</f>
        <v/>
      </c>
      <c r="G18" s="140" t="str">
        <f>IF(E18="","",IF(OR('Job Sheet'!I17="Matt Black Ink",'Job Sheet'!I17="Matt Black Ink"),"Matt Black Ink","White"))</f>
        <v/>
      </c>
      <c r="H18" s="140" t="str">
        <f>IF(E18="","",'Job Sheet'!AK17)</f>
        <v/>
      </c>
    </row>
    <row r="19" spans="1:8" s="111" customFormat="1" ht="270" customHeight="1">
      <c r="A19" s="137" t="str">
        <f>IF(E19="","",Data!AW18)</f>
        <v/>
      </c>
      <c r="B19" s="138" t="str">
        <f t="shared" si="2"/>
        <v/>
      </c>
      <c r="C19" s="138" t="str">
        <f t="shared" si="3"/>
        <v/>
      </c>
      <c r="D19" s="139" t="str">
        <f>IF(E19="","",'Job Sheet'!B18)</f>
        <v/>
      </c>
      <c r="E19" s="138" t="str">
        <f>IF(OR(Data!BA18="",'Job Sheet'!AR18="",'Job Sheet'!O18="Not Required"),"",'Job Sheet'!AR18)</f>
        <v/>
      </c>
      <c r="F19" s="138" t="str">
        <f>IF(E19="","",IF(OR('Job Sheet'!L18="Centre Opening (Offset Split)",'Job Sheet'!L18="Centre Opening - Free Flowing (Offset Split)"),"Offset Split",CONCATENATE('Job Sheet'!AS18,"+",VLOOKUP('Job Sheet'!Q18,ReturnLookUp,3,FALSE))))</f>
        <v/>
      </c>
      <c r="G19" s="140" t="str">
        <f>IF(E19="","",IF(OR('Job Sheet'!I18="Matt Black Ink",'Job Sheet'!I18="Matt Black Ink"),"Matt Black Ink","White"))</f>
        <v/>
      </c>
      <c r="H19" s="140" t="str">
        <f>IF(E19="","",'Job Sheet'!AK18)</f>
        <v/>
      </c>
    </row>
    <row r="20" spans="1:8" s="111" customFormat="1" ht="270" customHeight="1">
      <c r="A20" s="137" t="str">
        <f>IF(E20="","",Data!AW19)</f>
        <v/>
      </c>
      <c r="B20" s="138" t="str">
        <f t="shared" si="2"/>
        <v/>
      </c>
      <c r="C20" s="138" t="str">
        <f t="shared" si="3"/>
        <v/>
      </c>
      <c r="D20" s="139" t="str">
        <f>IF(E20="","",'Job Sheet'!B19)</f>
        <v/>
      </c>
      <c r="E20" s="138" t="str">
        <f>IF(OR(Data!BA19="",'Job Sheet'!AR19="",'Job Sheet'!O19="Not Required"),"",'Job Sheet'!AR19)</f>
        <v/>
      </c>
      <c r="F20" s="138" t="str">
        <f>IF(E20="","",IF(OR('Job Sheet'!L19="Centre Opening (Offset Split)",'Job Sheet'!L19="Centre Opening - Free Flowing (Offset Split)"),"Offset Split",CONCATENATE('Job Sheet'!AS19,"+",VLOOKUP('Job Sheet'!Q19,ReturnLookUp,3,FALSE))))</f>
        <v/>
      </c>
      <c r="G20" s="140" t="str">
        <f>IF(E20="","",IF(OR('Job Sheet'!I19="Matt Black Ink",'Job Sheet'!I19="Matt Black Ink"),"Matt Black Ink","White"))</f>
        <v/>
      </c>
      <c r="H20" s="140" t="str">
        <f>IF(E20="","",'Job Sheet'!AK19)</f>
        <v/>
      </c>
    </row>
    <row r="21" spans="1:8" s="111" customFormat="1" ht="270" customHeight="1">
      <c r="A21" s="137" t="str">
        <f>IF(E21="","",Data!AW20)</f>
        <v/>
      </c>
      <c r="B21" s="138" t="str">
        <f t="shared" si="2"/>
        <v/>
      </c>
      <c r="C21" s="138" t="str">
        <f t="shared" si="3"/>
        <v/>
      </c>
      <c r="D21" s="139" t="str">
        <f>IF(E21="","",'Job Sheet'!B20)</f>
        <v/>
      </c>
      <c r="E21" s="138" t="str">
        <f>IF(OR(Data!BA20="",'Job Sheet'!AR20="",'Job Sheet'!O20="Not Required"),"",'Job Sheet'!AR20)</f>
        <v/>
      </c>
      <c r="F21" s="138" t="str">
        <f>IF(E21="","",IF(OR('Job Sheet'!L20="Centre Opening (Offset Split)",'Job Sheet'!L20="Centre Opening - Free Flowing (Offset Split)"),"Offset Split",CONCATENATE('Job Sheet'!AS20,"+",VLOOKUP('Job Sheet'!Q20,ReturnLookUp,3,FALSE))))</f>
        <v/>
      </c>
      <c r="G21" s="140" t="str">
        <f>IF(E21="","",IF(OR('Job Sheet'!I20="Matt Black Ink",'Job Sheet'!I20="Matt Black Ink"),"Matt Black Ink","White"))</f>
        <v/>
      </c>
      <c r="H21" s="140" t="str">
        <f>IF(E21="","",'Job Sheet'!AK20)</f>
        <v/>
      </c>
    </row>
    <row r="22" spans="1:8" ht="270" customHeight="1">
      <c r="A22" s="141"/>
      <c r="B22" s="141"/>
      <c r="C22" s="141"/>
      <c r="D22" s="141"/>
      <c r="E22" s="141"/>
      <c r="F22" s="141"/>
      <c r="G22" s="142"/>
      <c r="H22" s="111"/>
    </row>
    <row r="23" spans="1:8" ht="270" customHeight="1">
      <c r="A23" s="141"/>
      <c r="B23" s="141"/>
      <c r="C23" s="141"/>
      <c r="D23" s="141"/>
      <c r="E23" s="141"/>
      <c r="F23" s="141"/>
      <c r="G23" s="142"/>
      <c r="H23" s="111"/>
    </row>
    <row r="24" spans="1:8" ht="270" customHeight="1">
      <c r="A24" s="141"/>
      <c r="B24" s="141"/>
      <c r="C24" s="141"/>
      <c r="D24" s="141"/>
      <c r="E24" s="141"/>
      <c r="F24" s="141"/>
      <c r="G24" s="142"/>
      <c r="H24" s="111"/>
    </row>
    <row r="25" spans="1:8" ht="270" customHeight="1">
      <c r="A25" s="141"/>
      <c r="B25" s="141"/>
      <c r="C25" s="141"/>
      <c r="D25" s="141"/>
      <c r="E25" s="141"/>
      <c r="F25" s="141"/>
      <c r="G25" s="142"/>
      <c r="H25" s="111"/>
    </row>
    <row r="26" spans="1:8" ht="270" customHeight="1">
      <c r="A26" s="141"/>
      <c r="B26" s="141"/>
      <c r="C26" s="141"/>
      <c r="D26" s="141"/>
      <c r="E26" s="141"/>
      <c r="F26" s="141"/>
      <c r="G26" s="142"/>
      <c r="H26" s="111"/>
    </row>
    <row r="27" spans="1:8" ht="270" customHeight="1">
      <c r="A27" s="141"/>
      <c r="B27" s="141"/>
      <c r="C27" s="141"/>
      <c r="D27" s="141"/>
      <c r="E27" s="141"/>
      <c r="F27" s="141"/>
      <c r="G27" s="142"/>
      <c r="H27" s="111"/>
    </row>
    <row r="28" spans="1:8" ht="270" customHeight="1">
      <c r="A28" s="141"/>
      <c r="B28" s="141"/>
      <c r="C28" s="141"/>
      <c r="D28" s="141"/>
      <c r="E28" s="141"/>
      <c r="F28" s="141"/>
      <c r="G28" s="142"/>
      <c r="H28" s="111"/>
    </row>
    <row r="29" spans="1:8" ht="270" customHeight="1">
      <c r="A29" s="141"/>
      <c r="B29" s="141"/>
      <c r="C29" s="141"/>
      <c r="D29" s="141"/>
      <c r="E29" s="141"/>
      <c r="F29" s="141"/>
      <c r="G29" s="142"/>
      <c r="H29" s="111"/>
    </row>
    <row r="30" spans="1:8" ht="270" customHeight="1">
      <c r="A30" s="141"/>
      <c r="B30" s="141"/>
      <c r="C30" s="141"/>
      <c r="D30" s="141"/>
      <c r="E30" s="141"/>
      <c r="F30" s="141"/>
      <c r="G30" s="142"/>
      <c r="H30" s="111"/>
    </row>
    <row r="31" spans="1:8" ht="270" customHeight="1">
      <c r="A31" s="141"/>
      <c r="B31" s="141"/>
      <c r="C31" s="141"/>
      <c r="D31" s="141"/>
      <c r="E31" s="141"/>
      <c r="F31" s="141"/>
      <c r="G31" s="142"/>
      <c r="H31" s="111"/>
    </row>
    <row r="32" spans="1:8" ht="270" customHeight="1">
      <c r="A32" s="141"/>
      <c r="B32" s="141"/>
      <c r="C32" s="141"/>
      <c r="D32" s="141"/>
      <c r="E32" s="141"/>
      <c r="F32" s="141"/>
      <c r="G32" s="142"/>
      <c r="H32" s="111"/>
    </row>
    <row r="33" spans="1:8" ht="270" customHeight="1">
      <c r="A33" s="141"/>
      <c r="B33" s="141"/>
      <c r="C33" s="141"/>
      <c r="D33" s="141"/>
      <c r="E33" s="141"/>
      <c r="F33" s="141"/>
      <c r="G33" s="142"/>
      <c r="H33" s="111"/>
    </row>
    <row r="34" spans="1:8" ht="270" customHeight="1">
      <c r="A34" s="141"/>
      <c r="B34" s="141"/>
      <c r="C34" s="141"/>
      <c r="D34" s="141"/>
      <c r="E34" s="141"/>
      <c r="F34" s="141"/>
      <c r="G34" s="142"/>
      <c r="H34" s="111"/>
    </row>
    <row r="35" spans="1:8" ht="270" customHeight="1">
      <c r="A35" s="141"/>
      <c r="B35" s="141"/>
      <c r="C35" s="141"/>
      <c r="D35" s="141"/>
      <c r="E35" s="141"/>
      <c r="F35" s="141"/>
      <c r="G35" s="142"/>
      <c r="H35" s="111"/>
    </row>
    <row r="36" spans="1:8" ht="270" customHeight="1">
      <c r="A36" s="141"/>
      <c r="B36" s="141"/>
      <c r="C36" s="141"/>
      <c r="D36" s="141"/>
      <c r="E36" s="141"/>
      <c r="F36" s="141"/>
      <c r="G36" s="142"/>
      <c r="H36" s="111"/>
    </row>
    <row r="37" spans="1:8" ht="270" customHeight="1">
      <c r="A37" s="141"/>
      <c r="B37" s="141"/>
      <c r="C37" s="141"/>
      <c r="D37" s="141"/>
      <c r="E37" s="141"/>
      <c r="F37" s="141"/>
      <c r="G37" s="142"/>
      <c r="H37" s="111"/>
    </row>
    <row r="38" spans="1:8" ht="270" customHeight="1">
      <c r="A38" s="141"/>
      <c r="B38" s="141"/>
      <c r="C38" s="141"/>
      <c r="D38" s="141"/>
      <c r="E38" s="141"/>
      <c r="F38" s="141"/>
      <c r="G38" s="142"/>
      <c r="H38" s="111"/>
    </row>
    <row r="39" spans="1:8" ht="60">
      <c r="A39" s="141"/>
      <c r="B39" s="141"/>
      <c r="C39" s="141"/>
      <c r="D39" s="141"/>
      <c r="E39" s="141"/>
      <c r="F39" s="141"/>
      <c r="G39" s="142"/>
      <c r="H39" s="111"/>
    </row>
    <row r="40" spans="1:8" ht="30">
      <c r="A40" s="143"/>
      <c r="B40" s="143"/>
      <c r="C40" s="143"/>
      <c r="D40" s="143"/>
      <c r="E40" s="143"/>
      <c r="F40" s="143"/>
      <c r="G40" s="111"/>
      <c r="H40" s="111"/>
    </row>
    <row r="41" spans="1:8" ht="30">
      <c r="A41" s="143"/>
      <c r="B41" s="143"/>
      <c r="C41" s="143"/>
      <c r="D41" s="143"/>
      <c r="E41" s="143"/>
      <c r="F41" s="143"/>
      <c r="G41" s="111"/>
      <c r="H41" s="111"/>
    </row>
    <row r="42" spans="1:8" ht="30">
      <c r="A42" s="143"/>
      <c r="B42" s="143"/>
      <c r="C42" s="143"/>
      <c r="D42" s="143"/>
      <c r="E42" s="143"/>
      <c r="F42" s="143"/>
      <c r="G42" s="111"/>
      <c r="H42" s="111"/>
    </row>
    <row r="43" spans="1:8" ht="30">
      <c r="A43" s="143"/>
      <c r="B43" s="143"/>
      <c r="C43" s="143"/>
      <c r="D43" s="143"/>
      <c r="E43" s="143"/>
      <c r="F43" s="143"/>
      <c r="G43" s="111"/>
      <c r="H43" s="111"/>
    </row>
    <row r="44" spans="1:8" ht="30">
      <c r="A44" s="143"/>
      <c r="B44" s="143"/>
      <c r="C44" s="143"/>
      <c r="D44" s="143"/>
      <c r="E44" s="143"/>
      <c r="F44" s="143"/>
      <c r="G44" s="111"/>
      <c r="H44" s="111"/>
    </row>
    <row r="45" spans="1:8" ht="30">
      <c r="A45" s="143"/>
      <c r="B45" s="143"/>
      <c r="C45" s="143"/>
      <c r="D45" s="143"/>
      <c r="E45" s="143"/>
      <c r="F45" s="143"/>
      <c r="G45" s="111"/>
      <c r="H45" s="111"/>
    </row>
    <row r="46" spans="1:8" ht="30">
      <c r="A46" s="143"/>
      <c r="B46" s="143"/>
      <c r="C46" s="143"/>
      <c r="D46" s="143"/>
      <c r="E46" s="143"/>
      <c r="F46" s="143"/>
      <c r="G46" s="111"/>
      <c r="H46" s="111"/>
    </row>
    <row r="47" spans="1:8" ht="30">
      <c r="A47" s="143"/>
      <c r="B47" s="143"/>
      <c r="C47" s="143"/>
      <c r="D47" s="143"/>
      <c r="E47" s="143"/>
      <c r="F47" s="143"/>
      <c r="G47" s="111"/>
      <c r="H47" s="111"/>
    </row>
    <row r="48" spans="1:8" ht="30">
      <c r="A48" s="143"/>
      <c r="B48" s="143"/>
      <c r="C48" s="143"/>
      <c r="D48" s="143"/>
      <c r="E48" s="143"/>
      <c r="F48" s="143"/>
      <c r="G48" s="111"/>
      <c r="H48" s="111"/>
    </row>
    <row r="49" spans="1:8" ht="30">
      <c r="A49" s="143"/>
      <c r="B49" s="143"/>
      <c r="C49" s="143"/>
      <c r="D49" s="143"/>
      <c r="E49" s="143"/>
      <c r="F49" s="143"/>
      <c r="G49" s="111"/>
      <c r="H49" s="111"/>
    </row>
    <row r="50" spans="1:8" ht="30">
      <c r="A50" s="143"/>
      <c r="B50" s="143"/>
      <c r="C50" s="143"/>
      <c r="D50" s="143"/>
      <c r="E50" s="143"/>
      <c r="F50" s="143"/>
      <c r="G50" s="111"/>
      <c r="H50" s="111"/>
    </row>
    <row r="51" spans="1:8" ht="30">
      <c r="A51" s="143"/>
      <c r="B51" s="143"/>
      <c r="C51" s="143"/>
      <c r="D51" s="143"/>
      <c r="E51" s="143"/>
      <c r="F51" s="143"/>
      <c r="G51" s="111"/>
      <c r="H51" s="111"/>
    </row>
    <row r="52" spans="1:8" ht="30">
      <c r="A52" s="143"/>
      <c r="B52" s="143"/>
      <c r="C52" s="143"/>
      <c r="D52" s="143"/>
      <c r="E52" s="143"/>
      <c r="F52" s="143"/>
      <c r="G52" s="111"/>
      <c r="H52" s="111"/>
    </row>
    <row r="53" spans="1:8" ht="30">
      <c r="A53" s="143"/>
      <c r="B53" s="143"/>
      <c r="C53" s="143"/>
      <c r="D53" s="143"/>
      <c r="E53" s="143"/>
      <c r="F53" s="143"/>
      <c r="G53" s="111"/>
      <c r="H53" s="111"/>
    </row>
    <row r="54" spans="1:8" ht="30">
      <c r="A54" s="143"/>
      <c r="B54" s="143"/>
      <c r="C54" s="143"/>
      <c r="D54" s="143"/>
      <c r="E54" s="143"/>
      <c r="F54" s="143"/>
      <c r="G54" s="111"/>
      <c r="H54" s="111"/>
    </row>
    <row r="55" spans="1:8" ht="30">
      <c r="A55" s="143"/>
      <c r="B55" s="143"/>
      <c r="C55" s="143"/>
      <c r="D55" s="143"/>
      <c r="E55" s="143"/>
      <c r="F55" s="143"/>
      <c r="G55" s="111"/>
      <c r="H55" s="111"/>
    </row>
    <row r="56" spans="1:8" ht="30">
      <c r="A56" s="143"/>
      <c r="B56" s="143"/>
      <c r="C56" s="143"/>
      <c r="D56" s="143"/>
      <c r="E56" s="143"/>
      <c r="F56" s="143"/>
      <c r="G56" s="111"/>
      <c r="H56" s="111"/>
    </row>
    <row r="57" spans="1:8" ht="30">
      <c r="A57" s="143"/>
      <c r="B57" s="143"/>
      <c r="C57" s="143"/>
      <c r="D57" s="143"/>
      <c r="E57" s="143"/>
      <c r="F57" s="143"/>
      <c r="G57" s="111"/>
      <c r="H57" s="111"/>
    </row>
    <row r="58" spans="1:8" ht="30">
      <c r="A58" s="143"/>
      <c r="B58" s="143"/>
      <c r="C58" s="143"/>
      <c r="D58" s="143"/>
      <c r="E58" s="143"/>
      <c r="F58" s="143"/>
      <c r="G58" s="111"/>
      <c r="H58" s="111"/>
    </row>
    <row r="59" spans="1:8" ht="30">
      <c r="A59" s="143"/>
      <c r="B59" s="143"/>
      <c r="C59" s="143"/>
      <c r="D59" s="143"/>
      <c r="E59" s="143"/>
      <c r="F59" s="143"/>
      <c r="G59" s="111"/>
      <c r="H59" s="111"/>
    </row>
    <row r="60" spans="1:8" ht="30">
      <c r="A60" s="143"/>
      <c r="B60" s="143"/>
      <c r="C60" s="143"/>
      <c r="D60" s="143"/>
      <c r="E60" s="143"/>
      <c r="F60" s="143"/>
      <c r="G60" s="111"/>
      <c r="H60" s="111"/>
    </row>
    <row r="61" spans="1:8" ht="30">
      <c r="A61" s="143"/>
      <c r="B61" s="143"/>
      <c r="C61" s="143"/>
      <c r="D61" s="143"/>
      <c r="E61" s="143"/>
      <c r="F61" s="143"/>
      <c r="G61" s="111"/>
      <c r="H61" s="111"/>
    </row>
    <row r="62" spans="1:8" ht="30">
      <c r="A62" s="143"/>
      <c r="B62" s="143"/>
      <c r="C62" s="143"/>
      <c r="D62" s="143"/>
      <c r="E62" s="143"/>
      <c r="F62" s="143"/>
      <c r="G62" s="111"/>
      <c r="H62" s="111"/>
    </row>
    <row r="63" spans="1:8" ht="30">
      <c r="A63" s="143"/>
      <c r="B63" s="143"/>
      <c r="C63" s="143"/>
      <c r="D63" s="143"/>
      <c r="E63" s="143"/>
      <c r="F63" s="143"/>
      <c r="G63" s="111"/>
      <c r="H63" s="111"/>
    </row>
    <row r="64" spans="1:8" ht="30">
      <c r="A64" s="143"/>
      <c r="B64" s="143"/>
      <c r="C64" s="143"/>
      <c r="D64" s="143"/>
      <c r="E64" s="143"/>
      <c r="F64" s="143"/>
      <c r="G64" s="111"/>
      <c r="H64" s="111"/>
    </row>
    <row r="65" spans="1:8" ht="30">
      <c r="A65" s="143"/>
      <c r="B65" s="143"/>
      <c r="C65" s="143"/>
      <c r="D65" s="143"/>
      <c r="E65" s="143"/>
      <c r="F65" s="143"/>
      <c r="G65" s="111"/>
      <c r="H65" s="111"/>
    </row>
    <row r="66" spans="1:8" ht="30">
      <c r="A66" s="143"/>
      <c r="B66" s="143"/>
      <c r="C66" s="143"/>
      <c r="D66" s="143"/>
      <c r="E66" s="143"/>
      <c r="F66" s="143"/>
      <c r="G66" s="111"/>
      <c r="H66" s="111"/>
    </row>
    <row r="67" spans="1:8" ht="30">
      <c r="A67" s="143"/>
      <c r="B67" s="143"/>
      <c r="C67" s="143"/>
      <c r="D67" s="143"/>
      <c r="E67" s="143"/>
      <c r="F67" s="143"/>
      <c r="G67" s="111"/>
      <c r="H67" s="111"/>
    </row>
    <row r="68" spans="1:8" ht="30">
      <c r="A68" s="143"/>
      <c r="B68" s="143"/>
      <c r="C68" s="143"/>
      <c r="D68" s="143"/>
      <c r="E68" s="143"/>
      <c r="F68" s="143"/>
      <c r="G68" s="111"/>
      <c r="H68" s="111"/>
    </row>
    <row r="69" spans="1:8" ht="30">
      <c r="A69" s="143"/>
      <c r="B69" s="143"/>
      <c r="C69" s="143"/>
      <c r="D69" s="143"/>
      <c r="E69" s="143"/>
      <c r="F69" s="143"/>
      <c r="G69" s="111"/>
      <c r="H69" s="111"/>
    </row>
    <row r="70" spans="1:8" ht="30">
      <c r="A70" s="143"/>
      <c r="B70" s="143"/>
      <c r="C70" s="143"/>
      <c r="D70" s="143"/>
      <c r="E70" s="143"/>
      <c r="F70" s="143"/>
      <c r="G70" s="111"/>
      <c r="H70" s="111"/>
    </row>
    <row r="71" spans="1:8" ht="30">
      <c r="A71" s="143"/>
      <c r="B71" s="143"/>
      <c r="C71" s="143"/>
      <c r="D71" s="143"/>
      <c r="E71" s="143"/>
      <c r="F71" s="143"/>
      <c r="G71" s="111"/>
      <c r="H71" s="111"/>
    </row>
    <row r="72" spans="1:8" ht="30">
      <c r="A72" s="143"/>
      <c r="B72" s="143"/>
      <c r="C72" s="143"/>
      <c r="D72" s="143"/>
      <c r="E72" s="143"/>
      <c r="F72" s="143"/>
      <c r="G72" s="111"/>
      <c r="H72" s="111"/>
    </row>
    <row r="73" spans="1:8" ht="30">
      <c r="A73" s="143"/>
      <c r="B73" s="143"/>
      <c r="C73" s="143"/>
      <c r="D73" s="143"/>
      <c r="E73" s="143"/>
      <c r="F73" s="143"/>
      <c r="G73" s="111"/>
      <c r="H73" s="111"/>
    </row>
    <row r="74" spans="1:8" ht="30">
      <c r="A74" s="143"/>
      <c r="B74" s="143"/>
      <c r="C74" s="143"/>
      <c r="D74" s="143"/>
      <c r="E74" s="143"/>
      <c r="F74" s="143"/>
      <c r="G74" s="111"/>
      <c r="H74" s="111"/>
    </row>
    <row r="75" spans="1:8" ht="30">
      <c r="A75" s="143"/>
      <c r="B75" s="143"/>
      <c r="C75" s="143"/>
      <c r="D75" s="143"/>
      <c r="E75" s="143"/>
      <c r="F75" s="143"/>
      <c r="G75" s="111"/>
      <c r="H75" s="111"/>
    </row>
    <row r="76" spans="1:8" ht="30">
      <c r="A76" s="143"/>
      <c r="B76" s="143"/>
      <c r="C76" s="143"/>
      <c r="D76" s="143"/>
      <c r="E76" s="143"/>
      <c r="F76" s="143"/>
      <c r="G76" s="111"/>
      <c r="H76" s="111"/>
    </row>
    <row r="77" spans="1:7" ht="30">
      <c r="A77" s="143"/>
      <c r="B77" s="143"/>
      <c r="C77" s="143"/>
      <c r="D77" s="143"/>
      <c r="E77" s="143"/>
      <c r="F77" s="143"/>
      <c r="G77" s="111"/>
    </row>
    <row r="89" spans="1:8" ht="13.2">
      <c r="A89"/>
      <c r="B89"/>
      <c r="C89"/>
      <c r="D89"/>
      <c r="E89"/>
      <c r="F89"/>
      <c r="H89" s="42"/>
    </row>
    <row r="90" spans="1:8" ht="13.2">
      <c r="A90"/>
      <c r="B90"/>
      <c r="C90"/>
      <c r="D90"/>
      <c r="E90"/>
      <c r="F90"/>
      <c r="H90" s="42"/>
    </row>
    <row r="91" spans="1:8" ht="13.2">
      <c r="A91"/>
      <c r="B91"/>
      <c r="C91"/>
      <c r="D91"/>
      <c r="E91"/>
      <c r="F91"/>
      <c r="H91" s="42"/>
    </row>
    <row r="92" spans="7:8" ht="13.2">
      <c r="G92" s="42"/>
      <c r="H92" s="42"/>
    </row>
    <row r="93" spans="7:8" ht="13.2">
      <c r="G93" s="42"/>
      <c r="H93" s="42"/>
    </row>
    <row r="94" spans="7:8" ht="13.2">
      <c r="G94" s="42"/>
      <c r="H94" s="42"/>
    </row>
    <row r="95" spans="7:8" ht="13.2">
      <c r="G95" s="42"/>
      <c r="H95" s="42"/>
    </row>
    <row r="96" spans="7:8" ht="13.2">
      <c r="G96" s="42"/>
      <c r="H96" s="42"/>
    </row>
    <row r="97" spans="7:8" ht="13.2">
      <c r="G97" s="42"/>
      <c r="H97" s="42"/>
    </row>
    <row r="98" spans="7:8" ht="13.2">
      <c r="G98" s="42"/>
      <c r="H98" s="42"/>
    </row>
    <row r="99" spans="7:8" ht="13.2">
      <c r="G99" s="42"/>
      <c r="H99" s="42"/>
    </row>
    <row r="100" spans="7:8" ht="13.2">
      <c r="G100" s="42"/>
      <c r="H100" s="42"/>
    </row>
    <row r="101" spans="7:8" ht="13.2">
      <c r="G101" s="42"/>
      <c r="H101" s="42"/>
    </row>
    <row r="102" spans="7:8" ht="13.2">
      <c r="G102" s="42"/>
      <c r="H102" s="42"/>
    </row>
    <row r="103" spans="7:8" ht="13.2">
      <c r="G103" s="42"/>
      <c r="H103" s="42"/>
    </row>
    <row r="104" spans="7:8" ht="13.2">
      <c r="G104" s="42"/>
      <c r="H104" s="42"/>
    </row>
    <row r="105" spans="7:8" ht="13.2">
      <c r="G105" s="42"/>
      <c r="H105" s="42"/>
    </row>
    <row r="106" spans="7:8" ht="13.2">
      <c r="G106" s="42"/>
      <c r="H106" s="42"/>
    </row>
    <row r="107" spans="7:8" ht="13.2">
      <c r="G107" s="42"/>
      <c r="H107" s="42"/>
    </row>
    <row r="108" spans="7:8" ht="13.2">
      <c r="G108" s="42"/>
      <c r="H108" s="42"/>
    </row>
    <row r="109" spans="7:8" ht="13.2">
      <c r="G109" s="42"/>
      <c r="H109" s="42"/>
    </row>
    <row r="110" spans="7:8" ht="13.2">
      <c r="G110" s="42"/>
      <c r="H110" s="42"/>
    </row>
    <row r="111" spans="7:8" ht="13.2">
      <c r="G111" s="42"/>
      <c r="H111" s="42"/>
    </row>
    <row r="112" spans="7:8" ht="13.2">
      <c r="G112" s="42"/>
      <c r="H112" s="42"/>
    </row>
    <row r="113" spans="7:8" ht="13.2">
      <c r="G113" s="42"/>
      <c r="H113" s="42"/>
    </row>
    <row r="114" spans="7:8" ht="13.2">
      <c r="G114" s="42"/>
      <c r="H114" s="42"/>
    </row>
    <row r="115" spans="7:8" ht="13.2">
      <c r="G115" s="42"/>
      <c r="H115" s="42"/>
    </row>
    <row r="116" spans="7:8" ht="13.2">
      <c r="G116" s="42"/>
      <c r="H116" s="42"/>
    </row>
    <row r="117" spans="7:8" ht="13.2">
      <c r="G117" s="42"/>
      <c r="H117" s="42"/>
    </row>
    <row r="118" spans="7:8" ht="13.2">
      <c r="G118" s="42"/>
      <c r="H118" s="42"/>
    </row>
    <row r="119" spans="7:8" ht="13.2">
      <c r="G119" s="42"/>
      <c r="H119" s="42"/>
    </row>
    <row r="120" spans="7:8" ht="13.2">
      <c r="G120" s="42"/>
      <c r="H120" s="42"/>
    </row>
    <row r="121" spans="7:8" ht="13.2">
      <c r="G121" s="42"/>
      <c r="H121" s="42"/>
    </row>
    <row r="122" spans="7:8" ht="13.2">
      <c r="G122" s="42"/>
      <c r="H122" s="42"/>
    </row>
    <row r="123" spans="7:8" ht="13.2">
      <c r="G123" s="42"/>
      <c r="H123" s="42"/>
    </row>
    <row r="124" spans="7:8" ht="13.2">
      <c r="G124" s="42"/>
      <c r="H124" s="42"/>
    </row>
    <row r="125" spans="7:8" ht="13.2">
      <c r="G125" s="42"/>
      <c r="H125" s="42"/>
    </row>
    <row r="126" spans="7:8" ht="13.2">
      <c r="G126" s="42"/>
      <c r="H126" s="42"/>
    </row>
    <row r="127" spans="7:8" ht="13.2">
      <c r="G127" s="42"/>
      <c r="H127" s="42"/>
    </row>
    <row r="128" spans="7:8" ht="13.2">
      <c r="G128" s="42"/>
      <c r="H128" s="42"/>
    </row>
    <row r="129" spans="7:8" ht="13.2">
      <c r="G129" s="42"/>
      <c r="H129" s="42"/>
    </row>
    <row r="130" spans="7:8" ht="13.2">
      <c r="G130" s="42"/>
      <c r="H130" s="42"/>
    </row>
    <row r="131" spans="7:8" ht="13.2">
      <c r="G131" s="42"/>
      <c r="H131" s="42"/>
    </row>
    <row r="132" spans="7:8" ht="13.2">
      <c r="G132" s="42"/>
      <c r="H132" s="42"/>
    </row>
    <row r="133" spans="7:8" ht="13.2">
      <c r="G133" s="42"/>
      <c r="H133" s="42"/>
    </row>
    <row r="134" spans="7:8" ht="13.2">
      <c r="G134" s="42"/>
      <c r="H134" s="42"/>
    </row>
    <row r="135" spans="7:8" ht="13.2">
      <c r="G135" s="42"/>
      <c r="H135" s="42"/>
    </row>
    <row r="136" spans="7:8" ht="13.2">
      <c r="G136" s="42"/>
      <c r="H136" s="42"/>
    </row>
    <row r="137" spans="7:8" ht="13.2">
      <c r="G137" s="42"/>
      <c r="H137" s="42"/>
    </row>
    <row r="138" spans="7:8" ht="13.2">
      <c r="G138" s="42"/>
      <c r="H138" s="42"/>
    </row>
    <row r="139" spans="7:8" ht="13.2">
      <c r="G139" s="42"/>
      <c r="H139" s="42"/>
    </row>
    <row r="140" spans="7:8" ht="13.2">
      <c r="G140" s="42"/>
      <c r="H140" s="42"/>
    </row>
    <row r="141" spans="7:8" ht="13.2">
      <c r="G141" s="42"/>
      <c r="H141" s="42"/>
    </row>
    <row r="142" spans="7:8" ht="13.2">
      <c r="G142" s="42"/>
      <c r="H142" s="42"/>
    </row>
    <row r="143" spans="7:8" ht="13.2">
      <c r="G143" s="42"/>
      <c r="H143" s="42"/>
    </row>
    <row r="144" spans="7:8" ht="13.2">
      <c r="G144" s="42"/>
      <c r="H144" s="42"/>
    </row>
    <row r="145" spans="7:8" ht="13.2">
      <c r="G145" s="42"/>
      <c r="H145" s="42"/>
    </row>
    <row r="146" spans="7:8" ht="13.2">
      <c r="G146" s="42"/>
      <c r="H146" s="42"/>
    </row>
    <row r="147" spans="7:8" ht="13.2">
      <c r="G147" s="42"/>
      <c r="H147" s="42"/>
    </row>
    <row r="148" spans="7:8" ht="13.2">
      <c r="G148" s="42"/>
      <c r="H148" s="42"/>
    </row>
    <row r="149" spans="7:8" ht="13.2">
      <c r="G149" s="42"/>
      <c r="H149" s="42"/>
    </row>
    <row r="150" spans="7:8" ht="13.2">
      <c r="G150" s="42"/>
      <c r="H150" s="42"/>
    </row>
    <row r="151" spans="7:8" ht="13.2">
      <c r="G151" s="42"/>
      <c r="H151" s="42"/>
    </row>
    <row r="152" spans="7:8" ht="13.2">
      <c r="G152" s="42"/>
      <c r="H152" s="42"/>
    </row>
    <row r="153" spans="7:8" ht="13.2">
      <c r="G153" s="42"/>
      <c r="H153" s="42"/>
    </row>
    <row r="154" spans="7:8" ht="13.2">
      <c r="G154" s="42"/>
      <c r="H154" s="42"/>
    </row>
    <row r="155" spans="7:8" ht="13.2">
      <c r="G155" s="42"/>
      <c r="H155" s="42"/>
    </row>
    <row r="156" spans="7:8" ht="13.2">
      <c r="G156" s="42"/>
      <c r="H156" s="42"/>
    </row>
    <row r="157" spans="7:8" ht="13.2">
      <c r="G157" s="42"/>
      <c r="H157" s="42"/>
    </row>
    <row r="158" spans="7:8" ht="13.2">
      <c r="G158" s="42"/>
      <c r="H158" s="42"/>
    </row>
    <row r="159" spans="7:8" ht="13.2">
      <c r="G159" s="42"/>
      <c r="H159" s="42"/>
    </row>
    <row r="160" spans="7:8" ht="13.2">
      <c r="G160" s="42"/>
      <c r="H160" s="42"/>
    </row>
    <row r="161" spans="7:8" ht="13.2">
      <c r="G161" s="42"/>
      <c r="H161" s="42"/>
    </row>
    <row r="162" spans="7:8" ht="13.2">
      <c r="G162" s="42"/>
      <c r="H162" s="42"/>
    </row>
    <row r="163" spans="7:8" ht="13.2">
      <c r="G163" s="42"/>
      <c r="H163" s="42"/>
    </row>
    <row r="164" spans="7:8" ht="13.2">
      <c r="G164" s="42"/>
      <c r="H164" s="42"/>
    </row>
    <row r="165" spans="7:8" ht="13.2">
      <c r="G165" s="42"/>
      <c r="H165" s="42"/>
    </row>
    <row r="166" spans="7:8" ht="13.2">
      <c r="G166" s="42"/>
      <c r="H166" s="42"/>
    </row>
    <row r="167" spans="7:8" ht="13.2">
      <c r="G167" s="42"/>
      <c r="H167" s="42"/>
    </row>
    <row r="168" spans="7:8" ht="13.2">
      <c r="G168" s="42"/>
      <c r="H168" s="42"/>
    </row>
    <row r="169" spans="7:8" ht="13.2">
      <c r="G169" s="42"/>
      <c r="H169" s="42"/>
    </row>
    <row r="170" spans="7:8" ht="13.2">
      <c r="G170" s="42"/>
      <c r="H170" s="42"/>
    </row>
    <row r="171" spans="7:8" ht="13.2">
      <c r="G171" s="42"/>
      <c r="H171" s="42"/>
    </row>
    <row r="172" spans="7:8" ht="13.2">
      <c r="G172" s="42"/>
      <c r="H172" s="42"/>
    </row>
    <row r="173" spans="7:8" ht="13.2">
      <c r="G173" s="42"/>
      <c r="H173" s="42"/>
    </row>
    <row r="174" spans="7:8" ht="13.2">
      <c r="G174" s="42"/>
      <c r="H174" s="42"/>
    </row>
    <row r="175" spans="7:8" ht="13.2">
      <c r="G175" s="42"/>
      <c r="H175" s="42"/>
    </row>
    <row r="176" spans="7:8" ht="13.2">
      <c r="G176" s="42"/>
      <c r="H176" s="42"/>
    </row>
    <row r="177" spans="7:8" ht="13.2">
      <c r="G177" s="42"/>
      <c r="H177" s="42"/>
    </row>
    <row r="178" spans="7:8" ht="13.2">
      <c r="G178" s="42"/>
      <c r="H178" s="42"/>
    </row>
    <row r="179" spans="7:8" ht="13.2">
      <c r="G179" s="42"/>
      <c r="H179" s="42"/>
    </row>
    <row r="180" spans="7:8" ht="13.2">
      <c r="G180" s="42"/>
      <c r="H180" s="42"/>
    </row>
    <row r="181" spans="7:8" ht="13.2">
      <c r="G181" s="42"/>
      <c r="H181" s="42"/>
    </row>
    <row r="182" spans="7:8" ht="13.2">
      <c r="G182" s="42"/>
      <c r="H182" s="42"/>
    </row>
    <row r="183" spans="7:8" ht="13.2">
      <c r="G183" s="42"/>
      <c r="H183" s="42"/>
    </row>
    <row r="184" spans="7:8" ht="13.2">
      <c r="G184" s="42"/>
      <c r="H184" s="42"/>
    </row>
    <row r="185" spans="7:8" ht="13.2">
      <c r="G185" s="42"/>
      <c r="H185" s="42"/>
    </row>
    <row r="186" spans="7:8" ht="13.2">
      <c r="G186" s="42"/>
      <c r="H186" s="42"/>
    </row>
    <row r="187" spans="7:8" ht="13.2">
      <c r="G187" s="42"/>
      <c r="H187" s="42"/>
    </row>
    <row r="188" spans="7:8" ht="13.2">
      <c r="G188" s="42"/>
      <c r="H188" s="42"/>
    </row>
    <row r="189" spans="7:8" ht="13.2">
      <c r="G189" s="42"/>
      <c r="H189" s="42"/>
    </row>
    <row r="190" spans="7:8" ht="13.2">
      <c r="G190" s="42"/>
      <c r="H190" s="42"/>
    </row>
    <row r="191" spans="7:8" ht="13.2">
      <c r="G191" s="42"/>
      <c r="H191" s="42"/>
    </row>
    <row r="192" spans="7:8" ht="13.2">
      <c r="G192" s="42"/>
      <c r="H192" s="42"/>
    </row>
    <row r="193" spans="7:8" ht="13.2">
      <c r="G193" s="42"/>
      <c r="H193" s="42"/>
    </row>
    <row r="194" spans="7:8" ht="13.2">
      <c r="G194" s="42"/>
      <c r="H194" s="42"/>
    </row>
    <row r="195" spans="7:8" ht="13.2">
      <c r="G195" s="42"/>
      <c r="H195" s="42"/>
    </row>
    <row r="196" spans="7:8" ht="13.2">
      <c r="G196" s="42"/>
      <c r="H196" s="42"/>
    </row>
    <row r="197" spans="7:8" ht="13.2">
      <c r="G197" s="42"/>
      <c r="H197" s="42"/>
    </row>
    <row r="198" spans="7:8" ht="13.2">
      <c r="G198" s="42"/>
      <c r="H198" s="42"/>
    </row>
    <row r="199" spans="7:8" ht="13.2">
      <c r="G199" s="42"/>
      <c r="H199" s="42"/>
    </row>
    <row r="200" spans="7:8" ht="13.2">
      <c r="G200" s="42"/>
      <c r="H200" s="42"/>
    </row>
    <row r="201" spans="7:8" ht="13.2">
      <c r="G201" s="42"/>
      <c r="H201" s="42"/>
    </row>
    <row r="202" spans="7:8" ht="13.2">
      <c r="G202" s="42"/>
      <c r="H202" s="42"/>
    </row>
    <row r="203" spans="7:8" ht="13.2">
      <c r="G203" s="42"/>
      <c r="H203" s="42"/>
    </row>
    <row r="204" spans="7:8" ht="13.2">
      <c r="G204" s="42"/>
      <c r="H204" s="42"/>
    </row>
    <row r="205" spans="7:8" ht="13.2">
      <c r="G205" s="42"/>
      <c r="H205" s="42"/>
    </row>
    <row r="206" spans="7:8" ht="13.2">
      <c r="G206" s="42"/>
      <c r="H206" s="42"/>
    </row>
    <row r="207" spans="7:8" ht="13.2">
      <c r="G207" s="42"/>
      <c r="H207" s="42"/>
    </row>
    <row r="208" spans="7:8" ht="13.2">
      <c r="G208" s="42"/>
      <c r="H208" s="42"/>
    </row>
    <row r="209" spans="7:8" ht="13.2">
      <c r="G209" s="42"/>
      <c r="H209" s="42"/>
    </row>
    <row r="210" spans="7:8" ht="13.2">
      <c r="G210" s="42"/>
      <c r="H210" s="42"/>
    </row>
    <row r="211" spans="7:8" ht="13.2">
      <c r="G211" s="42"/>
      <c r="H211" s="42"/>
    </row>
    <row r="212" spans="7:8" ht="13.2">
      <c r="G212" s="42"/>
      <c r="H212" s="42"/>
    </row>
    <row r="213" spans="7:8" ht="13.2">
      <c r="G213" s="42"/>
      <c r="H213" s="42"/>
    </row>
    <row r="214" spans="7:8" ht="13.2">
      <c r="G214" s="42"/>
      <c r="H214" s="42"/>
    </row>
    <row r="215" spans="7:8" ht="13.2">
      <c r="G215" s="42"/>
      <c r="H215" s="42"/>
    </row>
    <row r="216" spans="7:8" ht="13.2">
      <c r="G216" s="42"/>
      <c r="H216" s="42"/>
    </row>
    <row r="217" spans="7:8" ht="13.2">
      <c r="G217" s="42"/>
      <c r="H217" s="42"/>
    </row>
    <row r="218" spans="7:8" ht="13.2">
      <c r="G218" s="42"/>
      <c r="H218" s="42"/>
    </row>
    <row r="219" spans="7:8" ht="13.2">
      <c r="G219" s="42"/>
      <c r="H219" s="42"/>
    </row>
    <row r="220" spans="7:8" ht="13.2">
      <c r="G220" s="42"/>
      <c r="H220" s="42"/>
    </row>
    <row r="221" spans="7:8" ht="13.2">
      <c r="G221" s="42"/>
      <c r="H221" s="42"/>
    </row>
    <row r="222" spans="7:8" ht="13.2">
      <c r="G222" s="42"/>
      <c r="H222" s="42"/>
    </row>
    <row r="223" spans="7:8" ht="13.2">
      <c r="G223" s="42"/>
      <c r="H223" s="42"/>
    </row>
    <row r="224" spans="7:8" ht="13.2">
      <c r="G224" s="42"/>
      <c r="H224" s="42"/>
    </row>
    <row r="225" spans="7:8" ht="13.2">
      <c r="G225" s="42"/>
      <c r="H225" s="42"/>
    </row>
    <row r="226" spans="7:8" ht="13.2">
      <c r="G226" s="42"/>
      <c r="H226" s="42"/>
    </row>
    <row r="227" spans="7:8" ht="13.2">
      <c r="G227" s="42"/>
      <c r="H227" s="42"/>
    </row>
    <row r="228" spans="7:8" ht="13.2">
      <c r="G228" s="42"/>
      <c r="H228" s="42"/>
    </row>
    <row r="229" spans="7:8" ht="13.2">
      <c r="G229" s="42"/>
      <c r="H229" s="42"/>
    </row>
    <row r="230" spans="7:8" ht="13.2">
      <c r="G230" s="42"/>
      <c r="H230" s="42"/>
    </row>
    <row r="231" spans="7:8" ht="13.2">
      <c r="G231" s="42"/>
      <c r="H231" s="42"/>
    </row>
    <row r="232" spans="7:8" ht="13.2">
      <c r="G232" s="42"/>
      <c r="H232" s="42"/>
    </row>
    <row r="233" spans="7:8" ht="13.2">
      <c r="G233" s="42"/>
      <c r="H233" s="42"/>
    </row>
    <row r="234" spans="7:8" ht="13.2">
      <c r="G234" s="42"/>
      <c r="H234" s="42"/>
    </row>
    <row r="235" spans="7:8" ht="13.2">
      <c r="G235" s="42"/>
      <c r="H235" s="42"/>
    </row>
    <row r="236" spans="7:8" ht="13.2">
      <c r="G236" s="42"/>
      <c r="H236" s="42"/>
    </row>
    <row r="237" spans="7:8" ht="13.2">
      <c r="G237" s="42"/>
      <c r="H237" s="42"/>
    </row>
    <row r="238" spans="7:8" ht="13.2">
      <c r="G238" s="42"/>
      <c r="H238" s="42"/>
    </row>
    <row r="239" spans="7:8" ht="13.2">
      <c r="G239" s="42"/>
      <c r="H239" s="42"/>
    </row>
    <row r="240" spans="7:8" ht="13.2">
      <c r="G240" s="42"/>
      <c r="H240" s="42"/>
    </row>
    <row r="241" spans="7:8" ht="13.2">
      <c r="G241" s="42"/>
      <c r="H241" s="42"/>
    </row>
    <row r="242" spans="7:8" ht="13.2">
      <c r="G242" s="42"/>
      <c r="H242" s="42"/>
    </row>
    <row r="243" spans="7:8" ht="13.2">
      <c r="G243" s="42"/>
      <c r="H243" s="42"/>
    </row>
    <row r="244" spans="7:8" ht="13.2">
      <c r="G244" s="42"/>
      <c r="H244" s="42"/>
    </row>
    <row r="245" spans="7:8" ht="13.2">
      <c r="G245" s="42"/>
      <c r="H245" s="42"/>
    </row>
    <row r="246" spans="7:8" ht="13.2">
      <c r="G246" s="42"/>
      <c r="H246" s="42"/>
    </row>
    <row r="247" spans="7:8" ht="13.2">
      <c r="G247" s="42"/>
      <c r="H247" s="42"/>
    </row>
    <row r="248" spans="7:8" ht="13.2">
      <c r="G248" s="42"/>
      <c r="H248" s="42"/>
    </row>
    <row r="249" spans="7:8" ht="13.2">
      <c r="G249" s="42"/>
      <c r="H249" s="42"/>
    </row>
    <row r="250" spans="7:8" ht="13.2">
      <c r="G250" s="42"/>
      <c r="H250" s="42"/>
    </row>
    <row r="251" spans="7:8" ht="13.2">
      <c r="G251" s="42"/>
      <c r="H251" s="42"/>
    </row>
    <row r="252" spans="7:8" ht="13.2">
      <c r="G252" s="42"/>
      <c r="H252" s="42"/>
    </row>
    <row r="253" spans="7:8" ht="13.2">
      <c r="G253" s="42"/>
      <c r="H253" s="42"/>
    </row>
    <row r="254" spans="7:8" ht="13.2">
      <c r="G254" s="42"/>
      <c r="H254" s="42"/>
    </row>
    <row r="255" spans="7:8" ht="13.2">
      <c r="G255" s="42"/>
      <c r="H255" s="42"/>
    </row>
    <row r="256" spans="7:8" ht="13.2">
      <c r="G256" s="42"/>
      <c r="H256" s="42"/>
    </row>
    <row r="257" spans="7:8" ht="13.2">
      <c r="G257" s="42"/>
      <c r="H257" s="42"/>
    </row>
    <row r="258" spans="7:8" ht="13.2">
      <c r="G258" s="42"/>
      <c r="H258" s="42"/>
    </row>
    <row r="259" spans="7:8" ht="13.2">
      <c r="G259" s="42"/>
      <c r="H259" s="42"/>
    </row>
    <row r="260" spans="7:8" ht="13.2">
      <c r="G260" s="42"/>
      <c r="H260" s="42"/>
    </row>
    <row r="261" spans="7:8" ht="13.2">
      <c r="G261" s="42"/>
      <c r="H261" s="42"/>
    </row>
    <row r="262" spans="7:8" ht="13.2">
      <c r="G262" s="42"/>
      <c r="H262" s="42"/>
    </row>
    <row r="263" spans="7:8" ht="13.2">
      <c r="G263" s="42"/>
      <c r="H263" s="42"/>
    </row>
    <row r="264" spans="7:8" ht="13.2">
      <c r="G264" s="42"/>
      <c r="H264" s="42"/>
    </row>
    <row r="265" spans="7:8" ht="13.2">
      <c r="G265" s="42"/>
      <c r="H265" s="42"/>
    </row>
    <row r="266" spans="7:8" ht="13.2">
      <c r="G266" s="42"/>
      <c r="H266" s="42"/>
    </row>
    <row r="267" spans="7:8" ht="13.2">
      <c r="G267" s="42"/>
      <c r="H267" s="42"/>
    </row>
    <row r="268" spans="7:8" ht="13.2">
      <c r="G268" s="42"/>
      <c r="H268" s="42"/>
    </row>
    <row r="269" spans="7:8" ht="13.2">
      <c r="G269" s="42"/>
      <c r="H269" s="42"/>
    </row>
    <row r="270" spans="7:8" ht="13.2">
      <c r="G270" s="42"/>
      <c r="H270" s="42"/>
    </row>
    <row r="271" spans="7:8" ht="13.2">
      <c r="G271" s="42"/>
      <c r="H271" s="42"/>
    </row>
    <row r="272" spans="7:8" ht="13.2">
      <c r="G272" s="42"/>
      <c r="H272" s="42"/>
    </row>
    <row r="273" spans="7:8" ht="13.2">
      <c r="G273" s="42"/>
      <c r="H273" s="42"/>
    </row>
    <row r="274" spans="7:8" ht="13.2">
      <c r="G274" s="42"/>
      <c r="H274" s="42"/>
    </row>
    <row r="275" spans="7:8" ht="13.2">
      <c r="G275" s="42"/>
      <c r="H275" s="42"/>
    </row>
    <row r="276" spans="7:8" ht="13.2">
      <c r="G276" s="42"/>
      <c r="H276" s="42"/>
    </row>
    <row r="277" spans="7:8" ht="13.2">
      <c r="G277" s="42"/>
      <c r="H277" s="42"/>
    </row>
    <row r="278" spans="7:8" ht="13.2">
      <c r="G278" s="42"/>
      <c r="H278" s="42"/>
    </row>
    <row r="279" spans="7:8" ht="13.2">
      <c r="G279" s="42"/>
      <c r="H279" s="42"/>
    </row>
    <row r="280" spans="7:8" ht="13.2">
      <c r="G280" s="42"/>
      <c r="H280" s="42"/>
    </row>
    <row r="281" spans="7:8" ht="13.2">
      <c r="G281" s="42"/>
      <c r="H281" s="42"/>
    </row>
    <row r="282" spans="7:8" ht="13.2">
      <c r="G282" s="42"/>
      <c r="H282" s="42"/>
    </row>
    <row r="283" spans="7:8" ht="13.2">
      <c r="G283" s="42"/>
      <c r="H283" s="42"/>
    </row>
    <row r="284" spans="7:8" ht="13.2">
      <c r="G284" s="42"/>
      <c r="H284" s="42"/>
    </row>
    <row r="285" spans="7:8" ht="13.2">
      <c r="G285" s="42"/>
      <c r="H285" s="42"/>
    </row>
    <row r="286" spans="7:8" ht="13.2">
      <c r="G286" s="42"/>
      <c r="H286" s="42"/>
    </row>
    <row r="287" spans="7:8" ht="13.2">
      <c r="G287" s="42"/>
      <c r="H287" s="42"/>
    </row>
    <row r="288" spans="7:8" ht="13.2">
      <c r="G288" s="42"/>
      <c r="H288" s="42"/>
    </row>
    <row r="289" spans="7:8" ht="13.2">
      <c r="G289" s="42"/>
      <c r="H289" s="42"/>
    </row>
    <row r="290" spans="7:8" ht="13.2">
      <c r="G290" s="42"/>
      <c r="H290" s="42"/>
    </row>
    <row r="291" spans="7:8" ht="13.2">
      <c r="G291" s="42"/>
      <c r="H291" s="42"/>
    </row>
    <row r="292" spans="7:8" ht="13.2">
      <c r="G292" s="42"/>
      <c r="H292" s="42"/>
    </row>
    <row r="293" spans="7:8" ht="13.2">
      <c r="G293" s="42"/>
      <c r="H293" s="42"/>
    </row>
    <row r="294" spans="7:8" ht="13.2">
      <c r="G294" s="42"/>
      <c r="H294" s="42"/>
    </row>
    <row r="295" spans="7:8" ht="13.2">
      <c r="G295" s="42"/>
      <c r="H295" s="42"/>
    </row>
    <row r="296" spans="7:8" ht="13.2">
      <c r="G296" s="42"/>
      <c r="H296" s="42"/>
    </row>
    <row r="297" spans="7:8" ht="13.2">
      <c r="G297" s="42"/>
      <c r="H297" s="42"/>
    </row>
    <row r="298" spans="7:8" ht="13.2">
      <c r="G298" s="42"/>
      <c r="H298" s="42"/>
    </row>
    <row r="299" spans="7:8" ht="13.2">
      <c r="G299" s="42"/>
      <c r="H299" s="42"/>
    </row>
    <row r="300" spans="7:8" ht="13.2">
      <c r="G300" s="42"/>
      <c r="H300" s="42"/>
    </row>
    <row r="301" spans="7:8" ht="13.2">
      <c r="G301" s="42"/>
      <c r="H301" s="42"/>
    </row>
    <row r="302" spans="7:8" ht="13.2">
      <c r="G302" s="42"/>
      <c r="H302" s="42"/>
    </row>
    <row r="303" spans="7:8" ht="13.2">
      <c r="G303" s="42"/>
      <c r="H303" s="42"/>
    </row>
    <row r="304" spans="7:8" ht="13.2">
      <c r="G304" s="42"/>
      <c r="H304" s="42"/>
    </row>
    <row r="305" spans="7:8" ht="13.2">
      <c r="G305" s="42"/>
      <c r="H305" s="42"/>
    </row>
    <row r="306" spans="7:8" ht="13.2">
      <c r="G306" s="42"/>
      <c r="H306" s="42"/>
    </row>
    <row r="307" spans="7:8" ht="13.2">
      <c r="G307" s="42"/>
      <c r="H307" s="42"/>
    </row>
    <row r="308" spans="7:8" ht="13.2">
      <c r="G308" s="42"/>
      <c r="H308" s="42"/>
    </row>
    <row r="309" spans="7:8" ht="13.2">
      <c r="G309" s="42"/>
      <c r="H309" s="42"/>
    </row>
    <row r="310" spans="7:8" ht="13.2">
      <c r="G310" s="42"/>
      <c r="H310" s="42"/>
    </row>
    <row r="311" spans="7:8" ht="13.2">
      <c r="G311" s="42"/>
      <c r="H311" s="42"/>
    </row>
    <row r="312" spans="7:8" ht="13.2">
      <c r="G312" s="42"/>
      <c r="H312" s="42"/>
    </row>
    <row r="313" spans="7:8" ht="13.2">
      <c r="G313" s="42"/>
      <c r="H313" s="42"/>
    </row>
    <row r="314" spans="7:8" ht="13.2">
      <c r="G314" s="42"/>
      <c r="H314" s="42"/>
    </row>
    <row r="315" spans="7:8" ht="13.2">
      <c r="G315" s="42"/>
      <c r="H315" s="42"/>
    </row>
    <row r="316" spans="7:8" ht="13.2">
      <c r="G316" s="42"/>
      <c r="H316" s="42"/>
    </row>
    <row r="317" spans="7:8" ht="13.2">
      <c r="G317" s="42"/>
      <c r="H317" s="42"/>
    </row>
    <row r="318" spans="7:8" ht="13.2">
      <c r="G318" s="42"/>
      <c r="H318" s="42"/>
    </row>
    <row r="319" spans="7:8" ht="13.2">
      <c r="G319" s="42"/>
      <c r="H319" s="42"/>
    </row>
    <row r="320" spans="7:8" ht="13.2">
      <c r="G320" s="42"/>
      <c r="H320" s="42"/>
    </row>
    <row r="321" spans="7:8" ht="13.2">
      <c r="G321" s="42"/>
      <c r="H321" s="42"/>
    </row>
    <row r="322" spans="7:8" ht="13.2">
      <c r="G322" s="42"/>
      <c r="H322" s="42"/>
    </row>
    <row r="323" spans="7:8" ht="13.2">
      <c r="G323" s="42"/>
      <c r="H323" s="42"/>
    </row>
    <row r="324" spans="7:8" ht="13.2">
      <c r="G324" s="42"/>
      <c r="H324" s="42"/>
    </row>
    <row r="325" spans="7:8" ht="13.2">
      <c r="G325" s="42"/>
      <c r="H325" s="42"/>
    </row>
    <row r="326" spans="7:8" ht="13.2">
      <c r="G326" s="42"/>
      <c r="H326" s="42"/>
    </row>
    <row r="327" spans="7:8" ht="13.2">
      <c r="G327" s="42"/>
      <c r="H327" s="42"/>
    </row>
    <row r="328" spans="7:8" ht="13.2">
      <c r="G328" s="42"/>
      <c r="H328" s="42"/>
    </row>
    <row r="329" spans="7:8" ht="13.2">
      <c r="G329" s="42"/>
      <c r="H329" s="42"/>
    </row>
    <row r="330" spans="7:8" ht="13.2">
      <c r="G330" s="42"/>
      <c r="H330" s="42"/>
    </row>
    <row r="331" spans="7:8" ht="13.2">
      <c r="G331" s="42"/>
      <c r="H331" s="42"/>
    </row>
    <row r="332" spans="7:8" ht="13.2">
      <c r="G332" s="42"/>
      <c r="H332" s="42"/>
    </row>
    <row r="333" spans="7:8" ht="13.2">
      <c r="G333" s="42"/>
      <c r="H333" s="42"/>
    </row>
    <row r="334" spans="7:8" ht="13.2">
      <c r="G334" s="42"/>
      <c r="H334" s="42"/>
    </row>
    <row r="335" spans="7:8" ht="13.2">
      <c r="G335" s="42"/>
      <c r="H335" s="42"/>
    </row>
    <row r="336" spans="7:8" ht="13.2">
      <c r="G336" s="42"/>
      <c r="H336" s="42"/>
    </row>
    <row r="337" spans="7:8" ht="13.2">
      <c r="G337" s="42"/>
      <c r="H337" s="42"/>
    </row>
    <row r="338" spans="7:8" ht="13.2">
      <c r="G338" s="42"/>
      <c r="H338" s="42"/>
    </row>
    <row r="339" spans="7:8" ht="13.2">
      <c r="G339" s="42"/>
      <c r="H339" s="42"/>
    </row>
    <row r="340" spans="7:8" ht="13.2">
      <c r="G340" s="42"/>
      <c r="H340" s="42"/>
    </row>
    <row r="341" spans="7:8" ht="13.2">
      <c r="G341" s="42"/>
      <c r="H341" s="42"/>
    </row>
    <row r="342" spans="7:8" ht="13.2">
      <c r="G342" s="42"/>
      <c r="H342" s="42"/>
    </row>
    <row r="343" spans="7:8" ht="13.2">
      <c r="G343" s="42"/>
      <c r="H343" s="42"/>
    </row>
    <row r="344" spans="7:8" ht="13.2">
      <c r="G344" s="42"/>
      <c r="H344" s="42"/>
    </row>
    <row r="345" spans="7:8" ht="13.2">
      <c r="G345" s="42"/>
      <c r="H345" s="42"/>
    </row>
    <row r="346" spans="7:8" ht="13.2">
      <c r="G346" s="42"/>
      <c r="H346" s="42"/>
    </row>
    <row r="347" spans="7:8" ht="13.2">
      <c r="G347" s="42"/>
      <c r="H347" s="42"/>
    </row>
    <row r="348" spans="7:8" ht="13.2">
      <c r="G348" s="42"/>
      <c r="H348" s="42"/>
    </row>
    <row r="349" spans="7:8" ht="13.2">
      <c r="G349" s="42"/>
      <c r="H349" s="42"/>
    </row>
    <row r="350" spans="7:8" ht="13.2">
      <c r="G350" s="42"/>
      <c r="H350" s="42"/>
    </row>
    <row r="351" spans="7:8" ht="13.2">
      <c r="G351" s="42"/>
      <c r="H351" s="42"/>
    </row>
    <row r="352" spans="7:8" ht="13.2">
      <c r="G352" s="42"/>
      <c r="H352" s="42"/>
    </row>
    <row r="353" spans="7:8" ht="13.2">
      <c r="G353" s="42"/>
      <c r="H353" s="42"/>
    </row>
    <row r="354" spans="7:8" ht="13.2">
      <c r="G354" s="42"/>
      <c r="H354" s="42"/>
    </row>
    <row r="355" spans="7:8" ht="13.2">
      <c r="G355" s="42"/>
      <c r="H355" s="42"/>
    </row>
    <row r="356" spans="7:8" ht="13.2">
      <c r="G356" s="42"/>
      <c r="H356" s="42"/>
    </row>
    <row r="357" spans="7:8" ht="13.2">
      <c r="G357" s="42"/>
      <c r="H357" s="42"/>
    </row>
    <row r="358" spans="7:8" ht="13.2">
      <c r="G358" s="42"/>
      <c r="H358" s="42"/>
    </row>
    <row r="359" spans="7:8" ht="13.2">
      <c r="G359" s="42"/>
      <c r="H359" s="42"/>
    </row>
    <row r="360" spans="7:8" ht="13.2">
      <c r="G360" s="42"/>
      <c r="H360" s="42"/>
    </row>
    <row r="361" spans="7:8" ht="13.2">
      <c r="G361" s="42"/>
      <c r="H361" s="42"/>
    </row>
    <row r="362" spans="7:8" ht="13.2">
      <c r="G362" s="42"/>
      <c r="H362" s="42"/>
    </row>
    <row r="363" spans="7:8" ht="13.2">
      <c r="G363" s="42"/>
      <c r="H363" s="42"/>
    </row>
    <row r="364" spans="7:8" ht="13.2">
      <c r="G364" s="42"/>
      <c r="H364" s="42"/>
    </row>
    <row r="365" spans="7:8" ht="13.2">
      <c r="G365" s="42"/>
      <c r="H365" s="42"/>
    </row>
    <row r="366" spans="7:8" ht="13.2">
      <c r="G366" s="42"/>
      <c r="H366" s="42"/>
    </row>
    <row r="367" spans="7:8" ht="13.2">
      <c r="G367" s="42"/>
      <c r="H367" s="42"/>
    </row>
    <row r="368" spans="7:8" ht="13.2">
      <c r="G368" s="42"/>
      <c r="H368" s="42"/>
    </row>
    <row r="369" spans="7:8" ht="13.2">
      <c r="G369" s="42"/>
      <c r="H369" s="42"/>
    </row>
    <row r="370" spans="7:8" ht="13.2">
      <c r="G370" s="42"/>
      <c r="H370" s="42"/>
    </row>
    <row r="371" spans="7:8" ht="13.2">
      <c r="G371" s="42"/>
      <c r="H371" s="42"/>
    </row>
    <row r="372" spans="7:8" ht="13.2">
      <c r="G372" s="42"/>
      <c r="H372" s="42"/>
    </row>
    <row r="373" spans="7:8" ht="13.2">
      <c r="G373" s="42"/>
      <c r="H373" s="42"/>
    </row>
    <row r="374" spans="7:8" ht="13.2">
      <c r="G374" s="42"/>
      <c r="H374" s="42"/>
    </row>
    <row r="375" spans="7:8" ht="13.2">
      <c r="G375" s="42"/>
      <c r="H375" s="42"/>
    </row>
    <row r="376" spans="7:8" ht="13.2">
      <c r="G376" s="42"/>
      <c r="H376" s="42"/>
    </row>
    <row r="377" spans="7:8" ht="13.2">
      <c r="G377" s="42"/>
      <c r="H377" s="42"/>
    </row>
    <row r="378" spans="7:8" ht="13.2">
      <c r="G378" s="42"/>
      <c r="H378" s="42"/>
    </row>
    <row r="379" spans="7:8" ht="13.2">
      <c r="G379" s="42"/>
      <c r="H379" s="42"/>
    </row>
    <row r="380" spans="7:8" ht="13.2">
      <c r="G380" s="42"/>
      <c r="H380" s="42"/>
    </row>
    <row r="381" spans="7:8" ht="13.2">
      <c r="G381" s="42"/>
      <c r="H381" s="42"/>
    </row>
    <row r="382" spans="7:8" ht="13.2">
      <c r="G382" s="42"/>
      <c r="H382" s="42"/>
    </row>
    <row r="383" spans="7:8" ht="13.2">
      <c r="G383" s="42"/>
      <c r="H383" s="42"/>
    </row>
    <row r="384" spans="7:8" ht="13.2">
      <c r="G384" s="42"/>
      <c r="H384" s="42"/>
    </row>
    <row r="385" spans="7:8" ht="13.2">
      <c r="G385" s="42"/>
      <c r="H385" s="42"/>
    </row>
    <row r="386" spans="7:8" ht="13.2">
      <c r="G386" s="42"/>
      <c r="H386" s="42"/>
    </row>
    <row r="387" spans="7:8" ht="13.2">
      <c r="G387" s="42"/>
      <c r="H387" s="42"/>
    </row>
    <row r="388" spans="7:8" ht="13.2">
      <c r="G388" s="42"/>
      <c r="H388" s="42"/>
    </row>
    <row r="389" spans="7:8" ht="13.2">
      <c r="G389" s="42"/>
      <c r="H389" s="42"/>
    </row>
    <row r="390" spans="7:8" ht="13.2">
      <c r="G390" s="42"/>
      <c r="H390" s="42"/>
    </row>
    <row r="391" spans="7:8" ht="13.2">
      <c r="G391" s="42"/>
      <c r="H391" s="42"/>
    </row>
    <row r="392" spans="7:8" ht="13.2">
      <c r="G392" s="42"/>
      <c r="H392" s="42"/>
    </row>
    <row r="393" spans="7:8" ht="13.2">
      <c r="G393" s="42"/>
      <c r="H393" s="42"/>
    </row>
    <row r="394" spans="7:8" ht="13.2">
      <c r="G394" s="42"/>
      <c r="H394" s="42"/>
    </row>
    <row r="395" spans="7:8" ht="13.2">
      <c r="G395" s="42"/>
      <c r="H395" s="42"/>
    </row>
    <row r="396" ht="13.2">
      <c r="G396" s="42"/>
    </row>
  </sheetData>
  <mergeCells count="19">
    <mergeCell ref="A4:B4"/>
    <mergeCell ref="F4:H8"/>
    <mergeCell ref="A5:B5"/>
    <mergeCell ref="A6:B6"/>
    <mergeCell ref="D6:D8"/>
    <mergeCell ref="A1:H1"/>
    <mergeCell ref="A2:C2"/>
    <mergeCell ref="D2:H2"/>
    <mergeCell ref="A3:B3"/>
    <mergeCell ref="F3:H3"/>
    <mergeCell ref="F9:F11"/>
    <mergeCell ref="G9:G11"/>
    <mergeCell ref="H9:H11"/>
    <mergeCell ref="A7:C8"/>
    <mergeCell ref="A9:A11"/>
    <mergeCell ref="B9:B11"/>
    <mergeCell ref="C9:C11"/>
    <mergeCell ref="D9:D11"/>
    <mergeCell ref="E9:E11"/>
  </mergeCells>
  <pageMargins left="0.83779527559056" right="0.83779527559056" top="0.75" bottom="0.75" header="0.3" footer="0.3"/>
  <pageSetup fitToHeight="0" orientation="portrait" paperSize="9" scale="1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G35"/>
  <sheetViews>
    <sheetView showZeros="0" view="pageBreakPreview" zoomScale="40" zoomScaleNormal="40" zoomScaleSheetLayoutView="40" workbookViewId="0" topLeftCell="A1">
      <selection pane="topLeft" activeCell="A11" sqref="A11:XFD20"/>
    </sheetView>
  </sheetViews>
  <sheetFormatPr defaultColWidth="9.109375" defaultRowHeight="13.5"/>
  <cols>
    <col min="1" max="1" width="12.4285714285714" style="42" customWidth="1"/>
    <col min="2" max="2" width="47.8571428571429" style="42" customWidth="1"/>
    <col min="3" max="3" width="57.8571428571429" style="42" customWidth="1"/>
    <col min="4" max="4" width="75" style="42" customWidth="1"/>
    <col min="5" max="5" width="90.8571428571429" style="42" customWidth="1"/>
    <col min="6" max="6" width="101.571428571429" style="42" customWidth="1"/>
    <col min="7" max="7" width="18.1428571428571" customWidth="1"/>
  </cols>
  <sheetData>
    <row r="1" spans="1:7" ht="229.95" customHeight="1">
      <c r="A1" s="191" t="s">
        <v>178</v>
      </c>
      <c r="B1" s="191"/>
      <c r="C1" s="191"/>
      <c r="D1" s="191"/>
      <c r="E1" s="191"/>
      <c r="F1" s="191"/>
      <c r="G1" s="191"/>
    </row>
    <row r="2" spans="1:7" s="46" customFormat="1" ht="49.95" customHeight="1">
      <c r="A2" s="8" t="s">
        <v>7</v>
      </c>
      <c r="B2" s="8"/>
      <c r="C2" s="116"/>
      <c r="D2" s="16" t="s">
        <v>118</v>
      </c>
      <c r="E2" s="19" t="str">
        <f>Data!BF5</f>
        <v>Symons, Dianne</v>
      </c>
      <c r="F2" s="12" t="s">
        <v>4</v>
      </c>
      <c r="G2" s="12"/>
    </row>
    <row r="3" spans="1:7" s="46" customFormat="1" ht="49.95" customHeight="1">
      <c r="A3" s="7" t="s">
        <v>144</v>
      </c>
      <c r="B3" s="7"/>
      <c r="C3" s="117" t="str">
        <f>Data!BC5</f>
        <v>12027</v>
      </c>
      <c r="D3" s="15" t="s">
        <v>8</v>
      </c>
      <c r="E3" s="74" t="str">
        <f>Data!AX5</f>
        <v>Curtains</v>
      </c>
      <c r="F3" s="11" t="str">
        <f>TRIM(Data!BG5)</f>
        <v/>
      </c>
      <c r="G3" s="11"/>
    </row>
    <row r="4" spans="1:7" s="46" customFormat="1" ht="49.95" customHeight="1">
      <c r="A4" s="8" t="s">
        <v>15</v>
      </c>
      <c r="B4" s="8"/>
      <c r="C4" s="117" t="str">
        <f>Data!BD5</f>
        <v>C</v>
      </c>
      <c r="D4" s="15" t="s">
        <v>137</v>
      </c>
      <c r="E4" s="74" t="str">
        <f>Data!BA5</f>
        <v>20/10/2026 12:00:00 AM</v>
      </c>
      <c r="F4" s="11"/>
      <c r="G4" s="11"/>
    </row>
    <row r="5" spans="1:7" s="46" customFormat="1" ht="49.95" customHeight="1">
      <c r="A5" s="192" t="s">
        <v>9</v>
      </c>
      <c r="B5" s="192"/>
      <c r="C5" s="118" t="str">
        <f>Data!AY5</f>
        <v>26/08/2026 12:00:00 AM</v>
      </c>
      <c r="D5" s="3" t="s">
        <v>12</v>
      </c>
      <c r="E5" s="19" t="str">
        <f>TRIM(Data!BF5)</f>
        <v>Symons, Dianne</v>
      </c>
      <c r="F5" s="11"/>
      <c r="G5" s="11"/>
    </row>
    <row r="6" spans="1:7" s="46" customFormat="1" ht="49.95" customHeight="1">
      <c r="A6" s="9" t="str">
        <f>Data!CZ5</f>
        <v>Retail Customer</v>
      </c>
      <c r="B6" s="9"/>
      <c r="C6" s="9"/>
      <c r="D6" s="3"/>
      <c r="E6" s="19" t="str">
        <f>CONCATENATE(Data!BH5," ",Data!BI5," ",Data!BJ5," ",Data!BK5," ",Data!BL5)</f>
        <v xml:space="preserve"> 210  Eddy Avenue </v>
      </c>
      <c r="F6" s="11"/>
      <c r="G6" s="11"/>
    </row>
    <row r="7" spans="1:7" s="46" customFormat="1" ht="49.95" customHeight="1">
      <c r="A7" s="9"/>
      <c r="B7" s="9"/>
      <c r="C7" s="9"/>
      <c r="D7" s="3"/>
      <c r="E7" s="19" t="str">
        <f>CONCATENATE(Data!BM5," ",Data!BN5," ",Data!BO5," ",Data!BP5)</f>
        <v>Mount Helen VIC 3350 Australia</v>
      </c>
      <c r="F7" s="11"/>
      <c r="G7" s="11"/>
    </row>
    <row r="8" spans="1:7" s="46" customFormat="1" ht="23.25" customHeight="1">
      <c r="A8" s="194" t="s">
        <v>143</v>
      </c>
      <c r="B8" s="193" t="s">
        <v>120</v>
      </c>
      <c r="C8" s="193" t="s">
        <v>166</v>
      </c>
      <c r="D8" s="193" t="s">
        <v>194</v>
      </c>
      <c r="E8" s="193" t="s">
        <v>195</v>
      </c>
      <c r="F8" s="12" t="s">
        <v>5</v>
      </c>
      <c r="G8" s="12" t="s">
        <v>803</v>
      </c>
    </row>
    <row r="9" spans="1:7" s="46" customFormat="1" ht="18.75" customHeight="1">
      <c r="A9" s="194"/>
      <c r="B9" s="193"/>
      <c r="C9" s="193"/>
      <c r="D9" s="193"/>
      <c r="E9" s="193"/>
      <c r="F9" s="12"/>
      <c r="G9" s="12"/>
    </row>
    <row r="10" spans="1:7" s="46" customFormat="1" ht="66" customHeight="1">
      <c r="A10" s="194"/>
      <c r="B10" s="193"/>
      <c r="C10" s="193"/>
      <c r="D10" s="193"/>
      <c r="E10" s="193"/>
      <c r="F10" s="12"/>
      <c r="G10" s="12"/>
    </row>
    <row r="11" spans="1:7" s="46" customFormat="1" ht="60" customHeight="1">
      <c r="A11" s="119">
        <f>IF(C11="","",Data!AW11)</f>
        <v>5</v>
      </c>
      <c r="B11" s="18" t="str">
        <f>IF(C11="","",'Job Sheet'!B11)</f>
        <v>Bed 1</v>
      </c>
      <c r="C11" s="47">
        <f>IF(Data!BA11="","",IF('Job Sheet'!H11="No Track","",IF('Job Sheet'!H11="No Rod","",IF('Job Sheet'!AU11="Track from TBS","",IF('Job Sheet'!AU11="Track from Vanda","",IF(VLOOKUP(CONCATENATE('Job Sheet'!H11,'Job Sheet'!I11,'Job Sheet'!U11),TBSTracks,2,FALSE)="DBS to Make",'Job Sheet'!AU11))))))</f>
        <v>1780</v>
      </c>
      <c r="D11" s="47" t="str">
        <f>IF(C11="","",'Job Sheet'!H11)</f>
        <v>Streamline Cord Operation</v>
      </c>
      <c r="E11" s="47" t="str">
        <f>IF(C11="","",'Job Sheet'!I11)</f>
        <v>Birch White</v>
      </c>
      <c r="F11" s="41" t="str">
        <f>IF(C11="","",'Job Sheet'!AK11)</f>
        <v>20 x hooks 2071</v>
      </c>
      <c r="G11" s="156">
        <f>A11</f>
        <v>5</v>
      </c>
    </row>
    <row r="12" spans="1:7" s="46" customFormat="1" ht="60" customHeight="1">
      <c r="A12" s="119" t="str">
        <f>IF(C12="","",Data!AW12)</f>
        <v/>
      </c>
      <c r="B12" s="18" t="str">
        <f>IF(C12="","",'Job Sheet'!B12)</f>
        <v/>
      </c>
      <c r="C12" s="47" t="str">
        <f>IF(Data!BA12="","",IF('Job Sheet'!H12="No Track","",IF('Job Sheet'!H12="No Rod","",IF('Job Sheet'!AU12="Track from TBS","",IF('Job Sheet'!AU12="Track from Vanda","",IF(VLOOKUP(CONCATENATE('Job Sheet'!H12,'Job Sheet'!I12,'Job Sheet'!U12),TBSTracks,2,FALSE)="DBS to Make",'Job Sheet'!AU12))))))</f>
        <v/>
      </c>
      <c r="D12" s="47" t="str">
        <f>IF(C12="","",'Job Sheet'!H12)</f>
        <v/>
      </c>
      <c r="E12" s="47" t="str">
        <f>IF(C12="","",'Job Sheet'!I12)</f>
        <v/>
      </c>
      <c r="F12" s="41" t="str">
        <f>IF(C12="","",'Job Sheet'!AK12)</f>
        <v/>
      </c>
      <c r="G12" s="156" t="str">
        <f t="shared" si="0" ref="G12:G20">A12</f>
        <v/>
      </c>
    </row>
    <row r="13" spans="1:7" s="46" customFormat="1" ht="60" customHeight="1">
      <c r="A13" s="119" t="str">
        <f>IF(C13="","",Data!AW13)</f>
        <v/>
      </c>
      <c r="B13" s="18" t="str">
        <f>IF(C13="","",'Job Sheet'!B13)</f>
        <v/>
      </c>
      <c r="C13" s="47" t="str">
        <f>IF(Data!BA13="","",IF('Job Sheet'!H13="No Track","",IF('Job Sheet'!H13="No Rod","",IF('Job Sheet'!AU13="Track from TBS","",IF('Job Sheet'!AU13="Track from Vanda","",IF(VLOOKUP(CONCATENATE('Job Sheet'!H13,'Job Sheet'!I13,'Job Sheet'!U13),TBSTracks,2,FALSE)="DBS to Make",'Job Sheet'!AU13))))))</f>
        <v/>
      </c>
      <c r="D13" s="47" t="str">
        <f>IF(C13="","",'Job Sheet'!H13)</f>
        <v/>
      </c>
      <c r="E13" s="47" t="str">
        <f>IF(C13="","",'Job Sheet'!I13)</f>
        <v/>
      </c>
      <c r="F13" s="41" t="str">
        <f>IF(C13="","",'Job Sheet'!AK13)</f>
        <v/>
      </c>
      <c r="G13" s="156" t="str">
        <f t="shared" si="0"/>
        <v/>
      </c>
    </row>
    <row r="14" spans="1:7" s="46" customFormat="1" ht="60" customHeight="1">
      <c r="A14" s="119" t="str">
        <f>IF(C14="","",Data!AW14)</f>
        <v/>
      </c>
      <c r="B14" s="18" t="str">
        <f>IF(C14="","",'Job Sheet'!B14)</f>
        <v/>
      </c>
      <c r="C14" s="47" t="str">
        <f>IF(Data!BA14="","",IF('Job Sheet'!H14="No Track","",IF('Job Sheet'!H14="No Rod","",IF('Job Sheet'!AU14="Track from TBS","",IF('Job Sheet'!AU14="Track from Vanda","",IF(VLOOKUP(CONCATENATE('Job Sheet'!H14,'Job Sheet'!I14,'Job Sheet'!U14),TBSTracks,2,FALSE)="DBS to Make",'Job Sheet'!AU14))))))</f>
        <v/>
      </c>
      <c r="D14" s="47" t="str">
        <f>IF(C14="","",'Job Sheet'!H14)</f>
        <v/>
      </c>
      <c r="E14" s="47" t="str">
        <f>IF(C14="","",'Job Sheet'!I14)</f>
        <v/>
      </c>
      <c r="F14" s="41" t="str">
        <f>IF(C14="","",'Job Sheet'!AK14)</f>
        <v/>
      </c>
      <c r="G14" s="156" t="str">
        <f t="shared" si="0"/>
        <v/>
      </c>
    </row>
    <row r="15" spans="1:7" s="46" customFormat="1" ht="60" customHeight="1">
      <c r="A15" s="119" t="str">
        <f>IF(C15="","",Data!AW15)</f>
        <v/>
      </c>
      <c r="B15" s="18" t="str">
        <f>IF(C15="","",'Job Sheet'!B15)</f>
        <v/>
      </c>
      <c r="C15" s="47" t="str">
        <f>IF(Data!BA15="","",IF('Job Sheet'!H15="No Track","",IF('Job Sheet'!H15="No Rod","",IF('Job Sheet'!AU15="Track from TBS","",IF('Job Sheet'!AU15="Track from Vanda","",IF(VLOOKUP(CONCATENATE('Job Sheet'!H15,'Job Sheet'!I15,'Job Sheet'!U15),TBSTracks,2,FALSE)="DBS to Make",'Job Sheet'!AU15))))))</f>
        <v/>
      </c>
      <c r="D15" s="47" t="str">
        <f>IF(C15="","",'Job Sheet'!H15)</f>
        <v/>
      </c>
      <c r="E15" s="47" t="str">
        <f>IF(C15="","",'Job Sheet'!I15)</f>
        <v/>
      </c>
      <c r="F15" s="41" t="str">
        <f>IF(C15="","",'Job Sheet'!AK15)</f>
        <v/>
      </c>
      <c r="G15" s="156" t="str">
        <f t="shared" si="0"/>
        <v/>
      </c>
    </row>
    <row r="16" spans="1:7" s="46" customFormat="1" ht="60" customHeight="1">
      <c r="A16" s="119" t="str">
        <f>IF(C16="","",Data!AW16)</f>
        <v/>
      </c>
      <c r="B16" s="18" t="str">
        <f>IF(C16="","",'Job Sheet'!B16)</f>
        <v/>
      </c>
      <c r="C16" s="47" t="str">
        <f>IF(Data!BA16="","",IF('Job Sheet'!H16="No Track","",IF('Job Sheet'!H16="No Rod","",IF('Job Sheet'!AU16="Track from TBS","",IF('Job Sheet'!AU16="Track from Vanda","",IF(VLOOKUP(CONCATENATE('Job Sheet'!H16,'Job Sheet'!I16,'Job Sheet'!U16),TBSTracks,2,FALSE)="DBS to Make",'Job Sheet'!AU16))))))</f>
        <v/>
      </c>
      <c r="D16" s="47" t="str">
        <f>IF(C16="","",'Job Sheet'!H16)</f>
        <v/>
      </c>
      <c r="E16" s="47" t="str">
        <f>IF(C16="","",'Job Sheet'!I16)</f>
        <v/>
      </c>
      <c r="F16" s="41" t="str">
        <f>IF(C16="","",'Job Sheet'!AK16)</f>
        <v/>
      </c>
      <c r="G16" s="156" t="str">
        <f t="shared" si="0"/>
        <v/>
      </c>
    </row>
    <row r="17" spans="1:7" s="46" customFormat="1" ht="60" customHeight="1">
      <c r="A17" s="119" t="str">
        <f>IF(C17="","",Data!AW17)</f>
        <v/>
      </c>
      <c r="B17" s="18" t="str">
        <f>IF(C17="","",'Job Sheet'!B17)</f>
        <v/>
      </c>
      <c r="C17" s="47" t="str">
        <f>IF(Data!BA17="","",IF('Job Sheet'!H17="No Track","",IF('Job Sheet'!H17="No Rod","",IF('Job Sheet'!AU17="Track from TBS","",IF('Job Sheet'!AU17="Track from Vanda","",IF(VLOOKUP(CONCATENATE('Job Sheet'!H17,'Job Sheet'!I17,'Job Sheet'!U17),TBSTracks,2,FALSE)="DBS to Make",'Job Sheet'!AU17))))))</f>
        <v/>
      </c>
      <c r="D17" s="47" t="str">
        <f>IF(C17="","",'Job Sheet'!H17)</f>
        <v/>
      </c>
      <c r="E17" s="47" t="str">
        <f>IF(C17="","",'Job Sheet'!I17)</f>
        <v/>
      </c>
      <c r="F17" s="41" t="str">
        <f>IF(C17="","",'Job Sheet'!AK17)</f>
        <v/>
      </c>
      <c r="G17" s="156" t="str">
        <f t="shared" si="0"/>
        <v/>
      </c>
    </row>
    <row r="18" spans="1:7" s="46" customFormat="1" ht="60" customHeight="1">
      <c r="A18" s="119" t="str">
        <f>IF(C18="","",Data!AW18)</f>
        <v/>
      </c>
      <c r="B18" s="18" t="str">
        <f>IF(C18="","",'Job Sheet'!B18)</f>
        <v/>
      </c>
      <c r="C18" s="47" t="str">
        <f>IF(Data!BA18="","",IF('Job Sheet'!H18="No Track","",IF('Job Sheet'!H18="No Rod","",IF('Job Sheet'!AU18="Track from TBS","",IF('Job Sheet'!AU18="Track from Vanda","",IF(VLOOKUP(CONCATENATE('Job Sheet'!H18,'Job Sheet'!I18,'Job Sheet'!U18),TBSTracks,2,FALSE)="DBS to Make",'Job Sheet'!AU18))))))</f>
        <v/>
      </c>
      <c r="D18" s="47" t="str">
        <f>IF(C18="","",'Job Sheet'!H18)</f>
        <v/>
      </c>
      <c r="E18" s="47" t="str">
        <f>IF(C18="","",'Job Sheet'!I18)</f>
        <v/>
      </c>
      <c r="F18" s="41" t="str">
        <f>IF(C18="","",'Job Sheet'!AK18)</f>
        <v/>
      </c>
      <c r="G18" s="156" t="str">
        <f t="shared" si="0"/>
        <v/>
      </c>
    </row>
    <row r="19" spans="1:7" s="46" customFormat="1" ht="60" customHeight="1">
      <c r="A19" s="119" t="str">
        <f>IF(C19="","",Data!AW19)</f>
        <v/>
      </c>
      <c r="B19" s="18" t="str">
        <f>IF(C19="","",'Job Sheet'!B19)</f>
        <v/>
      </c>
      <c r="C19" s="47" t="str">
        <f>IF(Data!BA19="","",IF('Job Sheet'!H19="No Track","",IF('Job Sheet'!H19="No Rod","",IF('Job Sheet'!AU19="Track from TBS","",IF('Job Sheet'!AU19="Track from Vanda","",IF(VLOOKUP(CONCATENATE('Job Sheet'!H19,'Job Sheet'!I19,'Job Sheet'!U19),TBSTracks,2,FALSE)="DBS to Make",'Job Sheet'!AU19))))))</f>
        <v/>
      </c>
      <c r="D19" s="47" t="str">
        <f>IF(C19="","",'Job Sheet'!H19)</f>
        <v/>
      </c>
      <c r="E19" s="47" t="str">
        <f>IF(C19="","",'Job Sheet'!I19)</f>
        <v/>
      </c>
      <c r="F19" s="41" t="str">
        <f>IF(C19="","",'Job Sheet'!AK19)</f>
        <v/>
      </c>
      <c r="G19" s="156" t="str">
        <f t="shared" si="0"/>
        <v/>
      </c>
    </row>
    <row r="20" spans="1:7" s="46" customFormat="1" ht="60" customHeight="1">
      <c r="A20" s="119" t="str">
        <f>IF(C20="","",Data!AW20)</f>
        <v/>
      </c>
      <c r="B20" s="18" t="str">
        <f>IF(C20="","",'Job Sheet'!B20)</f>
        <v/>
      </c>
      <c r="C20" s="47" t="str">
        <f>IF(Data!BA20="","",IF('Job Sheet'!H20="No Track","",IF('Job Sheet'!H20="No Rod","",IF('Job Sheet'!AU20="Track from TBS","",IF('Job Sheet'!AU20="Track from Vanda","",IF(VLOOKUP(CONCATENATE('Job Sheet'!H20,'Job Sheet'!I20,'Job Sheet'!U20),TBSTracks,2,FALSE)="DBS to Make",'Job Sheet'!AU20))))))</f>
        <v/>
      </c>
      <c r="D20" s="47" t="str">
        <f>IF(C20="","",'Job Sheet'!H20)</f>
        <v/>
      </c>
      <c r="E20" s="47" t="str">
        <f>IF(C20="","",'Job Sheet'!I20)</f>
        <v/>
      </c>
      <c r="F20" s="41" t="str">
        <f>IF(C20="","",'Job Sheet'!AK20)</f>
        <v/>
      </c>
      <c r="G20" s="156" t="str">
        <f t="shared" si="0"/>
        <v/>
      </c>
    </row>
    <row r="21" spans="1:6" s="46" customFormat="1" ht="60" customHeight="1">
      <c r="A21" s="64"/>
      <c r="B21" s="63"/>
      <c r="C21" s="65"/>
      <c r="D21" s="65"/>
      <c r="E21" s="65"/>
      <c r="F21" s="66"/>
    </row>
    <row r="22" spans="1:6" s="46" customFormat="1" ht="60" customHeight="1">
      <c r="A22" s="64"/>
      <c r="B22" s="63"/>
      <c r="C22" s="65"/>
      <c r="D22" s="65"/>
      <c r="E22" s="65"/>
      <c r="F22" s="66"/>
    </row>
    <row r="23" spans="1:6" s="46" customFormat="1" ht="60" customHeight="1">
      <c r="A23" s="64"/>
      <c r="B23" s="63"/>
      <c r="C23" s="65"/>
      <c r="D23" s="65"/>
      <c r="E23" s="65"/>
      <c r="F23" s="66"/>
    </row>
    <row r="24" spans="1:6" s="46" customFormat="1" ht="60" customHeight="1">
      <c r="A24" s="64"/>
      <c r="B24" s="63"/>
      <c r="C24" s="65"/>
      <c r="D24" s="65"/>
      <c r="E24" s="65"/>
      <c r="F24" s="66"/>
    </row>
    <row r="25" spans="1:6" s="46" customFormat="1" ht="60" customHeight="1">
      <c r="A25" s="64"/>
      <c r="B25" s="63"/>
      <c r="C25" s="65"/>
      <c r="D25" s="65"/>
      <c r="E25" s="65"/>
      <c r="F25" s="66"/>
    </row>
    <row r="26" spans="1:6" s="46" customFormat="1" ht="60" customHeight="1">
      <c r="A26" s="64"/>
      <c r="B26" s="63"/>
      <c r="C26" s="65"/>
      <c r="D26" s="65"/>
      <c r="E26" s="65"/>
      <c r="F26" s="66"/>
    </row>
    <row r="27" spans="1:6" s="46" customFormat="1" ht="60" customHeight="1">
      <c r="A27" s="64"/>
      <c r="B27" s="63"/>
      <c r="C27" s="65"/>
      <c r="D27" s="65"/>
      <c r="E27" s="65"/>
      <c r="F27" s="66"/>
    </row>
    <row r="28" spans="1:6" s="46" customFormat="1" ht="60" customHeight="1">
      <c r="A28" s="64"/>
      <c r="B28" s="63"/>
      <c r="C28" s="65"/>
      <c r="D28" s="65"/>
      <c r="E28" s="65"/>
      <c r="F28" s="66"/>
    </row>
    <row r="29" spans="1:6" s="46" customFormat="1" ht="60" customHeight="1">
      <c r="A29" s="64"/>
      <c r="B29" s="63"/>
      <c r="C29" s="65"/>
      <c r="D29" s="65"/>
      <c r="E29" s="65"/>
      <c r="F29" s="66"/>
    </row>
    <row r="30" spans="1:6" s="46" customFormat="1" ht="60" customHeight="1">
      <c r="A30" s="64"/>
      <c r="B30" s="63"/>
      <c r="C30" s="65"/>
      <c r="D30" s="65"/>
      <c r="E30" s="65"/>
      <c r="F30" s="66"/>
    </row>
    <row r="31" spans="1:6" s="46" customFormat="1" ht="60" customHeight="1">
      <c r="A31" s="64"/>
      <c r="B31" s="63"/>
      <c r="C31" s="65"/>
      <c r="D31" s="65"/>
      <c r="E31" s="65"/>
      <c r="F31" s="66"/>
    </row>
    <row r="32" spans="1:6" s="46" customFormat="1" ht="60" customHeight="1">
      <c r="A32" s="64"/>
      <c r="B32" s="63"/>
      <c r="C32" s="65"/>
      <c r="D32" s="65"/>
      <c r="E32" s="65"/>
      <c r="F32" s="66"/>
    </row>
    <row r="33" spans="1:6" s="46" customFormat="1" ht="60" customHeight="1">
      <c r="A33" s="64"/>
      <c r="B33" s="63"/>
      <c r="C33" s="65"/>
      <c r="D33" s="65"/>
      <c r="E33" s="65"/>
      <c r="F33" s="66"/>
    </row>
    <row r="34" spans="1:6" s="46" customFormat="1" ht="60" customHeight="1">
      <c r="A34" s="67"/>
      <c r="B34" s="67"/>
      <c r="C34" s="67"/>
      <c r="D34" s="67"/>
      <c r="E34" s="67"/>
      <c r="F34" s="67"/>
    </row>
    <row r="35" spans="1:6" s="46" customFormat="1" ht="60" customHeight="1">
      <c r="A35" s="67"/>
      <c r="B35" s="67"/>
      <c r="C35" s="67"/>
      <c r="D35" s="67"/>
      <c r="E35" s="67"/>
      <c r="F35" s="67"/>
    </row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  <row r="261" ht="50.1" customHeight="1"/>
    <row r="262" ht="50.1" customHeight="1"/>
    <row r="263" ht="50.1" customHeight="1"/>
    <row r="264" ht="50.1" customHeight="1"/>
    <row r="265" ht="50.1" customHeight="1"/>
    <row r="266" ht="50.1" customHeight="1"/>
    <row r="267" ht="50.1" customHeight="1"/>
    <row r="268" ht="50.1" customHeight="1"/>
    <row r="269" ht="50.1" customHeight="1"/>
    <row r="270" ht="50.1" customHeight="1"/>
    <row r="271" ht="50.1" customHeight="1"/>
    <row r="272" ht="50.1" customHeight="1"/>
    <row r="273" ht="50.1" customHeight="1"/>
    <row r="274" ht="50.1" customHeight="1"/>
    <row r="275" ht="50.1" customHeight="1"/>
    <row r="276" ht="50.1" customHeight="1"/>
    <row r="277" ht="50.1" customHeight="1"/>
    <row r="278" ht="50.1" customHeight="1"/>
    <row r="279" ht="50.1" customHeight="1"/>
    <row r="280" ht="50.1" customHeight="1"/>
    <row r="281" ht="50.1" customHeight="1"/>
    <row r="282" ht="50.1" customHeight="1"/>
    <row r="283" ht="50.1" customHeight="1"/>
    <row r="284" ht="50.1" customHeight="1"/>
    <row r="285" ht="50.1" customHeight="1"/>
    <row r="286" ht="50.1" customHeight="1"/>
    <row r="287" ht="50.1" customHeight="1"/>
    <row r="288" ht="50.1" customHeight="1"/>
    <row r="289" ht="50.1" customHeight="1"/>
    <row r="290" ht="50.1" customHeight="1"/>
    <row r="291" ht="50.1" customHeight="1"/>
    <row r="292" ht="50.1" customHeight="1"/>
    <row r="293" ht="50.1" customHeight="1"/>
    <row r="294" ht="50.1" customHeight="1"/>
    <row r="295" ht="50.1" customHeight="1"/>
    <row r="296" ht="50.1" customHeight="1"/>
    <row r="297" ht="50.1" customHeight="1"/>
    <row r="298" ht="50.1" customHeight="1"/>
    <row r="299" ht="50.1" customHeight="1"/>
    <row r="300" ht="50.1" customHeight="1"/>
    <row r="301" ht="50.1" customHeight="1"/>
    <row r="302" ht="50.1" customHeight="1"/>
    <row r="303" ht="50.1" customHeight="1"/>
    <row r="304" ht="50.1" customHeight="1"/>
    <row r="305" ht="50.1" customHeight="1"/>
    <row r="306" ht="50.1" customHeight="1"/>
    <row r="307" ht="50.1" customHeight="1"/>
    <row r="308" ht="50.1" customHeight="1"/>
    <row r="309" ht="50.1" customHeight="1"/>
    <row r="310" ht="50.1" customHeight="1"/>
    <row r="311" ht="50.1" customHeight="1"/>
    <row r="312" ht="50.1" customHeight="1"/>
    <row r="313" ht="50.1" customHeight="1"/>
    <row r="314" ht="50.1" customHeight="1"/>
    <row r="315" ht="50.1" customHeight="1"/>
    <row r="316" ht="50.1" customHeight="1"/>
    <row r="317" ht="50.1" customHeight="1"/>
    <row r="318" ht="50.1" customHeight="1"/>
    <row r="319" ht="50.1" customHeight="1"/>
    <row r="320" ht="50.1" customHeight="1"/>
    <row r="321" ht="50.1" customHeight="1"/>
    <row r="322" ht="50.1" customHeight="1"/>
    <row r="323" ht="50.1" customHeight="1"/>
    <row r="324" ht="50.1" customHeight="1"/>
    <row r="325" ht="50.1" customHeight="1"/>
    <row r="326" ht="50.1" customHeight="1"/>
    <row r="327" ht="50.1" customHeight="1"/>
    <row r="328" ht="50.1" customHeight="1"/>
    <row r="329" ht="50.1" customHeight="1"/>
    <row r="330" ht="50.1" customHeight="1"/>
    <row r="331" ht="50.1" customHeight="1"/>
    <row r="332" ht="50.1" customHeight="1"/>
    <row r="333" ht="50.1" customHeight="1"/>
    <row r="334" ht="50.1" customHeight="1"/>
    <row r="335" ht="50.1" customHeight="1"/>
    <row r="336" ht="50.1" customHeight="1"/>
    <row r="337" ht="50.1" customHeight="1"/>
    <row r="338" ht="50.1" customHeight="1"/>
    <row r="339" ht="50.1" customHeight="1"/>
    <row r="340" ht="50.1" customHeight="1"/>
    <row r="341" ht="50.1" customHeight="1"/>
    <row r="342" ht="50.1" customHeight="1"/>
    <row r="343" ht="50.1" customHeight="1"/>
    <row r="344" ht="50.1" customHeight="1"/>
    <row r="345" ht="50.1" customHeight="1"/>
    <row r="346" ht="50.1" customHeight="1"/>
    <row r="347" ht="50.1" customHeight="1"/>
    <row r="348" ht="50.1" customHeight="1"/>
    <row r="349" ht="50.1" customHeight="1"/>
    <row r="350" ht="50.1" customHeight="1"/>
    <row r="351" ht="50.1" customHeight="1"/>
    <row r="352" ht="50.1" customHeight="1"/>
    <row r="353" ht="50.1" customHeight="1"/>
    <row r="354" ht="50.1" customHeight="1"/>
    <row r="355" ht="50.1" customHeight="1"/>
    <row r="356" ht="50.1" customHeight="1"/>
    <row r="357" ht="50.1" customHeight="1"/>
    <row r="358" ht="50.1" customHeight="1"/>
    <row r="359" ht="50.1" customHeight="1"/>
    <row r="360" ht="50.1" customHeight="1"/>
    <row r="361" ht="50.1" customHeight="1"/>
    <row r="362" ht="50.1" customHeight="1"/>
    <row r="363" ht="50.1" customHeight="1"/>
    <row r="364" ht="50.1" customHeight="1"/>
    <row r="365" ht="50.1" customHeight="1"/>
    <row r="366" ht="50.1" customHeight="1"/>
    <row r="367" ht="50.1" customHeight="1"/>
    <row r="368" ht="50.1" customHeight="1"/>
    <row r="369" ht="50.1" customHeight="1"/>
    <row r="370" ht="50.1" customHeight="1"/>
    <row r="371" ht="50.1" customHeight="1"/>
    <row r="372" ht="50.1" customHeight="1"/>
    <row r="373" ht="50.1" customHeight="1"/>
    <row r="374" ht="50.1" customHeight="1"/>
    <row r="375" ht="50.1" customHeight="1"/>
    <row r="376" ht="50.1" customHeight="1"/>
    <row r="377" ht="50.1" customHeight="1"/>
    <row r="378" ht="50.1" customHeight="1"/>
    <row r="379" ht="50.1" customHeight="1"/>
    <row r="380" ht="50.1" customHeight="1"/>
    <row r="381" ht="50.1" customHeight="1"/>
    <row r="382" ht="50.1" customHeight="1"/>
    <row r="383" ht="50.1" customHeight="1"/>
    <row r="384" ht="50.1" customHeight="1"/>
    <row r="385" ht="50.1" customHeight="1"/>
    <row r="386" ht="50.1" customHeight="1"/>
    <row r="387" ht="50.1" customHeight="1"/>
    <row r="388" ht="50.1" customHeight="1"/>
    <row r="389" ht="50.1" customHeight="1"/>
    <row r="390" ht="50.1" customHeight="1"/>
    <row r="391" ht="50.1" customHeight="1"/>
    <row r="392" ht="50.1" customHeight="1"/>
    <row r="393" ht="50.1" customHeight="1"/>
    <row r="394" ht="50.1" customHeight="1"/>
    <row r="395" ht="50.1" customHeight="1"/>
    <row r="396" ht="50.1" customHeight="1"/>
    <row r="397" ht="50.1" customHeight="1"/>
    <row r="398" ht="50.1" customHeight="1"/>
    <row r="399" ht="50.1" customHeight="1"/>
    <row r="400" ht="50.1" customHeight="1"/>
    <row r="401" ht="50.1" customHeight="1"/>
    <row r="402" ht="50.1" customHeight="1"/>
    <row r="403" ht="50.1" customHeight="1"/>
    <row r="404" ht="50.1" customHeight="1"/>
    <row r="405" ht="50.1" customHeight="1"/>
    <row r="406" ht="50.1" customHeight="1"/>
    <row r="407" ht="50.1" customHeight="1"/>
    <row r="408" ht="50.1" customHeight="1"/>
    <row r="409" ht="50.1" customHeight="1"/>
    <row r="410" ht="50.1" customHeight="1"/>
    <row r="411" ht="50.1" customHeight="1"/>
    <row r="412" ht="50.1" customHeight="1"/>
    <row r="413" ht="50.1" customHeight="1"/>
    <row r="414" ht="50.1" customHeight="1"/>
    <row r="415" ht="50.1" customHeight="1"/>
    <row r="416" ht="50.1" customHeight="1"/>
  </sheetData>
  <mergeCells count="16">
    <mergeCell ref="G8:G10"/>
    <mergeCell ref="F3:G7"/>
    <mergeCell ref="F2:G2"/>
    <mergeCell ref="A1:G1"/>
    <mergeCell ref="A6:C7"/>
    <mergeCell ref="D5:D7"/>
    <mergeCell ref="A2:B2"/>
    <mergeCell ref="A3:B3"/>
    <mergeCell ref="A4:B4"/>
    <mergeCell ref="A5:B5"/>
    <mergeCell ref="F8:F10"/>
    <mergeCell ref="C8:C10"/>
    <mergeCell ref="A8:A10"/>
    <mergeCell ref="D8:D10"/>
    <mergeCell ref="B8:B10"/>
    <mergeCell ref="E8:E10"/>
  </mergeCells>
  <printOptions horizontalCentered="1"/>
  <pageMargins left="0.563779527559072" right="0.563779527559072" top="0.3" bottom="0.3" header="0.3" footer="0.3"/>
  <pageSetup fitToHeight="0" orientation="landscape" paperSize="9" scale="1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P20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11.4285714285714" style="42" customWidth="1"/>
    <col min="2" max="2" width="40.7142857142857" style="42" customWidth="1"/>
    <col min="3" max="3" width="58.1428571428571" style="42" customWidth="1"/>
    <col min="4" max="4" width="28.7142857142857" style="42" customWidth="1"/>
    <col min="5" max="5" width="26.7142857142857" style="42" customWidth="1"/>
    <col min="6" max="6" width="34.4285714285714" style="42" customWidth="1"/>
    <col min="7" max="7" width="19.2857142857143" style="42" customWidth="1"/>
    <col min="8" max="8" width="19.2857142857143" customWidth="1"/>
    <col min="9" max="9" width="18" customWidth="1"/>
    <col min="10" max="10" width="32.2857142857143" customWidth="1"/>
    <col min="11" max="14" width="22.7142857142857" customWidth="1"/>
    <col min="15" max="15" width="67.2857142857143" customWidth="1"/>
    <col min="16" max="16" width="20.2857142857143" customWidth="1"/>
  </cols>
  <sheetData>
    <row r="1" spans="1:16" s="29" customFormat="1" ht="219" customHeight="1">
      <c r="A1" s="197" t="s">
        <v>909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</row>
    <row r="2" spans="1:16" s="31" customFormat="1" ht="50.1" customHeight="1">
      <c r="A2" s="7" t="s">
        <v>7</v>
      </c>
      <c r="B2" s="7"/>
      <c r="C2" s="116"/>
      <c r="D2" s="4" t="s">
        <v>118</v>
      </c>
      <c r="E2" s="4"/>
      <c r="F2" s="13" t="str">
        <f>Data!BF5</f>
        <v>Symons, Dianne</v>
      </c>
      <c r="G2" s="13"/>
      <c r="H2" s="13"/>
      <c r="I2" s="13"/>
      <c r="J2" s="13"/>
      <c r="K2" s="12" t="s">
        <v>4</v>
      </c>
      <c r="L2" s="12"/>
      <c r="M2" s="12"/>
      <c r="N2" s="12"/>
      <c r="O2" s="12"/>
      <c r="P2" s="12"/>
    </row>
    <row r="3" spans="1:16" s="31" customFormat="1" ht="50.1" customHeight="1">
      <c r="A3" s="7" t="s">
        <v>144</v>
      </c>
      <c r="B3" s="7"/>
      <c r="C3" s="117" t="str">
        <f>Data!BC5</f>
        <v>12027</v>
      </c>
      <c r="D3" s="177" t="s">
        <v>8</v>
      </c>
      <c r="E3" s="177"/>
      <c r="F3" s="195" t="str">
        <f>Data!AX5</f>
        <v>Curtains</v>
      </c>
      <c r="G3" s="195"/>
      <c r="H3" s="195"/>
      <c r="I3" s="195"/>
      <c r="J3" s="195"/>
      <c r="K3" s="11" t="str">
        <f>TRIM(Data!BG5)</f>
        <v/>
      </c>
      <c r="L3" s="11"/>
      <c r="M3" s="11"/>
      <c r="N3" s="11"/>
      <c r="O3" s="11"/>
      <c r="P3" s="11"/>
    </row>
    <row r="4" spans="1:16" s="20" customFormat="1" ht="50.1" customHeight="1">
      <c r="A4" s="8" t="s">
        <v>15</v>
      </c>
      <c r="B4" s="8"/>
      <c r="C4" s="117" t="str">
        <f>Data!BD5</f>
        <v>C</v>
      </c>
      <c r="D4" s="177" t="s">
        <v>137</v>
      </c>
      <c r="E4" s="177"/>
      <c r="F4" s="195" t="str">
        <f>Data!BA5</f>
        <v>20/10/2026 12:00:00 AM</v>
      </c>
      <c r="G4" s="195"/>
      <c r="H4" s="195"/>
      <c r="I4" s="195"/>
      <c r="J4" s="195"/>
      <c r="K4" s="11"/>
      <c r="L4" s="11"/>
      <c r="M4" s="11"/>
      <c r="N4" s="11"/>
      <c r="O4" s="11"/>
      <c r="P4" s="11"/>
    </row>
    <row r="5" spans="1:16" s="20" customFormat="1" ht="50.1" customHeight="1">
      <c r="A5" s="192" t="s">
        <v>9</v>
      </c>
      <c r="B5" s="192"/>
      <c r="C5" s="118" t="str">
        <f>Data!AY5</f>
        <v>26/08/2026 12:00:00 AM</v>
      </c>
      <c r="D5" s="3" t="s">
        <v>12</v>
      </c>
      <c r="E5" s="3"/>
      <c r="F5" s="13" t="str">
        <f>TRIM(Data!BF5)</f>
        <v>Symons, Dianne</v>
      </c>
      <c r="G5" s="13"/>
      <c r="H5" s="13"/>
      <c r="I5" s="13"/>
      <c r="J5" s="13"/>
      <c r="K5" s="11"/>
      <c r="L5" s="11"/>
      <c r="M5" s="11"/>
      <c r="N5" s="11"/>
      <c r="O5" s="11"/>
      <c r="P5" s="11"/>
    </row>
    <row r="6" spans="1:16" s="20" customFormat="1" ht="50.1" customHeight="1">
      <c r="A6" s="9" t="str">
        <f>Data!CZ5</f>
        <v>Retail Customer</v>
      </c>
      <c r="B6" s="9"/>
      <c r="C6" s="9"/>
      <c r="D6" s="3"/>
      <c r="E6" s="3"/>
      <c r="F6" s="13" t="str">
        <f>CONCATENATE(Data!BH5," ",Data!BI5," ",Data!BJ5," ",Data!BK5," ",Data!BL5)</f>
        <v xml:space="preserve"> 210  Eddy Avenue </v>
      </c>
      <c r="G6" s="13"/>
      <c r="H6" s="13"/>
      <c r="I6" s="13"/>
      <c r="J6" s="13"/>
      <c r="K6" s="11"/>
      <c r="L6" s="11"/>
      <c r="M6" s="11"/>
      <c r="N6" s="11"/>
      <c r="O6" s="11"/>
      <c r="P6" s="11"/>
    </row>
    <row r="7" spans="1:16" s="20" customFormat="1" ht="50.1" customHeight="1">
      <c r="A7" s="9"/>
      <c r="B7" s="9"/>
      <c r="C7" s="9"/>
      <c r="D7" s="3"/>
      <c r="E7" s="3"/>
      <c r="F7" s="13" t="str">
        <f>CONCATENATE(Data!BM5," ",Data!BN5," ",Data!BO5," ",Data!BP5)</f>
        <v>Mount Helen VIC 3350 Australia</v>
      </c>
      <c r="G7" s="13"/>
      <c r="H7" s="13"/>
      <c r="I7" s="13"/>
      <c r="J7" s="13"/>
      <c r="K7" s="11"/>
      <c r="L7" s="11"/>
      <c r="M7" s="11"/>
      <c r="N7" s="11"/>
      <c r="O7" s="11"/>
      <c r="P7" s="11"/>
    </row>
    <row r="8" spans="1:16" s="43" customFormat="1" ht="50.1" customHeight="1">
      <c r="A8" s="194" t="s">
        <v>143</v>
      </c>
      <c r="B8" s="196" t="s">
        <v>120</v>
      </c>
      <c r="C8" s="198" t="s">
        <v>177</v>
      </c>
      <c r="D8" s="12" t="s">
        <v>142</v>
      </c>
      <c r="E8" s="198" t="s">
        <v>186</v>
      </c>
      <c r="F8" s="198" t="s">
        <v>168</v>
      </c>
      <c r="G8" s="196" t="s">
        <v>596</v>
      </c>
      <c r="H8" s="196" t="s">
        <v>597</v>
      </c>
      <c r="I8" s="193" t="s">
        <v>809</v>
      </c>
      <c r="J8" s="193" t="s">
        <v>904</v>
      </c>
      <c r="K8" s="182" t="s">
        <v>805</v>
      </c>
      <c r="L8" s="182" t="s">
        <v>806</v>
      </c>
      <c r="M8" s="182" t="s">
        <v>807</v>
      </c>
      <c r="N8" s="182" t="s">
        <v>808</v>
      </c>
      <c r="O8" s="12" t="s">
        <v>5</v>
      </c>
      <c r="P8" s="12" t="s">
        <v>803</v>
      </c>
    </row>
    <row r="9" spans="1:16" s="43" customFormat="1" ht="14.25" customHeight="1" hidden="1">
      <c r="A9" s="194"/>
      <c r="B9" s="196"/>
      <c r="C9" s="198"/>
      <c r="D9" s="12"/>
      <c r="E9" s="198"/>
      <c r="F9" s="198"/>
      <c r="G9" s="196"/>
      <c r="H9" s="196"/>
      <c r="I9" s="193"/>
      <c r="J9" s="193"/>
      <c r="K9" s="182"/>
      <c r="L9" s="182"/>
      <c r="M9" s="182"/>
      <c r="N9" s="182"/>
      <c r="O9" s="12"/>
      <c r="P9" s="12"/>
    </row>
    <row r="10" spans="1:16" s="44" customFormat="1" ht="92.25" customHeight="1">
      <c r="A10" s="194"/>
      <c r="B10" s="196"/>
      <c r="C10" s="198"/>
      <c r="D10" s="12"/>
      <c r="E10" s="198"/>
      <c r="F10" s="198"/>
      <c r="G10" s="196"/>
      <c r="H10" s="196"/>
      <c r="I10" s="193"/>
      <c r="J10" s="193"/>
      <c r="K10" s="182"/>
      <c r="L10" s="182"/>
      <c r="M10" s="182"/>
      <c r="N10" s="182"/>
      <c r="O10" s="12"/>
      <c r="P10" s="12"/>
    </row>
    <row r="11" spans="1:16" s="36" customFormat="1" ht="66">
      <c r="A11" s="119">
        <f>IF('Tube Cutting'!C11="","",Data!AW11)</f>
        <v>5</v>
      </c>
      <c r="B11" s="18" t="str">
        <f>IF('Tube Cutting'!C11="","",Data!AY11)</f>
        <v>Bed 1</v>
      </c>
      <c r="C11" s="146" t="str">
        <f>IF('Tube Cutting'!C11="","",'Job Sheet'!H11)</f>
        <v>Streamline Cord Operation</v>
      </c>
      <c r="D11" s="41" t="str">
        <f>IF('Tube Cutting'!C11="","",'Job Sheet'!K11)</f>
        <v>Right Cord</v>
      </c>
      <c r="E11" s="145" t="str">
        <f>IF('Tube Cutting'!C11="","",CONCATENATE('Job Sheet'!W11," ",'Job Sheet'!U11))</f>
        <v xml:space="preserve"> Straight</v>
      </c>
      <c r="F11" s="145" t="str">
        <f>IF('Tube Cutting'!C11="","",'Job Sheet'!L11)</f>
        <v>Centre Opening</v>
      </c>
      <c r="G11" s="72" t="str">
        <f>IF(OR(A11="",'Job Sheet'!M11=""),"",IF('Job Sheet'!E11="Opening",'Job Sheet'!M11-('Job Sheet'!AV11/2),'Job Sheet'!M11))</f>
        <v/>
      </c>
      <c r="H11" s="72" t="str">
        <f>IF(OR(A11="",'Job Sheet'!N11=""),"",IF('Job Sheet'!E11="Opening",'Job Sheet'!N11-('Job Sheet'!AV11/2),'Job Sheet'!N11))</f>
        <v/>
      </c>
      <c r="I11" s="72">
        <f>IF(OR('Tube Cutting'!C11="",Data!AV11="",'Job Sheet'!H11="Conduit",C11="29mm Rod"),"",IF(C11="SEM Streamline Hand Operation","9 Wheel Runners",IF('Job Sheet'!AS11&lt;&gt;"",'Job Sheet'!AS11,('Job Sheet'!G11/100)-1)))</f>
        <v>17.8</v>
      </c>
      <c r="J11" s="41" t="str">
        <f>IF(OR('Tube Cutting'!C11="",'Job Sheet'!T11="None"),"",'Job Sheet'!T11)</f>
        <v>150cm Cord Length</v>
      </c>
      <c r="K11" s="41" t="str">
        <f>IF(OR(A11="",'Job Sheet'!AM11=""),"",CONCATENATE('Job Sheet'!AM11," mm @ ",180-'Job Sheet'!Y11,"°"))</f>
        <v/>
      </c>
      <c r="L11" s="41" t="str">
        <f>IF(OR(A11="",'Job Sheet'!AN11=""),"",CONCATENATE('Job Sheet'!AN11," mm @ ",180-'Job Sheet'!AB11,"°"))</f>
        <v/>
      </c>
      <c r="M11" s="41" t="str">
        <f>IF(OR(A11="",'Job Sheet'!AO11=""),"",CONCATENATE('Job Sheet'!AO11," mm @ ",180-'Job Sheet'!AE11,"°"))</f>
        <v/>
      </c>
      <c r="N11" s="41" t="str">
        <f>IF(OR(A11="",'Job Sheet'!AP11=""),"",CONCATENATE('Job Sheet'!AP11," mm @ ",180-'Job Sheet'!AH11,"°"))</f>
        <v/>
      </c>
      <c r="O11" s="41" t="str">
        <f>IF('Tube Cutting'!C11="","",'Job Sheet'!AK11)</f>
        <v>20 x hooks 2071</v>
      </c>
      <c r="P11" s="156">
        <f>A11</f>
        <v>5</v>
      </c>
    </row>
    <row r="12" spans="1:16" s="36" customFormat="1" ht="60" customHeight="1">
      <c r="A12" s="119" t="str">
        <f>IF('Tube Cutting'!C12="","",Data!AW12)</f>
        <v/>
      </c>
      <c r="B12" s="18" t="str">
        <f>IF('Tube Cutting'!C12="","",Data!AY12)</f>
        <v/>
      </c>
      <c r="C12" s="146" t="str">
        <f>IF('Tube Cutting'!C12="","",'Job Sheet'!H12)</f>
        <v/>
      </c>
      <c r="D12" s="41" t="str">
        <f>IF('Tube Cutting'!C12="","",'Job Sheet'!K12)</f>
        <v/>
      </c>
      <c r="E12" s="145" t="str">
        <f>IF('Tube Cutting'!C12="","",CONCATENATE('Job Sheet'!W12," ",'Job Sheet'!U12))</f>
        <v/>
      </c>
      <c r="F12" s="145" t="str">
        <f>IF('Tube Cutting'!C12="","",'Job Sheet'!L12)</f>
        <v/>
      </c>
      <c r="G12" s="72" t="str">
        <f>IF(OR(A12="",'Job Sheet'!M12=""),"",IF('Job Sheet'!E12="Opening",'Job Sheet'!M12-('Job Sheet'!AV12/2),'Job Sheet'!M12))</f>
        <v/>
      </c>
      <c r="H12" s="72" t="str">
        <f>IF(OR(A12="",'Job Sheet'!N12=""),"",IF('Job Sheet'!E12="Opening",'Job Sheet'!N12-('Job Sheet'!AV12/2),'Job Sheet'!N12))</f>
        <v/>
      </c>
      <c r="I12" s="72" t="str">
        <f>IF('Tube Cutting'!C12="","",IF(Data!AV12="","",IF('Job Sheet'!H12="Conduit","",IF(C12="29mm Rod","",IF(C12="SEM Streamline Hand Operation","9 Wheel Runners",IF('Job Sheet'!AS12&lt;&gt;"",'Job Sheet'!AS12,('Job Sheet'!G12/100)-1))))))</f>
        <v/>
      </c>
      <c r="J12" s="41" t="str">
        <f>IF(OR('Tube Cutting'!C12="",'Job Sheet'!T12="None"),"",'Job Sheet'!T12)</f>
        <v/>
      </c>
      <c r="K12" s="41" t="str">
        <f>IF(OR(A12="",'Job Sheet'!AM12=""),"",CONCATENATE('Job Sheet'!AM12," mm @ ",180-'Job Sheet'!Y12,"°"))</f>
        <v/>
      </c>
      <c r="L12" s="41" t="str">
        <f>IF(OR(A12="",'Job Sheet'!AN12=""),"",CONCATENATE('Job Sheet'!AN12," mm @ ",180-'Job Sheet'!AB12,"°"))</f>
        <v/>
      </c>
      <c r="M12" s="41" t="str">
        <f>IF(OR(A12="",'Job Sheet'!AO12=""),"",CONCATENATE('Job Sheet'!AO12," mm @ ",180-'Job Sheet'!AE12,"°"))</f>
        <v/>
      </c>
      <c r="N12" s="41" t="str">
        <f>IF(OR(A12="",'Job Sheet'!AP12=""),"",CONCATENATE('Job Sheet'!AP12," mm @ ",180-'Job Sheet'!AH12,"°"))</f>
        <v/>
      </c>
      <c r="O12" s="41" t="str">
        <f>IF('Tube Cutting'!C12="","",'Job Sheet'!AK12)</f>
        <v/>
      </c>
      <c r="P12" s="156" t="str">
        <f t="shared" si="0" ref="P12:P20">A12</f>
        <v/>
      </c>
    </row>
    <row r="13" spans="1:16" s="36" customFormat="1" ht="60" customHeight="1">
      <c r="A13" s="119" t="str">
        <f>IF('Tube Cutting'!C13="","",Data!AW13)</f>
        <v/>
      </c>
      <c r="B13" s="18" t="str">
        <f>IF('Tube Cutting'!C13="","",Data!AY13)</f>
        <v/>
      </c>
      <c r="C13" s="146" t="str">
        <f>IF('Tube Cutting'!C13="","",'Job Sheet'!H13)</f>
        <v/>
      </c>
      <c r="D13" s="41" t="str">
        <f>IF('Tube Cutting'!C13="","",'Job Sheet'!K13)</f>
        <v/>
      </c>
      <c r="E13" s="145" t="str">
        <f>IF('Tube Cutting'!C13="","",CONCATENATE('Job Sheet'!W13," ",'Job Sheet'!U13))</f>
        <v/>
      </c>
      <c r="F13" s="145" t="str">
        <f>IF('Tube Cutting'!C13="","",'Job Sheet'!L13)</f>
        <v/>
      </c>
      <c r="G13" s="72" t="str">
        <f>IF(OR(A13="",'Job Sheet'!M13=""),"",IF('Job Sheet'!E13="Opening",'Job Sheet'!M13-('Job Sheet'!AV13/2),'Job Sheet'!M13))</f>
        <v/>
      </c>
      <c r="H13" s="72" t="str">
        <f>IF(OR(A13="",'Job Sheet'!N13=""),"",IF('Job Sheet'!E13="Opening",'Job Sheet'!N13-('Job Sheet'!AV13/2),'Job Sheet'!N13))</f>
        <v/>
      </c>
      <c r="I13" s="72" t="str">
        <f>IF('Tube Cutting'!C13="","",IF(Data!AV13="","",IF('Job Sheet'!H13="Conduit","",IF(C13="29mm Rod","",IF(C13="SEM Streamline Hand Operation","9 Wheel Runners",IF('Job Sheet'!AS13&lt;&gt;"",'Job Sheet'!AS13,('Job Sheet'!G13/100)-1))))))</f>
        <v/>
      </c>
      <c r="J13" s="41" t="str">
        <f>IF(OR('Tube Cutting'!C13="",'Job Sheet'!T13="None"),"",'Job Sheet'!T13)</f>
        <v/>
      </c>
      <c r="K13" s="41" t="str">
        <f>IF(OR(A13="",'Job Sheet'!AM13=""),"",CONCATENATE('Job Sheet'!AM13," mm @ ",180-'Job Sheet'!Y13,"°"))</f>
        <v/>
      </c>
      <c r="L13" s="41" t="str">
        <f>IF(OR(A13="",'Job Sheet'!AN13=""),"",CONCATENATE('Job Sheet'!AN13," mm @ ",180-'Job Sheet'!AB13,"°"))</f>
        <v/>
      </c>
      <c r="M13" s="41" t="str">
        <f>IF(OR(A13="",'Job Sheet'!AO13=""),"",CONCATENATE('Job Sheet'!AO13," mm @ ",180-'Job Sheet'!AE13,"°"))</f>
        <v/>
      </c>
      <c r="N13" s="41" t="str">
        <f>IF(OR(A13="",'Job Sheet'!AP13=""),"",CONCATENATE('Job Sheet'!AP13," mm @ ",180-'Job Sheet'!AH13,"°"))</f>
        <v/>
      </c>
      <c r="O13" s="41" t="str">
        <f>IF('Tube Cutting'!C13="","",'Job Sheet'!AK13)</f>
        <v/>
      </c>
      <c r="P13" s="156" t="str">
        <f t="shared" si="0"/>
        <v/>
      </c>
    </row>
    <row r="14" spans="1:16" s="36" customFormat="1" ht="60" customHeight="1">
      <c r="A14" s="119" t="str">
        <f>IF('Tube Cutting'!C14="","",Data!AW14)</f>
        <v/>
      </c>
      <c r="B14" s="18" t="str">
        <f>IF('Tube Cutting'!C14="","",Data!AY14)</f>
        <v/>
      </c>
      <c r="C14" s="146" t="str">
        <f>IF('Tube Cutting'!C14="","",'Job Sheet'!H14)</f>
        <v/>
      </c>
      <c r="D14" s="41" t="str">
        <f>IF('Tube Cutting'!C14="","",'Job Sheet'!K14)</f>
        <v/>
      </c>
      <c r="E14" s="145" t="str">
        <f>IF('Tube Cutting'!C14="","",CONCATENATE('Job Sheet'!W14," ",'Job Sheet'!U14))</f>
        <v/>
      </c>
      <c r="F14" s="145" t="str">
        <f>IF('Tube Cutting'!C14="","",'Job Sheet'!L14)</f>
        <v/>
      </c>
      <c r="G14" s="72" t="str">
        <f>IF(OR(A14="",'Job Sheet'!M14=""),"",IF('Job Sheet'!E14="Opening",'Job Sheet'!M14-('Job Sheet'!AV14/2),'Job Sheet'!M14))</f>
        <v/>
      </c>
      <c r="H14" s="72" t="str">
        <f>IF(OR(A14="",'Job Sheet'!N14=""),"",IF('Job Sheet'!E14="Opening",'Job Sheet'!N14-('Job Sheet'!AV14/2),'Job Sheet'!N14))</f>
        <v/>
      </c>
      <c r="I14" s="72" t="str">
        <f>IF('Tube Cutting'!C14="","",IF(Data!AV14="","",IF('Job Sheet'!H14="Conduit","",IF(C14="29mm Rod","",IF(C14="SEM Streamline Hand Operation","9 Wheel Runners",IF('Job Sheet'!AS14&lt;&gt;"",'Job Sheet'!AS14,('Job Sheet'!G14/100)-1))))))</f>
        <v/>
      </c>
      <c r="J14" s="41" t="str">
        <f>IF(OR('Tube Cutting'!C14="",'Job Sheet'!T14="None"),"",'Job Sheet'!T14)</f>
        <v/>
      </c>
      <c r="K14" s="41" t="str">
        <f>IF(OR(A14="",'Job Sheet'!AM14=""),"",CONCATENATE('Job Sheet'!AM14," mm @ ",180-'Job Sheet'!Y14,"°"))</f>
        <v/>
      </c>
      <c r="L14" s="41" t="str">
        <f>IF(OR(A14="",'Job Sheet'!AN14=""),"",CONCATENATE('Job Sheet'!AN14," mm @ ",180-'Job Sheet'!AB14,"°"))</f>
        <v/>
      </c>
      <c r="M14" s="41" t="str">
        <f>IF(OR(A14="",'Job Sheet'!AO14=""),"",CONCATENATE('Job Sheet'!AO14," mm @ ",180-'Job Sheet'!AE14,"°"))</f>
        <v/>
      </c>
      <c r="N14" s="41" t="str">
        <f>IF(OR(A14="",'Job Sheet'!AP14=""),"",CONCATENATE('Job Sheet'!AP14," mm @ ",180-'Job Sheet'!AH14,"°"))</f>
        <v/>
      </c>
      <c r="O14" s="41" t="str">
        <f>IF('Tube Cutting'!C14="","",'Job Sheet'!AK14)</f>
        <v/>
      </c>
      <c r="P14" s="156" t="str">
        <f t="shared" si="0"/>
        <v/>
      </c>
    </row>
    <row r="15" spans="1:16" s="36" customFormat="1" ht="60" customHeight="1">
      <c r="A15" s="119" t="str">
        <f>IF('Tube Cutting'!C15="","",Data!AW15)</f>
        <v/>
      </c>
      <c r="B15" s="18" t="str">
        <f>IF('Tube Cutting'!C15="","",Data!AY15)</f>
        <v/>
      </c>
      <c r="C15" s="146" t="str">
        <f>IF('Tube Cutting'!C15="","",'Job Sheet'!H15)</f>
        <v/>
      </c>
      <c r="D15" s="41" t="str">
        <f>IF('Tube Cutting'!C15="","",'Job Sheet'!K15)</f>
        <v/>
      </c>
      <c r="E15" s="145" t="str">
        <f>IF('Tube Cutting'!C15="","",CONCATENATE('Job Sheet'!W15," ",'Job Sheet'!U15))</f>
        <v/>
      </c>
      <c r="F15" s="145" t="str">
        <f>IF('Tube Cutting'!C15="","",'Job Sheet'!L15)</f>
        <v/>
      </c>
      <c r="G15" s="72" t="str">
        <f>IF(OR(A15="",'Job Sheet'!M15=""),"",IF('Job Sheet'!E15="Opening",'Job Sheet'!M15-('Job Sheet'!AV15/2),'Job Sheet'!M15))</f>
        <v/>
      </c>
      <c r="H15" s="72" t="str">
        <f>IF(OR(A15="",'Job Sheet'!N15=""),"",IF('Job Sheet'!E15="Opening",'Job Sheet'!N15-('Job Sheet'!AV15/2),'Job Sheet'!N15))</f>
        <v/>
      </c>
      <c r="I15" s="72" t="str">
        <f>IF('Tube Cutting'!C15="","",IF(Data!AV15="","",IF('Job Sheet'!H15="Conduit","",IF(C15="29mm Rod","",IF(C15="SEM Streamline Hand Operation","9 Wheel Runners",IF('Job Sheet'!AS15&lt;&gt;"",'Job Sheet'!AS15,('Job Sheet'!G15/100)-1))))))</f>
        <v/>
      </c>
      <c r="J15" s="41" t="str">
        <f>IF(OR('Tube Cutting'!C15="",'Job Sheet'!T15="None"),"",'Job Sheet'!T15)</f>
        <v/>
      </c>
      <c r="K15" s="41" t="str">
        <f>IF(OR(A15="",'Job Sheet'!AM15=""),"",CONCATENATE('Job Sheet'!AM15," mm @ ",180-'Job Sheet'!Y15,"°"))</f>
        <v/>
      </c>
      <c r="L15" s="41" t="str">
        <f>IF(OR(A15="",'Job Sheet'!AN15=""),"",CONCATENATE('Job Sheet'!AN15," mm @ ",180-'Job Sheet'!AB15,"°"))</f>
        <v/>
      </c>
      <c r="M15" s="41" t="str">
        <f>IF(OR(A15="",'Job Sheet'!AO15=""),"",CONCATENATE('Job Sheet'!AO15," mm @ ",180-'Job Sheet'!AE15,"°"))</f>
        <v/>
      </c>
      <c r="N15" s="41" t="str">
        <f>IF(OR(A15="",'Job Sheet'!AP15=""),"",CONCATENATE('Job Sheet'!AP15," mm @ ",180-'Job Sheet'!AH15,"°"))</f>
        <v/>
      </c>
      <c r="O15" s="41" t="str">
        <f>IF('Tube Cutting'!C15="","",'Job Sheet'!AK15)</f>
        <v/>
      </c>
      <c r="P15" s="156" t="str">
        <f t="shared" si="0"/>
        <v/>
      </c>
    </row>
    <row r="16" spans="1:16" s="36" customFormat="1" ht="60" customHeight="1">
      <c r="A16" s="119" t="str">
        <f>IF('Tube Cutting'!C16="","",Data!AW16)</f>
        <v/>
      </c>
      <c r="B16" s="18" t="str">
        <f>IF('Tube Cutting'!C16="","",Data!AY16)</f>
        <v/>
      </c>
      <c r="C16" s="146" t="str">
        <f>IF('Tube Cutting'!C16="","",'Job Sheet'!H16)</f>
        <v/>
      </c>
      <c r="D16" s="41" t="str">
        <f>IF('Tube Cutting'!C16="","",'Job Sheet'!K16)</f>
        <v/>
      </c>
      <c r="E16" s="145" t="str">
        <f>IF('Tube Cutting'!C16="","",CONCATENATE('Job Sheet'!W16," ",'Job Sheet'!U16))</f>
        <v/>
      </c>
      <c r="F16" s="145" t="str">
        <f>IF('Tube Cutting'!C16="","",'Job Sheet'!L16)</f>
        <v/>
      </c>
      <c r="G16" s="72" t="str">
        <f>IF(OR(A16="",'Job Sheet'!M16=""),"",IF('Job Sheet'!E16="Opening",'Job Sheet'!M16-('Job Sheet'!AV16/2),'Job Sheet'!M16))</f>
        <v/>
      </c>
      <c r="H16" s="72" t="str">
        <f>IF(OR(A16="",'Job Sheet'!N16=""),"",IF('Job Sheet'!E16="Opening",'Job Sheet'!N16-('Job Sheet'!AV16/2),'Job Sheet'!N16))</f>
        <v/>
      </c>
      <c r="I16" s="72" t="str">
        <f>IF('Tube Cutting'!C16="","",IF(Data!AV16="","",IF('Job Sheet'!H16="Conduit","",IF(C16="29mm Rod","",IF(C16="SEM Streamline Hand Operation","9 Wheel Runners",IF('Job Sheet'!AS16&lt;&gt;"",'Job Sheet'!AS16,('Job Sheet'!G16/100)-1))))))</f>
        <v/>
      </c>
      <c r="J16" s="41" t="str">
        <f>IF(OR('Tube Cutting'!C16="",'Job Sheet'!T16="None"),"",'Job Sheet'!T16)</f>
        <v/>
      </c>
      <c r="K16" s="41" t="str">
        <f>IF(OR(A16="",'Job Sheet'!AM16=""),"",CONCATENATE('Job Sheet'!AM16," mm @ ",180-'Job Sheet'!Y16,"°"))</f>
        <v/>
      </c>
      <c r="L16" s="41" t="str">
        <f>IF(OR(A16="",'Job Sheet'!AN16=""),"",CONCATENATE('Job Sheet'!AN16," mm @ ",180-'Job Sheet'!AB16,"°"))</f>
        <v/>
      </c>
      <c r="M16" s="41" t="str">
        <f>IF(OR(A16="",'Job Sheet'!AO16=""),"",CONCATENATE('Job Sheet'!AO16," mm @ ",180-'Job Sheet'!AE16,"°"))</f>
        <v/>
      </c>
      <c r="N16" s="41" t="str">
        <f>IF(OR(A16="",'Job Sheet'!AP16=""),"",CONCATENATE('Job Sheet'!AP16," mm @ ",180-'Job Sheet'!AH16,"°"))</f>
        <v/>
      </c>
      <c r="O16" s="41" t="str">
        <f>IF('Tube Cutting'!C16="","",'Job Sheet'!AK16)</f>
        <v/>
      </c>
      <c r="P16" s="156" t="str">
        <f t="shared" si="0"/>
        <v/>
      </c>
    </row>
    <row r="17" spans="1:16" s="36" customFormat="1" ht="60" customHeight="1">
      <c r="A17" s="119" t="str">
        <f>IF('Tube Cutting'!C17="","",Data!AW17)</f>
        <v/>
      </c>
      <c r="B17" s="18" t="str">
        <f>IF('Tube Cutting'!C17="","",Data!AY17)</f>
        <v/>
      </c>
      <c r="C17" s="146" t="str">
        <f>IF('Tube Cutting'!C17="","",'Job Sheet'!H17)</f>
        <v/>
      </c>
      <c r="D17" s="41" t="str">
        <f>IF('Tube Cutting'!C17="","",'Job Sheet'!K17)</f>
        <v/>
      </c>
      <c r="E17" s="145" t="str">
        <f>IF('Tube Cutting'!C17="","",CONCATENATE('Job Sheet'!W17," ",'Job Sheet'!U17))</f>
        <v/>
      </c>
      <c r="F17" s="145" t="str">
        <f>IF('Tube Cutting'!C17="","",'Job Sheet'!L17)</f>
        <v/>
      </c>
      <c r="G17" s="72" t="str">
        <f>IF(OR(A17="",'Job Sheet'!M17=""),"",IF('Job Sheet'!E17="Opening",'Job Sheet'!M17-('Job Sheet'!AV17/2),'Job Sheet'!M17))</f>
        <v/>
      </c>
      <c r="H17" s="72" t="str">
        <f>IF(OR(A17="",'Job Sheet'!N17=""),"",IF('Job Sheet'!E17="Opening",'Job Sheet'!N17-('Job Sheet'!AV17/2),'Job Sheet'!N17))</f>
        <v/>
      </c>
      <c r="I17" s="72" t="str">
        <f>IF('Tube Cutting'!C17="","",IF(Data!AV17="","",IF('Job Sheet'!H17="Conduit","",IF(C17="29mm Rod","",IF(C17="SEM Streamline Hand Operation","9 Wheel Runners",IF('Job Sheet'!AS17&lt;&gt;"",'Job Sheet'!AS17,('Job Sheet'!G17/100)-1))))))</f>
        <v/>
      </c>
      <c r="J17" s="41" t="str">
        <f>IF(OR('Tube Cutting'!C17="",'Job Sheet'!T17="None"),"",'Job Sheet'!T17)</f>
        <v/>
      </c>
      <c r="K17" s="41" t="str">
        <f>IF(OR(A17="",'Job Sheet'!AM17=""),"",CONCATENATE('Job Sheet'!AM17," mm @ ",180-'Job Sheet'!Y17,"°"))</f>
        <v/>
      </c>
      <c r="L17" s="41" t="str">
        <f>IF(OR(A17="",'Job Sheet'!AN17=""),"",CONCATENATE('Job Sheet'!AN17," mm @ ",180-'Job Sheet'!AB17,"°"))</f>
        <v/>
      </c>
      <c r="M17" s="41" t="str">
        <f>IF(OR(A17="",'Job Sheet'!AO17=""),"",CONCATENATE('Job Sheet'!AO17," mm @ ",180-'Job Sheet'!AE17,"°"))</f>
        <v/>
      </c>
      <c r="N17" s="41" t="str">
        <f>IF(OR(A17="",'Job Sheet'!AP17=""),"",CONCATENATE('Job Sheet'!AP17," mm @ ",180-'Job Sheet'!AH17,"°"))</f>
        <v/>
      </c>
      <c r="O17" s="41" t="str">
        <f>IF('Tube Cutting'!C17="","",'Job Sheet'!AK17)</f>
        <v/>
      </c>
      <c r="P17" s="156" t="str">
        <f t="shared" si="0"/>
        <v/>
      </c>
    </row>
    <row r="18" spans="1:16" s="36" customFormat="1" ht="60" customHeight="1">
      <c r="A18" s="119" t="str">
        <f>IF('Tube Cutting'!C18="","",Data!AW18)</f>
        <v/>
      </c>
      <c r="B18" s="18" t="str">
        <f>IF('Tube Cutting'!C18="","",Data!AY18)</f>
        <v/>
      </c>
      <c r="C18" s="146" t="str">
        <f>IF('Tube Cutting'!C18="","",'Job Sheet'!H18)</f>
        <v/>
      </c>
      <c r="D18" s="41" t="str">
        <f>IF('Tube Cutting'!C18="","",'Job Sheet'!K18)</f>
        <v/>
      </c>
      <c r="E18" s="145" t="str">
        <f>IF('Tube Cutting'!C18="","",CONCATENATE('Job Sheet'!W18," ",'Job Sheet'!U18))</f>
        <v/>
      </c>
      <c r="F18" s="145" t="str">
        <f>IF('Tube Cutting'!C18="","",'Job Sheet'!L18)</f>
        <v/>
      </c>
      <c r="G18" s="72" t="str">
        <f>IF(OR(A18="",'Job Sheet'!M18=""),"",IF('Job Sheet'!E18="Opening",'Job Sheet'!M18-('Job Sheet'!AV18/2),'Job Sheet'!M18))</f>
        <v/>
      </c>
      <c r="H18" s="72" t="str">
        <f>IF(OR(A18="",'Job Sheet'!N18=""),"",IF('Job Sheet'!E18="Opening",'Job Sheet'!N18-('Job Sheet'!AV18/2),'Job Sheet'!N18))</f>
        <v/>
      </c>
      <c r="I18" s="72" t="str">
        <f>IF('Tube Cutting'!C18="","",IF(Data!AV18="","",IF('Job Sheet'!H18="Conduit","",IF(C18="29mm Rod","",IF(C18="SEM Streamline Hand Operation","9 Wheel Runners",IF('Job Sheet'!AS18&lt;&gt;"",'Job Sheet'!AS18,('Job Sheet'!G18/100)-1))))))</f>
        <v/>
      </c>
      <c r="J18" s="41" t="str">
        <f>IF(OR('Tube Cutting'!C18="",'Job Sheet'!T18="None"),"",'Job Sheet'!T18)</f>
        <v/>
      </c>
      <c r="K18" s="41" t="str">
        <f>IF(OR(A18="",'Job Sheet'!AM18=""),"",CONCATENATE('Job Sheet'!AM18," mm @ ",180-'Job Sheet'!Y18,"°"))</f>
        <v/>
      </c>
      <c r="L18" s="41" t="str">
        <f>IF(OR(A18="",'Job Sheet'!AN18=""),"",CONCATENATE('Job Sheet'!AN18," mm @ ",180-'Job Sheet'!AB18,"°"))</f>
        <v/>
      </c>
      <c r="M18" s="41" t="str">
        <f>IF(OR(A18="",'Job Sheet'!AO18=""),"",CONCATENATE('Job Sheet'!AO18," mm @ ",180-'Job Sheet'!AE18,"°"))</f>
        <v/>
      </c>
      <c r="N18" s="41" t="str">
        <f>IF(OR(A18="",'Job Sheet'!AP18=""),"",CONCATENATE('Job Sheet'!AP18," mm @ ",180-'Job Sheet'!AH18,"°"))</f>
        <v/>
      </c>
      <c r="O18" s="41" t="str">
        <f>IF('Tube Cutting'!C18="","",'Job Sheet'!AK18)</f>
        <v/>
      </c>
      <c r="P18" s="156" t="str">
        <f t="shared" si="0"/>
        <v/>
      </c>
    </row>
    <row r="19" spans="1:16" ht="60" customHeight="1">
      <c r="A19" s="119" t="str">
        <f>IF('Tube Cutting'!C19="","",Data!AW19)</f>
        <v/>
      </c>
      <c r="B19" s="18" t="str">
        <f>IF('Tube Cutting'!C19="","",Data!AY19)</f>
        <v/>
      </c>
      <c r="C19" s="146" t="str">
        <f>IF('Tube Cutting'!C19="","",'Job Sheet'!H19)</f>
        <v/>
      </c>
      <c r="D19" s="41" t="str">
        <f>IF('Tube Cutting'!C19="","",'Job Sheet'!K19)</f>
        <v/>
      </c>
      <c r="E19" s="145" t="str">
        <f>IF('Tube Cutting'!C19="","",CONCATENATE('Job Sheet'!W19," ",'Job Sheet'!U19))</f>
        <v/>
      </c>
      <c r="F19" s="145" t="str">
        <f>IF('Tube Cutting'!C19="","",'Job Sheet'!L19)</f>
        <v/>
      </c>
      <c r="G19" s="72" t="str">
        <f>IF(OR(A19="",'Job Sheet'!M19=""),"",IF('Job Sheet'!E19="Opening",'Job Sheet'!M19-('Job Sheet'!AV19/2),'Job Sheet'!M19))</f>
        <v/>
      </c>
      <c r="H19" s="72" t="str">
        <f>IF(OR(A19="",'Job Sheet'!N19=""),"",IF('Job Sheet'!E19="Opening",'Job Sheet'!N19-('Job Sheet'!AV19/2),'Job Sheet'!N19))</f>
        <v/>
      </c>
      <c r="I19" s="72" t="str">
        <f>IF('Tube Cutting'!C19="","",IF(Data!AV19="","",IF('Job Sheet'!H19="Conduit","",IF(C19="29mm Rod","",IF(C19="SEM Streamline Hand Operation","9 Wheel Runners",IF('Job Sheet'!AS19&lt;&gt;"",'Job Sheet'!AS19,('Job Sheet'!G19/100)-1))))))</f>
        <v/>
      </c>
      <c r="J19" s="41" t="str">
        <f>IF(OR('Tube Cutting'!C19="",'Job Sheet'!T19="None"),"",'Job Sheet'!T19)</f>
        <v/>
      </c>
      <c r="K19" s="41" t="str">
        <f>IF(OR(A19="",'Job Sheet'!AM19=""),"",CONCATENATE('Job Sheet'!AM19," mm @ ",180-'Job Sheet'!Y19,"°"))</f>
        <v/>
      </c>
      <c r="L19" s="41" t="str">
        <f>IF(OR(A19="",'Job Sheet'!AN19=""),"",CONCATENATE('Job Sheet'!AN19," mm @ ",180-'Job Sheet'!AB19,"°"))</f>
        <v/>
      </c>
      <c r="M19" s="41" t="str">
        <f>IF(OR(A19="",'Job Sheet'!AO19=""),"",CONCATENATE('Job Sheet'!AO19," mm @ ",180-'Job Sheet'!AE19,"°"))</f>
        <v/>
      </c>
      <c r="N19" s="41" t="str">
        <f>IF(OR(A19="",'Job Sheet'!AP19=""),"",CONCATENATE('Job Sheet'!AP19," mm @ ",180-'Job Sheet'!AH19,"°"))</f>
        <v/>
      </c>
      <c r="O19" s="41" t="str">
        <f>IF('Tube Cutting'!C19="","",'Job Sheet'!AK19)</f>
        <v/>
      </c>
      <c r="P19" s="156" t="str">
        <f t="shared" si="0"/>
        <v/>
      </c>
    </row>
    <row r="20" spans="1:16" ht="60" customHeight="1">
      <c r="A20" s="119" t="str">
        <f>IF('Tube Cutting'!C20="","",Data!AW20)</f>
        <v/>
      </c>
      <c r="B20" s="18" t="str">
        <f>IF('Tube Cutting'!C20="","",Data!AY20)</f>
        <v/>
      </c>
      <c r="C20" s="146" t="str">
        <f>IF('Tube Cutting'!C20="","",'Job Sheet'!H20)</f>
        <v/>
      </c>
      <c r="D20" s="41" t="str">
        <f>IF('Tube Cutting'!C20="","",'Job Sheet'!K20)</f>
        <v/>
      </c>
      <c r="E20" s="145" t="str">
        <f>IF('Tube Cutting'!C20="","",CONCATENATE('Job Sheet'!W20," ",'Job Sheet'!U20))</f>
        <v/>
      </c>
      <c r="F20" s="145" t="str">
        <f>IF('Tube Cutting'!C20="","",'Job Sheet'!L20)</f>
        <v/>
      </c>
      <c r="G20" s="72" t="str">
        <f>IF(OR(A20="",'Job Sheet'!M20=""),"",IF('Job Sheet'!E20="Opening",'Job Sheet'!M20-('Job Sheet'!AV20/2),'Job Sheet'!M20))</f>
        <v/>
      </c>
      <c r="H20" s="72" t="str">
        <f>IF(OR(A20="",'Job Sheet'!N20=""),"",IF('Job Sheet'!E20="Opening",'Job Sheet'!N20-('Job Sheet'!AV20/2),'Job Sheet'!N20))</f>
        <v/>
      </c>
      <c r="I20" s="72" t="str">
        <f>IF('Tube Cutting'!C20="","",IF(Data!AV20="","",IF('Job Sheet'!H20="Conduit","",IF(C20="29mm Rod","",IF(C20="SEM Streamline Hand Operation","9 Wheel Runners",IF('Job Sheet'!AS20&lt;&gt;"",'Job Sheet'!AS20,('Job Sheet'!G20/100)-1))))))</f>
        <v/>
      </c>
      <c r="J20" s="41" t="str">
        <f>IF(OR('Tube Cutting'!C20="",'Job Sheet'!T20="None"),"",'Job Sheet'!T20)</f>
        <v/>
      </c>
      <c r="K20" s="41" t="str">
        <f>IF(OR(A20="",'Job Sheet'!AM20=""),"",CONCATENATE('Job Sheet'!AM20," mm @ ",180-'Job Sheet'!Y20,"°"))</f>
        <v/>
      </c>
      <c r="L20" s="41" t="str">
        <f>IF(OR(A20="",'Job Sheet'!AN20=""),"",CONCATENATE('Job Sheet'!AN20," mm @ ",180-'Job Sheet'!AB20,"°"))</f>
        <v/>
      </c>
      <c r="M20" s="41" t="str">
        <f>IF(OR(A20="",'Job Sheet'!AO20=""),"",CONCATENATE('Job Sheet'!AO20," mm @ ",180-'Job Sheet'!AE20,"°"))</f>
        <v/>
      </c>
      <c r="N20" s="41" t="str">
        <f>IF(OR(A20="",'Job Sheet'!AP20=""),"",CONCATENATE('Job Sheet'!AP20," mm @ ",180-'Job Sheet'!AH20,"°"))</f>
        <v/>
      </c>
      <c r="O20" s="41" t="str">
        <f>IF('Tube Cutting'!C20="","",'Job Sheet'!AK20)</f>
        <v/>
      </c>
      <c r="P20" s="156" t="str">
        <f t="shared" si="0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9.9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</sheetData>
  <sheetProtection formatCells="0" formatRows="0" insertColumns="0" insertRows="0"/>
  <mergeCells count="34">
    <mergeCell ref="A8:A10"/>
    <mergeCell ref="O8:O10"/>
    <mergeCell ref="F8:F10"/>
    <mergeCell ref="B8:B10"/>
    <mergeCell ref="C8:C10"/>
    <mergeCell ref="D8:D10"/>
    <mergeCell ref="J8:J10"/>
    <mergeCell ref="E8:E10"/>
    <mergeCell ref="I8:I10"/>
    <mergeCell ref="K8:K10"/>
    <mergeCell ref="L8:L10"/>
    <mergeCell ref="A6:C7"/>
    <mergeCell ref="A5:B5"/>
    <mergeCell ref="D5:E7"/>
    <mergeCell ref="D4:E4"/>
    <mergeCell ref="A1:P1"/>
    <mergeCell ref="A2:B2"/>
    <mergeCell ref="A3:B3"/>
    <mergeCell ref="A4:B4"/>
    <mergeCell ref="D2:E2"/>
    <mergeCell ref="D3:E3"/>
    <mergeCell ref="P8:P10"/>
    <mergeCell ref="K2:P2"/>
    <mergeCell ref="F7:J7"/>
    <mergeCell ref="F6:J6"/>
    <mergeCell ref="F5:J5"/>
    <mergeCell ref="F4:J4"/>
    <mergeCell ref="F3:J3"/>
    <mergeCell ref="F2:J2"/>
    <mergeCell ref="N8:N10"/>
    <mergeCell ref="G8:G10"/>
    <mergeCell ref="H8:H10"/>
    <mergeCell ref="K3:P7"/>
    <mergeCell ref="M8:M10"/>
  </mergeCells>
  <printOptions horizontalCentered="1"/>
  <pageMargins left="0.563779527559072" right="0.563779527559072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AF3F6-6A34-498E-934F-F7B2AADBBADB}">
  <sheetPr codeName="Sheet6">
    <pageSetUpPr fitToPage="1"/>
  </sheetPr>
  <dimension ref="A1:N20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11.4285714285714" style="42" customWidth="1"/>
    <col min="2" max="2" width="42.4285714285714" style="42" customWidth="1"/>
    <col min="3" max="3" width="33.7142857142857" style="42" customWidth="1"/>
    <col min="4" max="4" width="32.7142857142857" style="42" customWidth="1"/>
    <col min="5" max="5" width="31.7142857142857" style="42" customWidth="1"/>
    <col min="6" max="6" width="18.7142857142857" style="42" customWidth="1"/>
    <col min="7" max="7" width="20.1428571428571" style="42" customWidth="1"/>
    <col min="8" max="8" width="25.7142857142857" style="42" customWidth="1"/>
    <col min="9" max="9" width="28.5714285714286" style="42" customWidth="1"/>
    <col min="10" max="10" width="17.2857142857143" style="42" customWidth="1"/>
    <col min="11" max="11" width="22.1428571428571" style="42" customWidth="1"/>
    <col min="12" max="12" width="23.7142857142857" style="42" customWidth="1"/>
    <col min="13" max="13" width="71.8571428571429" style="42" customWidth="1"/>
    <col min="14" max="14" width="19.7142857142857" style="42" customWidth="1"/>
  </cols>
  <sheetData>
    <row r="1" spans="1:14" s="29" customFormat="1" ht="219" customHeight="1">
      <c r="A1" s="212" t="s">
        <v>262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4"/>
    </row>
    <row r="2" spans="1:14" s="31" customFormat="1" ht="50.1" customHeight="1">
      <c r="A2" s="7" t="s">
        <v>7</v>
      </c>
      <c r="B2" s="7"/>
      <c r="C2" s="4"/>
      <c r="D2" s="4"/>
      <c r="E2" s="4" t="s">
        <v>118</v>
      </c>
      <c r="F2" s="4"/>
      <c r="G2" s="13" t="str">
        <f>Data!BF5</f>
        <v>Symons, Dianne</v>
      </c>
      <c r="H2" s="13"/>
      <c r="I2" s="13"/>
      <c r="J2" s="13"/>
      <c r="K2" s="13"/>
      <c r="L2" s="209" t="s">
        <v>4</v>
      </c>
      <c r="M2" s="210"/>
      <c r="N2" s="211"/>
    </row>
    <row r="3" spans="1:14" s="31" customFormat="1" ht="50.1" customHeight="1">
      <c r="A3" s="7" t="s">
        <v>144</v>
      </c>
      <c r="B3" s="7"/>
      <c r="C3" s="3" t="str">
        <f>Data!BC5</f>
        <v>12027</v>
      </c>
      <c r="D3" s="3"/>
      <c r="E3" s="177" t="s">
        <v>8</v>
      </c>
      <c r="F3" s="177"/>
      <c r="G3" s="195" t="str">
        <f>Data!AX5</f>
        <v>Curtains</v>
      </c>
      <c r="H3" s="195"/>
      <c r="I3" s="195"/>
      <c r="J3" s="195"/>
      <c r="K3" s="195"/>
      <c r="L3" s="200" t="str">
        <f>TRIM(Data!BG5)</f>
        <v/>
      </c>
      <c r="M3" s="201"/>
      <c r="N3" s="202"/>
    </row>
    <row r="4" spans="1:14" s="20" customFormat="1" ht="50.1" customHeight="1">
      <c r="A4" s="8" t="s">
        <v>15</v>
      </c>
      <c r="B4" s="8"/>
      <c r="C4" s="3" t="str">
        <f>Data!BD5</f>
        <v>C</v>
      </c>
      <c r="D4" s="3"/>
      <c r="E4" s="177" t="s">
        <v>137</v>
      </c>
      <c r="F4" s="177"/>
      <c r="G4" s="195" t="str">
        <f>Data!BA5</f>
        <v>20/10/2026 12:00:00 AM</v>
      </c>
      <c r="H4" s="195"/>
      <c r="I4" s="195"/>
      <c r="J4" s="195"/>
      <c r="K4" s="195"/>
      <c r="L4" s="203"/>
      <c r="M4" s="204"/>
      <c r="N4" s="205"/>
    </row>
    <row r="5" spans="1:14" s="20" customFormat="1" ht="50.1" customHeight="1">
      <c r="A5" s="192" t="s">
        <v>9</v>
      </c>
      <c r="B5" s="192"/>
      <c r="C5" s="176" t="str">
        <f>Data!AY5</f>
        <v>26/08/2026 12:00:00 AM</v>
      </c>
      <c r="D5" s="176"/>
      <c r="E5" s="3" t="s">
        <v>12</v>
      </c>
      <c r="F5" s="3"/>
      <c r="G5" s="13" t="str">
        <f>TRIM(Data!BF5)</f>
        <v>Symons, Dianne</v>
      </c>
      <c r="H5" s="13"/>
      <c r="I5" s="13"/>
      <c r="J5" s="13"/>
      <c r="K5" s="13"/>
      <c r="L5" s="203"/>
      <c r="M5" s="204"/>
      <c r="N5" s="205"/>
    </row>
    <row r="6" spans="1:14" s="20" customFormat="1" ht="50.1" customHeight="1">
      <c r="A6" s="9" t="str">
        <f>Data!CZ5</f>
        <v>Retail Customer</v>
      </c>
      <c r="B6" s="9"/>
      <c r="C6" s="9"/>
      <c r="D6" s="9"/>
      <c r="E6" s="3"/>
      <c r="F6" s="3"/>
      <c r="G6" s="13" t="str">
        <f>CONCATENATE(Data!BH5," ",Data!BI5," ",Data!BJ5," ",Data!BK5," ",Data!BL5)</f>
        <v xml:space="preserve"> 210  Eddy Avenue </v>
      </c>
      <c r="H6" s="13"/>
      <c r="I6" s="13"/>
      <c r="J6" s="13"/>
      <c r="K6" s="13"/>
      <c r="L6" s="203"/>
      <c r="M6" s="204"/>
      <c r="N6" s="205"/>
    </row>
    <row r="7" spans="1:14" s="20" customFormat="1" ht="50.1" customHeight="1">
      <c r="A7" s="9"/>
      <c r="B7" s="9"/>
      <c r="C7" s="9"/>
      <c r="D7" s="9"/>
      <c r="E7" s="3"/>
      <c r="F7" s="3"/>
      <c r="G7" s="13" t="str">
        <f>CONCATENATE(Data!BM5," ",Data!BN5," ",Data!BO5," ",Data!BP5)</f>
        <v>Mount Helen VIC 3350 Australia</v>
      </c>
      <c r="H7" s="13"/>
      <c r="I7" s="13"/>
      <c r="J7" s="13"/>
      <c r="K7" s="13"/>
      <c r="L7" s="206"/>
      <c r="M7" s="207"/>
      <c r="N7" s="208"/>
    </row>
    <row r="8" spans="1:14" s="58" customFormat="1" ht="50.1" customHeight="1">
      <c r="A8" s="194" t="s">
        <v>143</v>
      </c>
      <c r="B8" s="196" t="s">
        <v>120</v>
      </c>
      <c r="C8" s="199" t="s">
        <v>177</v>
      </c>
      <c r="D8" s="199" t="s">
        <v>810</v>
      </c>
      <c r="E8" s="196" t="s">
        <v>182</v>
      </c>
      <c r="F8" s="196" t="s">
        <v>811</v>
      </c>
      <c r="G8" s="199" t="s">
        <v>699</v>
      </c>
      <c r="H8" s="196" t="s">
        <v>235</v>
      </c>
      <c r="I8" s="196" t="s">
        <v>169</v>
      </c>
      <c r="J8" s="196" t="s">
        <v>180</v>
      </c>
      <c r="K8" s="196" t="s">
        <v>186</v>
      </c>
      <c r="L8" s="199" t="s">
        <v>605</v>
      </c>
      <c r="M8" s="199" t="s">
        <v>5</v>
      </c>
      <c r="N8" s="196" t="s">
        <v>803</v>
      </c>
    </row>
    <row r="9" spans="1:14" s="58" customFormat="1" ht="14.25" customHeight="1" hidden="1">
      <c r="A9" s="194"/>
      <c r="B9" s="196"/>
      <c r="C9" s="199"/>
      <c r="D9" s="199"/>
      <c r="E9" s="196"/>
      <c r="F9" s="196"/>
      <c r="G9" s="199"/>
      <c r="H9" s="196"/>
      <c r="I9" s="196"/>
      <c r="J9" s="196"/>
      <c r="K9" s="196"/>
      <c r="L9" s="199"/>
      <c r="M9" s="199"/>
      <c r="N9" s="196"/>
    </row>
    <row r="10" spans="1:14" s="59" customFormat="1" ht="69" customHeight="1">
      <c r="A10" s="194"/>
      <c r="B10" s="196"/>
      <c r="C10" s="199"/>
      <c r="D10" s="199"/>
      <c r="E10" s="196"/>
      <c r="F10" s="196"/>
      <c r="G10" s="199"/>
      <c r="H10" s="196"/>
      <c r="I10" s="196"/>
      <c r="J10" s="196"/>
      <c r="K10" s="196"/>
      <c r="L10" s="199"/>
      <c r="M10" s="199"/>
      <c r="N10" s="196"/>
    </row>
    <row r="11" spans="1:14" s="36" customFormat="1" ht="99">
      <c r="A11" s="119">
        <f>IF('Tube Cutting'!C11="","",Data!AW11)</f>
        <v>5</v>
      </c>
      <c r="B11" s="18" t="str">
        <f>IF('Tube Cutting'!C11="","",Data!AY11)</f>
        <v>Bed 1</v>
      </c>
      <c r="C11" s="18" t="str">
        <f>IF('Tube Cutting'!C11="","",'Job Sheet'!H11)</f>
        <v>Streamline Cord Operation</v>
      </c>
      <c r="D11" s="41" t="str">
        <f>IF('Tube Cutting'!C11="","",'Job Sheet'!I11)</f>
        <v>Birch White</v>
      </c>
      <c r="E11" s="41" t="str">
        <f>IF('Job Sheet'!P11="N/A","",IF('Tube Cutting'!C11="","",'Job Sheet'!P11))</f>
        <v>Single Face Fix Brackets</v>
      </c>
      <c r="F11" s="41">
        <f>IF(Data!AW11="","",IF('Tube Cutting'!C11="","",IF(E11="None Required","",IFERROR(IF(E11=VLOOKUP(E11,RodBrackets,1,FALSE),VLOOKUP(E11,RodBrackets,2,FALSE)),IFERROR(VLOOKUP('Tube Cutting'!C11,Brackets,2,TRUE),"")))))</f>
        <v>4</v>
      </c>
      <c r="G11" s="41">
        <f>IF(AND(OR(C11="Streamline Cord Operation",C11="Streamline Hand Operation"),E11="Top Fix Brackets"),"",IF(OR(C11="Wavefold Hand Operation",C11="Wavefold Cord Operation",C11="Streamline Cord Operation",C11="Streamline Hand Operation"),F11,""))</f>
        <v>4</v>
      </c>
      <c r="H11" s="41" t="str">
        <f>IF('Tube Cutting'!C11="","",'Job Sheet'!R11)</f>
        <v/>
      </c>
      <c r="I11" s="41" t="str">
        <f>IF('Tube Cutting'!C11="","",'Job Sheet'!T11)</f>
        <v>150cm Cord Length</v>
      </c>
      <c r="J11" s="41" t="str">
        <f>IF(OR('Tube Cutting'!C11="",I11="None"),"",IF(AND(OR('Job Sheet'!H11="Streamline Hand Operation",'Job Sheet'!H11="Wavefold Hand Operation",'Job Sheet'!H11="System 20 Light Commercial Track Hand Drawn"),OR('Job Sheet'!L11="Single Panel - Right Stacking",'Job Sheet'!L11="Single Panel - Left Stacking")),"1",IF(AND(OR('Job Sheet'!H11="Streamline Hand Operation",'Job Sheet'!H11="Wavefold Hand Operation",'Job Sheet'!H11="System 20 Light Commercial Track Hand Drawn"),OR('Job Sheet'!L11="Single Panel - Free Flowing",'Job Sheet'!L11="Centre Opening",'Job Sheet'!L11="Centre Opening (Offset Split)")),"2",IF(AND(OR('Job Sheet'!H11="Streamline Hand Operation",'Job Sheet'!H11="Wavefold Hand Operation",'Job Sheet'!H11="System 20 Light Commercial Track Hand Drawn"),OR('Job Sheet'!L11="Centre Opening - Free Flowing",'Job Sheet'!L11="Centre Opening - Free Flowing (Offset Split)")),"4",""))))</f>
        <v/>
      </c>
      <c r="K11" s="41" t="str">
        <f>IF('Tube Cutting'!C11="","",'Job Sheet'!U11)</f>
        <v>Straight</v>
      </c>
      <c r="L11" s="41" t="str">
        <f>IF(A11="","",IFERROR(IF(CONCATENATE(C11,E11,'Job Sheet'!Q11)=VLOOKUP(CONCATENATE(C11,E11,'Job Sheet'!Q11),WavefoldReturns,1,FALSE),VLOOKUP(CONCATENATE(C11,E11,'Job Sheet'!Q11),WavefoldReturns,2,FALSE)),""))</f>
        <v/>
      </c>
      <c r="M11" s="41" t="str">
        <f>IF('Tube Cutting'!C11="","",'Job Sheet'!AK11)</f>
        <v>20 x hooks 2071</v>
      </c>
      <c r="N11" s="157">
        <f>A11</f>
        <v>5</v>
      </c>
    </row>
    <row r="12" spans="1:14" s="36" customFormat="1" ht="60" customHeight="1">
      <c r="A12" s="119" t="str">
        <f>IF('Tube Cutting'!C12="","",Data!AW12)</f>
        <v/>
      </c>
      <c r="B12" s="18" t="str">
        <f>IF('Tube Cutting'!C12="","",Data!AY12)</f>
        <v/>
      </c>
      <c r="C12" s="18" t="str">
        <f>IF('Tube Cutting'!C12="","",'Job Sheet'!H12)</f>
        <v/>
      </c>
      <c r="D12" s="41" t="str">
        <f>IF('Tube Cutting'!C12="","",'Job Sheet'!I12)</f>
        <v/>
      </c>
      <c r="E12" s="41" t="str">
        <f>IF('Job Sheet'!P12="N/A","",IF('Tube Cutting'!C12="","",'Job Sheet'!P12))</f>
        <v/>
      </c>
      <c r="F12" s="41" t="str">
        <f>IF(Data!AW12="","",IF('Tube Cutting'!C12="","",IF(E12="None Required","",IFERROR(IF(E12=VLOOKUP(E12,RodBrackets,1,FALSE),VLOOKUP(E12,RodBrackets,2,FALSE)),IFERROR(VLOOKUP('Tube Cutting'!C12,Brackets,2,TRUE),"")))))</f>
        <v/>
      </c>
      <c r="G12" s="41" t="str">
        <f t="shared" si="0" ref="G12:G20">IF(AND(OR(C12="Streamline Cord Operation",C12="Streamline Hand Operation"),E12="Top Fix Brackets"),"",IF(OR(C12="Wavefold Hand Operation",C12="Wavefold Cord Operation",C12="Streamline Cord Operation",C12="Streamline Hand Operation"),F12,""))</f>
        <v/>
      </c>
      <c r="H12" s="41" t="str">
        <f>IF('Tube Cutting'!C12="","",'Job Sheet'!R12)</f>
        <v/>
      </c>
      <c r="I12" s="41" t="str">
        <f>IF('Tube Cutting'!C12="","",'Job Sheet'!T12)</f>
        <v/>
      </c>
      <c r="J12" s="41" t="str">
        <f>IF(OR('Tube Cutting'!C12="",I12="None"),"",IF(AND(OR('Job Sheet'!H12="Streamline Hand Operation",'Job Sheet'!H12="Wavefold Hand Operation",'Job Sheet'!H12="System 20 Light Commercial Track Hand Drawn"),OR('Job Sheet'!L12="Single Panel - Right Stacking",'Job Sheet'!L12="Single Panel - Left Stacking")),"1",IF(AND(OR('Job Sheet'!H12="Streamline Hand Operation",'Job Sheet'!H12="Wavefold Hand Operation",'Job Sheet'!H12="System 20 Light Commercial Track Hand Drawn"),OR('Job Sheet'!L12="Single Panel - Free Flowing",'Job Sheet'!L12="Centre Opening",'Job Sheet'!L12="Centre Opening (Offset Split)")),"2",IF(AND(OR('Job Sheet'!H12="Streamline Hand Operation",'Job Sheet'!H12="Wavefold Hand Operation",'Job Sheet'!H12="System 20 Light Commercial Track Hand Drawn"),OR('Job Sheet'!L12="Centre Opening - Free Flowing",'Job Sheet'!L12="Centre Opening - Free Flowing (Offset Split)")),"4",""))))</f>
        <v/>
      </c>
      <c r="K12" s="41" t="str">
        <f>IF('Tube Cutting'!C12="","",'Job Sheet'!U12)</f>
        <v/>
      </c>
      <c r="L12" s="41" t="str">
        <f>IF(A12="","",IFERROR(IF(CONCATENATE(C12,E12,'Job Sheet'!Q12)=VLOOKUP(CONCATENATE(C12,E12,'Job Sheet'!Q12),WavefoldReturns,1,FALSE),VLOOKUP(CONCATENATE(C12,E12,'Job Sheet'!Q12),WavefoldReturns,2,FALSE)),""))</f>
        <v/>
      </c>
      <c r="M12" s="41" t="str">
        <f>IF('Tube Cutting'!C12="","",'Job Sheet'!AK12)</f>
        <v/>
      </c>
      <c r="N12" s="157" t="str">
        <f t="shared" si="1" ref="N12:N20">A12</f>
        <v/>
      </c>
    </row>
    <row r="13" spans="1:14" s="36" customFormat="1" ht="60" customHeight="1">
      <c r="A13" s="119" t="str">
        <f>IF('Tube Cutting'!C13="","",Data!AW13)</f>
        <v/>
      </c>
      <c r="B13" s="18" t="str">
        <f>IF('Tube Cutting'!C13="","",Data!AY13)</f>
        <v/>
      </c>
      <c r="C13" s="18" t="str">
        <f>IF('Tube Cutting'!C13="","",'Job Sheet'!H13)</f>
        <v/>
      </c>
      <c r="D13" s="41" t="str">
        <f>IF('Tube Cutting'!C13="","",'Job Sheet'!I13)</f>
        <v/>
      </c>
      <c r="E13" s="41" t="str">
        <f>IF('Job Sheet'!P13="N/A","",IF('Tube Cutting'!C13="","",'Job Sheet'!P13))</f>
        <v/>
      </c>
      <c r="F13" s="41" t="str">
        <f>IF(Data!AW13="","",IF('Tube Cutting'!C13="","",IF(E13="None Required","",IFERROR(IF(E13=VLOOKUP(E13,RodBrackets,1,FALSE),VLOOKUP(E13,RodBrackets,2,FALSE)),IFERROR(VLOOKUP('Tube Cutting'!C13,Brackets,2,TRUE),"")))))</f>
        <v/>
      </c>
      <c r="G13" s="41" t="str">
        <f t="shared" si="0"/>
        <v/>
      </c>
      <c r="H13" s="41" t="str">
        <f>IF('Tube Cutting'!C13="","",'Job Sheet'!R13)</f>
        <v/>
      </c>
      <c r="I13" s="41" t="str">
        <f>IF('Tube Cutting'!C13="","",'Job Sheet'!T13)</f>
        <v/>
      </c>
      <c r="J13" s="41" t="str">
        <f>IF(OR('Tube Cutting'!C13="",I13="None"),"",IF(AND(OR('Job Sheet'!H13="Streamline Hand Operation",'Job Sheet'!H13="Wavefold Hand Operation",'Job Sheet'!H13="System 20 Light Commercial Track Hand Drawn"),OR('Job Sheet'!L13="Single Panel - Right Stacking",'Job Sheet'!L13="Single Panel - Left Stacking")),"1",IF(AND(OR('Job Sheet'!H13="Streamline Hand Operation",'Job Sheet'!H13="Wavefold Hand Operation",'Job Sheet'!H13="System 20 Light Commercial Track Hand Drawn"),OR('Job Sheet'!L13="Single Panel - Free Flowing",'Job Sheet'!L13="Centre Opening",'Job Sheet'!L13="Centre Opening (Offset Split)")),"2",IF(AND(OR('Job Sheet'!H13="Streamline Hand Operation",'Job Sheet'!H13="Wavefold Hand Operation",'Job Sheet'!H13="System 20 Light Commercial Track Hand Drawn"),OR('Job Sheet'!L13="Centre Opening - Free Flowing",'Job Sheet'!L13="Centre Opening - Free Flowing (Offset Split)")),"4",""))))</f>
        <v/>
      </c>
      <c r="K13" s="41" t="str">
        <f>IF('Tube Cutting'!C13="","",'Job Sheet'!U13)</f>
        <v/>
      </c>
      <c r="L13" s="41" t="str">
        <f>IF(A13="","",IFERROR(IF(CONCATENATE(C13,E13,'Job Sheet'!Q13)=VLOOKUP(CONCATENATE(C13,E13,'Job Sheet'!Q13),WavefoldReturns,1,FALSE),VLOOKUP(CONCATENATE(C13,E13,'Job Sheet'!Q13),WavefoldReturns,2,FALSE)),""))</f>
        <v/>
      </c>
      <c r="M13" s="41" t="str">
        <f>IF('Tube Cutting'!C13="","",'Job Sheet'!AK13)</f>
        <v/>
      </c>
      <c r="N13" s="157" t="str">
        <f t="shared" si="1"/>
        <v/>
      </c>
    </row>
    <row r="14" spans="1:14" s="36" customFormat="1" ht="60" customHeight="1">
      <c r="A14" s="119" t="str">
        <f>IF('Tube Cutting'!C14="","",Data!AW14)</f>
        <v/>
      </c>
      <c r="B14" s="18" t="str">
        <f>IF('Tube Cutting'!C14="","",Data!AY14)</f>
        <v/>
      </c>
      <c r="C14" s="18" t="str">
        <f>IF('Tube Cutting'!C14="","",'Job Sheet'!H14)</f>
        <v/>
      </c>
      <c r="D14" s="41" t="str">
        <f>IF('Tube Cutting'!C14="","",'Job Sheet'!I14)</f>
        <v/>
      </c>
      <c r="E14" s="41" t="str">
        <f>IF('Job Sheet'!P14="N/A","",IF('Tube Cutting'!C14="","",'Job Sheet'!P14))</f>
        <v/>
      </c>
      <c r="F14" s="41" t="str">
        <f>IF(Data!AW14="","",IF('Tube Cutting'!C14="","",IF(E14="None Required","",IFERROR(IF(E14=VLOOKUP(E14,RodBrackets,1,FALSE),VLOOKUP(E14,RodBrackets,2,FALSE)),IFERROR(VLOOKUP('Tube Cutting'!C14,Brackets,2,TRUE),"")))))</f>
        <v/>
      </c>
      <c r="G14" s="41" t="str">
        <f t="shared" si="0"/>
        <v/>
      </c>
      <c r="H14" s="41" t="str">
        <f>IF('Tube Cutting'!C14="","",'Job Sheet'!R14)</f>
        <v/>
      </c>
      <c r="I14" s="41" t="str">
        <f>IF('Tube Cutting'!C14="","",'Job Sheet'!T14)</f>
        <v/>
      </c>
      <c r="J14" s="41" t="str">
        <f>IF(OR('Tube Cutting'!C14="",I14="None"),"",IF(AND(OR('Job Sheet'!H14="Streamline Hand Operation",'Job Sheet'!H14="Wavefold Hand Operation",'Job Sheet'!H14="System 20 Light Commercial Track Hand Drawn"),OR('Job Sheet'!L14="Single Panel - Right Stacking",'Job Sheet'!L14="Single Panel - Left Stacking")),"1",IF(AND(OR('Job Sheet'!H14="Streamline Hand Operation",'Job Sheet'!H14="Wavefold Hand Operation",'Job Sheet'!H14="System 20 Light Commercial Track Hand Drawn"),OR('Job Sheet'!L14="Single Panel - Free Flowing",'Job Sheet'!L14="Centre Opening",'Job Sheet'!L14="Centre Opening (Offset Split)")),"2",IF(AND(OR('Job Sheet'!H14="Streamline Hand Operation",'Job Sheet'!H14="Wavefold Hand Operation",'Job Sheet'!H14="System 20 Light Commercial Track Hand Drawn"),OR('Job Sheet'!L14="Centre Opening - Free Flowing",'Job Sheet'!L14="Centre Opening - Free Flowing (Offset Split)")),"4",""))))</f>
        <v/>
      </c>
      <c r="K14" s="41" t="str">
        <f>IF('Tube Cutting'!C14="","",'Job Sheet'!U14)</f>
        <v/>
      </c>
      <c r="L14" s="41" t="str">
        <f>IF(A14="","",IFERROR(IF(CONCATENATE(C14,E14,'Job Sheet'!Q14)=VLOOKUP(CONCATENATE(C14,E14,'Job Sheet'!Q14),WavefoldReturns,1,FALSE),VLOOKUP(CONCATENATE(C14,E14,'Job Sheet'!Q14),WavefoldReturns,2,FALSE)),""))</f>
        <v/>
      </c>
      <c r="M14" s="41" t="str">
        <f>IF('Tube Cutting'!C14="","",'Job Sheet'!AK14)</f>
        <v/>
      </c>
      <c r="N14" s="157" t="str">
        <f t="shared" si="1"/>
        <v/>
      </c>
    </row>
    <row r="15" spans="1:14" s="36" customFormat="1" ht="60" customHeight="1">
      <c r="A15" s="119" t="str">
        <f>IF('Tube Cutting'!C15="","",Data!AW15)</f>
        <v/>
      </c>
      <c r="B15" s="18" t="str">
        <f>IF('Tube Cutting'!C15="","",Data!AY15)</f>
        <v/>
      </c>
      <c r="C15" s="18" t="str">
        <f>IF('Tube Cutting'!C15="","",'Job Sheet'!H15)</f>
        <v/>
      </c>
      <c r="D15" s="41" t="str">
        <f>IF('Tube Cutting'!C15="","",'Job Sheet'!I15)</f>
        <v/>
      </c>
      <c r="E15" s="41" t="str">
        <f>IF('Job Sheet'!P15="N/A","",IF('Tube Cutting'!C15="","",'Job Sheet'!P15))</f>
        <v/>
      </c>
      <c r="F15" s="41" t="str">
        <f>IF(Data!AW15="","",IF('Tube Cutting'!C15="","",IF(E15="None Required","",IFERROR(IF(E15=VLOOKUP(E15,RodBrackets,1,FALSE),VLOOKUP(E15,RodBrackets,2,FALSE)),IFERROR(VLOOKUP('Tube Cutting'!C15,Brackets,2,TRUE),"")))))</f>
        <v/>
      </c>
      <c r="G15" s="41" t="str">
        <f t="shared" si="0"/>
        <v/>
      </c>
      <c r="H15" s="41" t="str">
        <f>IF('Tube Cutting'!C15="","",'Job Sheet'!R15)</f>
        <v/>
      </c>
      <c r="I15" s="41" t="str">
        <f>IF('Tube Cutting'!C15="","",'Job Sheet'!T15)</f>
        <v/>
      </c>
      <c r="J15" s="41" t="str">
        <f>IF(OR('Tube Cutting'!C15="",I15="None"),"",IF(AND(OR('Job Sheet'!H15="Streamline Hand Operation",'Job Sheet'!H15="Wavefold Hand Operation",'Job Sheet'!H15="System 20 Light Commercial Track Hand Drawn"),OR('Job Sheet'!L15="Single Panel - Right Stacking",'Job Sheet'!L15="Single Panel - Left Stacking")),"1",IF(AND(OR('Job Sheet'!H15="Streamline Hand Operation",'Job Sheet'!H15="Wavefold Hand Operation",'Job Sheet'!H15="System 20 Light Commercial Track Hand Drawn"),OR('Job Sheet'!L15="Single Panel - Free Flowing",'Job Sheet'!L15="Centre Opening",'Job Sheet'!L15="Centre Opening (Offset Split)")),"2",IF(AND(OR('Job Sheet'!H15="Streamline Hand Operation",'Job Sheet'!H15="Wavefold Hand Operation",'Job Sheet'!H15="System 20 Light Commercial Track Hand Drawn"),OR('Job Sheet'!L15="Centre Opening - Free Flowing",'Job Sheet'!L15="Centre Opening - Free Flowing (Offset Split)")),"4",""))))</f>
        <v/>
      </c>
      <c r="K15" s="41" t="str">
        <f>IF('Tube Cutting'!C15="","",'Job Sheet'!U15)</f>
        <v/>
      </c>
      <c r="L15" s="41" t="str">
        <f>IF(A15="","",IFERROR(IF(CONCATENATE(C15,E15,'Job Sheet'!Q15)=VLOOKUP(CONCATENATE(C15,E15,'Job Sheet'!Q15),WavefoldReturns,1,FALSE),VLOOKUP(CONCATENATE(C15,E15,'Job Sheet'!Q15),WavefoldReturns,2,FALSE)),""))</f>
        <v/>
      </c>
      <c r="M15" s="41" t="str">
        <f>IF('Tube Cutting'!C15="","",'Job Sheet'!AK15)</f>
        <v/>
      </c>
      <c r="N15" s="157" t="str">
        <f t="shared" si="1"/>
        <v/>
      </c>
    </row>
    <row r="16" spans="1:14" s="36" customFormat="1" ht="60" customHeight="1">
      <c r="A16" s="119" t="str">
        <f>IF('Tube Cutting'!C16="","",Data!AW16)</f>
        <v/>
      </c>
      <c r="B16" s="18" t="str">
        <f>IF('Tube Cutting'!C16="","",Data!AY16)</f>
        <v/>
      </c>
      <c r="C16" s="18" t="str">
        <f>IF('Tube Cutting'!C16="","",'Job Sheet'!H16)</f>
        <v/>
      </c>
      <c r="D16" s="41" t="str">
        <f>IF('Tube Cutting'!C16="","",'Job Sheet'!I16)</f>
        <v/>
      </c>
      <c r="E16" s="41" t="str">
        <f>IF('Job Sheet'!P16="N/A","",IF('Tube Cutting'!C16="","",'Job Sheet'!P16))</f>
        <v/>
      </c>
      <c r="F16" s="41" t="str">
        <f>IF(Data!AW16="","",IF('Tube Cutting'!C16="","",IF(E16="None Required","",IFERROR(IF(E16=VLOOKUP(E16,RodBrackets,1,FALSE),VLOOKUP(E16,RodBrackets,2,FALSE)),IFERROR(VLOOKUP('Tube Cutting'!C16,Brackets,2,TRUE),"")))))</f>
        <v/>
      </c>
      <c r="G16" s="41" t="str">
        <f t="shared" si="0"/>
        <v/>
      </c>
      <c r="H16" s="41" t="str">
        <f>IF('Tube Cutting'!C16="","",'Job Sheet'!R16)</f>
        <v/>
      </c>
      <c r="I16" s="41" t="str">
        <f>IF('Tube Cutting'!C16="","",'Job Sheet'!T16)</f>
        <v/>
      </c>
      <c r="J16" s="41" t="str">
        <f>IF(OR('Tube Cutting'!C16="",I16="None"),"",IF(AND(OR('Job Sheet'!H16="Streamline Hand Operation",'Job Sheet'!H16="Wavefold Hand Operation",'Job Sheet'!H16="System 20 Light Commercial Track Hand Drawn"),OR('Job Sheet'!L16="Single Panel - Right Stacking",'Job Sheet'!L16="Single Panel - Left Stacking")),"1",IF(AND(OR('Job Sheet'!H16="Streamline Hand Operation",'Job Sheet'!H16="Wavefold Hand Operation",'Job Sheet'!H16="System 20 Light Commercial Track Hand Drawn"),OR('Job Sheet'!L16="Single Panel - Free Flowing",'Job Sheet'!L16="Centre Opening",'Job Sheet'!L16="Centre Opening (Offset Split)")),"2",IF(AND(OR('Job Sheet'!H16="Streamline Hand Operation",'Job Sheet'!H16="Wavefold Hand Operation",'Job Sheet'!H16="System 20 Light Commercial Track Hand Drawn"),OR('Job Sheet'!L16="Centre Opening - Free Flowing",'Job Sheet'!L16="Centre Opening - Free Flowing (Offset Split)")),"4",""))))</f>
        <v/>
      </c>
      <c r="K16" s="41" t="str">
        <f>IF('Tube Cutting'!C16="","",'Job Sheet'!U16)</f>
        <v/>
      </c>
      <c r="L16" s="41" t="str">
        <f>IF(A16="","",IFERROR(IF(CONCATENATE(C16,E16,'Job Sheet'!Q16)=VLOOKUP(CONCATENATE(C16,E16,'Job Sheet'!Q16),WavefoldReturns,1,FALSE),VLOOKUP(CONCATENATE(C16,E16,'Job Sheet'!Q16),WavefoldReturns,2,FALSE)),""))</f>
        <v/>
      </c>
      <c r="M16" s="41" t="str">
        <f>IF('Tube Cutting'!C16="","",'Job Sheet'!AK16)</f>
        <v/>
      </c>
      <c r="N16" s="157" t="str">
        <f t="shared" si="1"/>
        <v/>
      </c>
    </row>
    <row r="17" spans="1:14" s="36" customFormat="1" ht="60" customHeight="1">
      <c r="A17" s="119" t="str">
        <f>IF('Tube Cutting'!C17="","",Data!AW17)</f>
        <v/>
      </c>
      <c r="B17" s="18" t="str">
        <f>IF('Tube Cutting'!C17="","",Data!AY17)</f>
        <v/>
      </c>
      <c r="C17" s="18" t="str">
        <f>IF('Tube Cutting'!C17="","",'Job Sheet'!H17)</f>
        <v/>
      </c>
      <c r="D17" s="41" t="str">
        <f>IF('Tube Cutting'!C17="","",'Job Sheet'!I17)</f>
        <v/>
      </c>
      <c r="E17" s="41" t="str">
        <f>IF('Job Sheet'!P17="N/A","",IF('Tube Cutting'!C17="","",'Job Sheet'!P17))</f>
        <v/>
      </c>
      <c r="F17" s="41" t="str">
        <f>IF(Data!AW17="","",IF('Tube Cutting'!C17="","",IF(E17="None Required","",IFERROR(IF(E17=VLOOKUP(E17,RodBrackets,1,FALSE),VLOOKUP(E17,RodBrackets,2,FALSE)),IFERROR(VLOOKUP('Tube Cutting'!C17,Brackets,2,TRUE),"")))))</f>
        <v/>
      </c>
      <c r="G17" s="41" t="str">
        <f t="shared" si="0"/>
        <v/>
      </c>
      <c r="H17" s="41" t="str">
        <f>IF('Tube Cutting'!C17="","",'Job Sheet'!R17)</f>
        <v/>
      </c>
      <c r="I17" s="41" t="str">
        <f>IF('Tube Cutting'!C17="","",'Job Sheet'!T17)</f>
        <v/>
      </c>
      <c r="J17" s="41" t="str">
        <f>IF(OR('Tube Cutting'!C17="",I17="None"),"",IF(AND(OR('Job Sheet'!H17="Streamline Hand Operation",'Job Sheet'!H17="Wavefold Hand Operation",'Job Sheet'!H17="System 20 Light Commercial Track Hand Drawn"),OR('Job Sheet'!L17="Single Panel - Right Stacking",'Job Sheet'!L17="Single Panel - Left Stacking")),"1",IF(AND(OR('Job Sheet'!H17="Streamline Hand Operation",'Job Sheet'!H17="Wavefold Hand Operation",'Job Sheet'!H17="System 20 Light Commercial Track Hand Drawn"),OR('Job Sheet'!L17="Single Panel - Free Flowing",'Job Sheet'!L17="Centre Opening",'Job Sheet'!L17="Centre Opening (Offset Split)")),"2",IF(AND(OR('Job Sheet'!H17="Streamline Hand Operation",'Job Sheet'!H17="Wavefold Hand Operation",'Job Sheet'!H17="System 20 Light Commercial Track Hand Drawn"),OR('Job Sheet'!L17="Centre Opening - Free Flowing",'Job Sheet'!L17="Centre Opening - Free Flowing (Offset Split)")),"4",""))))</f>
        <v/>
      </c>
      <c r="K17" s="41" t="str">
        <f>IF('Tube Cutting'!C17="","",'Job Sheet'!U17)</f>
        <v/>
      </c>
      <c r="L17" s="41" t="str">
        <f>IF(A17="","",IFERROR(IF(CONCATENATE(C17,E17,'Job Sheet'!Q17)=VLOOKUP(CONCATENATE(C17,E17,'Job Sheet'!Q17),WavefoldReturns,1,FALSE),VLOOKUP(CONCATENATE(C17,E17,'Job Sheet'!Q17),WavefoldReturns,2,FALSE)),""))</f>
        <v/>
      </c>
      <c r="M17" s="41" t="str">
        <f>IF('Tube Cutting'!C17="","",'Job Sheet'!AK17)</f>
        <v/>
      </c>
      <c r="N17" s="157" t="str">
        <f t="shared" si="1"/>
        <v/>
      </c>
    </row>
    <row r="18" spans="1:14" s="36" customFormat="1" ht="60" customHeight="1">
      <c r="A18" s="119" t="str">
        <f>IF('Tube Cutting'!C18="","",Data!AW18)</f>
        <v/>
      </c>
      <c r="B18" s="18" t="str">
        <f>IF('Tube Cutting'!C18="","",Data!AY18)</f>
        <v/>
      </c>
      <c r="C18" s="18" t="str">
        <f>IF('Tube Cutting'!C18="","",'Job Sheet'!H18)</f>
        <v/>
      </c>
      <c r="D18" s="41" t="str">
        <f>IF('Tube Cutting'!C18="","",'Job Sheet'!I18)</f>
        <v/>
      </c>
      <c r="E18" s="41" t="str">
        <f>IF('Job Sheet'!P18="N/A","",IF('Tube Cutting'!C18="","",'Job Sheet'!P18))</f>
        <v/>
      </c>
      <c r="F18" s="41" t="str">
        <f>IF(Data!AW18="","",IF('Tube Cutting'!C18="","",IF(E18="None Required","",IFERROR(IF(E18=VLOOKUP(E18,RodBrackets,1,FALSE),VLOOKUP(E18,RodBrackets,2,FALSE)),IFERROR(VLOOKUP('Tube Cutting'!C18,Brackets,2,TRUE),"")))))</f>
        <v/>
      </c>
      <c r="G18" s="41" t="str">
        <f t="shared" si="0"/>
        <v/>
      </c>
      <c r="H18" s="41" t="str">
        <f>IF('Tube Cutting'!C18="","",'Job Sheet'!R18)</f>
        <v/>
      </c>
      <c r="I18" s="41" t="str">
        <f>IF('Tube Cutting'!C18="","",'Job Sheet'!T18)</f>
        <v/>
      </c>
      <c r="J18" s="41" t="str">
        <f>IF(OR('Tube Cutting'!C18="",I18="None"),"",IF(AND(OR('Job Sheet'!H18="Streamline Hand Operation",'Job Sheet'!H18="Wavefold Hand Operation",'Job Sheet'!H18="System 20 Light Commercial Track Hand Drawn"),OR('Job Sheet'!L18="Single Panel - Right Stacking",'Job Sheet'!L18="Single Panel - Left Stacking")),"1",IF(AND(OR('Job Sheet'!H18="Streamline Hand Operation",'Job Sheet'!H18="Wavefold Hand Operation",'Job Sheet'!H18="System 20 Light Commercial Track Hand Drawn"),OR('Job Sheet'!L18="Single Panel - Free Flowing",'Job Sheet'!L18="Centre Opening",'Job Sheet'!L18="Centre Opening (Offset Split)")),"2",IF(AND(OR('Job Sheet'!H18="Streamline Hand Operation",'Job Sheet'!H18="Wavefold Hand Operation",'Job Sheet'!H18="System 20 Light Commercial Track Hand Drawn"),OR('Job Sheet'!L18="Centre Opening - Free Flowing",'Job Sheet'!L18="Centre Opening - Free Flowing (Offset Split)")),"4",""))))</f>
        <v/>
      </c>
      <c r="K18" s="41" t="str">
        <f>IF('Tube Cutting'!C18="","",'Job Sheet'!U18)</f>
        <v/>
      </c>
      <c r="L18" s="41" t="str">
        <f>IF(A18="","",IFERROR(IF(CONCATENATE(C18,E18,'Job Sheet'!Q18)=VLOOKUP(CONCATENATE(C18,E18,'Job Sheet'!Q18),WavefoldReturns,1,FALSE),VLOOKUP(CONCATENATE(C18,E18,'Job Sheet'!Q18),WavefoldReturns,2,FALSE)),""))</f>
        <v/>
      </c>
      <c r="M18" s="41" t="str">
        <f>IF('Tube Cutting'!C18="","",'Job Sheet'!AK18)</f>
        <v/>
      </c>
      <c r="N18" s="157" t="str">
        <f t="shared" si="1"/>
        <v/>
      </c>
    </row>
    <row r="19" spans="1:14" ht="60" customHeight="1">
      <c r="A19" s="119" t="str">
        <f>IF('Tube Cutting'!C19="","",Data!AW19)</f>
        <v/>
      </c>
      <c r="B19" s="18" t="str">
        <f>IF('Tube Cutting'!C19="","",Data!AY19)</f>
        <v/>
      </c>
      <c r="C19" s="18" t="str">
        <f>IF('Tube Cutting'!C19="","",'Job Sheet'!H19)</f>
        <v/>
      </c>
      <c r="D19" s="41" t="str">
        <f>IF('Tube Cutting'!C19="","",'Job Sheet'!I19)</f>
        <v/>
      </c>
      <c r="E19" s="41" t="str">
        <f>IF('Job Sheet'!P19="N/A","",IF('Tube Cutting'!C19="","",'Job Sheet'!P19))</f>
        <v/>
      </c>
      <c r="F19" s="41" t="str">
        <f>IF(Data!AW19="","",IF('Tube Cutting'!C19="","",IF(E19="None Required","",IFERROR(IF(E19=VLOOKUP(E19,RodBrackets,1,FALSE),VLOOKUP(E19,RodBrackets,2,FALSE)),IFERROR(VLOOKUP('Tube Cutting'!C19,Brackets,2,TRUE),"")))))</f>
        <v/>
      </c>
      <c r="G19" s="41" t="str">
        <f t="shared" si="0"/>
        <v/>
      </c>
      <c r="H19" s="41" t="str">
        <f>IF('Tube Cutting'!C19="","",'Job Sheet'!R19)</f>
        <v/>
      </c>
      <c r="I19" s="41" t="str">
        <f>IF('Tube Cutting'!C19="","",'Job Sheet'!T19)</f>
        <v/>
      </c>
      <c r="J19" s="41" t="str">
        <f>IF(OR('Tube Cutting'!C19="",I19="None"),"",IF(AND(OR('Job Sheet'!H19="Streamline Hand Operation",'Job Sheet'!H19="Wavefold Hand Operation",'Job Sheet'!H19="System 20 Light Commercial Track Hand Drawn"),OR('Job Sheet'!L19="Single Panel - Right Stacking",'Job Sheet'!L19="Single Panel - Left Stacking")),"1",IF(AND(OR('Job Sheet'!H19="Streamline Hand Operation",'Job Sheet'!H19="Wavefold Hand Operation",'Job Sheet'!H19="System 20 Light Commercial Track Hand Drawn"),OR('Job Sheet'!L19="Single Panel - Free Flowing",'Job Sheet'!L19="Centre Opening",'Job Sheet'!L19="Centre Opening (Offset Split)")),"2",IF(AND(OR('Job Sheet'!H19="Streamline Hand Operation",'Job Sheet'!H19="Wavefold Hand Operation",'Job Sheet'!H19="System 20 Light Commercial Track Hand Drawn"),OR('Job Sheet'!L19="Centre Opening - Free Flowing",'Job Sheet'!L19="Centre Opening - Free Flowing (Offset Split)")),"4",""))))</f>
        <v/>
      </c>
      <c r="K19" s="41" t="str">
        <f>IF('Tube Cutting'!C19="","",'Job Sheet'!U19)</f>
        <v/>
      </c>
      <c r="L19" s="41" t="str">
        <f>IF(A19="","",IFERROR(IF(CONCATENATE(C19,E19,'Job Sheet'!Q19)=VLOOKUP(CONCATENATE(C19,E19,'Job Sheet'!Q19),WavefoldReturns,1,FALSE),VLOOKUP(CONCATENATE(C19,E19,'Job Sheet'!Q19),WavefoldReturns,2,FALSE)),""))</f>
        <v/>
      </c>
      <c r="M19" s="41" t="str">
        <f>IF('Tube Cutting'!C19="","",'Job Sheet'!AK19)</f>
        <v/>
      </c>
      <c r="N19" s="157" t="str">
        <f t="shared" si="1"/>
        <v/>
      </c>
    </row>
    <row r="20" spans="1:14" ht="60" customHeight="1">
      <c r="A20" s="119" t="str">
        <f>IF('Tube Cutting'!C20="","",Data!AW20)</f>
        <v/>
      </c>
      <c r="B20" s="18" t="str">
        <f>IF('Tube Cutting'!C20="","",Data!AY20)</f>
        <v/>
      </c>
      <c r="C20" s="18" t="str">
        <f>IF('Tube Cutting'!C20="","",'Job Sheet'!H20)</f>
        <v/>
      </c>
      <c r="D20" s="41" t="str">
        <f>IF('Tube Cutting'!C20="","",'Job Sheet'!I20)</f>
        <v/>
      </c>
      <c r="E20" s="41" t="str">
        <f>IF('Job Sheet'!P20="N/A","",IF('Tube Cutting'!C20="","",'Job Sheet'!P20))</f>
        <v/>
      </c>
      <c r="F20" s="41" t="str">
        <f>IF(Data!AW20="","",IF('Tube Cutting'!C20="","",IF(E20="None Required","",IFERROR(IF(E20=VLOOKUP(E20,RodBrackets,1,FALSE),VLOOKUP(E20,RodBrackets,2,FALSE)),IFERROR(VLOOKUP('Tube Cutting'!C20,Brackets,2,TRUE),"")))))</f>
        <v/>
      </c>
      <c r="G20" s="41" t="str">
        <f t="shared" si="0"/>
        <v/>
      </c>
      <c r="H20" s="41" t="str">
        <f>IF('Tube Cutting'!C20="","",'Job Sheet'!R20)</f>
        <v/>
      </c>
      <c r="I20" s="41" t="str">
        <f>IF('Tube Cutting'!C20="","",'Job Sheet'!T20)</f>
        <v/>
      </c>
      <c r="J20" s="41" t="str">
        <f>IF(OR('Tube Cutting'!C20="",I20="None"),"",IF(AND(OR('Job Sheet'!H20="Streamline Hand Operation",'Job Sheet'!H20="Wavefold Hand Operation",'Job Sheet'!H20="System 20 Light Commercial Track Hand Drawn"),OR('Job Sheet'!L20="Single Panel - Right Stacking",'Job Sheet'!L20="Single Panel - Left Stacking")),"1",IF(AND(OR('Job Sheet'!H20="Streamline Hand Operation",'Job Sheet'!H20="Wavefold Hand Operation",'Job Sheet'!H20="System 20 Light Commercial Track Hand Drawn"),OR('Job Sheet'!L20="Single Panel - Free Flowing",'Job Sheet'!L20="Centre Opening",'Job Sheet'!L20="Centre Opening (Offset Split)")),"2",IF(AND(OR('Job Sheet'!H20="Streamline Hand Operation",'Job Sheet'!H20="Wavefold Hand Operation",'Job Sheet'!H20="System 20 Light Commercial Track Hand Drawn"),OR('Job Sheet'!L20="Centre Opening - Free Flowing",'Job Sheet'!L20="Centre Opening - Free Flowing (Offset Split)")),"4",""))))</f>
        <v/>
      </c>
      <c r="K20" s="41" t="str">
        <f>IF('Tube Cutting'!C20="","",'Job Sheet'!U20)</f>
        <v/>
      </c>
      <c r="L20" s="41" t="str">
        <f>IF(A20="","",IFERROR(IF(CONCATENATE(C20,E20,'Job Sheet'!Q20)=VLOOKUP(CONCATENATE(C20,E20,'Job Sheet'!Q20),WavefoldReturns,1,FALSE),VLOOKUP(CONCATENATE(C20,E20,'Job Sheet'!Q20),WavefoldReturns,2,FALSE)),""))</f>
        <v/>
      </c>
      <c r="M20" s="41" t="str">
        <f>IF('Tube Cutting'!C20="","",'Job Sheet'!AK20)</f>
        <v/>
      </c>
      <c r="N20" s="157" t="str">
        <f t="shared" si="1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99.9" customHeight="1"/>
    <row r="32" ht="99.9" customHeight="1"/>
    <row r="33" ht="99.9" customHeight="1"/>
    <row r="34" ht="99.9" customHeight="1"/>
    <row r="35" ht="99.9" customHeight="1"/>
    <row r="36" ht="99.9" customHeight="1"/>
    <row r="37" ht="99.9" customHeight="1"/>
    <row r="38" ht="99.9" customHeight="1"/>
    <row r="39" ht="99.9" customHeight="1"/>
    <row r="40" ht="99.9" customHeight="1"/>
    <row r="41" ht="99.9" customHeight="1"/>
    <row r="42" ht="99.9" customHeight="1"/>
    <row r="43" ht="99.9" customHeight="1"/>
    <row r="44" ht="99.9" customHeight="1"/>
    <row r="45" ht="99.9" customHeight="1"/>
    <row r="46" ht="99.9" customHeight="1"/>
    <row r="47" ht="99.9" customHeight="1"/>
    <row r="48" ht="99.9" customHeight="1"/>
    <row r="49" ht="99.9" customHeight="1"/>
    <row r="50" ht="99.9" customHeight="1"/>
    <row r="51" ht="99.9" customHeight="1"/>
    <row r="52" ht="99.9" customHeight="1"/>
    <row r="53" ht="99.9" customHeight="1"/>
    <row r="54" ht="99.9" customHeight="1"/>
    <row r="55" ht="99.9" customHeight="1"/>
    <row r="56" ht="99.9" customHeight="1"/>
    <row r="57" ht="99.9" customHeight="1"/>
    <row r="58" ht="99.9" customHeight="1"/>
    <row r="59" ht="99.9" customHeight="1"/>
    <row r="60" ht="99.9" customHeight="1"/>
    <row r="61" ht="99.9" customHeight="1"/>
    <row r="62" ht="99.9" customHeight="1"/>
    <row r="63" ht="99.9" customHeight="1"/>
    <row r="64" ht="99.9" customHeight="1"/>
    <row r="65" ht="99.9" customHeight="1"/>
    <row r="66" ht="99.9" customHeight="1"/>
    <row r="67" ht="99.9" customHeight="1"/>
    <row r="68" ht="99.9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</sheetData>
  <sheetProtection formatCells="0" formatRows="0" insertColumns="0" insertRows="0"/>
  <mergeCells count="36">
    <mergeCell ref="L2:N2"/>
    <mergeCell ref="A1:N1"/>
    <mergeCell ref="G7:K7"/>
    <mergeCell ref="A6:D7"/>
    <mergeCell ref="A2:B2"/>
    <mergeCell ref="G2:K2"/>
    <mergeCell ref="G3:K3"/>
    <mergeCell ref="G4:K4"/>
    <mergeCell ref="G5:K5"/>
    <mergeCell ref="G6:K6"/>
    <mergeCell ref="C5:D5"/>
    <mergeCell ref="C4:D4"/>
    <mergeCell ref="C3:D3"/>
    <mergeCell ref="C2:D2"/>
    <mergeCell ref="E5:F7"/>
    <mergeCell ref="K8:K10"/>
    <mergeCell ref="L8:L10"/>
    <mergeCell ref="G8:G10"/>
    <mergeCell ref="L3:N7"/>
    <mergeCell ref="N8:N10"/>
    <mergeCell ref="M8:M10"/>
    <mergeCell ref="J8:J10"/>
    <mergeCell ref="C8:C10"/>
    <mergeCell ref="A5:B5"/>
    <mergeCell ref="I8:I10"/>
    <mergeCell ref="E2:F2"/>
    <mergeCell ref="A3:B3"/>
    <mergeCell ref="E3:F3"/>
    <mergeCell ref="A4:B4"/>
    <mergeCell ref="E4:F4"/>
    <mergeCell ref="A8:A10"/>
    <mergeCell ref="B8:B10"/>
    <mergeCell ref="H8:H10"/>
    <mergeCell ref="D8:D10"/>
    <mergeCell ref="F8:F10"/>
    <mergeCell ref="E8:E10"/>
  </mergeCells>
  <printOptions horizontalCentered="1"/>
  <pageMargins left="0.563779527559072" right="0.563779527559072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74F8-C46E-41C8-806C-53982CA6CDFE}">
  <sheetPr codeName="JobSheet2">
    <pageSetUpPr fitToPage="1"/>
  </sheetPr>
  <dimension ref="A1:T174"/>
  <sheetViews>
    <sheetView showZeros="0" view="pageBreakPreview" zoomScale="40" zoomScaleNormal="25" zoomScaleSheetLayoutView="40" zoomScalePageLayoutView="25" workbookViewId="0" topLeftCell="A2">
      <selection pane="topLeft" activeCell="B10" sqref="B10"/>
    </sheetView>
  </sheetViews>
  <sheetFormatPr defaultColWidth="9.44140625" defaultRowHeight="39.9" customHeight="1"/>
  <cols>
    <col min="1" max="1" width="12.7142857142857" style="60" customWidth="1"/>
    <col min="2" max="2" width="30.5714285714286" style="60" customWidth="1"/>
    <col min="3" max="3" width="41.4285714285714" style="60" customWidth="1"/>
    <col min="4" max="4" width="27.8571428571429" style="60" customWidth="1"/>
    <col min="5" max="5" width="28.4285714285714" style="60" customWidth="1"/>
    <col min="6" max="6" width="18" style="60" customWidth="1"/>
    <col min="7" max="7" width="25.7142857142857" style="60" customWidth="1"/>
    <col min="8" max="8" width="33.5714285714286" style="60" customWidth="1"/>
    <col min="9" max="9" width="24.4285714285714" style="60" customWidth="1"/>
    <col min="10" max="10" width="24.2857142857143" style="61" customWidth="1"/>
    <col min="11" max="11" width="27.7142857142857" style="61" customWidth="1"/>
    <col min="12" max="12" width="28" style="60" customWidth="1"/>
    <col min="13" max="13" width="29.8571428571429" style="60" customWidth="1"/>
    <col min="14" max="14" width="18.2857142857143" style="60" customWidth="1"/>
    <col min="15" max="15" width="23.1428571428571" style="60" customWidth="1"/>
    <col min="16" max="16" width="27.8571428571429" style="60" customWidth="1"/>
    <col min="17" max="17" width="17.4285714285714" style="60" customWidth="1"/>
    <col min="18" max="18" width="26.5714285714286" style="60" customWidth="1"/>
    <col min="19" max="19" width="22.7142857142857" customWidth="1"/>
    <col min="20" max="20" width="58.8571428571429" customWidth="1"/>
  </cols>
  <sheetData>
    <row r="1" spans="1:20" s="29" customFormat="1" ht="219" customHeight="1">
      <c r="A1" s="215" t="s">
        <v>301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</row>
    <row r="2" spans="1:20" s="29" customFormat="1" ht="71.85" customHeight="1">
      <c r="A2" s="215" t="str">
        <f>IF('Tube Cutting'!A6="Brax Retail","Brax Window Treatments","Davidson's Blinds &amp; Shutters")</f>
        <v>Davidson's Blinds &amp; Shutters</v>
      </c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</row>
    <row r="3" spans="1:20" s="29" customFormat="1" ht="80.25" customHeight="1">
      <c r="A3" s="218" t="str">
        <f>IF(Data!BA11="","",IF('Tube Cutting'!A6="","","Please Deliver Tapes To "))</f>
        <v>Please Deliver Tapes To </v>
      </c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 t="str">
        <f>IF(Data!BA11="","",IF('Tube Cutting'!A6="","",VLOOKUP("CURTMAKING",Data!CI:CJ,2,FALSE)))</f>
        <v>Jenny's Curtains - 9 Whitehills Rd, Creswick, Vic, 3363</v>
      </c>
      <c r="N3" s="217"/>
      <c r="O3" s="217"/>
      <c r="P3" s="217"/>
      <c r="Q3" s="217"/>
      <c r="R3" s="217"/>
      <c r="S3" s="217"/>
      <c r="T3" s="217"/>
    </row>
    <row r="4" spans="1:20" s="45" customFormat="1" ht="50.1" customHeight="1">
      <c r="A4" s="219" t="s">
        <v>7</v>
      </c>
      <c r="B4" s="219"/>
      <c r="C4" s="220"/>
      <c r="D4" s="220"/>
      <c r="E4" s="220" t="s">
        <v>118</v>
      </c>
      <c r="F4" s="220"/>
      <c r="G4" s="220"/>
      <c r="H4" s="221" t="str">
        <f>Data!BF5</f>
        <v>Symons, Dianne</v>
      </c>
      <c r="I4" s="221"/>
      <c r="J4" s="221"/>
      <c r="K4" s="221"/>
      <c r="L4" s="221"/>
      <c r="M4" s="209" t="s">
        <v>4</v>
      </c>
      <c r="N4" s="210"/>
      <c r="O4" s="210"/>
      <c r="P4" s="210"/>
      <c r="Q4" s="210"/>
      <c r="R4" s="210"/>
      <c r="S4" s="210"/>
      <c r="T4" s="211"/>
    </row>
    <row r="5" spans="1:20" s="45" customFormat="1" ht="50.1" customHeight="1">
      <c r="A5" s="7" t="s">
        <v>144</v>
      </c>
      <c r="B5" s="7"/>
      <c r="C5" s="3" t="str">
        <f>Data!BC5</f>
        <v>12027</v>
      </c>
      <c r="D5" s="3"/>
      <c r="E5" s="177" t="s">
        <v>8</v>
      </c>
      <c r="F5" s="177"/>
      <c r="G5" s="177"/>
      <c r="H5" s="195" t="str">
        <f>Data!AX5</f>
        <v>Curtains</v>
      </c>
      <c r="I5" s="13"/>
      <c r="J5" s="13"/>
      <c r="K5" s="13"/>
      <c r="L5" s="13"/>
      <c r="M5" s="200" t="str">
        <f>TRIM(Data!BG5)</f>
        <v/>
      </c>
      <c r="N5" s="201"/>
      <c r="O5" s="201"/>
      <c r="P5" s="201"/>
      <c r="Q5" s="201"/>
      <c r="R5" s="201"/>
      <c r="S5" s="201"/>
      <c r="T5" s="202"/>
    </row>
    <row r="6" spans="1:20" s="46" customFormat="1" ht="50.1" customHeight="1">
      <c r="A6" s="8" t="s">
        <v>15</v>
      </c>
      <c r="B6" s="8"/>
      <c r="C6" s="3" t="str">
        <f>Data!BD5</f>
        <v>C</v>
      </c>
      <c r="D6" s="3"/>
      <c r="E6" s="177" t="s">
        <v>137</v>
      </c>
      <c r="F6" s="177"/>
      <c r="G6" s="177"/>
      <c r="H6" s="195" t="str">
        <f>Data!BA5</f>
        <v>20/10/2026 12:00:00 AM</v>
      </c>
      <c r="I6" s="13"/>
      <c r="J6" s="13"/>
      <c r="K6" s="13"/>
      <c r="L6" s="13"/>
      <c r="M6" s="206"/>
      <c r="N6" s="207"/>
      <c r="O6" s="207"/>
      <c r="P6" s="207"/>
      <c r="Q6" s="207"/>
      <c r="R6" s="207"/>
      <c r="S6" s="207"/>
      <c r="T6" s="208"/>
    </row>
    <row r="7" spans="1:20" s="46" customFormat="1" ht="50.1" customHeight="1">
      <c r="A7" s="222" t="s">
        <v>143</v>
      </c>
      <c r="B7" s="193" t="s">
        <v>120</v>
      </c>
      <c r="C7" s="12" t="s">
        <v>194</v>
      </c>
      <c r="D7" s="12" t="s">
        <v>594</v>
      </c>
      <c r="E7" s="12" t="s">
        <v>595</v>
      </c>
      <c r="F7" s="12" t="s">
        <v>11</v>
      </c>
      <c r="G7" s="12" t="s">
        <v>252</v>
      </c>
      <c r="H7" s="12" t="s">
        <v>168</v>
      </c>
      <c r="I7" s="193" t="s">
        <v>596</v>
      </c>
      <c r="J7" s="193" t="s">
        <v>597</v>
      </c>
      <c r="K7" s="193" t="s">
        <v>179</v>
      </c>
      <c r="L7" s="193" t="s">
        <v>605</v>
      </c>
      <c r="M7" s="12" t="s">
        <v>142</v>
      </c>
      <c r="N7" s="12" t="s">
        <v>235</v>
      </c>
      <c r="O7" s="193" t="s">
        <v>215</v>
      </c>
      <c r="P7" s="193" t="s">
        <v>184</v>
      </c>
      <c r="Q7" s="193" t="s">
        <v>164</v>
      </c>
      <c r="R7" s="193" t="s">
        <v>186</v>
      </c>
      <c r="S7" s="193" t="s">
        <v>165</v>
      </c>
      <c r="T7" s="12" t="s">
        <v>5</v>
      </c>
    </row>
    <row r="8" spans="1:20" s="46" customFormat="1" ht="14.25" customHeight="1" hidden="1">
      <c r="A8" s="222"/>
      <c r="B8" s="193"/>
      <c r="C8" s="12"/>
      <c r="D8" s="12"/>
      <c r="E8" s="12"/>
      <c r="F8" s="12"/>
      <c r="G8" s="12"/>
      <c r="H8" s="12"/>
      <c r="I8" s="193"/>
      <c r="J8" s="193"/>
      <c r="K8" s="193"/>
      <c r="L8" s="193"/>
      <c r="M8" s="12"/>
      <c r="N8" s="12"/>
      <c r="O8" s="193"/>
      <c r="P8" s="193"/>
      <c r="Q8" s="193"/>
      <c r="R8" s="193"/>
      <c r="S8" s="193"/>
      <c r="T8" s="12"/>
    </row>
    <row r="9" spans="1:20" s="68" customFormat="1" ht="109.5" customHeight="1">
      <c r="A9" s="222"/>
      <c r="B9" s="193"/>
      <c r="C9" s="12"/>
      <c r="D9" s="12"/>
      <c r="E9" s="12"/>
      <c r="F9" s="12"/>
      <c r="G9" s="12"/>
      <c r="H9" s="12"/>
      <c r="I9" s="193"/>
      <c r="J9" s="193"/>
      <c r="K9" s="193"/>
      <c r="L9" s="193"/>
      <c r="M9" s="12"/>
      <c r="N9" s="12"/>
      <c r="O9" s="193"/>
      <c r="P9" s="193"/>
      <c r="Q9" s="193"/>
      <c r="R9" s="193"/>
      <c r="S9" s="193"/>
      <c r="T9" s="12"/>
    </row>
    <row r="10" spans="1:20" s="69" customFormat="1" ht="60" customHeight="1">
      <c r="A10" s="17">
        <f>IF(OR('Job Sheet'!H11="No Track",'Job Sheet'!H11="No Rod"),"",'Job Sheet'!A11)</f>
        <v>5</v>
      </c>
      <c r="B10" s="18" t="str">
        <f>IF(A10="","",IF('Job Sheet'!H11="No Track","",IF('Job Sheet'!AU11&lt;20000,"",IF('Job Sheet'!H11="No Rod","",IF(C10="","",'Job Sheet'!B11)))))</f>
        <v/>
      </c>
      <c r="C10" s="41" t="str">
        <f>IF(Data!BA11="","",IF('Job Sheet'!AI11="Track from TBS",'Job Sheet'!H11,IF('Job Sheet'!AI11="Track from Vanda",'Job Sheet'!H11,"")))</f>
        <v/>
      </c>
      <c r="D10" s="41" t="str">
        <f>IF(C10="","",'Job Sheet'!I11)</f>
        <v/>
      </c>
      <c r="E10" s="40" t="str">
        <f>IF(C10="","",'Job Sheet'!G11)</f>
        <v/>
      </c>
      <c r="F10" s="41" t="str">
        <f>IF(C10="","",'Job Sheet'!J11)</f>
        <v/>
      </c>
      <c r="G10" s="41" t="str">
        <f>IF(C10="","",'Job Sheet'!O11)</f>
        <v/>
      </c>
      <c r="H10" s="41" t="str">
        <f>IF(C10="","",'Job Sheet'!L11)</f>
        <v/>
      </c>
      <c r="I10" s="41" t="str">
        <f>IF(OR(C10="",'Job Sheet'!M11=""),"",IF('Job Sheet'!E11="Opening",'Job Sheet'!M11-VLOOKUP(CONCATENATE('Job Sheet'!U11,'Job Sheet'!V11),BAY,3,FALSE),'Job Sheet'!M11))</f>
        <v/>
      </c>
      <c r="J10" s="41" t="str">
        <f>IF(OR(C10="",'Job Sheet'!N11=""),"",IF('Job Sheet'!E11="Opening",'Job Sheet'!N11-VLOOKUP(CONCATENATE('Job Sheet'!U11,'Job Sheet'!V11),BAY,3,FALSE),'Job Sheet'!N11))</f>
        <v/>
      </c>
      <c r="K10" s="41" t="str">
        <f>IF(C10="","",'Job Sheet'!P11)</f>
        <v/>
      </c>
      <c r="L10" s="41" t="str">
        <f>IF(A10="","",IFERROR(IF(CONCATENATE(C10,K10,'Job Sheet'!Q11)=VLOOKUP(CONCATENATE(C10,K10,'Job Sheet'!Q11),WavefoldReturns,1,FALSE),VLOOKUP(CONCATENATE(C10,K10,'Job Sheet'!Q11),WavefoldReturns,2,FALSE)),""))</f>
        <v/>
      </c>
      <c r="M10" s="41" t="str">
        <f>IF(C10="","",'Job Sheet'!K11)</f>
        <v/>
      </c>
      <c r="N10" s="41" t="str">
        <f>IF(C10="","",'Job Sheet'!R11)</f>
        <v/>
      </c>
      <c r="O10" s="41" t="str">
        <f>IF(C10="","",'Job Sheet'!S11)</f>
        <v/>
      </c>
      <c r="P10" s="41" t="str">
        <f>IF(C10="","",'Job Sheet'!T11)</f>
        <v/>
      </c>
      <c r="Q10" s="41" t="str">
        <f>IF(C10="","",IF(OR('Job Sheet'!L11="Single Panel - Right Stacking",'Job Sheet'!L11="Single Panel - Right Stacking"),"1",IF(OR('Job Sheet'!L11="Single Panel - Free Flowing",'Job Sheet'!L11="Centre Opening"),"2",IF('Job Sheet'!L11="Centre Opening - Free Flowing","4",""))))</f>
        <v/>
      </c>
      <c r="R10" s="41" t="str">
        <f>IF(C10="","",'Job Sheet'!U11)</f>
        <v/>
      </c>
      <c r="S10" s="41" t="str">
        <f>IF(C10="","",'Job Sheet'!V11)</f>
        <v/>
      </c>
      <c r="T10" s="41" t="str">
        <f>IF(C10="","",'Job Sheet'!AK11)</f>
        <v/>
      </c>
    </row>
    <row r="11" spans="1:20" s="69" customFormat="1" ht="60" customHeight="1">
      <c r="A11" s="17">
        <f>IF(OR('Job Sheet'!H12="No Track",'Job Sheet'!H12="No Rod"),"",'Job Sheet'!A12)</f>
        <v>0</v>
      </c>
      <c r="B11" s="18" t="str">
        <f>IF(A11="","",IF('Job Sheet'!H12="No Track","",IF('Job Sheet'!AU12&lt;20000,"",IF('Job Sheet'!H12="No Rod","",IF(C11="","",'Job Sheet'!B12)))))</f>
        <v/>
      </c>
      <c r="C11" s="41" t="str">
        <f>IF(Data!BA12="","",IF('Job Sheet'!AI12="Track from TBS",'Job Sheet'!H12,IF('Job Sheet'!AI12="Track from Vanda",'Job Sheet'!H12,"")))</f>
        <v/>
      </c>
      <c r="D11" s="41" t="str">
        <f>IF(C11="","",'Job Sheet'!I12)</f>
        <v/>
      </c>
      <c r="E11" s="40" t="str">
        <f>IF(C11="","",'Job Sheet'!G12)</f>
        <v/>
      </c>
      <c r="F11" s="41" t="str">
        <f>IF(C11="","",'Job Sheet'!J12)</f>
        <v/>
      </c>
      <c r="G11" s="41" t="str">
        <f>IF(C11="","",'Job Sheet'!O12)</f>
        <v/>
      </c>
      <c r="H11" s="41" t="str">
        <f>IF(C11="","",'Job Sheet'!L12)</f>
        <v/>
      </c>
      <c r="I11" s="41" t="str">
        <f>IF(OR(C11="",'Job Sheet'!M12=""),"",IF('Job Sheet'!E12="Opening",'Job Sheet'!M12-VLOOKUP(CONCATENATE('Job Sheet'!U12,'Job Sheet'!V12),BAY,3,FALSE),'Job Sheet'!M12))</f>
        <v/>
      </c>
      <c r="J11" s="41" t="str">
        <f>IF(OR(C11="",'Job Sheet'!N12=""),"",IF('Job Sheet'!E12="Opening",'Job Sheet'!N12-VLOOKUP(CONCATENATE('Job Sheet'!U12,'Job Sheet'!V12),BAY,3,FALSE),'Job Sheet'!N12))</f>
        <v/>
      </c>
      <c r="K11" s="41" t="str">
        <f>IF(C11="","",'Job Sheet'!P12)</f>
        <v/>
      </c>
      <c r="L11" s="41" t="str">
        <f>IF(A11="","",IFERROR(IF(CONCATENATE(C11,K11,'Job Sheet'!Q12)=VLOOKUP(CONCATENATE(C11,K11,'Job Sheet'!Q12),WavefoldReturns,1,FALSE),VLOOKUP(CONCATENATE(C11,K11,'Job Sheet'!Q12),WavefoldReturns,2,FALSE)),""))</f>
        <v/>
      </c>
      <c r="M11" s="41" t="str">
        <f>IF(C11="","",'Job Sheet'!K12)</f>
        <v/>
      </c>
      <c r="N11" s="41" t="str">
        <f>IF(C11="","",'Job Sheet'!R12)</f>
        <v/>
      </c>
      <c r="O11" s="41" t="str">
        <f>IF(C11="","",'Job Sheet'!S12)</f>
        <v/>
      </c>
      <c r="P11" s="41" t="str">
        <f>IF(C11="","",'Job Sheet'!T12)</f>
        <v/>
      </c>
      <c r="Q11" s="41" t="str">
        <f>IF(C11="","",IF(OR('Job Sheet'!L12="Single Panel - Right Stacking",'Job Sheet'!L12="Single Panel - Right Stacking"),"1",IF(OR('Job Sheet'!L12="Single Panel - Free Flowing",'Job Sheet'!L12="Centre Opening"),"2",IF('Job Sheet'!L12="Centre Opening - Free Flowing","4",""))))</f>
        <v/>
      </c>
      <c r="R11" s="41" t="str">
        <f>IF(C11="","",'Job Sheet'!U12)</f>
        <v/>
      </c>
      <c r="S11" s="41" t="str">
        <f>IF(C11="","",'Job Sheet'!V12)</f>
        <v/>
      </c>
      <c r="T11" s="41" t="str">
        <f>IF(C11="","",'Job Sheet'!AK12)</f>
        <v/>
      </c>
    </row>
    <row r="12" spans="1:20" s="69" customFormat="1" ht="60" customHeight="1">
      <c r="A12" s="17">
        <f>IF(OR('Job Sheet'!H13="No Track",'Job Sheet'!H13="No Rod"),"",'Job Sheet'!A13)</f>
        <v>0</v>
      </c>
      <c r="B12" s="18" t="str">
        <f>IF(A12="","",IF('Job Sheet'!H13="No Track","",IF('Job Sheet'!AU13&lt;20000,"",IF('Job Sheet'!H13="No Rod","",IF(C12="","",'Job Sheet'!B13)))))</f>
        <v/>
      </c>
      <c r="C12" s="41" t="str">
        <f>IF(Data!BA13="","",IF('Job Sheet'!AI13="Track from TBS",'Job Sheet'!H13,IF('Job Sheet'!AI13="Track from Vanda",'Job Sheet'!H13,"")))</f>
        <v/>
      </c>
      <c r="D12" s="41" t="str">
        <f>IF(C12="","",'Job Sheet'!I13)</f>
        <v/>
      </c>
      <c r="E12" s="40" t="str">
        <f>IF(C12="","",'Job Sheet'!G13)</f>
        <v/>
      </c>
      <c r="F12" s="41" t="str">
        <f>IF(C12="","",'Job Sheet'!J13)</f>
        <v/>
      </c>
      <c r="G12" s="41" t="str">
        <f>IF(C12="","",'Job Sheet'!O13)</f>
        <v/>
      </c>
      <c r="H12" s="41" t="str">
        <f>IF(C12="","",'Job Sheet'!L13)</f>
        <v/>
      </c>
      <c r="I12" s="41" t="str">
        <f>IF(OR(C12="",'Job Sheet'!M13=""),"",IF('Job Sheet'!E13="Opening",'Job Sheet'!M13-VLOOKUP(CONCATENATE('Job Sheet'!U13,'Job Sheet'!V13),BAY,3,FALSE),'Job Sheet'!M13))</f>
        <v/>
      </c>
      <c r="J12" s="41" t="str">
        <f>IF(OR(C12="",'Job Sheet'!N13=""),"",IF('Job Sheet'!E13="Opening",'Job Sheet'!N13-VLOOKUP(CONCATENATE('Job Sheet'!U13,'Job Sheet'!V13),BAY,3,FALSE),'Job Sheet'!N13))</f>
        <v/>
      </c>
      <c r="K12" s="41" t="str">
        <f>IF(C12="","",'Job Sheet'!P13)</f>
        <v/>
      </c>
      <c r="L12" s="41" t="str">
        <f>IF(A12="","",IFERROR(IF(CONCATENATE(C12,K12,'Job Sheet'!Q13)=VLOOKUP(CONCATENATE(C12,K12,'Job Sheet'!Q13),WavefoldReturns,1,FALSE),VLOOKUP(CONCATENATE(C12,K12,'Job Sheet'!Q13),WavefoldReturns,2,FALSE)),""))</f>
        <v/>
      </c>
      <c r="M12" s="41" t="str">
        <f>IF(C12="","",'Job Sheet'!K13)</f>
        <v/>
      </c>
      <c r="N12" s="41" t="str">
        <f>IF(C12="","",'Job Sheet'!R13)</f>
        <v/>
      </c>
      <c r="O12" s="41" t="str">
        <f>IF(C12="","",'Job Sheet'!S13)</f>
        <v/>
      </c>
      <c r="P12" s="41" t="str">
        <f>IF(C12="","",'Job Sheet'!T13)</f>
        <v/>
      </c>
      <c r="Q12" s="41" t="str">
        <f>IF(C12="","",IF(OR('Job Sheet'!L13="Single Panel - Right Stacking",'Job Sheet'!L13="Single Panel - Right Stacking"),"1",IF(OR('Job Sheet'!L13="Single Panel - Free Flowing",'Job Sheet'!L13="Centre Opening"),"2",IF('Job Sheet'!L13="Centre Opening - Free Flowing","4",""))))</f>
        <v/>
      </c>
      <c r="R12" s="41" t="str">
        <f>IF(C12="","",'Job Sheet'!U13)</f>
        <v/>
      </c>
      <c r="S12" s="41" t="str">
        <f>IF(C12="","",'Job Sheet'!V13)</f>
        <v/>
      </c>
      <c r="T12" s="41" t="str">
        <f>IF(C12="","",'Job Sheet'!AK13)</f>
        <v/>
      </c>
    </row>
    <row r="13" spans="1:20" s="69" customFormat="1" ht="60" customHeight="1">
      <c r="A13" s="17">
        <f>IF(OR('Job Sheet'!H14="No Track",'Job Sheet'!H14="No Rod"),"",'Job Sheet'!A14)</f>
        <v>0</v>
      </c>
      <c r="B13" s="18" t="str">
        <f>IF(A13="","",IF('Job Sheet'!H14="No Track","",IF('Job Sheet'!AU14&lt;20000,"",IF('Job Sheet'!H14="No Rod","",IF(C13="","",'Job Sheet'!B14)))))</f>
        <v/>
      </c>
      <c r="C13" s="41" t="str">
        <f>IF(Data!BA14="","",IF('Job Sheet'!AI14="Track from TBS",'Job Sheet'!H14,IF('Job Sheet'!AI14="Track from Vanda",'Job Sheet'!H14,"")))</f>
        <v/>
      </c>
      <c r="D13" s="41" t="str">
        <f>IF(C13="","",'Job Sheet'!I14)</f>
        <v/>
      </c>
      <c r="E13" s="40" t="str">
        <f>IF(C13="","",'Job Sheet'!G14)</f>
        <v/>
      </c>
      <c r="F13" s="41" t="str">
        <f>IF(C13="","",'Job Sheet'!J14)</f>
        <v/>
      </c>
      <c r="G13" s="41" t="str">
        <f>IF(C13="","",'Job Sheet'!O14)</f>
        <v/>
      </c>
      <c r="H13" s="41" t="str">
        <f>IF(C13="","",'Job Sheet'!L14)</f>
        <v/>
      </c>
      <c r="I13" s="41" t="str">
        <f>IF(OR(C13="",'Job Sheet'!M14=""),"",IF('Job Sheet'!E14="Opening",'Job Sheet'!M14-VLOOKUP(CONCATENATE('Job Sheet'!U14,'Job Sheet'!V14),BAY,3,FALSE),'Job Sheet'!M14))</f>
        <v/>
      </c>
      <c r="J13" s="41" t="str">
        <f>IF(OR(C13="",'Job Sheet'!N14=""),"",IF('Job Sheet'!E14="Opening",'Job Sheet'!N14-VLOOKUP(CONCATENATE('Job Sheet'!U14,'Job Sheet'!V14),BAY,3,FALSE),'Job Sheet'!N14))</f>
        <v/>
      </c>
      <c r="K13" s="41" t="str">
        <f>IF(C13="","",'Job Sheet'!P14)</f>
        <v/>
      </c>
      <c r="L13" s="41" t="str">
        <f>IF(A13="","",IFERROR(IF(CONCATENATE(C13,K13,'Job Sheet'!Q14)=VLOOKUP(CONCATENATE(C13,K13,'Job Sheet'!Q14),WavefoldReturns,1,FALSE),VLOOKUP(CONCATENATE(C13,K13,'Job Sheet'!Q14),WavefoldReturns,2,FALSE)),""))</f>
        <v/>
      </c>
      <c r="M13" s="41" t="str">
        <f>IF(C13="","",'Job Sheet'!K14)</f>
        <v/>
      </c>
      <c r="N13" s="41" t="str">
        <f>IF(C13="","",'Job Sheet'!R14)</f>
        <v/>
      </c>
      <c r="O13" s="41" t="str">
        <f>IF(C13="","",'Job Sheet'!S14)</f>
        <v/>
      </c>
      <c r="P13" s="41" t="str">
        <f>IF(C13="","",'Job Sheet'!T14)</f>
        <v/>
      </c>
      <c r="Q13" s="41" t="str">
        <f>IF(C13="","",IF(OR('Job Sheet'!L14="Single Panel - Right Stacking",'Job Sheet'!L14="Single Panel - Right Stacking"),"1",IF(OR('Job Sheet'!L14="Single Panel - Free Flowing",'Job Sheet'!L14="Centre Opening"),"2",IF('Job Sheet'!L14="Centre Opening - Free Flowing","4",""))))</f>
        <v/>
      </c>
      <c r="R13" s="41" t="str">
        <f>IF(C13="","",'Job Sheet'!U14)</f>
        <v/>
      </c>
      <c r="S13" s="41" t="str">
        <f>IF(C13="","",'Job Sheet'!V14)</f>
        <v/>
      </c>
      <c r="T13" s="41" t="str">
        <f>IF(C13="","",'Job Sheet'!AK14)</f>
        <v/>
      </c>
    </row>
    <row r="14" spans="1:20" s="69" customFormat="1" ht="60" customHeight="1">
      <c r="A14" s="17">
        <f>IF(OR('Job Sheet'!H15="No Track",'Job Sheet'!H15="No Rod"),"",'Job Sheet'!A15)</f>
        <v>0</v>
      </c>
      <c r="B14" s="18" t="str">
        <f>IF(A14="","",IF('Job Sheet'!H15="No Track","",IF('Job Sheet'!AU15&lt;20000,"",IF('Job Sheet'!H15="No Rod","",IF(C14="","",'Job Sheet'!B15)))))</f>
        <v/>
      </c>
      <c r="C14" s="41" t="str">
        <f>IF(Data!BA15="","",IF('Job Sheet'!AI15="Track from TBS",'Job Sheet'!H15,IF('Job Sheet'!AI15="Track from Vanda",'Job Sheet'!H15,"")))</f>
        <v/>
      </c>
      <c r="D14" s="41" t="str">
        <f>IF(C14="","",'Job Sheet'!I15)</f>
        <v/>
      </c>
      <c r="E14" s="40" t="str">
        <f>IF(C14="","",'Job Sheet'!G15)</f>
        <v/>
      </c>
      <c r="F14" s="41" t="str">
        <f>IF(C14="","",'Job Sheet'!J15)</f>
        <v/>
      </c>
      <c r="G14" s="41" t="str">
        <f>IF(C14="","",'Job Sheet'!O15)</f>
        <v/>
      </c>
      <c r="H14" s="41" t="str">
        <f>IF(C14="","",'Job Sheet'!L15)</f>
        <v/>
      </c>
      <c r="I14" s="41" t="str">
        <f>IF(OR(C14="",'Job Sheet'!M15=""),"",IF('Job Sheet'!E15="Opening",'Job Sheet'!M15-VLOOKUP(CONCATENATE('Job Sheet'!U15,'Job Sheet'!V15),BAY,3,FALSE),'Job Sheet'!M15))</f>
        <v/>
      </c>
      <c r="J14" s="41" t="str">
        <f>IF(OR(C14="",'Job Sheet'!N15=""),"",IF('Job Sheet'!E15="Opening",'Job Sheet'!N15-VLOOKUP(CONCATENATE('Job Sheet'!U15,'Job Sheet'!V15),BAY,3,FALSE),'Job Sheet'!N15))</f>
        <v/>
      </c>
      <c r="K14" s="41" t="str">
        <f>IF(C14="","",'Job Sheet'!P15)</f>
        <v/>
      </c>
      <c r="L14" s="41" t="str">
        <f>IF(A14="","",IFERROR(IF(CONCATENATE(C14,K14,'Job Sheet'!Q15)=VLOOKUP(CONCATENATE(C14,K14,'Job Sheet'!Q15),WavefoldReturns,1,FALSE),VLOOKUP(CONCATENATE(C14,K14,'Job Sheet'!Q15),WavefoldReturns,2,FALSE)),""))</f>
        <v/>
      </c>
      <c r="M14" s="41" t="str">
        <f>IF(C14="","",'Job Sheet'!K15)</f>
        <v/>
      </c>
      <c r="N14" s="41" t="str">
        <f>IF(C14="","",'Job Sheet'!R15)</f>
        <v/>
      </c>
      <c r="O14" s="41" t="str">
        <f>IF(C14="","",'Job Sheet'!S15)</f>
        <v/>
      </c>
      <c r="P14" s="41" t="str">
        <f>IF(C14="","",'Job Sheet'!T15)</f>
        <v/>
      </c>
      <c r="Q14" s="41" t="str">
        <f>IF(C14="","",IF(OR('Job Sheet'!L15="Single Panel - Right Stacking",'Job Sheet'!L15="Single Panel - Right Stacking"),"1",IF(OR('Job Sheet'!L15="Single Panel - Free Flowing",'Job Sheet'!L15="Centre Opening"),"2",IF('Job Sheet'!L15="Centre Opening - Free Flowing","4",""))))</f>
        <v/>
      </c>
      <c r="R14" s="41" t="str">
        <f>IF(C14="","",'Job Sheet'!U15)</f>
        <v/>
      </c>
      <c r="S14" s="41" t="str">
        <f>IF(C14="","",'Job Sheet'!V15)</f>
        <v/>
      </c>
      <c r="T14" s="41" t="str">
        <f>IF(C14="","",'Job Sheet'!AK15)</f>
        <v/>
      </c>
    </row>
    <row r="15" spans="1:20" s="69" customFormat="1" ht="60" customHeight="1">
      <c r="A15" s="17">
        <f>IF(OR('Job Sheet'!H16="No Track",'Job Sheet'!H16="No Rod"),"",'Job Sheet'!A16)</f>
        <v>0</v>
      </c>
      <c r="B15" s="18" t="str">
        <f>IF(A15="","",IF('Job Sheet'!H16="No Track","",IF('Job Sheet'!AU16&lt;20000,"",IF('Job Sheet'!H16="No Rod","",IF(C15="","",'Job Sheet'!B16)))))</f>
        <v/>
      </c>
      <c r="C15" s="41" t="str">
        <f>IF(Data!BA16="","",IF('Job Sheet'!AI16="Track from TBS",'Job Sheet'!H16,IF('Job Sheet'!AI16="Track from Vanda",'Job Sheet'!H16,"")))</f>
        <v/>
      </c>
      <c r="D15" s="41" t="str">
        <f>IF(C15="","",'Job Sheet'!I16)</f>
        <v/>
      </c>
      <c r="E15" s="40" t="str">
        <f>IF(C15="","",'Job Sheet'!G16)</f>
        <v/>
      </c>
      <c r="F15" s="41" t="str">
        <f>IF(C15="","",'Job Sheet'!J16)</f>
        <v/>
      </c>
      <c r="G15" s="41" t="str">
        <f>IF(C15="","",'Job Sheet'!O16)</f>
        <v/>
      </c>
      <c r="H15" s="41" t="str">
        <f>IF(C15="","",'Job Sheet'!L16)</f>
        <v/>
      </c>
      <c r="I15" s="41" t="str">
        <f>IF(OR(C15="",'Job Sheet'!M16=""),"",IF('Job Sheet'!E16="Opening",'Job Sheet'!M16-VLOOKUP(CONCATENATE('Job Sheet'!U16,'Job Sheet'!V16),BAY,3,FALSE),'Job Sheet'!M16))</f>
        <v/>
      </c>
      <c r="J15" s="41" t="str">
        <f>IF(OR(C15="",'Job Sheet'!N16=""),"",IF('Job Sheet'!E16="Opening",'Job Sheet'!N16-VLOOKUP(CONCATENATE('Job Sheet'!U16,'Job Sheet'!V16),BAY,3,FALSE),'Job Sheet'!N16))</f>
        <v/>
      </c>
      <c r="K15" s="41" t="str">
        <f>IF(C15="","",'Job Sheet'!P16)</f>
        <v/>
      </c>
      <c r="L15" s="41" t="str">
        <f>IF(A15="","",IFERROR(IF(CONCATENATE(C15,K15,'Job Sheet'!Q16)=VLOOKUP(CONCATENATE(C15,K15,'Job Sheet'!Q16),WavefoldReturns,1,FALSE),VLOOKUP(CONCATENATE(C15,K15,'Job Sheet'!Q16),WavefoldReturns,2,FALSE)),""))</f>
        <v/>
      </c>
      <c r="M15" s="41" t="str">
        <f>IF(C15="","",'Job Sheet'!K16)</f>
        <v/>
      </c>
      <c r="N15" s="41" t="str">
        <f>IF(C15="","",'Job Sheet'!R16)</f>
        <v/>
      </c>
      <c r="O15" s="41" t="str">
        <f>IF(C15="","",'Job Sheet'!S16)</f>
        <v/>
      </c>
      <c r="P15" s="41" t="str">
        <f>IF(C15="","",'Job Sheet'!T16)</f>
        <v/>
      </c>
      <c r="Q15" s="41" t="str">
        <f>IF(C15="","",IF(OR('Job Sheet'!L16="Single Panel - Right Stacking",'Job Sheet'!L16="Single Panel - Right Stacking"),"1",IF(OR('Job Sheet'!L16="Single Panel - Free Flowing",'Job Sheet'!L16="Centre Opening"),"2",IF('Job Sheet'!L16="Centre Opening - Free Flowing","4",""))))</f>
        <v/>
      </c>
      <c r="R15" s="41" t="str">
        <f>IF(C15="","",'Job Sheet'!U16)</f>
        <v/>
      </c>
      <c r="S15" s="41" t="str">
        <f>IF(C15="","",'Job Sheet'!V16)</f>
        <v/>
      </c>
      <c r="T15" s="41" t="str">
        <f>IF(C15="","",'Job Sheet'!AK16)</f>
        <v/>
      </c>
    </row>
    <row r="16" spans="1:20" s="69" customFormat="1" ht="60" customHeight="1">
      <c r="A16" s="17">
        <f>IF(OR('Job Sheet'!H17="No Track",'Job Sheet'!H17="No Rod"),"",'Job Sheet'!A17)</f>
        <v>0</v>
      </c>
      <c r="B16" s="18" t="str">
        <f>IF(A16="","",IF('Job Sheet'!H17="No Track","",IF('Job Sheet'!AU17&lt;20000,"",IF('Job Sheet'!H17="No Rod","",IF(C16="","",'Job Sheet'!B17)))))</f>
        <v/>
      </c>
      <c r="C16" s="41" t="str">
        <f>IF(Data!BA17="","",IF('Job Sheet'!AI17="Track from TBS",'Job Sheet'!H17,IF('Job Sheet'!AI17="Track from Vanda",'Job Sheet'!H17,"")))</f>
        <v/>
      </c>
      <c r="D16" s="41" t="str">
        <f>IF(C16="","",'Job Sheet'!I17)</f>
        <v/>
      </c>
      <c r="E16" s="40" t="str">
        <f>IF(C16="","",'Job Sheet'!G17)</f>
        <v/>
      </c>
      <c r="F16" s="41" t="str">
        <f>IF(C16="","",'Job Sheet'!J17)</f>
        <v/>
      </c>
      <c r="G16" s="41" t="str">
        <f>IF(C16="","",'Job Sheet'!O17)</f>
        <v/>
      </c>
      <c r="H16" s="41" t="str">
        <f>IF(C16="","",'Job Sheet'!L17)</f>
        <v/>
      </c>
      <c r="I16" s="41" t="str">
        <f>IF(OR(C16="",'Job Sheet'!M17=""),"",IF('Job Sheet'!E17="Opening",'Job Sheet'!M17-VLOOKUP(CONCATENATE('Job Sheet'!U17,'Job Sheet'!V17),BAY,3,FALSE),'Job Sheet'!M17))</f>
        <v/>
      </c>
      <c r="J16" s="41" t="str">
        <f>IF(OR(C16="",'Job Sheet'!N17=""),"",IF('Job Sheet'!E17="Opening",'Job Sheet'!N17-VLOOKUP(CONCATENATE('Job Sheet'!U17,'Job Sheet'!V17),BAY,3,FALSE),'Job Sheet'!N17))</f>
        <v/>
      </c>
      <c r="K16" s="41" t="str">
        <f>IF(C16="","",'Job Sheet'!P17)</f>
        <v/>
      </c>
      <c r="L16" s="41" t="str">
        <f>IF(A16="","",IFERROR(IF(CONCATENATE(C16,K16,'Job Sheet'!Q17)=VLOOKUP(CONCATENATE(C16,K16,'Job Sheet'!Q17),WavefoldReturns,1,FALSE),VLOOKUP(CONCATENATE(C16,K16,'Job Sheet'!Q17),WavefoldReturns,2,FALSE)),""))</f>
        <v/>
      </c>
      <c r="M16" s="41" t="str">
        <f>IF(C16="","",'Job Sheet'!K17)</f>
        <v/>
      </c>
      <c r="N16" s="41" t="str">
        <f>IF(C16="","",'Job Sheet'!R17)</f>
        <v/>
      </c>
      <c r="O16" s="41" t="str">
        <f>IF(C16="","",'Job Sheet'!S17)</f>
        <v/>
      </c>
      <c r="P16" s="41" t="str">
        <f>IF(C16="","",'Job Sheet'!T17)</f>
        <v/>
      </c>
      <c r="Q16" s="41" t="str">
        <f>IF(C16="","",IF(OR('Job Sheet'!L17="Single Panel - Right Stacking",'Job Sheet'!L17="Single Panel - Right Stacking"),"1",IF(OR('Job Sheet'!L17="Single Panel - Free Flowing",'Job Sheet'!L17="Centre Opening"),"2",IF('Job Sheet'!L17="Centre Opening - Free Flowing","4",""))))</f>
        <v/>
      </c>
      <c r="R16" s="41" t="str">
        <f>IF(C16="","",'Job Sheet'!U17)</f>
        <v/>
      </c>
      <c r="S16" s="41" t="str">
        <f>IF(C16="","",'Job Sheet'!V17)</f>
        <v/>
      </c>
      <c r="T16" s="41" t="str">
        <f>IF(C16="","",'Job Sheet'!AK17)</f>
        <v/>
      </c>
    </row>
    <row r="17" spans="1:20" s="69" customFormat="1" ht="60" customHeight="1">
      <c r="A17" s="17">
        <f>IF(OR('Job Sheet'!H18="No Track",'Job Sheet'!H18="No Rod"),"",'Job Sheet'!A18)</f>
        <v>0</v>
      </c>
      <c r="B17" s="18" t="str">
        <f>IF(A17="","",IF('Job Sheet'!H18="No Track","",IF('Job Sheet'!AU18&lt;20000,"",IF('Job Sheet'!H18="No Rod","",IF(C17="","",'Job Sheet'!B18)))))</f>
        <v/>
      </c>
      <c r="C17" s="41" t="str">
        <f>IF(Data!BA18="","",IF('Job Sheet'!AI18="Track from TBS",'Job Sheet'!H18,IF('Job Sheet'!AI18="Track from Vanda",'Job Sheet'!H18,"")))</f>
        <v/>
      </c>
      <c r="D17" s="41" t="str">
        <f>IF(C17="","",'Job Sheet'!I18)</f>
        <v/>
      </c>
      <c r="E17" s="40" t="str">
        <f>IF(C17="","",'Job Sheet'!G18)</f>
        <v/>
      </c>
      <c r="F17" s="41" t="str">
        <f>IF(C17="","",'Job Sheet'!J18)</f>
        <v/>
      </c>
      <c r="G17" s="41" t="str">
        <f>IF(C17="","",'Job Sheet'!O18)</f>
        <v/>
      </c>
      <c r="H17" s="41" t="str">
        <f>IF(C17="","",'Job Sheet'!L18)</f>
        <v/>
      </c>
      <c r="I17" s="41" t="str">
        <f>IF(OR(C17="",'Job Sheet'!M18=""),"",IF('Job Sheet'!E18="Opening",'Job Sheet'!M18-VLOOKUP(CONCATENATE('Job Sheet'!U18,'Job Sheet'!V18),BAY,3,FALSE),'Job Sheet'!M18))</f>
        <v/>
      </c>
      <c r="J17" s="41" t="str">
        <f>IF(OR(C17="",'Job Sheet'!N18=""),"",IF('Job Sheet'!E18="Opening",'Job Sheet'!N18-VLOOKUP(CONCATENATE('Job Sheet'!U18,'Job Sheet'!V18),BAY,3,FALSE),'Job Sheet'!N18))</f>
        <v/>
      </c>
      <c r="K17" s="41" t="str">
        <f>IF(C17="","",'Job Sheet'!P18)</f>
        <v/>
      </c>
      <c r="L17" s="41" t="str">
        <f>IF(A17="","",IFERROR(IF(CONCATENATE(C17,K17,'Job Sheet'!Q18)=VLOOKUP(CONCATENATE(C17,K17,'Job Sheet'!Q18),WavefoldReturns,1,FALSE),VLOOKUP(CONCATENATE(C17,K17,'Job Sheet'!Q18),WavefoldReturns,2,FALSE)),""))</f>
        <v/>
      </c>
      <c r="M17" s="41" t="str">
        <f>IF(C17="","",'Job Sheet'!K18)</f>
        <v/>
      </c>
      <c r="N17" s="41" t="str">
        <f>IF(C17="","",'Job Sheet'!R18)</f>
        <v/>
      </c>
      <c r="O17" s="41" t="str">
        <f>IF(C17="","",'Job Sheet'!S18)</f>
        <v/>
      </c>
      <c r="P17" s="41" t="str">
        <f>IF(C17="","",'Job Sheet'!T18)</f>
        <v/>
      </c>
      <c r="Q17" s="41" t="str">
        <f>IF(C17="","",IF(OR('Job Sheet'!L18="Single Panel - Right Stacking",'Job Sheet'!L18="Single Panel - Right Stacking"),"1",IF(OR('Job Sheet'!L18="Single Panel - Free Flowing",'Job Sheet'!L18="Centre Opening"),"2",IF('Job Sheet'!L18="Centre Opening - Free Flowing","4",""))))</f>
        <v/>
      </c>
      <c r="R17" s="41" t="str">
        <f>IF(C17="","",'Job Sheet'!U18)</f>
        <v/>
      </c>
      <c r="S17" s="41" t="str">
        <f>IF(C17="","",'Job Sheet'!V18)</f>
        <v/>
      </c>
      <c r="T17" s="41" t="str">
        <f>IF(C17="","",'Job Sheet'!AK18)</f>
        <v/>
      </c>
    </row>
    <row r="18" spans="1:20" s="69" customFormat="1" ht="60" customHeight="1">
      <c r="A18" s="17">
        <f>IF(OR('Job Sheet'!H19="No Track",'Job Sheet'!H19="No Rod"),"",'Job Sheet'!A19)</f>
        <v>0</v>
      </c>
      <c r="B18" s="18" t="str">
        <f>IF(A18="","",IF('Job Sheet'!H19="No Track","",IF('Job Sheet'!AU19&lt;20000,"",IF('Job Sheet'!H19="No Rod","",IF(C18="","",'Job Sheet'!B19)))))</f>
        <v/>
      </c>
      <c r="C18" s="41" t="str">
        <f>IF(Data!BA19="","",IF('Job Sheet'!AI19="Track from TBS",'Job Sheet'!H19,IF('Job Sheet'!AI19="Track from Vanda",'Job Sheet'!H19,"")))</f>
        <v/>
      </c>
      <c r="D18" s="41" t="str">
        <f>IF(C18="","",'Job Sheet'!I19)</f>
        <v/>
      </c>
      <c r="E18" s="40" t="str">
        <f>IF(C18="","",'Job Sheet'!G19)</f>
        <v/>
      </c>
      <c r="F18" s="41" t="str">
        <f>IF(C18="","",'Job Sheet'!J19)</f>
        <v/>
      </c>
      <c r="G18" s="41" t="str">
        <f>IF(C18="","",'Job Sheet'!O19)</f>
        <v/>
      </c>
      <c r="H18" s="41" t="str">
        <f>IF(C18="","",'Job Sheet'!L19)</f>
        <v/>
      </c>
      <c r="I18" s="41" t="str">
        <f>IF(OR(C18="",'Job Sheet'!M19=""),"",IF('Job Sheet'!E19="Opening",'Job Sheet'!M19-VLOOKUP(CONCATENATE('Job Sheet'!U19,'Job Sheet'!V19),BAY,3,FALSE),'Job Sheet'!M19))</f>
        <v/>
      </c>
      <c r="J18" s="41" t="str">
        <f>IF(OR(C18="",'Job Sheet'!N19=""),"",IF('Job Sheet'!E19="Opening",'Job Sheet'!N19-VLOOKUP(CONCATENATE('Job Sheet'!U19,'Job Sheet'!V19),BAY,3,FALSE),'Job Sheet'!N19))</f>
        <v/>
      </c>
      <c r="K18" s="41" t="str">
        <f>IF(C18="","",'Job Sheet'!P19)</f>
        <v/>
      </c>
      <c r="L18" s="41" t="str">
        <f>IF(A18="","",IFERROR(IF(CONCATENATE(C18,K18,'Job Sheet'!Q19)=VLOOKUP(CONCATENATE(C18,K18,'Job Sheet'!Q19),WavefoldReturns,1,FALSE),VLOOKUP(CONCATENATE(C18,K18,'Job Sheet'!Q19),WavefoldReturns,2,FALSE)),""))</f>
        <v/>
      </c>
      <c r="M18" s="41" t="str">
        <f>IF(C18="","",'Job Sheet'!K19)</f>
        <v/>
      </c>
      <c r="N18" s="41" t="str">
        <f>IF(C18="","",'Job Sheet'!R19)</f>
        <v/>
      </c>
      <c r="O18" s="41" t="str">
        <f>IF(C18="","",'Job Sheet'!S19)</f>
        <v/>
      </c>
      <c r="P18" s="41" t="str">
        <f>IF(C18="","",'Job Sheet'!T19)</f>
        <v/>
      </c>
      <c r="Q18" s="41" t="str">
        <f>IF(C18="","",IF(OR('Job Sheet'!L19="Single Panel - Right Stacking",'Job Sheet'!L19="Single Panel - Right Stacking"),"1",IF(OR('Job Sheet'!L19="Single Panel - Free Flowing",'Job Sheet'!L19="Centre Opening"),"2",IF('Job Sheet'!L19="Centre Opening - Free Flowing","4",""))))</f>
        <v/>
      </c>
      <c r="R18" s="41" t="str">
        <f>IF(C18="","",'Job Sheet'!U19)</f>
        <v/>
      </c>
      <c r="S18" s="41" t="str">
        <f>IF(C18="","",'Job Sheet'!V19)</f>
        <v/>
      </c>
      <c r="T18" s="41" t="str">
        <f>IF(C18="","",'Job Sheet'!AK19)</f>
        <v/>
      </c>
    </row>
    <row r="19" spans="1:20" s="69" customFormat="1" ht="60" customHeight="1">
      <c r="A19" s="17">
        <f>IF(OR('Job Sheet'!H20="No Track",'Job Sheet'!H20="No Rod"),"",'Job Sheet'!A20)</f>
        <v>0</v>
      </c>
      <c r="B19" s="18" t="str">
        <f>IF(A19="","",IF('Job Sheet'!H20="No Track","",IF('Job Sheet'!AU20&lt;20000,"",IF('Job Sheet'!H20="No Rod","",IF(C19="","",'Job Sheet'!B20)))))</f>
        <v/>
      </c>
      <c r="C19" s="41" t="str">
        <f>IF(Data!BA20="","",IF('Job Sheet'!AI20="Track from TBS",'Job Sheet'!H20,IF('Job Sheet'!AI20="Track from Vanda",'Job Sheet'!H20,"")))</f>
        <v/>
      </c>
      <c r="D19" s="41" t="str">
        <f>IF(C19="","",'Job Sheet'!I20)</f>
        <v/>
      </c>
      <c r="E19" s="40" t="str">
        <f>IF(C19="","",'Job Sheet'!G20)</f>
        <v/>
      </c>
      <c r="F19" s="41" t="str">
        <f>IF(C19="","",'Job Sheet'!J20)</f>
        <v/>
      </c>
      <c r="G19" s="41" t="str">
        <f>IF(C19="","",'Job Sheet'!O20)</f>
        <v/>
      </c>
      <c r="H19" s="41" t="str">
        <f>IF(C19="","",'Job Sheet'!L20)</f>
        <v/>
      </c>
      <c r="I19" s="41" t="str">
        <f>IF(OR(C19="",'Job Sheet'!M20=""),"",IF('Job Sheet'!E20="Opening",'Job Sheet'!M20-VLOOKUP(CONCATENATE('Job Sheet'!U20,'Job Sheet'!V20),BAY,3,FALSE),'Job Sheet'!M20))</f>
        <v/>
      </c>
      <c r="J19" s="41" t="str">
        <f>IF(OR(C19="",'Job Sheet'!N20=""),"",IF('Job Sheet'!E20="Opening",'Job Sheet'!N20-VLOOKUP(CONCATENATE('Job Sheet'!U20,'Job Sheet'!V20),BAY,3,FALSE),'Job Sheet'!N20))</f>
        <v/>
      </c>
      <c r="K19" s="41" t="str">
        <f>IF(C19="","",'Job Sheet'!P20)</f>
        <v/>
      </c>
      <c r="L19" s="41" t="str">
        <f>IF(A19="","",IFERROR(IF(CONCATENATE(C19,K19,'Job Sheet'!Q20)=VLOOKUP(CONCATENATE(C19,K19,'Job Sheet'!Q20),WavefoldReturns,1,FALSE),VLOOKUP(CONCATENATE(C19,K19,'Job Sheet'!Q20),WavefoldReturns,2,FALSE)),""))</f>
        <v/>
      </c>
      <c r="M19" s="41" t="str">
        <f>IF(C19="","",'Job Sheet'!K20)</f>
        <v/>
      </c>
      <c r="N19" s="41" t="str">
        <f>IF(C19="","",'Job Sheet'!R20)</f>
        <v/>
      </c>
      <c r="O19" s="41" t="str">
        <f>IF(C19="","",'Job Sheet'!S20)</f>
        <v/>
      </c>
      <c r="P19" s="41" t="str">
        <f>IF(C19="","",'Job Sheet'!T20)</f>
        <v/>
      </c>
      <c r="Q19" s="41" t="str">
        <f>IF(C19="","",IF(OR('Job Sheet'!L20="Single Panel - Right Stacking",'Job Sheet'!L20="Single Panel - Right Stacking"),"1",IF(OR('Job Sheet'!L20="Single Panel - Free Flowing",'Job Sheet'!L20="Centre Opening"),"2",IF('Job Sheet'!L20="Centre Opening - Free Flowing","4",""))))</f>
        <v/>
      </c>
      <c r="R19" s="41" t="str">
        <f>IF(C19="","",'Job Sheet'!U20)</f>
        <v/>
      </c>
      <c r="S19" s="41" t="str">
        <f>IF(C19="","",'Job Sheet'!V20)</f>
        <v/>
      </c>
      <c r="T19" s="41" t="str">
        <f>IF(C19="","",'Job Sheet'!AK20)</f>
        <v/>
      </c>
    </row>
    <row r="20" spans="1:18" s="46" customFormat="1" ht="60" customHeight="1">
      <c r="A20" s="70"/>
      <c r="B20" s="70"/>
      <c r="C20" s="70"/>
      <c r="D20" s="70"/>
      <c r="E20" s="70"/>
      <c r="F20" s="70"/>
      <c r="G20" s="70"/>
      <c r="H20" s="70"/>
      <c r="I20" s="70"/>
      <c r="J20" s="71"/>
      <c r="K20" s="71"/>
      <c r="L20" s="70"/>
      <c r="M20" s="70"/>
      <c r="N20" s="70"/>
      <c r="O20" s="70"/>
      <c r="P20" s="70"/>
      <c r="Q20" s="70"/>
      <c r="R20" s="70"/>
    </row>
    <row r="21" spans="1:18" s="46" customFormat="1" ht="60" customHeight="1">
      <c r="A21" s="70"/>
      <c r="B21" s="70"/>
      <c r="C21" s="70"/>
      <c r="D21" s="70"/>
      <c r="E21" s="70"/>
      <c r="F21" s="70"/>
      <c r="G21" s="70"/>
      <c r="H21" s="70"/>
      <c r="I21" s="70"/>
      <c r="J21" s="71"/>
      <c r="K21" s="71"/>
      <c r="L21" s="70"/>
      <c r="M21" s="70"/>
      <c r="N21" s="70"/>
      <c r="O21" s="70"/>
      <c r="P21" s="70"/>
      <c r="Q21" s="70"/>
      <c r="R21" s="70"/>
    </row>
    <row r="22" spans="1:18" s="46" customFormat="1" ht="60" customHeight="1">
      <c r="A22" s="70"/>
      <c r="B22" s="70"/>
      <c r="C22" s="70"/>
      <c r="D22" s="70"/>
      <c r="E22" s="70"/>
      <c r="F22" s="70"/>
      <c r="G22" s="70"/>
      <c r="H22" s="70"/>
      <c r="I22" s="70"/>
      <c r="J22" s="71"/>
      <c r="K22" s="71"/>
      <c r="L22" s="70"/>
      <c r="M22" s="70"/>
      <c r="N22" s="70"/>
      <c r="O22" s="70"/>
      <c r="P22" s="70"/>
      <c r="Q22" s="70"/>
      <c r="R22" s="70"/>
    </row>
    <row r="23" spans="1:18" s="46" customFormat="1" ht="60" customHeight="1">
      <c r="A23" s="70"/>
      <c r="B23" s="70"/>
      <c r="C23" s="70"/>
      <c r="D23" s="70"/>
      <c r="E23" s="70"/>
      <c r="F23" s="70"/>
      <c r="G23" s="70"/>
      <c r="H23" s="70"/>
      <c r="I23" s="70"/>
      <c r="J23" s="71"/>
      <c r="K23" s="71"/>
      <c r="L23" s="70"/>
      <c r="M23" s="70"/>
      <c r="N23" s="70"/>
      <c r="O23" s="70"/>
      <c r="P23" s="70"/>
      <c r="Q23" s="70"/>
      <c r="R23" s="70"/>
    </row>
    <row r="24" spans="1:18" s="46" customFormat="1" ht="60" customHeight="1">
      <c r="A24" s="70"/>
      <c r="B24" s="70"/>
      <c r="C24" s="70"/>
      <c r="D24" s="70"/>
      <c r="E24" s="70"/>
      <c r="F24" s="70"/>
      <c r="G24" s="70"/>
      <c r="H24" s="70"/>
      <c r="I24" s="70"/>
      <c r="J24" s="71"/>
      <c r="K24" s="71"/>
      <c r="L24" s="70"/>
      <c r="M24" s="70"/>
      <c r="N24" s="70"/>
      <c r="O24" s="70"/>
      <c r="P24" s="70"/>
      <c r="Q24" s="70"/>
      <c r="R24" s="70"/>
    </row>
    <row r="25" spans="1:18" s="46" customFormat="1" ht="60" customHeight="1">
      <c r="A25" s="70"/>
      <c r="B25" s="70"/>
      <c r="C25" s="70"/>
      <c r="D25" s="70"/>
      <c r="E25" s="70"/>
      <c r="F25" s="70"/>
      <c r="G25" s="70"/>
      <c r="H25" s="70"/>
      <c r="I25" s="70"/>
      <c r="J25" s="71"/>
      <c r="K25" s="71"/>
      <c r="L25" s="70"/>
      <c r="M25" s="70"/>
      <c r="N25" s="70"/>
      <c r="O25" s="70"/>
      <c r="P25" s="70"/>
      <c r="Q25" s="70"/>
      <c r="R25" s="70"/>
    </row>
    <row r="26" spans="1:18" s="46" customFormat="1" ht="60" customHeight="1">
      <c r="A26" s="70"/>
      <c r="B26" s="70"/>
      <c r="C26" s="70"/>
      <c r="D26" s="70"/>
      <c r="E26" s="70"/>
      <c r="F26" s="70"/>
      <c r="G26" s="70"/>
      <c r="H26" s="70"/>
      <c r="I26" s="70"/>
      <c r="J26" s="71"/>
      <c r="K26" s="71"/>
      <c r="L26" s="70"/>
      <c r="M26" s="70"/>
      <c r="N26" s="70"/>
      <c r="O26" s="70"/>
      <c r="P26" s="70"/>
      <c r="Q26" s="70"/>
      <c r="R26" s="70"/>
    </row>
    <row r="27" spans="1:18" s="46" customFormat="1" ht="60" customHeight="1">
      <c r="A27" s="70"/>
      <c r="B27" s="70"/>
      <c r="C27" s="70"/>
      <c r="D27" s="70"/>
      <c r="E27" s="70"/>
      <c r="F27" s="70"/>
      <c r="G27" s="70"/>
      <c r="H27" s="70"/>
      <c r="I27" s="70"/>
      <c r="J27" s="71"/>
      <c r="K27" s="71"/>
      <c r="L27" s="70"/>
      <c r="M27" s="70"/>
      <c r="N27" s="70"/>
      <c r="O27" s="70"/>
      <c r="P27" s="70"/>
      <c r="Q27" s="70"/>
      <c r="R27" s="70"/>
    </row>
    <row r="28" spans="1:18" s="46" customFormat="1" ht="60" customHeight="1">
      <c r="A28" s="70"/>
      <c r="B28" s="70"/>
      <c r="C28" s="70"/>
      <c r="D28" s="70"/>
      <c r="E28" s="70"/>
      <c r="F28" s="70"/>
      <c r="G28" s="70"/>
      <c r="H28" s="70"/>
      <c r="I28" s="70"/>
      <c r="J28" s="71"/>
      <c r="K28" s="71"/>
      <c r="L28" s="70"/>
      <c r="M28" s="70"/>
      <c r="N28" s="70"/>
      <c r="O28" s="70"/>
      <c r="P28" s="70"/>
      <c r="Q28" s="70"/>
      <c r="R28" s="70"/>
    </row>
    <row r="29" spans="1:18" s="46" customFormat="1" ht="60" customHeight="1">
      <c r="A29" s="70"/>
      <c r="B29" s="70"/>
      <c r="C29" s="70"/>
      <c r="D29" s="70"/>
      <c r="E29" s="70"/>
      <c r="F29" s="70"/>
      <c r="G29" s="70"/>
      <c r="H29" s="70"/>
      <c r="I29" s="70"/>
      <c r="J29" s="71"/>
      <c r="K29" s="71"/>
      <c r="L29" s="70"/>
      <c r="M29" s="70"/>
      <c r="N29" s="70"/>
      <c r="O29" s="70"/>
      <c r="P29" s="70"/>
      <c r="Q29" s="70"/>
      <c r="R29" s="70"/>
    </row>
    <row r="30" spans="1:18" s="46" customFormat="1" ht="60" customHeight="1">
      <c r="A30" s="70"/>
      <c r="B30" s="70"/>
      <c r="C30" s="70"/>
      <c r="D30" s="70"/>
      <c r="E30" s="70"/>
      <c r="F30" s="70"/>
      <c r="G30" s="70"/>
      <c r="H30" s="70"/>
      <c r="I30" s="70"/>
      <c r="J30" s="71"/>
      <c r="K30" s="71"/>
      <c r="L30" s="70"/>
      <c r="M30" s="70"/>
      <c r="N30" s="70"/>
      <c r="O30" s="70"/>
      <c r="P30" s="70"/>
      <c r="Q30" s="70"/>
      <c r="R30" s="70"/>
    </row>
    <row r="31" spans="1:18" s="46" customFormat="1" ht="60" customHeight="1">
      <c r="A31" s="70"/>
      <c r="B31" s="70"/>
      <c r="C31" s="70"/>
      <c r="D31" s="70"/>
      <c r="E31" s="70"/>
      <c r="F31" s="70"/>
      <c r="G31" s="70"/>
      <c r="H31" s="70"/>
      <c r="I31" s="70"/>
      <c r="J31" s="71"/>
      <c r="K31" s="71"/>
      <c r="L31" s="70"/>
      <c r="M31" s="70"/>
      <c r="N31" s="70"/>
      <c r="O31" s="70"/>
      <c r="P31" s="70"/>
      <c r="Q31" s="70"/>
      <c r="R31" s="70"/>
    </row>
    <row r="32" spans="1:18" s="46" customFormat="1" ht="60" customHeight="1">
      <c r="A32" s="70"/>
      <c r="B32" s="70"/>
      <c r="C32" s="70"/>
      <c r="D32" s="70"/>
      <c r="E32" s="70"/>
      <c r="F32" s="70"/>
      <c r="G32" s="70"/>
      <c r="H32" s="70"/>
      <c r="I32" s="70"/>
      <c r="J32" s="71"/>
      <c r="K32" s="71"/>
      <c r="L32" s="70"/>
      <c r="M32" s="70"/>
      <c r="N32" s="70"/>
      <c r="O32" s="70"/>
      <c r="P32" s="70"/>
      <c r="Q32" s="70"/>
      <c r="R32" s="70"/>
    </row>
    <row r="33" spans="1:18" s="46" customFormat="1" ht="60" customHeight="1">
      <c r="A33" s="70"/>
      <c r="B33" s="70"/>
      <c r="C33" s="70"/>
      <c r="D33" s="70"/>
      <c r="E33" s="70"/>
      <c r="F33" s="70"/>
      <c r="G33" s="70"/>
      <c r="H33" s="70"/>
      <c r="I33" s="70"/>
      <c r="J33" s="71"/>
      <c r="K33" s="71"/>
      <c r="L33" s="70"/>
      <c r="M33" s="70"/>
      <c r="N33" s="70"/>
      <c r="O33" s="70"/>
      <c r="P33" s="70"/>
      <c r="Q33" s="70"/>
      <c r="R33" s="70"/>
    </row>
    <row r="34" spans="1:18" s="46" customFormat="1" ht="60" customHeight="1">
      <c r="A34" s="70"/>
      <c r="B34" s="70"/>
      <c r="C34" s="70"/>
      <c r="D34" s="70"/>
      <c r="E34" s="70"/>
      <c r="F34" s="70"/>
      <c r="G34" s="70"/>
      <c r="H34" s="70"/>
      <c r="I34" s="70"/>
      <c r="J34" s="71"/>
      <c r="K34" s="71"/>
      <c r="L34" s="70"/>
      <c r="M34" s="70"/>
      <c r="N34" s="70"/>
      <c r="O34" s="70"/>
      <c r="P34" s="70"/>
      <c r="Q34" s="70"/>
      <c r="R34" s="70"/>
    </row>
    <row r="35" spans="1:18" s="46" customFormat="1" ht="60" customHeight="1">
      <c r="A35" s="70"/>
      <c r="B35" s="70"/>
      <c r="C35" s="70"/>
      <c r="D35" s="70"/>
      <c r="E35" s="70"/>
      <c r="F35" s="70"/>
      <c r="G35" s="70"/>
      <c r="H35" s="70"/>
      <c r="I35" s="70"/>
      <c r="J35" s="71"/>
      <c r="K35" s="71"/>
      <c r="L35" s="70"/>
      <c r="M35" s="70"/>
      <c r="N35" s="70"/>
      <c r="O35" s="70"/>
      <c r="P35" s="70"/>
      <c r="Q35" s="70"/>
      <c r="R35" s="70"/>
    </row>
    <row r="36" spans="1:18" s="46" customFormat="1" ht="60" customHeight="1">
      <c r="A36" s="70"/>
      <c r="B36" s="70"/>
      <c r="C36" s="70"/>
      <c r="D36" s="70"/>
      <c r="E36" s="70"/>
      <c r="F36" s="70"/>
      <c r="G36" s="70"/>
      <c r="H36" s="70"/>
      <c r="I36" s="70"/>
      <c r="J36" s="71"/>
      <c r="K36" s="71"/>
      <c r="L36" s="70"/>
      <c r="M36" s="70"/>
      <c r="N36" s="70"/>
      <c r="O36" s="70"/>
      <c r="P36" s="70"/>
      <c r="Q36" s="70"/>
      <c r="R36" s="70"/>
    </row>
    <row r="37" spans="1:18" s="46" customFormat="1" ht="60" customHeight="1">
      <c r="A37" s="70"/>
      <c r="B37" s="70"/>
      <c r="C37" s="70"/>
      <c r="D37" s="70"/>
      <c r="E37" s="70"/>
      <c r="F37" s="70"/>
      <c r="G37" s="70"/>
      <c r="H37" s="70"/>
      <c r="I37" s="70"/>
      <c r="J37" s="71"/>
      <c r="K37" s="71"/>
      <c r="L37" s="70"/>
      <c r="M37" s="70"/>
      <c r="N37" s="70"/>
      <c r="O37" s="70"/>
      <c r="P37" s="70"/>
      <c r="Q37" s="70"/>
      <c r="R37" s="70"/>
    </row>
    <row r="38" spans="1:18" s="46" customFormat="1" ht="60" customHeight="1">
      <c r="A38" s="70"/>
      <c r="B38" s="70"/>
      <c r="C38" s="70"/>
      <c r="D38" s="70"/>
      <c r="E38" s="70"/>
      <c r="F38" s="70"/>
      <c r="G38" s="70"/>
      <c r="H38" s="70"/>
      <c r="I38" s="70"/>
      <c r="J38" s="71"/>
      <c r="K38" s="71"/>
      <c r="L38" s="70"/>
      <c r="M38" s="70"/>
      <c r="N38" s="70"/>
      <c r="O38" s="70"/>
      <c r="P38" s="70"/>
      <c r="Q38" s="70"/>
      <c r="R38" s="70"/>
    </row>
    <row r="39" spans="1:18" s="46" customFormat="1" ht="60" customHeight="1">
      <c r="A39" s="70"/>
      <c r="B39" s="70"/>
      <c r="C39" s="70"/>
      <c r="D39" s="70"/>
      <c r="E39" s="70"/>
      <c r="F39" s="70"/>
      <c r="G39" s="70"/>
      <c r="H39" s="70"/>
      <c r="I39" s="70"/>
      <c r="J39" s="71"/>
      <c r="K39" s="71"/>
      <c r="L39" s="70"/>
      <c r="M39" s="70"/>
      <c r="N39" s="70"/>
      <c r="O39" s="70"/>
      <c r="P39" s="70"/>
      <c r="Q39" s="70"/>
      <c r="R39" s="70"/>
    </row>
    <row r="40" spans="1:18" s="46" customFormat="1" ht="60" customHeight="1">
      <c r="A40" s="70"/>
      <c r="B40" s="70"/>
      <c r="C40" s="70"/>
      <c r="D40" s="70"/>
      <c r="E40" s="70"/>
      <c r="F40" s="70"/>
      <c r="G40" s="70"/>
      <c r="H40" s="70"/>
      <c r="I40" s="70"/>
      <c r="J40" s="71"/>
      <c r="K40" s="71"/>
      <c r="L40" s="70"/>
      <c r="M40" s="70"/>
      <c r="N40" s="70"/>
      <c r="O40" s="70"/>
      <c r="P40" s="70"/>
      <c r="Q40" s="70"/>
      <c r="R40" s="70"/>
    </row>
    <row r="41" spans="1:18" s="46" customFormat="1" ht="60" customHeight="1">
      <c r="A41" s="70"/>
      <c r="B41" s="70"/>
      <c r="C41" s="70"/>
      <c r="D41" s="70"/>
      <c r="E41" s="70"/>
      <c r="F41" s="70"/>
      <c r="G41" s="70"/>
      <c r="H41" s="70"/>
      <c r="I41" s="70"/>
      <c r="J41" s="71"/>
      <c r="K41" s="71"/>
      <c r="L41" s="70"/>
      <c r="M41" s="70"/>
      <c r="N41" s="70"/>
      <c r="O41" s="70"/>
      <c r="P41" s="70"/>
      <c r="Q41" s="70"/>
      <c r="R41" s="70"/>
    </row>
    <row r="42" spans="1:18" s="46" customFormat="1" ht="60" customHeight="1">
      <c r="A42" s="70"/>
      <c r="B42" s="70"/>
      <c r="C42" s="70"/>
      <c r="D42" s="70"/>
      <c r="E42" s="70"/>
      <c r="F42" s="70"/>
      <c r="G42" s="70"/>
      <c r="H42" s="70"/>
      <c r="I42" s="70"/>
      <c r="J42" s="71"/>
      <c r="K42" s="71"/>
      <c r="L42" s="70"/>
      <c r="M42" s="70"/>
      <c r="N42" s="70"/>
      <c r="O42" s="70"/>
      <c r="P42" s="70"/>
      <c r="Q42" s="70"/>
      <c r="R42" s="70"/>
    </row>
    <row r="43" spans="1:18" s="46" customFormat="1" ht="60" customHeight="1">
      <c r="A43" s="70"/>
      <c r="B43" s="70"/>
      <c r="C43" s="70"/>
      <c r="D43" s="70"/>
      <c r="E43" s="70"/>
      <c r="F43" s="70"/>
      <c r="G43" s="70"/>
      <c r="H43" s="70"/>
      <c r="I43" s="70"/>
      <c r="J43" s="71"/>
      <c r="K43" s="71"/>
      <c r="L43" s="70"/>
      <c r="M43" s="70"/>
      <c r="N43" s="70"/>
      <c r="O43" s="70"/>
      <c r="P43" s="70"/>
      <c r="Q43" s="70"/>
      <c r="R43" s="70"/>
    </row>
    <row r="44" spans="1:18" s="46" customFormat="1" ht="60" customHeight="1">
      <c r="A44" s="70"/>
      <c r="B44" s="70"/>
      <c r="C44" s="70"/>
      <c r="D44" s="70"/>
      <c r="E44" s="70"/>
      <c r="F44" s="70"/>
      <c r="G44" s="70"/>
      <c r="H44" s="70"/>
      <c r="I44" s="70"/>
      <c r="J44" s="71"/>
      <c r="K44" s="71"/>
      <c r="L44" s="70"/>
      <c r="M44" s="70"/>
      <c r="N44" s="70"/>
      <c r="O44" s="70"/>
      <c r="P44" s="70"/>
      <c r="Q44" s="70"/>
      <c r="R44" s="70"/>
    </row>
    <row r="45" spans="1:18" s="46" customFormat="1" ht="60" customHeight="1">
      <c r="A45" s="70"/>
      <c r="B45" s="70"/>
      <c r="C45" s="70"/>
      <c r="D45" s="70"/>
      <c r="E45" s="70"/>
      <c r="F45" s="70"/>
      <c r="G45" s="70"/>
      <c r="H45" s="70"/>
      <c r="I45" s="70"/>
      <c r="J45" s="71"/>
      <c r="K45" s="71"/>
      <c r="L45" s="70"/>
      <c r="M45" s="70"/>
      <c r="N45" s="70"/>
      <c r="O45" s="70"/>
      <c r="P45" s="70"/>
      <c r="Q45" s="70"/>
      <c r="R45" s="70"/>
    </row>
    <row r="46" spans="1:18" s="46" customFormat="1" ht="60" customHeight="1">
      <c r="A46" s="70"/>
      <c r="B46" s="70"/>
      <c r="C46" s="70"/>
      <c r="D46" s="70"/>
      <c r="E46" s="70"/>
      <c r="F46" s="70"/>
      <c r="G46" s="70"/>
      <c r="H46" s="70"/>
      <c r="I46" s="70"/>
      <c r="J46" s="71"/>
      <c r="K46" s="71"/>
      <c r="L46" s="70"/>
      <c r="M46" s="70"/>
      <c r="N46" s="70"/>
      <c r="O46" s="70"/>
      <c r="P46" s="70"/>
      <c r="Q46" s="70"/>
      <c r="R46" s="70"/>
    </row>
    <row r="47" spans="1:18" s="46" customFormat="1" ht="60" customHeight="1">
      <c r="A47" s="70"/>
      <c r="B47" s="70"/>
      <c r="C47" s="70"/>
      <c r="D47" s="70"/>
      <c r="E47" s="70"/>
      <c r="F47" s="70"/>
      <c r="G47" s="70"/>
      <c r="H47" s="70"/>
      <c r="I47" s="70"/>
      <c r="J47" s="71"/>
      <c r="K47" s="71"/>
      <c r="L47" s="70"/>
      <c r="M47" s="70"/>
      <c r="N47" s="70"/>
      <c r="O47" s="70"/>
      <c r="P47" s="70"/>
      <c r="Q47" s="70"/>
      <c r="R47" s="70"/>
    </row>
    <row r="48" spans="1:18" s="46" customFormat="1" ht="60" customHeight="1">
      <c r="A48" s="70"/>
      <c r="B48" s="70"/>
      <c r="C48" s="70"/>
      <c r="D48" s="70"/>
      <c r="E48" s="70"/>
      <c r="F48" s="70"/>
      <c r="G48" s="70"/>
      <c r="H48" s="70"/>
      <c r="I48" s="70"/>
      <c r="J48" s="71"/>
      <c r="K48" s="71"/>
      <c r="L48" s="70"/>
      <c r="M48" s="70"/>
      <c r="N48" s="70"/>
      <c r="O48" s="70"/>
      <c r="P48" s="70"/>
      <c r="Q48" s="70"/>
      <c r="R48" s="70"/>
    </row>
    <row r="49" spans="1:18" s="46" customFormat="1" ht="60" customHeight="1">
      <c r="A49" s="70"/>
      <c r="B49" s="70"/>
      <c r="C49" s="70"/>
      <c r="D49" s="70"/>
      <c r="E49" s="70"/>
      <c r="F49" s="70"/>
      <c r="G49" s="70"/>
      <c r="H49" s="70"/>
      <c r="I49" s="70"/>
      <c r="J49" s="71"/>
      <c r="K49" s="71"/>
      <c r="L49" s="70"/>
      <c r="M49" s="70"/>
      <c r="N49" s="70"/>
      <c r="O49" s="70"/>
      <c r="P49" s="70"/>
      <c r="Q49" s="70"/>
      <c r="R49" s="70"/>
    </row>
    <row r="50" spans="1:18" s="46" customFormat="1" ht="60" customHeight="1">
      <c r="A50" s="70"/>
      <c r="B50" s="70"/>
      <c r="C50" s="70"/>
      <c r="D50" s="70"/>
      <c r="E50" s="70"/>
      <c r="F50" s="70"/>
      <c r="G50" s="70"/>
      <c r="H50" s="70"/>
      <c r="I50" s="70"/>
      <c r="J50" s="71"/>
      <c r="K50" s="71"/>
      <c r="L50" s="70"/>
      <c r="M50" s="70"/>
      <c r="N50" s="70"/>
      <c r="O50" s="70"/>
      <c r="P50" s="70"/>
      <c r="Q50" s="70"/>
      <c r="R50" s="70"/>
    </row>
    <row r="51" spans="1:18" s="46" customFormat="1" ht="60" customHeight="1">
      <c r="A51" s="70"/>
      <c r="B51" s="70"/>
      <c r="C51" s="70"/>
      <c r="D51" s="70"/>
      <c r="E51" s="70"/>
      <c r="F51" s="70"/>
      <c r="G51" s="70"/>
      <c r="H51" s="70"/>
      <c r="I51" s="70"/>
      <c r="J51" s="71"/>
      <c r="K51" s="71"/>
      <c r="L51" s="70"/>
      <c r="M51" s="70"/>
      <c r="N51" s="70"/>
      <c r="O51" s="70"/>
      <c r="P51" s="70"/>
      <c r="Q51" s="70"/>
      <c r="R51" s="70"/>
    </row>
    <row r="52" spans="1:18" s="46" customFormat="1" ht="60" customHeight="1">
      <c r="A52" s="70"/>
      <c r="B52" s="70"/>
      <c r="C52" s="70"/>
      <c r="D52" s="70"/>
      <c r="E52" s="70"/>
      <c r="F52" s="70"/>
      <c r="G52" s="70"/>
      <c r="H52" s="70"/>
      <c r="I52" s="70"/>
      <c r="J52" s="71"/>
      <c r="K52" s="71"/>
      <c r="L52" s="70"/>
      <c r="M52" s="70"/>
      <c r="N52" s="70"/>
      <c r="O52" s="70"/>
      <c r="P52" s="70"/>
      <c r="Q52" s="70"/>
      <c r="R52" s="70"/>
    </row>
    <row r="53" spans="1:18" s="46" customFormat="1" ht="60" customHeight="1">
      <c r="A53" s="70"/>
      <c r="B53" s="70"/>
      <c r="C53" s="70"/>
      <c r="D53" s="70"/>
      <c r="E53" s="70"/>
      <c r="F53" s="70"/>
      <c r="G53" s="70"/>
      <c r="H53" s="70"/>
      <c r="I53" s="70"/>
      <c r="J53" s="71"/>
      <c r="K53" s="71"/>
      <c r="L53" s="70"/>
      <c r="M53" s="70"/>
      <c r="N53" s="70"/>
      <c r="O53" s="70"/>
      <c r="P53" s="70"/>
      <c r="Q53" s="70"/>
      <c r="R53" s="70"/>
    </row>
    <row r="54" spans="1:18" s="46" customFormat="1" ht="39.9" customHeight="1">
      <c r="A54" s="70"/>
      <c r="B54" s="70"/>
      <c r="C54" s="70"/>
      <c r="D54" s="70"/>
      <c r="E54" s="70"/>
      <c r="F54" s="70"/>
      <c r="G54" s="70"/>
      <c r="H54" s="70"/>
      <c r="I54" s="70"/>
      <c r="J54" s="71"/>
      <c r="K54" s="71"/>
      <c r="L54" s="70"/>
      <c r="M54" s="70"/>
      <c r="N54" s="70"/>
      <c r="O54" s="70"/>
      <c r="P54" s="70"/>
      <c r="Q54" s="70"/>
      <c r="R54" s="70"/>
    </row>
    <row r="55" spans="1:18" s="46" customFormat="1" ht="39.9" customHeight="1">
      <c r="A55" s="70"/>
      <c r="B55" s="70"/>
      <c r="C55" s="70"/>
      <c r="D55" s="70"/>
      <c r="E55" s="70"/>
      <c r="F55" s="70"/>
      <c r="G55" s="70"/>
      <c r="H55" s="70"/>
      <c r="I55" s="70"/>
      <c r="J55" s="71"/>
      <c r="K55" s="71"/>
      <c r="L55" s="70"/>
      <c r="M55" s="70"/>
      <c r="N55" s="70"/>
      <c r="O55" s="70"/>
      <c r="P55" s="70"/>
      <c r="Q55" s="70"/>
      <c r="R55" s="70"/>
    </row>
    <row r="56" spans="1:18" s="46" customFormat="1" ht="39.9" customHeight="1">
      <c r="A56" s="70"/>
      <c r="B56" s="70"/>
      <c r="C56" s="70"/>
      <c r="D56" s="70"/>
      <c r="E56" s="70"/>
      <c r="F56" s="70"/>
      <c r="G56" s="70"/>
      <c r="H56" s="70"/>
      <c r="I56" s="70"/>
      <c r="J56" s="71"/>
      <c r="K56" s="71"/>
      <c r="L56" s="70"/>
      <c r="M56" s="70"/>
      <c r="N56" s="70"/>
      <c r="O56" s="70"/>
      <c r="P56" s="70"/>
      <c r="Q56" s="70"/>
      <c r="R56" s="70"/>
    </row>
    <row r="57" spans="1:18" s="46" customFormat="1" ht="39.9" customHeight="1">
      <c r="A57" s="70"/>
      <c r="B57" s="70"/>
      <c r="C57" s="70"/>
      <c r="D57" s="70"/>
      <c r="E57" s="70"/>
      <c r="F57" s="70"/>
      <c r="G57" s="70"/>
      <c r="H57" s="70"/>
      <c r="I57" s="70"/>
      <c r="J57" s="71"/>
      <c r="K57" s="71"/>
      <c r="L57" s="70"/>
      <c r="M57" s="70"/>
      <c r="N57" s="70"/>
      <c r="O57" s="70"/>
      <c r="P57" s="70"/>
      <c r="Q57" s="70"/>
      <c r="R57" s="70"/>
    </row>
    <row r="58" spans="1:18" s="46" customFormat="1" ht="39.9" customHeight="1">
      <c r="A58" s="70"/>
      <c r="B58" s="70"/>
      <c r="C58" s="70"/>
      <c r="D58" s="70"/>
      <c r="E58" s="70"/>
      <c r="F58" s="70"/>
      <c r="G58" s="70"/>
      <c r="H58" s="70"/>
      <c r="I58" s="70"/>
      <c r="J58" s="71"/>
      <c r="K58" s="71"/>
      <c r="L58" s="70"/>
      <c r="M58" s="70"/>
      <c r="N58" s="70"/>
      <c r="O58" s="70"/>
      <c r="P58" s="70"/>
      <c r="Q58" s="70"/>
      <c r="R58" s="70"/>
    </row>
    <row r="59" spans="1:18" s="46" customFormat="1" ht="39.9" customHeight="1">
      <c r="A59" s="70"/>
      <c r="B59" s="70"/>
      <c r="C59" s="70"/>
      <c r="D59" s="70"/>
      <c r="E59" s="70"/>
      <c r="F59" s="70"/>
      <c r="G59" s="70"/>
      <c r="H59" s="70"/>
      <c r="I59" s="70"/>
      <c r="J59" s="71"/>
      <c r="K59" s="71"/>
      <c r="L59" s="70"/>
      <c r="M59" s="70"/>
      <c r="N59" s="70"/>
      <c r="O59" s="70"/>
      <c r="P59" s="70"/>
      <c r="Q59" s="70"/>
      <c r="R59" s="70"/>
    </row>
    <row r="60" spans="1:18" s="46" customFormat="1" ht="39.9" customHeight="1">
      <c r="A60" s="70"/>
      <c r="B60" s="70"/>
      <c r="C60" s="70"/>
      <c r="D60" s="70"/>
      <c r="E60" s="70"/>
      <c r="F60" s="70"/>
      <c r="G60" s="70"/>
      <c r="H60" s="70"/>
      <c r="I60" s="70"/>
      <c r="J60" s="71"/>
      <c r="K60" s="71"/>
      <c r="L60" s="70"/>
      <c r="M60" s="70"/>
      <c r="N60" s="70"/>
      <c r="O60" s="70"/>
      <c r="P60" s="70"/>
      <c r="Q60" s="70"/>
      <c r="R60" s="70"/>
    </row>
    <row r="61" spans="1:18" s="46" customFormat="1" ht="39.9" customHeight="1">
      <c r="A61" s="70"/>
      <c r="B61" s="70"/>
      <c r="C61" s="70"/>
      <c r="D61" s="70"/>
      <c r="E61" s="70"/>
      <c r="F61" s="70"/>
      <c r="G61" s="70"/>
      <c r="H61" s="70"/>
      <c r="I61" s="70"/>
      <c r="J61" s="71"/>
      <c r="K61" s="71"/>
      <c r="L61" s="70"/>
      <c r="M61" s="70"/>
      <c r="N61" s="70"/>
      <c r="O61" s="70"/>
      <c r="P61" s="70"/>
      <c r="Q61" s="70"/>
      <c r="R61" s="70"/>
    </row>
    <row r="62" spans="1:18" s="46" customFormat="1" ht="39.9" customHeight="1">
      <c r="A62" s="70"/>
      <c r="B62" s="70"/>
      <c r="C62" s="70"/>
      <c r="D62" s="70"/>
      <c r="E62" s="70"/>
      <c r="F62" s="70"/>
      <c r="G62" s="70"/>
      <c r="H62" s="70"/>
      <c r="I62" s="70"/>
      <c r="J62" s="71"/>
      <c r="K62" s="71"/>
      <c r="L62" s="70"/>
      <c r="M62" s="70"/>
      <c r="N62" s="70"/>
      <c r="O62" s="70"/>
      <c r="P62" s="70"/>
      <c r="Q62" s="70"/>
      <c r="R62" s="70"/>
    </row>
    <row r="63" spans="1:18" s="46" customFormat="1" ht="39.9" customHeight="1">
      <c r="A63" s="70"/>
      <c r="B63" s="70"/>
      <c r="C63" s="70"/>
      <c r="D63" s="70"/>
      <c r="E63" s="70"/>
      <c r="F63" s="70"/>
      <c r="G63" s="70"/>
      <c r="H63" s="70"/>
      <c r="I63" s="70"/>
      <c r="J63" s="71"/>
      <c r="K63" s="71"/>
      <c r="L63" s="70"/>
      <c r="M63" s="70"/>
      <c r="N63" s="70"/>
      <c r="O63" s="70"/>
      <c r="P63" s="70"/>
      <c r="Q63" s="70"/>
      <c r="R63" s="70"/>
    </row>
    <row r="64" spans="1:18" s="46" customFormat="1" ht="39.9" customHeight="1">
      <c r="A64" s="70"/>
      <c r="B64" s="70"/>
      <c r="C64" s="70"/>
      <c r="D64" s="70"/>
      <c r="E64" s="70"/>
      <c r="F64" s="70"/>
      <c r="G64" s="70"/>
      <c r="H64" s="70"/>
      <c r="I64" s="70"/>
      <c r="J64" s="71"/>
      <c r="K64" s="71"/>
      <c r="L64" s="70"/>
      <c r="M64" s="70"/>
      <c r="N64" s="70"/>
      <c r="O64" s="70"/>
      <c r="P64" s="70"/>
      <c r="Q64" s="70"/>
      <c r="R64" s="70"/>
    </row>
    <row r="65" spans="1:18" s="46" customFormat="1" ht="39.9" customHeight="1">
      <c r="A65" s="70"/>
      <c r="B65" s="70"/>
      <c r="C65" s="70"/>
      <c r="D65" s="70"/>
      <c r="E65" s="70"/>
      <c r="F65" s="70"/>
      <c r="G65" s="70"/>
      <c r="H65" s="70"/>
      <c r="I65" s="70"/>
      <c r="J65" s="71"/>
      <c r="K65" s="71"/>
      <c r="L65" s="70"/>
      <c r="M65" s="70"/>
      <c r="N65" s="70"/>
      <c r="O65" s="70"/>
      <c r="P65" s="70"/>
      <c r="Q65" s="70"/>
      <c r="R65" s="70"/>
    </row>
    <row r="66" spans="1:18" s="46" customFormat="1" ht="39.9" customHeight="1">
      <c r="A66" s="70"/>
      <c r="B66" s="70"/>
      <c r="C66" s="70"/>
      <c r="D66" s="70"/>
      <c r="E66" s="70"/>
      <c r="F66" s="70"/>
      <c r="G66" s="70"/>
      <c r="H66" s="70"/>
      <c r="I66" s="70"/>
      <c r="J66" s="71"/>
      <c r="K66" s="71"/>
      <c r="L66" s="70"/>
      <c r="M66" s="70"/>
      <c r="N66" s="70"/>
      <c r="O66" s="70"/>
      <c r="P66" s="70"/>
      <c r="Q66" s="70"/>
      <c r="R66" s="70"/>
    </row>
    <row r="67" spans="1:18" s="46" customFormat="1" ht="39.9" customHeight="1">
      <c r="A67" s="70"/>
      <c r="B67" s="70"/>
      <c r="C67" s="70"/>
      <c r="D67" s="70"/>
      <c r="E67" s="70"/>
      <c r="F67" s="70"/>
      <c r="G67" s="70"/>
      <c r="H67" s="70"/>
      <c r="I67" s="70"/>
      <c r="J67" s="71"/>
      <c r="K67" s="71"/>
      <c r="L67" s="70"/>
      <c r="M67" s="70"/>
      <c r="N67" s="70"/>
      <c r="O67" s="70"/>
      <c r="P67" s="70"/>
      <c r="Q67" s="70"/>
      <c r="R67" s="70"/>
    </row>
    <row r="68" spans="1:18" s="46" customFormat="1" ht="39.9" customHeight="1">
      <c r="A68" s="70"/>
      <c r="B68" s="70"/>
      <c r="C68" s="70"/>
      <c r="D68" s="70"/>
      <c r="E68" s="70"/>
      <c r="F68" s="70"/>
      <c r="G68" s="70"/>
      <c r="H68" s="70"/>
      <c r="I68" s="70"/>
      <c r="J68" s="71"/>
      <c r="K68" s="71"/>
      <c r="L68" s="70"/>
      <c r="M68" s="70"/>
      <c r="N68" s="70"/>
      <c r="O68" s="70"/>
      <c r="P68" s="70"/>
      <c r="Q68" s="70"/>
      <c r="R68" s="70"/>
    </row>
    <row r="69" spans="1:18" s="46" customFormat="1" ht="39.9" customHeight="1">
      <c r="A69" s="70"/>
      <c r="B69" s="70"/>
      <c r="C69" s="70"/>
      <c r="D69" s="70"/>
      <c r="E69" s="70"/>
      <c r="F69" s="70"/>
      <c r="G69" s="70"/>
      <c r="H69" s="70"/>
      <c r="I69" s="70"/>
      <c r="J69" s="71"/>
      <c r="K69" s="71"/>
      <c r="L69" s="70"/>
      <c r="M69" s="70"/>
      <c r="N69" s="70"/>
      <c r="O69" s="70"/>
      <c r="P69" s="70"/>
      <c r="Q69" s="70"/>
      <c r="R69" s="70"/>
    </row>
    <row r="70" spans="1:18" s="46" customFormat="1" ht="39.9" customHeight="1">
      <c r="A70" s="70"/>
      <c r="B70" s="70"/>
      <c r="C70" s="70"/>
      <c r="D70" s="70"/>
      <c r="E70" s="70"/>
      <c r="F70" s="70"/>
      <c r="G70" s="70"/>
      <c r="H70" s="70"/>
      <c r="I70" s="70"/>
      <c r="J70" s="71"/>
      <c r="K70" s="71"/>
      <c r="L70" s="70"/>
      <c r="M70" s="70"/>
      <c r="N70" s="70"/>
      <c r="O70" s="70"/>
      <c r="P70" s="70"/>
      <c r="Q70" s="70"/>
      <c r="R70" s="70"/>
    </row>
    <row r="71" spans="1:18" s="46" customFormat="1" ht="39.9" customHeight="1">
      <c r="A71" s="70"/>
      <c r="B71" s="70"/>
      <c r="C71" s="70"/>
      <c r="D71" s="70"/>
      <c r="E71" s="70"/>
      <c r="F71" s="70"/>
      <c r="G71" s="70"/>
      <c r="H71" s="70"/>
      <c r="I71" s="70"/>
      <c r="J71" s="71"/>
      <c r="K71" s="71"/>
      <c r="L71" s="70"/>
      <c r="M71" s="70"/>
      <c r="N71" s="70"/>
      <c r="O71" s="70"/>
      <c r="P71" s="70"/>
      <c r="Q71" s="70"/>
      <c r="R71" s="70"/>
    </row>
    <row r="72" spans="1:18" s="46" customFormat="1" ht="39.9" customHeight="1">
      <c r="A72" s="70"/>
      <c r="B72" s="70"/>
      <c r="C72" s="70"/>
      <c r="D72" s="70"/>
      <c r="E72" s="70"/>
      <c r="F72" s="70"/>
      <c r="G72" s="70"/>
      <c r="H72" s="70"/>
      <c r="I72" s="70"/>
      <c r="J72" s="71"/>
      <c r="K72" s="71"/>
      <c r="L72" s="70"/>
      <c r="M72" s="70"/>
      <c r="N72" s="70"/>
      <c r="O72" s="70"/>
      <c r="P72" s="70"/>
      <c r="Q72" s="70"/>
      <c r="R72" s="70"/>
    </row>
    <row r="73" spans="1:18" s="46" customFormat="1" ht="39.9" customHeight="1">
      <c r="A73" s="70"/>
      <c r="B73" s="70"/>
      <c r="C73" s="70"/>
      <c r="D73" s="70"/>
      <c r="E73" s="70"/>
      <c r="F73" s="70"/>
      <c r="G73" s="70"/>
      <c r="H73" s="70"/>
      <c r="I73" s="70"/>
      <c r="J73" s="71"/>
      <c r="K73" s="71"/>
      <c r="L73" s="70"/>
      <c r="M73" s="70"/>
      <c r="N73" s="70"/>
      <c r="O73" s="70"/>
      <c r="P73" s="70"/>
      <c r="Q73" s="70"/>
      <c r="R73" s="70"/>
    </row>
    <row r="74" spans="1:18" s="46" customFormat="1" ht="39.9" customHeight="1">
      <c r="A74" s="70"/>
      <c r="B74" s="70"/>
      <c r="C74" s="70"/>
      <c r="D74" s="70"/>
      <c r="E74" s="70"/>
      <c r="F74" s="70"/>
      <c r="G74" s="70"/>
      <c r="H74" s="70"/>
      <c r="I74" s="70"/>
      <c r="J74" s="71"/>
      <c r="K74" s="71"/>
      <c r="L74" s="70"/>
      <c r="M74" s="70"/>
      <c r="N74" s="70"/>
      <c r="O74" s="70"/>
      <c r="P74" s="70"/>
      <c r="Q74" s="70"/>
      <c r="R74" s="70"/>
    </row>
    <row r="75" spans="1:18" s="46" customFormat="1" ht="39.9" customHeight="1">
      <c r="A75" s="70"/>
      <c r="B75" s="70"/>
      <c r="C75" s="70"/>
      <c r="D75" s="70"/>
      <c r="E75" s="70"/>
      <c r="F75" s="70"/>
      <c r="G75" s="70"/>
      <c r="H75" s="70"/>
      <c r="I75" s="70"/>
      <c r="J75" s="71"/>
      <c r="K75" s="71"/>
      <c r="L75" s="70"/>
      <c r="M75" s="70"/>
      <c r="N75" s="70"/>
      <c r="O75" s="70"/>
      <c r="P75" s="70"/>
      <c r="Q75" s="70"/>
      <c r="R75" s="70"/>
    </row>
    <row r="76" spans="1:18" s="46" customFormat="1" ht="39.9" customHeight="1">
      <c r="A76" s="70"/>
      <c r="B76" s="70"/>
      <c r="C76" s="70"/>
      <c r="D76" s="70"/>
      <c r="E76" s="70"/>
      <c r="F76" s="70"/>
      <c r="G76" s="70"/>
      <c r="H76" s="70"/>
      <c r="I76" s="70"/>
      <c r="J76" s="71"/>
      <c r="K76" s="71"/>
      <c r="L76" s="70"/>
      <c r="M76" s="70"/>
      <c r="N76" s="70"/>
      <c r="O76" s="70"/>
      <c r="P76" s="70"/>
      <c r="Q76" s="70"/>
      <c r="R76" s="70"/>
    </row>
    <row r="77" spans="1:18" s="46" customFormat="1" ht="39.9" customHeight="1">
      <c r="A77" s="70"/>
      <c r="B77" s="70"/>
      <c r="C77" s="70"/>
      <c r="D77" s="70"/>
      <c r="E77" s="70"/>
      <c r="F77" s="70"/>
      <c r="G77" s="70"/>
      <c r="H77" s="70"/>
      <c r="I77" s="70"/>
      <c r="J77" s="71"/>
      <c r="K77" s="71"/>
      <c r="L77" s="70"/>
      <c r="M77" s="70"/>
      <c r="N77" s="70"/>
      <c r="O77" s="70"/>
      <c r="P77" s="70"/>
      <c r="Q77" s="70"/>
      <c r="R77" s="70"/>
    </row>
    <row r="78" spans="1:18" s="46" customFormat="1" ht="39.9" customHeight="1">
      <c r="A78" s="70"/>
      <c r="B78" s="70"/>
      <c r="C78" s="70"/>
      <c r="D78" s="70"/>
      <c r="E78" s="70"/>
      <c r="F78" s="70"/>
      <c r="G78" s="70"/>
      <c r="H78" s="70"/>
      <c r="I78" s="70"/>
      <c r="J78" s="71"/>
      <c r="K78" s="71"/>
      <c r="L78" s="70"/>
      <c r="M78" s="70"/>
      <c r="N78" s="70"/>
      <c r="O78" s="70"/>
      <c r="P78" s="70"/>
      <c r="Q78" s="70"/>
      <c r="R78" s="70"/>
    </row>
    <row r="79" spans="1:18" s="46" customFormat="1" ht="39.9" customHeight="1">
      <c r="A79" s="70"/>
      <c r="B79" s="70"/>
      <c r="C79" s="70"/>
      <c r="D79" s="70"/>
      <c r="E79" s="70"/>
      <c r="F79" s="70"/>
      <c r="G79" s="70"/>
      <c r="H79" s="70"/>
      <c r="I79" s="70"/>
      <c r="J79" s="71"/>
      <c r="K79" s="71"/>
      <c r="L79" s="70"/>
      <c r="M79" s="70"/>
      <c r="N79" s="70"/>
      <c r="O79" s="70"/>
      <c r="P79" s="70"/>
      <c r="Q79" s="70"/>
      <c r="R79" s="70"/>
    </row>
    <row r="80" spans="1:18" s="46" customFormat="1" ht="39.9" customHeight="1">
      <c r="A80" s="70"/>
      <c r="B80" s="70"/>
      <c r="C80" s="70"/>
      <c r="D80" s="70"/>
      <c r="E80" s="70"/>
      <c r="F80" s="70"/>
      <c r="G80" s="70"/>
      <c r="H80" s="70"/>
      <c r="I80" s="70"/>
      <c r="J80" s="71"/>
      <c r="K80" s="71"/>
      <c r="L80" s="70"/>
      <c r="M80" s="70"/>
      <c r="N80" s="70"/>
      <c r="O80" s="70"/>
      <c r="P80" s="70"/>
      <c r="Q80" s="70"/>
      <c r="R80" s="70"/>
    </row>
    <row r="81" spans="1:18" s="46" customFormat="1" ht="39.9" customHeight="1">
      <c r="A81" s="70"/>
      <c r="B81" s="70"/>
      <c r="C81" s="70"/>
      <c r="D81" s="70"/>
      <c r="E81" s="70"/>
      <c r="F81" s="70"/>
      <c r="G81" s="70"/>
      <c r="H81" s="70"/>
      <c r="I81" s="70"/>
      <c r="J81" s="71"/>
      <c r="K81" s="71"/>
      <c r="L81" s="70"/>
      <c r="M81" s="70"/>
      <c r="N81" s="70"/>
      <c r="O81" s="70"/>
      <c r="P81" s="70"/>
      <c r="Q81" s="70"/>
      <c r="R81" s="70"/>
    </row>
    <row r="82" spans="1:18" s="46" customFormat="1" ht="39.9" customHeight="1">
      <c r="A82" s="70"/>
      <c r="B82" s="70"/>
      <c r="C82" s="70"/>
      <c r="D82" s="70"/>
      <c r="E82" s="70"/>
      <c r="F82" s="70"/>
      <c r="G82" s="70"/>
      <c r="H82" s="70"/>
      <c r="I82" s="70"/>
      <c r="J82" s="71"/>
      <c r="K82" s="71"/>
      <c r="L82" s="70"/>
      <c r="M82" s="70"/>
      <c r="N82" s="70"/>
      <c r="O82" s="70"/>
      <c r="P82" s="70"/>
      <c r="Q82" s="70"/>
      <c r="R82" s="70"/>
    </row>
    <row r="83" spans="1:18" s="46" customFormat="1" ht="39.9" customHeight="1">
      <c r="A83" s="70"/>
      <c r="B83" s="70"/>
      <c r="C83" s="70"/>
      <c r="D83" s="70"/>
      <c r="E83" s="70"/>
      <c r="F83" s="70"/>
      <c r="G83" s="70"/>
      <c r="H83" s="70"/>
      <c r="I83" s="70"/>
      <c r="J83" s="71"/>
      <c r="K83" s="71"/>
      <c r="L83" s="70"/>
      <c r="M83" s="70"/>
      <c r="N83" s="70"/>
      <c r="O83" s="70"/>
      <c r="P83" s="70"/>
      <c r="Q83" s="70"/>
      <c r="R83" s="70"/>
    </row>
    <row r="84" spans="1:18" s="46" customFormat="1" ht="39.9" customHeight="1">
      <c r="A84" s="70"/>
      <c r="B84" s="70"/>
      <c r="C84" s="70"/>
      <c r="D84" s="70"/>
      <c r="E84" s="70"/>
      <c r="F84" s="70"/>
      <c r="G84" s="70"/>
      <c r="H84" s="70"/>
      <c r="I84" s="70"/>
      <c r="J84" s="71"/>
      <c r="K84" s="71"/>
      <c r="L84" s="70"/>
      <c r="M84" s="70"/>
      <c r="N84" s="70"/>
      <c r="O84" s="70"/>
      <c r="P84" s="70"/>
      <c r="Q84" s="70"/>
      <c r="R84" s="70"/>
    </row>
    <row r="85" spans="1:18" s="46" customFormat="1" ht="39.9" customHeight="1">
      <c r="A85" s="70"/>
      <c r="B85" s="70"/>
      <c r="C85" s="70"/>
      <c r="D85" s="70"/>
      <c r="E85" s="70"/>
      <c r="F85" s="70"/>
      <c r="G85" s="70"/>
      <c r="H85" s="70"/>
      <c r="I85" s="70"/>
      <c r="J85" s="71"/>
      <c r="K85" s="71"/>
      <c r="L85" s="70"/>
      <c r="M85" s="70"/>
      <c r="N85" s="70"/>
      <c r="O85" s="70"/>
      <c r="P85" s="70"/>
      <c r="Q85" s="70"/>
      <c r="R85" s="70"/>
    </row>
    <row r="86" spans="1:18" s="46" customFormat="1" ht="39.9" customHeight="1">
      <c r="A86" s="70"/>
      <c r="B86" s="70"/>
      <c r="C86" s="70"/>
      <c r="D86" s="70"/>
      <c r="E86" s="70"/>
      <c r="F86" s="70"/>
      <c r="G86" s="70"/>
      <c r="H86" s="70"/>
      <c r="I86" s="70"/>
      <c r="J86" s="71"/>
      <c r="K86" s="71"/>
      <c r="L86" s="70"/>
      <c r="M86" s="70"/>
      <c r="N86" s="70"/>
      <c r="O86" s="70"/>
      <c r="P86" s="70"/>
      <c r="Q86" s="70"/>
      <c r="R86" s="70"/>
    </row>
    <row r="87" spans="1:18" s="46" customFormat="1" ht="39.9" customHeight="1">
      <c r="A87" s="70"/>
      <c r="B87" s="70"/>
      <c r="C87" s="70"/>
      <c r="D87" s="70"/>
      <c r="E87" s="70"/>
      <c r="F87" s="70"/>
      <c r="G87" s="70"/>
      <c r="H87" s="70"/>
      <c r="I87" s="70"/>
      <c r="J87" s="71"/>
      <c r="K87" s="71"/>
      <c r="L87" s="70"/>
      <c r="M87" s="70"/>
      <c r="N87" s="70"/>
      <c r="O87" s="70"/>
      <c r="P87" s="70"/>
      <c r="Q87" s="70"/>
      <c r="R87" s="70"/>
    </row>
    <row r="88" spans="1:18" s="46" customFormat="1" ht="39.9" customHeight="1">
      <c r="A88" s="70"/>
      <c r="B88" s="70"/>
      <c r="C88" s="70"/>
      <c r="D88" s="70"/>
      <c r="E88" s="70"/>
      <c r="F88" s="70"/>
      <c r="G88" s="70"/>
      <c r="H88" s="70"/>
      <c r="I88" s="70"/>
      <c r="J88" s="71"/>
      <c r="K88" s="71"/>
      <c r="L88" s="70"/>
      <c r="M88" s="70"/>
      <c r="N88" s="70"/>
      <c r="O88" s="70"/>
      <c r="P88" s="70"/>
      <c r="Q88" s="70"/>
      <c r="R88" s="70"/>
    </row>
    <row r="89" spans="1:18" s="46" customFormat="1" ht="39.9" customHeight="1">
      <c r="A89" s="70"/>
      <c r="B89" s="70"/>
      <c r="C89" s="70"/>
      <c r="D89" s="70"/>
      <c r="E89" s="70"/>
      <c r="F89" s="70"/>
      <c r="G89" s="70"/>
      <c r="H89" s="70"/>
      <c r="I89" s="70"/>
      <c r="J89" s="71"/>
      <c r="K89" s="71"/>
      <c r="L89" s="70"/>
      <c r="M89" s="70"/>
      <c r="N89" s="70"/>
      <c r="O89" s="70"/>
      <c r="P89" s="70"/>
      <c r="Q89" s="70"/>
      <c r="R89" s="70"/>
    </row>
    <row r="90" spans="1:18" s="46" customFormat="1" ht="39.9" customHeight="1">
      <c r="A90" s="70"/>
      <c r="B90" s="70"/>
      <c r="C90" s="70"/>
      <c r="D90" s="70"/>
      <c r="E90" s="70"/>
      <c r="F90" s="70"/>
      <c r="G90" s="70"/>
      <c r="H90" s="70"/>
      <c r="I90" s="70"/>
      <c r="J90" s="71"/>
      <c r="K90" s="71"/>
      <c r="L90" s="70"/>
      <c r="M90" s="70"/>
      <c r="N90" s="70"/>
      <c r="O90" s="70"/>
      <c r="P90" s="70"/>
      <c r="Q90" s="70"/>
      <c r="R90" s="70"/>
    </row>
    <row r="91" spans="1:18" s="46" customFormat="1" ht="39.9" customHeight="1">
      <c r="A91" s="70"/>
      <c r="B91" s="70"/>
      <c r="C91" s="70"/>
      <c r="D91" s="70"/>
      <c r="E91" s="70"/>
      <c r="F91" s="70"/>
      <c r="G91" s="70"/>
      <c r="H91" s="70"/>
      <c r="I91" s="70"/>
      <c r="J91" s="71"/>
      <c r="K91" s="71"/>
      <c r="L91" s="70"/>
      <c r="M91" s="70"/>
      <c r="N91" s="70"/>
      <c r="O91" s="70"/>
      <c r="P91" s="70"/>
      <c r="Q91" s="70"/>
      <c r="R91" s="70"/>
    </row>
    <row r="92" spans="1:18" s="46" customFormat="1" ht="39.9" customHeight="1">
      <c r="A92" s="70"/>
      <c r="B92" s="70"/>
      <c r="C92" s="70"/>
      <c r="D92" s="70"/>
      <c r="E92" s="70"/>
      <c r="F92" s="70"/>
      <c r="G92" s="70"/>
      <c r="H92" s="70"/>
      <c r="I92" s="70"/>
      <c r="J92" s="71"/>
      <c r="K92" s="71"/>
      <c r="L92" s="70"/>
      <c r="M92" s="70"/>
      <c r="N92" s="70"/>
      <c r="O92" s="70"/>
      <c r="P92" s="70"/>
      <c r="Q92" s="70"/>
      <c r="R92" s="70"/>
    </row>
    <row r="93" spans="1:18" s="46" customFormat="1" ht="39.9" customHeight="1">
      <c r="A93" s="70"/>
      <c r="B93" s="70"/>
      <c r="C93" s="70"/>
      <c r="D93" s="70"/>
      <c r="E93" s="70"/>
      <c r="F93" s="70"/>
      <c r="G93" s="70"/>
      <c r="H93" s="70"/>
      <c r="I93" s="70"/>
      <c r="J93" s="71"/>
      <c r="K93" s="71"/>
      <c r="L93" s="70"/>
      <c r="M93" s="70"/>
      <c r="N93" s="70"/>
      <c r="O93" s="70"/>
      <c r="P93" s="70"/>
      <c r="Q93" s="70"/>
      <c r="R93" s="70"/>
    </row>
    <row r="94" spans="1:18" s="46" customFormat="1" ht="39.9" customHeight="1">
      <c r="A94" s="70"/>
      <c r="B94" s="70"/>
      <c r="C94" s="70"/>
      <c r="D94" s="70"/>
      <c r="E94" s="70"/>
      <c r="F94" s="70"/>
      <c r="G94" s="70"/>
      <c r="H94" s="70"/>
      <c r="I94" s="70"/>
      <c r="J94" s="71"/>
      <c r="K94" s="71"/>
      <c r="L94" s="70"/>
      <c r="M94" s="70"/>
      <c r="N94" s="70"/>
      <c r="O94" s="70"/>
      <c r="P94" s="70"/>
      <c r="Q94" s="70"/>
      <c r="R94" s="70"/>
    </row>
    <row r="95" spans="1:18" s="46" customFormat="1" ht="39.9" customHeight="1">
      <c r="A95" s="70"/>
      <c r="B95" s="70"/>
      <c r="C95" s="70"/>
      <c r="D95" s="70"/>
      <c r="E95" s="70"/>
      <c r="F95" s="70"/>
      <c r="G95" s="70"/>
      <c r="H95" s="70"/>
      <c r="I95" s="70"/>
      <c r="J95" s="71"/>
      <c r="K95" s="71"/>
      <c r="L95" s="70"/>
      <c r="M95" s="70"/>
      <c r="N95" s="70"/>
      <c r="O95" s="70"/>
      <c r="P95" s="70"/>
      <c r="Q95" s="70"/>
      <c r="R95" s="70"/>
    </row>
    <row r="96" spans="1:18" s="46" customFormat="1" ht="39.9" customHeight="1">
      <c r="A96" s="70"/>
      <c r="B96" s="70"/>
      <c r="C96" s="70"/>
      <c r="D96" s="70"/>
      <c r="E96" s="70"/>
      <c r="F96" s="70"/>
      <c r="G96" s="70"/>
      <c r="H96" s="70"/>
      <c r="I96" s="70"/>
      <c r="J96" s="71"/>
      <c r="K96" s="71"/>
      <c r="L96" s="70"/>
      <c r="M96" s="70"/>
      <c r="N96" s="70"/>
      <c r="O96" s="70"/>
      <c r="P96" s="70"/>
      <c r="Q96" s="70"/>
      <c r="R96" s="70"/>
    </row>
    <row r="97" spans="1:18" s="46" customFormat="1" ht="39.9" customHeight="1">
      <c r="A97" s="70"/>
      <c r="B97" s="70"/>
      <c r="C97" s="70"/>
      <c r="D97" s="70"/>
      <c r="E97" s="70"/>
      <c r="F97" s="70"/>
      <c r="G97" s="70"/>
      <c r="H97" s="70"/>
      <c r="I97" s="70"/>
      <c r="J97" s="71"/>
      <c r="K97" s="71"/>
      <c r="L97" s="70"/>
      <c r="M97" s="70"/>
      <c r="N97" s="70"/>
      <c r="O97" s="70"/>
      <c r="P97" s="70"/>
      <c r="Q97" s="70"/>
      <c r="R97" s="70"/>
    </row>
    <row r="98" spans="1:18" s="46" customFormat="1" ht="39.9" customHeight="1">
      <c r="A98" s="70"/>
      <c r="B98" s="70"/>
      <c r="C98" s="70"/>
      <c r="D98" s="70"/>
      <c r="E98" s="70"/>
      <c r="F98" s="70"/>
      <c r="G98" s="70"/>
      <c r="H98" s="70"/>
      <c r="I98" s="70"/>
      <c r="J98" s="71"/>
      <c r="K98" s="71"/>
      <c r="L98" s="70"/>
      <c r="M98" s="70"/>
      <c r="N98" s="70"/>
      <c r="O98" s="70"/>
      <c r="P98" s="70"/>
      <c r="Q98" s="70"/>
      <c r="R98" s="70"/>
    </row>
    <row r="99" spans="1:18" s="46" customFormat="1" ht="39.9" customHeight="1">
      <c r="A99" s="70"/>
      <c r="B99" s="70"/>
      <c r="C99" s="70"/>
      <c r="D99" s="70"/>
      <c r="E99" s="70"/>
      <c r="F99" s="70"/>
      <c r="G99" s="70"/>
      <c r="H99" s="70"/>
      <c r="I99" s="70"/>
      <c r="J99" s="71"/>
      <c r="K99" s="71"/>
      <c r="L99" s="70"/>
      <c r="M99" s="70"/>
      <c r="N99" s="70"/>
      <c r="O99" s="70"/>
      <c r="P99" s="70"/>
      <c r="Q99" s="70"/>
      <c r="R99" s="70"/>
    </row>
    <row r="100" spans="1:18" s="46" customFormat="1" ht="39.9" customHeight="1">
      <c r="A100" s="70"/>
      <c r="B100" s="70"/>
      <c r="C100" s="70"/>
      <c r="D100" s="70"/>
      <c r="E100" s="70"/>
      <c r="F100" s="70"/>
      <c r="G100" s="70"/>
      <c r="H100" s="70"/>
      <c r="I100" s="70"/>
      <c r="J100" s="71"/>
      <c r="K100" s="71"/>
      <c r="L100" s="70"/>
      <c r="M100" s="70"/>
      <c r="N100" s="70"/>
      <c r="O100" s="70"/>
      <c r="P100" s="70"/>
      <c r="Q100" s="70"/>
      <c r="R100" s="70"/>
    </row>
    <row r="101" spans="1:18" s="46" customFormat="1" ht="39.9" customHeight="1">
      <c r="A101" s="70"/>
      <c r="B101" s="70"/>
      <c r="C101" s="70"/>
      <c r="D101" s="70"/>
      <c r="E101" s="70"/>
      <c r="F101" s="70"/>
      <c r="G101" s="70"/>
      <c r="H101" s="70"/>
      <c r="I101" s="70"/>
      <c r="J101" s="71"/>
      <c r="K101" s="71"/>
      <c r="L101" s="70"/>
      <c r="M101" s="70"/>
      <c r="N101" s="70"/>
      <c r="O101" s="70"/>
      <c r="P101" s="70"/>
      <c r="Q101" s="70"/>
      <c r="R101" s="70"/>
    </row>
    <row r="102" spans="1:18" s="46" customFormat="1" ht="39.9" customHeight="1">
      <c r="A102" s="70"/>
      <c r="B102" s="70"/>
      <c r="C102" s="70"/>
      <c r="D102" s="70"/>
      <c r="E102" s="70"/>
      <c r="F102" s="70"/>
      <c r="G102" s="70"/>
      <c r="H102" s="70"/>
      <c r="I102" s="70"/>
      <c r="J102" s="71"/>
      <c r="K102" s="71"/>
      <c r="L102" s="70"/>
      <c r="M102" s="70"/>
      <c r="N102" s="70"/>
      <c r="O102" s="70"/>
      <c r="P102" s="70"/>
      <c r="Q102" s="70"/>
      <c r="R102" s="70"/>
    </row>
    <row r="103" spans="1:18" s="46" customFormat="1" ht="39.9" customHeight="1">
      <c r="A103" s="70"/>
      <c r="B103" s="70"/>
      <c r="C103" s="70"/>
      <c r="D103" s="70"/>
      <c r="E103" s="70"/>
      <c r="F103" s="70"/>
      <c r="G103" s="70"/>
      <c r="H103" s="70"/>
      <c r="I103" s="70"/>
      <c r="J103" s="71"/>
      <c r="K103" s="71"/>
      <c r="L103" s="70"/>
      <c r="M103" s="70"/>
      <c r="N103" s="70"/>
      <c r="O103" s="70"/>
      <c r="P103" s="70"/>
      <c r="Q103" s="70"/>
      <c r="R103" s="70"/>
    </row>
    <row r="104" spans="1:18" s="46" customFormat="1" ht="39.9" customHeight="1">
      <c r="A104" s="70"/>
      <c r="B104" s="70"/>
      <c r="C104" s="70"/>
      <c r="D104" s="70"/>
      <c r="E104" s="70"/>
      <c r="F104" s="70"/>
      <c r="G104" s="70"/>
      <c r="H104" s="70"/>
      <c r="I104" s="70"/>
      <c r="J104" s="71"/>
      <c r="K104" s="71"/>
      <c r="L104" s="70"/>
      <c r="M104" s="70"/>
      <c r="N104" s="70"/>
      <c r="O104" s="70"/>
      <c r="P104" s="70"/>
      <c r="Q104" s="70"/>
      <c r="R104" s="70"/>
    </row>
    <row r="105" spans="1:18" s="46" customFormat="1" ht="39.9" customHeight="1">
      <c r="A105" s="70"/>
      <c r="B105" s="70"/>
      <c r="C105" s="70"/>
      <c r="D105" s="70"/>
      <c r="E105" s="70"/>
      <c r="F105" s="70"/>
      <c r="G105" s="70"/>
      <c r="H105" s="70"/>
      <c r="I105" s="70"/>
      <c r="J105" s="71"/>
      <c r="K105" s="71"/>
      <c r="L105" s="70"/>
      <c r="M105" s="70"/>
      <c r="N105" s="70"/>
      <c r="O105" s="70"/>
      <c r="P105" s="70"/>
      <c r="Q105" s="70"/>
      <c r="R105" s="70"/>
    </row>
    <row r="106" spans="1:18" s="46" customFormat="1" ht="39.9" customHeight="1">
      <c r="A106" s="70"/>
      <c r="B106" s="70"/>
      <c r="C106" s="70"/>
      <c r="D106" s="70"/>
      <c r="E106" s="70"/>
      <c r="F106" s="70"/>
      <c r="G106" s="70"/>
      <c r="H106" s="70"/>
      <c r="I106" s="70"/>
      <c r="J106" s="71"/>
      <c r="K106" s="71"/>
      <c r="L106" s="70"/>
      <c r="M106" s="70"/>
      <c r="N106" s="70"/>
      <c r="O106" s="70"/>
      <c r="P106" s="70"/>
      <c r="Q106" s="70"/>
      <c r="R106" s="70"/>
    </row>
    <row r="107" spans="1:18" s="46" customFormat="1" ht="39.9" customHeight="1">
      <c r="A107" s="70"/>
      <c r="B107" s="70"/>
      <c r="C107" s="70"/>
      <c r="D107" s="70"/>
      <c r="E107" s="70"/>
      <c r="F107" s="70"/>
      <c r="G107" s="70"/>
      <c r="H107" s="70"/>
      <c r="I107" s="70"/>
      <c r="J107" s="71"/>
      <c r="K107" s="71"/>
      <c r="L107" s="70"/>
      <c r="M107" s="70"/>
      <c r="N107" s="70"/>
      <c r="O107" s="70"/>
      <c r="P107" s="70"/>
      <c r="Q107" s="70"/>
      <c r="R107" s="70"/>
    </row>
    <row r="108" spans="1:18" s="46" customFormat="1" ht="39.9" customHeight="1">
      <c r="A108" s="70"/>
      <c r="B108" s="70"/>
      <c r="C108" s="70"/>
      <c r="D108" s="70"/>
      <c r="E108" s="70"/>
      <c r="F108" s="70"/>
      <c r="G108" s="70"/>
      <c r="H108" s="70"/>
      <c r="I108" s="70"/>
      <c r="J108" s="71"/>
      <c r="K108" s="71"/>
      <c r="L108" s="70"/>
      <c r="M108" s="70"/>
      <c r="N108" s="70"/>
      <c r="O108" s="70"/>
      <c r="P108" s="70"/>
      <c r="Q108" s="70"/>
      <c r="R108" s="70"/>
    </row>
    <row r="109" spans="1:18" s="46" customFormat="1" ht="39.9" customHeight="1">
      <c r="A109" s="70"/>
      <c r="B109" s="70"/>
      <c r="C109" s="70"/>
      <c r="D109" s="70"/>
      <c r="E109" s="70"/>
      <c r="F109" s="70"/>
      <c r="G109" s="70"/>
      <c r="H109" s="70"/>
      <c r="I109" s="70"/>
      <c r="J109" s="71"/>
      <c r="K109" s="71"/>
      <c r="L109" s="70"/>
      <c r="M109" s="70"/>
      <c r="N109" s="70"/>
      <c r="O109" s="70"/>
      <c r="P109" s="70"/>
      <c r="Q109" s="70"/>
      <c r="R109" s="70"/>
    </row>
    <row r="110" spans="1:18" s="46" customFormat="1" ht="39.9" customHeight="1">
      <c r="A110" s="70"/>
      <c r="B110" s="70"/>
      <c r="C110" s="70"/>
      <c r="D110" s="70"/>
      <c r="E110" s="70"/>
      <c r="F110" s="70"/>
      <c r="G110" s="70"/>
      <c r="H110" s="70"/>
      <c r="I110" s="70"/>
      <c r="J110" s="71"/>
      <c r="K110" s="71"/>
      <c r="L110" s="70"/>
      <c r="M110" s="70"/>
      <c r="N110" s="70"/>
      <c r="O110" s="70"/>
      <c r="P110" s="70"/>
      <c r="Q110" s="70"/>
      <c r="R110" s="70"/>
    </row>
    <row r="111" spans="1:18" s="46" customFormat="1" ht="39.9" customHeight="1">
      <c r="A111" s="70"/>
      <c r="B111" s="70"/>
      <c r="C111" s="70"/>
      <c r="D111" s="70"/>
      <c r="E111" s="70"/>
      <c r="F111" s="70"/>
      <c r="G111" s="70"/>
      <c r="H111" s="70"/>
      <c r="I111" s="70"/>
      <c r="J111" s="71"/>
      <c r="K111" s="71"/>
      <c r="L111" s="70"/>
      <c r="M111" s="70"/>
      <c r="N111" s="70"/>
      <c r="O111" s="70"/>
      <c r="P111" s="70"/>
      <c r="Q111" s="70"/>
      <c r="R111" s="70"/>
    </row>
    <row r="112" spans="1:18" s="46" customFormat="1" ht="39.9" customHeight="1">
      <c r="A112" s="70"/>
      <c r="B112" s="70"/>
      <c r="C112" s="70"/>
      <c r="D112" s="70"/>
      <c r="E112" s="70"/>
      <c r="F112" s="70"/>
      <c r="G112" s="70"/>
      <c r="H112" s="70"/>
      <c r="I112" s="70"/>
      <c r="J112" s="71"/>
      <c r="K112" s="71"/>
      <c r="L112" s="70"/>
      <c r="M112" s="70"/>
      <c r="N112" s="70"/>
      <c r="O112" s="70"/>
      <c r="P112" s="70"/>
      <c r="Q112" s="70"/>
      <c r="R112" s="70"/>
    </row>
    <row r="113" spans="1:18" s="46" customFormat="1" ht="39.9" customHeight="1">
      <c r="A113" s="70"/>
      <c r="B113" s="70"/>
      <c r="C113" s="70"/>
      <c r="D113" s="70"/>
      <c r="E113" s="70"/>
      <c r="F113" s="70"/>
      <c r="G113" s="70"/>
      <c r="H113" s="70"/>
      <c r="I113" s="70"/>
      <c r="J113" s="71"/>
      <c r="K113" s="71"/>
      <c r="L113" s="70"/>
      <c r="M113" s="70"/>
      <c r="N113" s="70"/>
      <c r="O113" s="70"/>
      <c r="P113" s="70"/>
      <c r="Q113" s="70"/>
      <c r="R113" s="70"/>
    </row>
    <row r="114" spans="1:18" s="46" customFormat="1" ht="39.9" customHeight="1">
      <c r="A114" s="70"/>
      <c r="B114" s="70"/>
      <c r="C114" s="70"/>
      <c r="D114" s="70"/>
      <c r="E114" s="70"/>
      <c r="F114" s="70"/>
      <c r="G114" s="70"/>
      <c r="H114" s="70"/>
      <c r="I114" s="70"/>
      <c r="J114" s="71"/>
      <c r="K114" s="71"/>
      <c r="L114" s="70"/>
      <c r="M114" s="70"/>
      <c r="N114" s="70"/>
      <c r="O114" s="70"/>
      <c r="P114" s="70"/>
      <c r="Q114" s="70"/>
      <c r="R114" s="70"/>
    </row>
    <row r="115" spans="1:18" s="46" customFormat="1" ht="39.9" customHeight="1">
      <c r="A115" s="70"/>
      <c r="B115" s="70"/>
      <c r="C115" s="70"/>
      <c r="D115" s="70"/>
      <c r="E115" s="70"/>
      <c r="F115" s="70"/>
      <c r="G115" s="70"/>
      <c r="H115" s="70"/>
      <c r="I115" s="70"/>
      <c r="J115" s="71"/>
      <c r="K115" s="71"/>
      <c r="L115" s="70"/>
      <c r="M115" s="70"/>
      <c r="N115" s="70"/>
      <c r="O115" s="70"/>
      <c r="P115" s="70"/>
      <c r="Q115" s="70"/>
      <c r="R115" s="70"/>
    </row>
    <row r="116" spans="1:18" s="46" customFormat="1" ht="39.9" customHeight="1">
      <c r="A116" s="70"/>
      <c r="B116" s="70"/>
      <c r="C116" s="70"/>
      <c r="D116" s="70"/>
      <c r="E116" s="70"/>
      <c r="F116" s="70"/>
      <c r="G116" s="70"/>
      <c r="H116" s="70"/>
      <c r="I116" s="70"/>
      <c r="J116" s="71"/>
      <c r="K116" s="71"/>
      <c r="L116" s="70"/>
      <c r="M116" s="70"/>
      <c r="N116" s="70"/>
      <c r="O116" s="70"/>
      <c r="P116" s="70"/>
      <c r="Q116" s="70"/>
      <c r="R116" s="70"/>
    </row>
    <row r="117" spans="1:18" s="46" customFormat="1" ht="39.9" customHeight="1">
      <c r="A117" s="70"/>
      <c r="B117" s="70"/>
      <c r="C117" s="70"/>
      <c r="D117" s="70"/>
      <c r="E117" s="70"/>
      <c r="F117" s="70"/>
      <c r="G117" s="70"/>
      <c r="H117" s="70"/>
      <c r="I117" s="70"/>
      <c r="J117" s="71"/>
      <c r="K117" s="71"/>
      <c r="L117" s="70"/>
      <c r="M117" s="70"/>
      <c r="N117" s="70"/>
      <c r="O117" s="70"/>
      <c r="P117" s="70"/>
      <c r="Q117" s="70"/>
      <c r="R117" s="70"/>
    </row>
    <row r="118" spans="1:18" s="46" customFormat="1" ht="39.9" customHeight="1">
      <c r="A118" s="70"/>
      <c r="B118" s="70"/>
      <c r="C118" s="70"/>
      <c r="D118" s="70"/>
      <c r="E118" s="70"/>
      <c r="F118" s="70"/>
      <c r="G118" s="70"/>
      <c r="H118" s="70"/>
      <c r="I118" s="70"/>
      <c r="J118" s="71"/>
      <c r="K118" s="71"/>
      <c r="L118" s="70"/>
      <c r="M118" s="70"/>
      <c r="N118" s="70"/>
      <c r="O118" s="70"/>
      <c r="P118" s="70"/>
      <c r="Q118" s="70"/>
      <c r="R118" s="70"/>
    </row>
    <row r="119" spans="1:18" s="46" customFormat="1" ht="39.9" customHeight="1">
      <c r="A119" s="70"/>
      <c r="B119" s="70"/>
      <c r="C119" s="70"/>
      <c r="D119" s="70"/>
      <c r="E119" s="70"/>
      <c r="F119" s="70"/>
      <c r="G119" s="70"/>
      <c r="H119" s="70"/>
      <c r="I119" s="70"/>
      <c r="J119" s="71"/>
      <c r="K119" s="71"/>
      <c r="L119" s="70"/>
      <c r="M119" s="70"/>
      <c r="N119" s="70"/>
      <c r="O119" s="70"/>
      <c r="P119" s="70"/>
      <c r="Q119" s="70"/>
      <c r="R119" s="70"/>
    </row>
    <row r="120" spans="1:18" s="46" customFormat="1" ht="39.9" customHeight="1">
      <c r="A120" s="70"/>
      <c r="B120" s="70"/>
      <c r="C120" s="70"/>
      <c r="D120" s="70"/>
      <c r="E120" s="70"/>
      <c r="F120" s="70"/>
      <c r="G120" s="70"/>
      <c r="H120" s="70"/>
      <c r="I120" s="70"/>
      <c r="J120" s="71"/>
      <c r="K120" s="71"/>
      <c r="L120" s="70"/>
      <c r="M120" s="70"/>
      <c r="N120" s="70"/>
      <c r="O120" s="70"/>
      <c r="P120" s="70"/>
      <c r="Q120" s="70"/>
      <c r="R120" s="70"/>
    </row>
    <row r="121" spans="1:18" s="46" customFormat="1" ht="39.9" customHeight="1">
      <c r="A121" s="70"/>
      <c r="B121" s="70"/>
      <c r="C121" s="70"/>
      <c r="D121" s="70"/>
      <c r="E121" s="70"/>
      <c r="F121" s="70"/>
      <c r="G121" s="70"/>
      <c r="H121" s="70"/>
      <c r="I121" s="70"/>
      <c r="J121" s="71"/>
      <c r="K121" s="71"/>
      <c r="L121" s="70"/>
      <c r="M121" s="70"/>
      <c r="N121" s="70"/>
      <c r="O121" s="70"/>
      <c r="P121" s="70"/>
      <c r="Q121" s="70"/>
      <c r="R121" s="70"/>
    </row>
    <row r="122" spans="1:18" s="46" customFormat="1" ht="39.9" customHeight="1">
      <c r="A122" s="70"/>
      <c r="B122" s="70"/>
      <c r="C122" s="70"/>
      <c r="D122" s="70"/>
      <c r="E122" s="70"/>
      <c r="F122" s="70"/>
      <c r="G122" s="70"/>
      <c r="H122" s="70"/>
      <c r="I122" s="70"/>
      <c r="J122" s="71"/>
      <c r="K122" s="71"/>
      <c r="L122" s="70"/>
      <c r="M122" s="70"/>
      <c r="N122" s="70"/>
      <c r="O122" s="70"/>
      <c r="P122" s="70"/>
      <c r="Q122" s="70"/>
      <c r="R122" s="70"/>
    </row>
    <row r="123" spans="1:18" s="46" customFormat="1" ht="39.9" customHeight="1">
      <c r="A123" s="70"/>
      <c r="B123" s="70"/>
      <c r="C123" s="70"/>
      <c r="D123" s="70"/>
      <c r="E123" s="70"/>
      <c r="F123" s="70"/>
      <c r="G123" s="70"/>
      <c r="H123" s="70"/>
      <c r="I123" s="70"/>
      <c r="J123" s="71"/>
      <c r="K123" s="71"/>
      <c r="L123" s="70"/>
      <c r="M123" s="70"/>
      <c r="N123" s="70"/>
      <c r="O123" s="70"/>
      <c r="P123" s="70"/>
      <c r="Q123" s="70"/>
      <c r="R123" s="70"/>
    </row>
    <row r="124" spans="1:18" s="46" customFormat="1" ht="39.9" customHeight="1">
      <c r="A124" s="70"/>
      <c r="B124" s="70"/>
      <c r="C124" s="70"/>
      <c r="D124" s="70"/>
      <c r="E124" s="70"/>
      <c r="F124" s="70"/>
      <c r="G124" s="70"/>
      <c r="H124" s="70"/>
      <c r="I124" s="70"/>
      <c r="J124" s="71"/>
      <c r="K124" s="71"/>
      <c r="L124" s="70"/>
      <c r="M124" s="70"/>
      <c r="N124" s="70"/>
      <c r="O124" s="70"/>
      <c r="P124" s="70"/>
      <c r="Q124" s="70"/>
      <c r="R124" s="70"/>
    </row>
    <row r="125" spans="1:18" s="46" customFormat="1" ht="39.9" customHeight="1">
      <c r="A125" s="70"/>
      <c r="B125" s="70"/>
      <c r="C125" s="70"/>
      <c r="D125" s="70"/>
      <c r="E125" s="70"/>
      <c r="F125" s="70"/>
      <c r="G125" s="70"/>
      <c r="H125" s="70"/>
      <c r="I125" s="70"/>
      <c r="J125" s="71"/>
      <c r="K125" s="71"/>
      <c r="L125" s="70"/>
      <c r="M125" s="70"/>
      <c r="N125" s="70"/>
      <c r="O125" s="70"/>
      <c r="P125" s="70"/>
      <c r="Q125" s="70"/>
      <c r="R125" s="70"/>
    </row>
    <row r="126" spans="1:18" s="46" customFormat="1" ht="39.9" customHeight="1">
      <c r="A126" s="70"/>
      <c r="B126" s="70"/>
      <c r="C126" s="70"/>
      <c r="D126" s="70"/>
      <c r="E126" s="70"/>
      <c r="F126" s="70"/>
      <c r="G126" s="70"/>
      <c r="H126" s="70"/>
      <c r="I126" s="70"/>
      <c r="J126" s="71"/>
      <c r="K126" s="71"/>
      <c r="L126" s="70"/>
      <c r="M126" s="70"/>
      <c r="N126" s="70"/>
      <c r="O126" s="70"/>
      <c r="P126" s="70"/>
      <c r="Q126" s="70"/>
      <c r="R126" s="70"/>
    </row>
    <row r="127" spans="1:18" s="46" customFormat="1" ht="39.9" customHeight="1">
      <c r="A127" s="70"/>
      <c r="B127" s="70"/>
      <c r="C127" s="70"/>
      <c r="D127" s="70"/>
      <c r="E127" s="70"/>
      <c r="F127" s="70"/>
      <c r="G127" s="70"/>
      <c r="H127" s="70"/>
      <c r="I127" s="70"/>
      <c r="J127" s="71"/>
      <c r="K127" s="71"/>
      <c r="L127" s="70"/>
      <c r="M127" s="70"/>
      <c r="N127" s="70"/>
      <c r="O127" s="70"/>
      <c r="P127" s="70"/>
      <c r="Q127" s="70"/>
      <c r="R127" s="70"/>
    </row>
    <row r="128" spans="1:18" s="46" customFormat="1" ht="39.9" customHeight="1">
      <c r="A128" s="70"/>
      <c r="B128" s="70"/>
      <c r="C128" s="70"/>
      <c r="D128" s="70"/>
      <c r="E128" s="70"/>
      <c r="F128" s="70"/>
      <c r="G128" s="70"/>
      <c r="H128" s="70"/>
      <c r="I128" s="70"/>
      <c r="J128" s="71"/>
      <c r="K128" s="71"/>
      <c r="L128" s="70"/>
      <c r="M128" s="70"/>
      <c r="N128" s="70"/>
      <c r="O128" s="70"/>
      <c r="P128" s="70"/>
      <c r="Q128" s="70"/>
      <c r="R128" s="70"/>
    </row>
    <row r="129" spans="1:18" s="46" customFormat="1" ht="39.9" customHeight="1">
      <c r="A129" s="70"/>
      <c r="B129" s="70"/>
      <c r="C129" s="70"/>
      <c r="D129" s="70"/>
      <c r="E129" s="70"/>
      <c r="F129" s="70"/>
      <c r="G129" s="70"/>
      <c r="H129" s="70"/>
      <c r="I129" s="70"/>
      <c r="J129" s="71"/>
      <c r="K129" s="71"/>
      <c r="L129" s="70"/>
      <c r="M129" s="70"/>
      <c r="N129" s="70"/>
      <c r="O129" s="70"/>
      <c r="P129" s="70"/>
      <c r="Q129" s="70"/>
      <c r="R129" s="70"/>
    </row>
    <row r="130" spans="1:18" s="46" customFormat="1" ht="39.9" customHeight="1">
      <c r="A130" s="70"/>
      <c r="B130" s="70"/>
      <c r="C130" s="70"/>
      <c r="D130" s="70"/>
      <c r="E130" s="70"/>
      <c r="F130" s="70"/>
      <c r="G130" s="70"/>
      <c r="H130" s="70"/>
      <c r="I130" s="70"/>
      <c r="J130" s="71"/>
      <c r="K130" s="71"/>
      <c r="L130" s="70"/>
      <c r="M130" s="70"/>
      <c r="N130" s="70"/>
      <c r="O130" s="70"/>
      <c r="P130" s="70"/>
      <c r="Q130" s="70"/>
      <c r="R130" s="70"/>
    </row>
    <row r="131" spans="1:18" s="46" customFormat="1" ht="39.9" customHeight="1">
      <c r="A131" s="70"/>
      <c r="B131" s="70"/>
      <c r="C131" s="70"/>
      <c r="D131" s="70"/>
      <c r="E131" s="70"/>
      <c r="F131" s="70"/>
      <c r="G131" s="70"/>
      <c r="H131" s="70"/>
      <c r="I131" s="70"/>
      <c r="J131" s="71"/>
      <c r="K131" s="71"/>
      <c r="L131" s="70"/>
      <c r="M131" s="70"/>
      <c r="N131" s="70"/>
      <c r="O131" s="70"/>
      <c r="P131" s="70"/>
      <c r="Q131" s="70"/>
      <c r="R131" s="70"/>
    </row>
    <row r="132" spans="1:18" s="46" customFormat="1" ht="39.9" customHeight="1">
      <c r="A132" s="70"/>
      <c r="B132" s="70"/>
      <c r="C132" s="70"/>
      <c r="D132" s="70"/>
      <c r="E132" s="70"/>
      <c r="F132" s="70"/>
      <c r="G132" s="70"/>
      <c r="H132" s="70"/>
      <c r="I132" s="70"/>
      <c r="J132" s="71"/>
      <c r="K132" s="71"/>
      <c r="L132" s="70"/>
      <c r="M132" s="70"/>
      <c r="N132" s="70"/>
      <c r="O132" s="70"/>
      <c r="P132" s="70"/>
      <c r="Q132" s="70"/>
      <c r="R132" s="70"/>
    </row>
    <row r="133" spans="1:18" s="46" customFormat="1" ht="39.9" customHeight="1">
      <c r="A133" s="70"/>
      <c r="B133" s="70"/>
      <c r="C133" s="70"/>
      <c r="D133" s="70"/>
      <c r="E133" s="70"/>
      <c r="F133" s="70"/>
      <c r="G133" s="70"/>
      <c r="H133" s="70"/>
      <c r="I133" s="70"/>
      <c r="J133" s="71"/>
      <c r="K133" s="71"/>
      <c r="L133" s="70"/>
      <c r="M133" s="70"/>
      <c r="N133" s="70"/>
      <c r="O133" s="70"/>
      <c r="P133" s="70"/>
      <c r="Q133" s="70"/>
      <c r="R133" s="70"/>
    </row>
    <row r="134" spans="1:18" s="46" customFormat="1" ht="39.9" customHeight="1">
      <c r="A134" s="70"/>
      <c r="B134" s="70"/>
      <c r="C134" s="70"/>
      <c r="D134" s="70"/>
      <c r="E134" s="70"/>
      <c r="F134" s="70"/>
      <c r="G134" s="70"/>
      <c r="H134" s="70"/>
      <c r="I134" s="70"/>
      <c r="J134" s="71"/>
      <c r="K134" s="71"/>
      <c r="L134" s="70"/>
      <c r="M134" s="70"/>
      <c r="N134" s="70"/>
      <c r="O134" s="70"/>
      <c r="P134" s="70"/>
      <c r="Q134" s="70"/>
      <c r="R134" s="70"/>
    </row>
    <row r="135" spans="1:18" s="46" customFormat="1" ht="39.9" customHeight="1">
      <c r="A135" s="70"/>
      <c r="B135" s="70"/>
      <c r="C135" s="70"/>
      <c r="D135" s="70"/>
      <c r="E135" s="70"/>
      <c r="F135" s="70"/>
      <c r="G135" s="70"/>
      <c r="H135" s="70"/>
      <c r="I135" s="70"/>
      <c r="J135" s="71"/>
      <c r="K135" s="71"/>
      <c r="L135" s="70"/>
      <c r="M135" s="70"/>
      <c r="N135" s="70"/>
      <c r="O135" s="70"/>
      <c r="P135" s="70"/>
      <c r="Q135" s="70"/>
      <c r="R135" s="70"/>
    </row>
    <row r="136" spans="1:18" s="46" customFormat="1" ht="39.9" customHeight="1">
      <c r="A136" s="70"/>
      <c r="B136" s="70"/>
      <c r="C136" s="70"/>
      <c r="D136" s="70"/>
      <c r="E136" s="70"/>
      <c r="F136" s="70"/>
      <c r="G136" s="70"/>
      <c r="H136" s="70"/>
      <c r="I136" s="70"/>
      <c r="J136" s="71"/>
      <c r="K136" s="71"/>
      <c r="L136" s="70"/>
      <c r="M136" s="70"/>
      <c r="N136" s="70"/>
      <c r="O136" s="70"/>
      <c r="P136" s="70"/>
      <c r="Q136" s="70"/>
      <c r="R136" s="70"/>
    </row>
    <row r="137" spans="1:18" s="46" customFormat="1" ht="39.9" customHeight="1">
      <c r="A137" s="70"/>
      <c r="B137" s="70"/>
      <c r="C137" s="70"/>
      <c r="D137" s="70"/>
      <c r="E137" s="70"/>
      <c r="F137" s="70"/>
      <c r="G137" s="70"/>
      <c r="H137" s="70"/>
      <c r="I137" s="70"/>
      <c r="J137" s="71"/>
      <c r="K137" s="71"/>
      <c r="L137" s="70"/>
      <c r="M137" s="70"/>
      <c r="N137" s="70"/>
      <c r="O137" s="70"/>
      <c r="P137" s="70"/>
      <c r="Q137" s="70"/>
      <c r="R137" s="70"/>
    </row>
    <row r="138" spans="1:18" s="46" customFormat="1" ht="39.9" customHeight="1">
      <c r="A138" s="70"/>
      <c r="B138" s="70"/>
      <c r="C138" s="70"/>
      <c r="D138" s="70"/>
      <c r="E138" s="70"/>
      <c r="F138" s="70"/>
      <c r="G138" s="70"/>
      <c r="H138" s="70"/>
      <c r="I138" s="70"/>
      <c r="J138" s="71"/>
      <c r="K138" s="71"/>
      <c r="L138" s="70"/>
      <c r="M138" s="70"/>
      <c r="N138" s="70"/>
      <c r="O138" s="70"/>
      <c r="P138" s="70"/>
      <c r="Q138" s="70"/>
      <c r="R138" s="70"/>
    </row>
    <row r="139" spans="1:18" s="46" customFormat="1" ht="39.9" customHeight="1">
      <c r="A139" s="70"/>
      <c r="B139" s="70"/>
      <c r="C139" s="70"/>
      <c r="D139" s="70"/>
      <c r="E139" s="70"/>
      <c r="F139" s="70"/>
      <c r="G139" s="70"/>
      <c r="H139" s="70"/>
      <c r="I139" s="70"/>
      <c r="J139" s="71"/>
      <c r="K139" s="71"/>
      <c r="L139" s="70"/>
      <c r="M139" s="70"/>
      <c r="N139" s="70"/>
      <c r="O139" s="70"/>
      <c r="P139" s="70"/>
      <c r="Q139" s="70"/>
      <c r="R139" s="70"/>
    </row>
    <row r="140" spans="1:18" s="46" customFormat="1" ht="39.9" customHeight="1">
      <c r="A140" s="70"/>
      <c r="B140" s="70"/>
      <c r="C140" s="70"/>
      <c r="D140" s="70"/>
      <c r="E140" s="70"/>
      <c r="F140" s="70"/>
      <c r="G140" s="70"/>
      <c r="H140" s="70"/>
      <c r="I140" s="70"/>
      <c r="J140" s="71"/>
      <c r="K140" s="71"/>
      <c r="L140" s="70"/>
      <c r="M140" s="70"/>
      <c r="N140" s="70"/>
      <c r="O140" s="70"/>
      <c r="P140" s="70"/>
      <c r="Q140" s="70"/>
      <c r="R140" s="70"/>
    </row>
    <row r="141" spans="1:18" s="46" customFormat="1" ht="39.9" customHeight="1">
      <c r="A141" s="70"/>
      <c r="B141" s="70"/>
      <c r="C141" s="70"/>
      <c r="D141" s="70"/>
      <c r="E141" s="70"/>
      <c r="F141" s="70"/>
      <c r="G141" s="70"/>
      <c r="H141" s="70"/>
      <c r="I141" s="70"/>
      <c r="J141" s="71"/>
      <c r="K141" s="71"/>
      <c r="L141" s="70"/>
      <c r="M141" s="70"/>
      <c r="N141" s="70"/>
      <c r="O141" s="70"/>
      <c r="P141" s="70"/>
      <c r="Q141" s="70"/>
      <c r="R141" s="70"/>
    </row>
    <row r="142" spans="1:18" s="46" customFormat="1" ht="39.9" customHeight="1">
      <c r="A142" s="70"/>
      <c r="B142" s="70"/>
      <c r="C142" s="70"/>
      <c r="D142" s="70"/>
      <c r="E142" s="70"/>
      <c r="F142" s="70"/>
      <c r="G142" s="70"/>
      <c r="H142" s="70"/>
      <c r="I142" s="70"/>
      <c r="J142" s="71"/>
      <c r="K142" s="71"/>
      <c r="L142" s="70"/>
      <c r="M142" s="70"/>
      <c r="N142" s="70"/>
      <c r="O142" s="70"/>
      <c r="P142" s="70"/>
      <c r="Q142" s="70"/>
      <c r="R142" s="70"/>
    </row>
    <row r="143" spans="1:18" s="46" customFormat="1" ht="39.9" customHeight="1">
      <c r="A143" s="70"/>
      <c r="B143" s="70"/>
      <c r="C143" s="70"/>
      <c r="D143" s="70"/>
      <c r="E143" s="70"/>
      <c r="F143" s="70"/>
      <c r="G143" s="70"/>
      <c r="H143" s="70"/>
      <c r="I143" s="70"/>
      <c r="J143" s="71"/>
      <c r="K143" s="71"/>
      <c r="L143" s="70"/>
      <c r="M143" s="70"/>
      <c r="N143" s="70"/>
      <c r="O143" s="70"/>
      <c r="P143" s="70"/>
      <c r="Q143" s="70"/>
      <c r="R143" s="70"/>
    </row>
    <row r="144" spans="1:18" s="46" customFormat="1" ht="39.9" customHeight="1">
      <c r="A144" s="70"/>
      <c r="B144" s="70"/>
      <c r="C144" s="70"/>
      <c r="D144" s="70"/>
      <c r="E144" s="70"/>
      <c r="F144" s="70"/>
      <c r="G144" s="70"/>
      <c r="H144" s="70"/>
      <c r="I144" s="70"/>
      <c r="J144" s="71"/>
      <c r="K144" s="71"/>
      <c r="L144" s="70"/>
      <c r="M144" s="70"/>
      <c r="N144" s="70"/>
      <c r="O144" s="70"/>
      <c r="P144" s="70"/>
      <c r="Q144" s="70"/>
      <c r="R144" s="70"/>
    </row>
    <row r="145" spans="1:18" s="46" customFormat="1" ht="39.9" customHeight="1">
      <c r="A145" s="70"/>
      <c r="B145" s="70"/>
      <c r="C145" s="70"/>
      <c r="D145" s="70"/>
      <c r="E145" s="70"/>
      <c r="F145" s="70"/>
      <c r="G145" s="70"/>
      <c r="H145" s="70"/>
      <c r="I145" s="70"/>
      <c r="J145" s="71"/>
      <c r="K145" s="71"/>
      <c r="L145" s="70"/>
      <c r="M145" s="70"/>
      <c r="N145" s="70"/>
      <c r="O145" s="70"/>
      <c r="P145" s="70"/>
      <c r="Q145" s="70"/>
      <c r="R145" s="70"/>
    </row>
    <row r="146" spans="1:18" s="46" customFormat="1" ht="39.9" customHeight="1">
      <c r="A146" s="70"/>
      <c r="B146" s="70"/>
      <c r="C146" s="70"/>
      <c r="D146" s="70"/>
      <c r="E146" s="70"/>
      <c r="F146" s="70"/>
      <c r="G146" s="70"/>
      <c r="H146" s="70"/>
      <c r="I146" s="70"/>
      <c r="J146" s="71"/>
      <c r="K146" s="71"/>
      <c r="L146" s="70"/>
      <c r="M146" s="70"/>
      <c r="N146" s="70"/>
      <c r="O146" s="70"/>
      <c r="P146" s="70"/>
      <c r="Q146" s="70"/>
      <c r="R146" s="70"/>
    </row>
    <row r="147" spans="1:18" s="46" customFormat="1" ht="39.9" customHeight="1">
      <c r="A147" s="70"/>
      <c r="B147" s="70"/>
      <c r="C147" s="70"/>
      <c r="D147" s="70"/>
      <c r="E147" s="70"/>
      <c r="F147" s="70"/>
      <c r="G147" s="70"/>
      <c r="H147" s="70"/>
      <c r="I147" s="70"/>
      <c r="J147" s="71"/>
      <c r="K147" s="71"/>
      <c r="L147" s="70"/>
      <c r="M147" s="70"/>
      <c r="N147" s="70"/>
      <c r="O147" s="70"/>
      <c r="P147" s="70"/>
      <c r="Q147" s="70"/>
      <c r="R147" s="70"/>
    </row>
    <row r="148" spans="1:18" s="46" customFormat="1" ht="39.9" customHeight="1">
      <c r="A148" s="70"/>
      <c r="B148" s="70"/>
      <c r="C148" s="70"/>
      <c r="D148" s="70"/>
      <c r="E148" s="70"/>
      <c r="F148" s="70"/>
      <c r="G148" s="70"/>
      <c r="H148" s="70"/>
      <c r="I148" s="70"/>
      <c r="J148" s="71"/>
      <c r="K148" s="71"/>
      <c r="L148" s="70"/>
      <c r="M148" s="70"/>
      <c r="N148" s="70"/>
      <c r="O148" s="70"/>
      <c r="P148" s="70"/>
      <c r="Q148" s="70"/>
      <c r="R148" s="70"/>
    </row>
    <row r="149" spans="1:18" s="46" customFormat="1" ht="39.9" customHeight="1">
      <c r="A149" s="70"/>
      <c r="B149" s="70"/>
      <c r="C149" s="70"/>
      <c r="D149" s="70"/>
      <c r="E149" s="70"/>
      <c r="F149" s="70"/>
      <c r="G149" s="70"/>
      <c r="H149" s="70"/>
      <c r="I149" s="70"/>
      <c r="J149" s="71"/>
      <c r="K149" s="71"/>
      <c r="L149" s="70"/>
      <c r="M149" s="70"/>
      <c r="N149" s="70"/>
      <c r="O149" s="70"/>
      <c r="P149" s="70"/>
      <c r="Q149" s="70"/>
      <c r="R149" s="70"/>
    </row>
    <row r="150" spans="1:18" s="46" customFormat="1" ht="39.9" customHeight="1">
      <c r="A150" s="70"/>
      <c r="B150" s="70"/>
      <c r="C150" s="70"/>
      <c r="D150" s="70"/>
      <c r="E150" s="70"/>
      <c r="F150" s="70"/>
      <c r="G150" s="70"/>
      <c r="H150" s="70"/>
      <c r="I150" s="70"/>
      <c r="J150" s="71"/>
      <c r="K150" s="71"/>
      <c r="L150" s="70"/>
      <c r="M150" s="70"/>
      <c r="N150" s="70"/>
      <c r="O150" s="70"/>
      <c r="P150" s="70"/>
      <c r="Q150" s="70"/>
      <c r="R150" s="70"/>
    </row>
    <row r="151" spans="1:18" s="46" customFormat="1" ht="39.9" customHeight="1">
      <c r="A151" s="70"/>
      <c r="B151" s="70"/>
      <c r="C151" s="70"/>
      <c r="D151" s="70"/>
      <c r="E151" s="70"/>
      <c r="F151" s="70"/>
      <c r="G151" s="70"/>
      <c r="H151" s="70"/>
      <c r="I151" s="70"/>
      <c r="J151" s="71"/>
      <c r="K151" s="71"/>
      <c r="L151" s="70"/>
      <c r="M151" s="70"/>
      <c r="N151" s="70"/>
      <c r="O151" s="70"/>
      <c r="P151" s="70"/>
      <c r="Q151" s="70"/>
      <c r="R151" s="70"/>
    </row>
    <row r="152" spans="1:18" s="46" customFormat="1" ht="39.9" customHeight="1">
      <c r="A152" s="70"/>
      <c r="B152" s="70"/>
      <c r="C152" s="70"/>
      <c r="D152" s="70"/>
      <c r="E152" s="70"/>
      <c r="F152" s="70"/>
      <c r="G152" s="70"/>
      <c r="H152" s="70"/>
      <c r="I152" s="70"/>
      <c r="J152" s="71"/>
      <c r="K152" s="71"/>
      <c r="L152" s="70"/>
      <c r="M152" s="70"/>
      <c r="N152" s="70"/>
      <c r="O152" s="70"/>
      <c r="P152" s="70"/>
      <c r="Q152" s="70"/>
      <c r="R152" s="70"/>
    </row>
    <row r="153" spans="1:18" s="46" customFormat="1" ht="39.9" customHeight="1">
      <c r="A153" s="70"/>
      <c r="B153" s="70"/>
      <c r="C153" s="70"/>
      <c r="D153" s="70"/>
      <c r="E153" s="70"/>
      <c r="F153" s="70"/>
      <c r="G153" s="70"/>
      <c r="H153" s="70"/>
      <c r="I153" s="70"/>
      <c r="J153" s="71"/>
      <c r="K153" s="71"/>
      <c r="L153" s="70"/>
      <c r="M153" s="70"/>
      <c r="N153" s="70"/>
      <c r="O153" s="70"/>
      <c r="P153" s="70"/>
      <c r="Q153" s="70"/>
      <c r="R153" s="70"/>
    </row>
    <row r="154" spans="1:18" s="46" customFormat="1" ht="39.9" customHeight="1">
      <c r="A154" s="70"/>
      <c r="B154" s="70"/>
      <c r="C154" s="70"/>
      <c r="D154" s="70"/>
      <c r="E154" s="70"/>
      <c r="F154" s="70"/>
      <c r="G154" s="70"/>
      <c r="H154" s="70"/>
      <c r="I154" s="70"/>
      <c r="J154" s="71"/>
      <c r="K154" s="71"/>
      <c r="L154" s="70"/>
      <c r="M154" s="70"/>
      <c r="N154" s="70"/>
      <c r="O154" s="70"/>
      <c r="P154" s="70"/>
      <c r="Q154" s="70"/>
      <c r="R154" s="70"/>
    </row>
    <row r="155" spans="1:18" s="46" customFormat="1" ht="39.9" customHeight="1">
      <c r="A155" s="70"/>
      <c r="B155" s="70"/>
      <c r="C155" s="70"/>
      <c r="D155" s="70"/>
      <c r="E155" s="70"/>
      <c r="F155" s="70"/>
      <c r="G155" s="70"/>
      <c r="H155" s="70"/>
      <c r="I155" s="70"/>
      <c r="J155" s="71"/>
      <c r="K155" s="71"/>
      <c r="L155" s="70"/>
      <c r="M155" s="70"/>
      <c r="N155" s="70"/>
      <c r="O155" s="70"/>
      <c r="P155" s="70"/>
      <c r="Q155" s="70"/>
      <c r="R155" s="70"/>
    </row>
    <row r="156" spans="1:18" s="46" customFormat="1" ht="39.9" customHeight="1">
      <c r="A156" s="70"/>
      <c r="B156" s="70"/>
      <c r="C156" s="70"/>
      <c r="D156" s="70"/>
      <c r="E156" s="70"/>
      <c r="F156" s="70"/>
      <c r="G156" s="70"/>
      <c r="H156" s="70"/>
      <c r="I156" s="70"/>
      <c r="J156" s="71"/>
      <c r="K156" s="71"/>
      <c r="L156" s="70"/>
      <c r="M156" s="70"/>
      <c r="N156" s="70"/>
      <c r="O156" s="70"/>
      <c r="P156" s="70"/>
      <c r="Q156" s="70"/>
      <c r="R156" s="70"/>
    </row>
    <row r="157" spans="1:18" s="46" customFormat="1" ht="39.9" customHeight="1">
      <c r="A157" s="70"/>
      <c r="B157" s="70"/>
      <c r="C157" s="70"/>
      <c r="D157" s="70"/>
      <c r="E157" s="70"/>
      <c r="F157" s="70"/>
      <c r="G157" s="70"/>
      <c r="H157" s="70"/>
      <c r="I157" s="70"/>
      <c r="J157" s="71"/>
      <c r="K157" s="71"/>
      <c r="L157" s="70"/>
      <c r="M157" s="70"/>
      <c r="N157" s="70"/>
      <c r="O157" s="70"/>
      <c r="P157" s="70"/>
      <c r="Q157" s="70"/>
      <c r="R157" s="70"/>
    </row>
    <row r="158" spans="1:18" s="46" customFormat="1" ht="39.9" customHeight="1">
      <c r="A158" s="70"/>
      <c r="B158" s="70"/>
      <c r="C158" s="70"/>
      <c r="D158" s="70"/>
      <c r="E158" s="70"/>
      <c r="F158" s="70"/>
      <c r="G158" s="70"/>
      <c r="H158" s="70"/>
      <c r="I158" s="70"/>
      <c r="J158" s="71"/>
      <c r="K158" s="71"/>
      <c r="L158" s="70"/>
      <c r="M158" s="70"/>
      <c r="N158" s="70"/>
      <c r="O158" s="70"/>
      <c r="P158" s="70"/>
      <c r="Q158" s="70"/>
      <c r="R158" s="70"/>
    </row>
    <row r="159" spans="1:18" s="46" customFormat="1" ht="39.9" customHeight="1">
      <c r="A159" s="70"/>
      <c r="B159" s="70"/>
      <c r="C159" s="70"/>
      <c r="D159" s="70"/>
      <c r="E159" s="70"/>
      <c r="F159" s="70"/>
      <c r="G159" s="70"/>
      <c r="H159" s="70"/>
      <c r="I159" s="70"/>
      <c r="J159" s="71"/>
      <c r="K159" s="71"/>
      <c r="L159" s="70"/>
      <c r="M159" s="70"/>
      <c r="N159" s="70"/>
      <c r="O159" s="70"/>
      <c r="P159" s="70"/>
      <c r="Q159" s="70"/>
      <c r="R159" s="70"/>
    </row>
    <row r="160" spans="1:18" s="46" customFormat="1" ht="39.9" customHeight="1">
      <c r="A160" s="70"/>
      <c r="B160" s="70"/>
      <c r="C160" s="70"/>
      <c r="D160" s="70"/>
      <c r="E160" s="70"/>
      <c r="F160" s="70"/>
      <c r="G160" s="70"/>
      <c r="H160" s="70"/>
      <c r="I160" s="70"/>
      <c r="J160" s="71"/>
      <c r="K160" s="71"/>
      <c r="L160" s="70"/>
      <c r="M160" s="70"/>
      <c r="N160" s="70"/>
      <c r="O160" s="70"/>
      <c r="P160" s="70"/>
      <c r="Q160" s="70"/>
      <c r="R160" s="70"/>
    </row>
    <row r="161" spans="1:18" s="46" customFormat="1" ht="39.9" customHeight="1">
      <c r="A161" s="70"/>
      <c r="B161" s="70"/>
      <c r="C161" s="70"/>
      <c r="D161" s="70"/>
      <c r="E161" s="70"/>
      <c r="F161" s="70"/>
      <c r="G161" s="70"/>
      <c r="H161" s="70"/>
      <c r="I161" s="70"/>
      <c r="J161" s="71"/>
      <c r="K161" s="71"/>
      <c r="L161" s="70"/>
      <c r="M161" s="70"/>
      <c r="N161" s="70"/>
      <c r="O161" s="70"/>
      <c r="P161" s="70"/>
      <c r="Q161" s="70"/>
      <c r="R161" s="70"/>
    </row>
    <row r="162" spans="1:18" s="46" customFormat="1" ht="39.9" customHeight="1">
      <c r="A162" s="70"/>
      <c r="B162" s="70"/>
      <c r="C162" s="70"/>
      <c r="D162" s="70"/>
      <c r="E162" s="70"/>
      <c r="F162" s="70"/>
      <c r="G162" s="70"/>
      <c r="H162" s="70"/>
      <c r="I162" s="70"/>
      <c r="J162" s="71"/>
      <c r="K162" s="71"/>
      <c r="L162" s="70"/>
      <c r="M162" s="70"/>
      <c r="N162" s="70"/>
      <c r="O162" s="70"/>
      <c r="P162" s="70"/>
      <c r="Q162" s="70"/>
      <c r="R162" s="70"/>
    </row>
    <row r="163" spans="1:18" s="46" customFormat="1" ht="39.9" customHeight="1">
      <c r="A163" s="70"/>
      <c r="B163" s="70"/>
      <c r="C163" s="70"/>
      <c r="D163" s="70"/>
      <c r="E163" s="70"/>
      <c r="F163" s="70"/>
      <c r="G163" s="70"/>
      <c r="H163" s="70"/>
      <c r="I163" s="70"/>
      <c r="J163" s="71"/>
      <c r="K163" s="71"/>
      <c r="L163" s="70"/>
      <c r="M163" s="70"/>
      <c r="N163" s="70"/>
      <c r="O163" s="70"/>
      <c r="P163" s="70"/>
      <c r="Q163" s="70"/>
      <c r="R163" s="70"/>
    </row>
    <row r="164" spans="1:18" s="46" customFormat="1" ht="39.9" customHeight="1">
      <c r="A164" s="70"/>
      <c r="B164" s="70"/>
      <c r="C164" s="70"/>
      <c r="D164" s="70"/>
      <c r="E164" s="70"/>
      <c r="F164" s="70"/>
      <c r="G164" s="70"/>
      <c r="H164" s="70"/>
      <c r="I164" s="70"/>
      <c r="J164" s="71"/>
      <c r="K164" s="71"/>
      <c r="L164" s="70"/>
      <c r="M164" s="70"/>
      <c r="N164" s="70"/>
      <c r="O164" s="70"/>
      <c r="P164" s="70"/>
      <c r="Q164" s="70"/>
      <c r="R164" s="70"/>
    </row>
    <row r="165" spans="1:18" s="46" customFormat="1" ht="39.9" customHeight="1">
      <c r="A165" s="70"/>
      <c r="B165" s="70"/>
      <c r="C165" s="70"/>
      <c r="D165" s="70"/>
      <c r="E165" s="70"/>
      <c r="F165" s="70"/>
      <c r="G165" s="70"/>
      <c r="H165" s="70"/>
      <c r="I165" s="70"/>
      <c r="J165" s="71"/>
      <c r="K165" s="71"/>
      <c r="L165" s="70"/>
      <c r="M165" s="70"/>
      <c r="N165" s="70"/>
      <c r="O165" s="70"/>
      <c r="P165" s="70"/>
      <c r="Q165" s="70"/>
      <c r="R165" s="70"/>
    </row>
    <row r="166" spans="1:18" s="46" customFormat="1" ht="39.9" customHeight="1">
      <c r="A166" s="70"/>
      <c r="B166" s="70"/>
      <c r="C166" s="70"/>
      <c r="D166" s="70"/>
      <c r="E166" s="70"/>
      <c r="F166" s="70"/>
      <c r="G166" s="70"/>
      <c r="H166" s="70"/>
      <c r="I166" s="70"/>
      <c r="J166" s="71"/>
      <c r="K166" s="71"/>
      <c r="L166" s="70"/>
      <c r="M166" s="70"/>
      <c r="N166" s="70"/>
      <c r="O166" s="70"/>
      <c r="P166" s="70"/>
      <c r="Q166" s="70"/>
      <c r="R166" s="70"/>
    </row>
    <row r="167" spans="1:18" s="46" customFormat="1" ht="39.9" customHeight="1">
      <c r="A167" s="70"/>
      <c r="B167" s="70"/>
      <c r="C167" s="70"/>
      <c r="D167" s="70"/>
      <c r="E167" s="70"/>
      <c r="F167" s="70"/>
      <c r="G167" s="70"/>
      <c r="H167" s="70"/>
      <c r="I167" s="70"/>
      <c r="J167" s="71"/>
      <c r="K167" s="71"/>
      <c r="L167" s="70"/>
      <c r="M167" s="70"/>
      <c r="N167" s="70"/>
      <c r="O167" s="70"/>
      <c r="P167" s="70"/>
      <c r="Q167" s="70"/>
      <c r="R167" s="70"/>
    </row>
    <row r="168" spans="1:18" s="46" customFormat="1" ht="39.9" customHeight="1">
      <c r="A168" s="70"/>
      <c r="B168" s="70"/>
      <c r="C168" s="70"/>
      <c r="D168" s="70"/>
      <c r="E168" s="70"/>
      <c r="F168" s="70"/>
      <c r="G168" s="70"/>
      <c r="H168" s="70"/>
      <c r="I168" s="70"/>
      <c r="J168" s="71"/>
      <c r="K168" s="71"/>
      <c r="L168" s="70"/>
      <c r="M168" s="70"/>
      <c r="N168" s="70"/>
      <c r="O168" s="70"/>
      <c r="P168" s="70"/>
      <c r="Q168" s="70"/>
      <c r="R168" s="70"/>
    </row>
    <row r="169" spans="1:18" s="46" customFormat="1" ht="39.9" customHeight="1">
      <c r="A169" s="70"/>
      <c r="B169" s="70"/>
      <c r="C169" s="70"/>
      <c r="D169" s="70"/>
      <c r="E169" s="70"/>
      <c r="F169" s="70"/>
      <c r="G169" s="70"/>
      <c r="H169" s="70"/>
      <c r="I169" s="70"/>
      <c r="J169" s="71"/>
      <c r="K169" s="71"/>
      <c r="L169" s="70"/>
      <c r="M169" s="70"/>
      <c r="N169" s="70"/>
      <c r="O169" s="70"/>
      <c r="P169" s="70"/>
      <c r="Q169" s="70"/>
      <c r="R169" s="70"/>
    </row>
    <row r="170" spans="1:18" s="46" customFormat="1" ht="39.9" customHeight="1">
      <c r="A170" s="70"/>
      <c r="B170" s="70"/>
      <c r="C170" s="70"/>
      <c r="D170" s="70"/>
      <c r="E170" s="70"/>
      <c r="F170" s="70"/>
      <c r="G170" s="70"/>
      <c r="H170" s="70"/>
      <c r="I170" s="70"/>
      <c r="J170" s="71"/>
      <c r="K170" s="71"/>
      <c r="L170" s="70"/>
      <c r="M170" s="70"/>
      <c r="N170" s="70"/>
      <c r="O170" s="70"/>
      <c r="P170" s="70"/>
      <c r="Q170" s="70"/>
      <c r="R170" s="70"/>
    </row>
    <row r="171" spans="1:18" s="46" customFormat="1" ht="39.9" customHeight="1">
      <c r="A171" s="70"/>
      <c r="B171" s="70"/>
      <c r="C171" s="70"/>
      <c r="D171" s="70"/>
      <c r="E171" s="70"/>
      <c r="F171" s="70"/>
      <c r="G171" s="70"/>
      <c r="H171" s="70"/>
      <c r="I171" s="70"/>
      <c r="J171" s="71"/>
      <c r="K171" s="71"/>
      <c r="L171" s="70"/>
      <c r="M171" s="70"/>
      <c r="N171" s="70"/>
      <c r="O171" s="70"/>
      <c r="P171" s="70"/>
      <c r="Q171" s="70"/>
      <c r="R171" s="70"/>
    </row>
    <row r="172" spans="1:18" s="46" customFormat="1" ht="39.9" customHeight="1">
      <c r="A172" s="70"/>
      <c r="B172" s="70"/>
      <c r="C172" s="70"/>
      <c r="D172" s="70"/>
      <c r="E172" s="70"/>
      <c r="F172" s="70"/>
      <c r="G172" s="70"/>
      <c r="H172" s="70"/>
      <c r="I172" s="70"/>
      <c r="J172" s="71"/>
      <c r="K172" s="71"/>
      <c r="L172" s="70"/>
      <c r="M172" s="70"/>
      <c r="N172" s="70"/>
      <c r="O172" s="70"/>
      <c r="P172" s="70"/>
      <c r="Q172" s="70"/>
      <c r="R172" s="70"/>
    </row>
    <row r="173" spans="1:18" s="46" customFormat="1" ht="39.9" customHeight="1">
      <c r="A173" s="70"/>
      <c r="B173" s="70"/>
      <c r="C173" s="70"/>
      <c r="D173" s="70"/>
      <c r="E173" s="70"/>
      <c r="F173" s="70"/>
      <c r="G173" s="70"/>
      <c r="H173" s="70"/>
      <c r="I173" s="70"/>
      <c r="J173" s="71"/>
      <c r="K173" s="71"/>
      <c r="L173" s="70"/>
      <c r="M173" s="70"/>
      <c r="N173" s="70"/>
      <c r="O173" s="70"/>
      <c r="P173" s="70"/>
      <c r="Q173" s="70"/>
      <c r="R173" s="70"/>
    </row>
    <row r="174" spans="1:18" s="46" customFormat="1" ht="39.9" customHeight="1">
      <c r="A174" s="70"/>
      <c r="B174" s="70"/>
      <c r="C174" s="70"/>
      <c r="D174" s="70"/>
      <c r="E174" s="70"/>
      <c r="F174" s="70"/>
      <c r="G174" s="70"/>
      <c r="H174" s="70"/>
      <c r="I174" s="70"/>
      <c r="J174" s="71"/>
      <c r="K174" s="71"/>
      <c r="L174" s="70"/>
      <c r="M174" s="70"/>
      <c r="N174" s="70"/>
      <c r="O174" s="70"/>
      <c r="P174" s="70"/>
      <c r="Q174" s="70"/>
      <c r="R174" s="70"/>
    </row>
  </sheetData>
  <sheetProtection formatCells="0" formatRows="0" insertColumns="0" insertRows="0"/>
  <mergeCells count="38">
    <mergeCell ref="G7:G9"/>
    <mergeCell ref="A7:A9"/>
    <mergeCell ref="B7:B9"/>
    <mergeCell ref="C7:C9"/>
    <mergeCell ref="D7:D9"/>
    <mergeCell ref="E7:E9"/>
    <mergeCell ref="E5:G5"/>
    <mergeCell ref="E6:G6"/>
    <mergeCell ref="H6:L6"/>
    <mergeCell ref="T7:T9"/>
    <mergeCell ref="Q7:Q9"/>
    <mergeCell ref="R7:R9"/>
    <mergeCell ref="S7:S9"/>
    <mergeCell ref="J7:J9"/>
    <mergeCell ref="L7:L9"/>
    <mergeCell ref="P7:P9"/>
    <mergeCell ref="F7:F9"/>
    <mergeCell ref="O7:O9"/>
    <mergeCell ref="H7:H9"/>
    <mergeCell ref="K7:K9"/>
    <mergeCell ref="M7:M9"/>
    <mergeCell ref="N7:N9"/>
    <mergeCell ref="H5:L5"/>
    <mergeCell ref="I7:I9"/>
    <mergeCell ref="A1:T1"/>
    <mergeCell ref="A2:T2"/>
    <mergeCell ref="M3:T3"/>
    <mergeCell ref="M4:T4"/>
    <mergeCell ref="M5:T6"/>
    <mergeCell ref="A6:B6"/>
    <mergeCell ref="C6:D6"/>
    <mergeCell ref="A3:L3"/>
    <mergeCell ref="A4:B4"/>
    <mergeCell ref="C4:D4"/>
    <mergeCell ref="E4:G4"/>
    <mergeCell ref="H4:L4"/>
    <mergeCell ref="A5:B5"/>
    <mergeCell ref="C5:D5"/>
  </mergeCells>
  <printOptions horizontalCentered="1"/>
  <pageMargins left="0.563779527559072" right="0.563779527559072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93342-AF37-44A4-972D-934A8498977E}">
  <sheetPr codeName="Sheet1">
    <pageSetUpPr fitToPage="1"/>
  </sheetPr>
  <dimension ref="A1:M20"/>
  <sheetViews>
    <sheetView zoomScale="60" zoomScaleNormal="60" workbookViewId="0" topLeftCell="A1">
      <selection pane="topLeft" activeCell="K11" sqref="K11"/>
    </sheetView>
  </sheetViews>
  <sheetFormatPr defaultColWidth="9.109375" defaultRowHeight="13.5"/>
  <cols>
    <col min="1" max="1" width="10.4285714285714" style="60" customWidth="1"/>
    <col min="2" max="2" width="37" style="60" customWidth="1"/>
    <col min="3" max="3" width="24.8571428571429" style="60" customWidth="1"/>
    <col min="4" max="4" width="38.2857142857143" style="60" customWidth="1"/>
    <col min="5" max="5" width="26" style="60" customWidth="1"/>
    <col min="6" max="6" width="40.1428571428571" style="60" customWidth="1"/>
    <col min="7" max="7" width="32" style="60" customWidth="1"/>
    <col min="8" max="8" width="30.2857142857143" style="60" customWidth="1"/>
    <col min="9" max="9" width="29.7142857142857" style="60" customWidth="1"/>
    <col min="10" max="10" width="24" style="61" customWidth="1"/>
    <col min="11" max="11" width="26.7142857142857" style="61" customWidth="1"/>
    <col min="12" max="12" width="27" style="60" customWidth="1"/>
    <col min="13" max="13" width="44" style="60" customWidth="1"/>
  </cols>
  <sheetData>
    <row r="1" spans="1:13" ht="81" customHeight="1">
      <c r="A1" s="223" t="s">
        <v>307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</row>
    <row r="2" spans="1:13" ht="33">
      <c r="A2" s="8" t="s">
        <v>7</v>
      </c>
      <c r="B2" s="8"/>
      <c r="C2" s="8"/>
      <c r="D2" s="8"/>
      <c r="E2" s="4" t="s">
        <v>118</v>
      </c>
      <c r="F2" s="4"/>
      <c r="G2" s="13" t="str">
        <f>TRIM(Data!BF5)</f>
        <v>Symons, Dianne</v>
      </c>
      <c r="H2" s="13"/>
      <c r="I2" s="13"/>
      <c r="J2" s="13"/>
      <c r="K2" s="12" t="s">
        <v>4</v>
      </c>
      <c r="L2" s="12"/>
      <c r="M2" s="12"/>
    </row>
    <row r="3" spans="1:13" ht="33">
      <c r="A3" s="7" t="s">
        <v>144</v>
      </c>
      <c r="B3" s="7"/>
      <c r="C3" s="3" t="str">
        <f>TRIM(Data!BC5)</f>
        <v>12027</v>
      </c>
      <c r="D3" s="3"/>
      <c r="E3" s="177" t="s">
        <v>8</v>
      </c>
      <c r="F3" s="177"/>
      <c r="G3" s="13" t="str">
        <f>TRIM(Data!AX5)</f>
        <v>Curtains</v>
      </c>
      <c r="H3" s="13"/>
      <c r="I3" s="13"/>
      <c r="J3" s="13"/>
      <c r="K3" s="200" t="str">
        <f>TRIM(Data!BG5)</f>
        <v/>
      </c>
      <c r="L3" s="201"/>
      <c r="M3" s="202"/>
    </row>
    <row r="4" spans="1:13" ht="33">
      <c r="A4" s="6" t="s">
        <v>15</v>
      </c>
      <c r="B4" s="6"/>
      <c r="C4" s="3" t="str">
        <f>TRIM(Data!BD5)</f>
        <v>C</v>
      </c>
      <c r="D4" s="3"/>
      <c r="E4" s="177" t="s">
        <v>137</v>
      </c>
      <c r="F4" s="177"/>
      <c r="G4" s="13" t="str">
        <f>LEFT(Data!BA5,10)</f>
        <v>20/10/2026</v>
      </c>
      <c r="H4" s="13"/>
      <c r="I4" s="13"/>
      <c r="J4" s="13"/>
      <c r="K4" s="203"/>
      <c r="L4" s="204"/>
      <c r="M4" s="205"/>
    </row>
    <row r="5" spans="1:13" ht="33">
      <c r="A5" s="5" t="s">
        <v>9</v>
      </c>
      <c r="B5" s="5"/>
      <c r="C5" s="176" t="str">
        <f>TRIM(Data!AY5)</f>
        <v>26/08/2026 12:00:00 AM</v>
      </c>
      <c r="D5" s="176"/>
      <c r="E5" s="3" t="s">
        <v>12</v>
      </c>
      <c r="F5" s="3"/>
      <c r="G5" s="13" t="str">
        <f>TRIM(Data!BF5)</f>
        <v>Symons, Dianne</v>
      </c>
      <c r="H5" s="13"/>
      <c r="I5" s="13"/>
      <c r="J5" s="13"/>
      <c r="K5" s="206"/>
      <c r="L5" s="207"/>
      <c r="M5" s="208"/>
    </row>
    <row r="6" spans="1:13" ht="33">
      <c r="A6" s="9" t="str">
        <f>TRIM(Data!CZ5)</f>
        <v>Retail Customer</v>
      </c>
      <c r="B6" s="9"/>
      <c r="C6" s="9"/>
      <c r="D6" s="9"/>
      <c r="E6" s="3"/>
      <c r="F6" s="3"/>
      <c r="G6" s="13" t="str">
        <f>CONCATENATE(Data!BH5," ",Data!BI5," ",Data!BJ5," ",Data!BK5," ",Data!BL5)</f>
        <v xml:space="preserve"> 210  Eddy Avenue </v>
      </c>
      <c r="H6" s="13"/>
      <c r="I6" s="13"/>
      <c r="J6" s="13"/>
      <c r="K6" s="19" t="s">
        <v>750</v>
      </c>
      <c r="L6" s="227" t="str">
        <f>TRIM(Data!BR5)</f>
        <v>dianesymons56@gmail.com</v>
      </c>
      <c r="M6" s="228"/>
    </row>
    <row r="7" spans="1:13" ht="33">
      <c r="A7" s="9"/>
      <c r="B7" s="9"/>
      <c r="C7" s="9"/>
      <c r="D7" s="9"/>
      <c r="E7" s="3"/>
      <c r="F7" s="3"/>
      <c r="G7" s="13" t="str">
        <f>CONCATENATE(Data!BM5," ",Data!BN5," ",Data!BO5," ",Data!BP5)</f>
        <v>Mount Helen VIC 3350 Australia</v>
      </c>
      <c r="H7" s="13"/>
      <c r="I7" s="13"/>
      <c r="J7" s="13"/>
      <c r="K7" s="13" t="s">
        <v>308</v>
      </c>
      <c r="L7" s="13"/>
      <c r="M7" s="18" t="str">
        <f>TRIM(Data!BT5)</f>
        <v>0422583519</v>
      </c>
    </row>
    <row r="8" spans="1:13" ht="13.2">
      <c r="A8" s="224" t="s">
        <v>143</v>
      </c>
      <c r="B8" s="225" t="s">
        <v>120</v>
      </c>
      <c r="C8" s="225" t="s">
        <v>309</v>
      </c>
      <c r="D8" s="226" t="s">
        <v>119</v>
      </c>
      <c r="E8" s="226" t="s">
        <v>11</v>
      </c>
      <c r="F8" s="225" t="s">
        <v>310</v>
      </c>
      <c r="G8" s="225" t="s">
        <v>311</v>
      </c>
      <c r="H8" s="226" t="s">
        <v>312</v>
      </c>
      <c r="I8" s="226" t="s">
        <v>313</v>
      </c>
      <c r="J8" s="226" t="s">
        <v>314</v>
      </c>
      <c r="K8" s="226" t="s">
        <v>315</v>
      </c>
      <c r="L8" s="226" t="s">
        <v>316</v>
      </c>
      <c r="M8" s="226" t="s">
        <v>5</v>
      </c>
    </row>
    <row r="9" spans="1:13" ht="13.2">
      <c r="A9" s="224"/>
      <c r="B9" s="225"/>
      <c r="C9" s="225"/>
      <c r="D9" s="226"/>
      <c r="E9" s="226"/>
      <c r="F9" s="225"/>
      <c r="G9" s="225"/>
      <c r="H9" s="226"/>
      <c r="I9" s="226"/>
      <c r="J9" s="226"/>
      <c r="K9" s="226"/>
      <c r="L9" s="226"/>
      <c r="M9" s="226"/>
    </row>
    <row r="10" spans="1:13" ht="69.75" customHeight="1">
      <c r="A10" s="224"/>
      <c r="B10" s="225"/>
      <c r="C10" s="225"/>
      <c r="D10" s="226"/>
      <c r="E10" s="226"/>
      <c r="F10" s="225"/>
      <c r="G10" s="225"/>
      <c r="H10" s="226"/>
      <c r="I10" s="226"/>
      <c r="J10" s="226"/>
      <c r="K10" s="226"/>
      <c r="L10" s="226"/>
      <c r="M10" s="226"/>
    </row>
    <row r="11" spans="1:13" ht="60" customHeight="1">
      <c r="A11" s="120">
        <f>IF(Data!AX11="","",'Job Sheet'!A11)</f>
        <v>5</v>
      </c>
      <c r="B11" s="121" t="str">
        <f>IF(C11="","",'Job Sheet'!B11)</f>
        <v/>
      </c>
      <c r="C11" s="121" t="str">
        <f t="array" ref="C11">IF(bpLOOKUP(Data!$AV11,"ELECTRICIAN",CustOrdOpt,6,FALSE)="Yes","Yes","")</f>
        <v/>
      </c>
      <c r="D11" s="121" t="str">
        <f>IF(C11="","",Data!AX11)</f>
        <v/>
      </c>
      <c r="E11" s="115" t="str">
        <f>IF(C11="","",'Job Sheet'!J11)</f>
        <v/>
      </c>
      <c r="F11" s="115" t="str">
        <f>IF(C11="","",'Job Sheet'!K11)</f>
        <v/>
      </c>
      <c r="G11" s="115" t="str">
        <f>IF(C11="","",'Job Sheet'!S11)</f>
        <v/>
      </c>
      <c r="H11" s="115"/>
      <c r="I11" s="115" t="str">
        <f t="array" ref="I11">bpLOOKUP(Data!$AV11,"HOUSECONSTRUCTION",CustOrdOpt,6,FALSE)</f>
        <v/>
      </c>
      <c r="J11" s="115" t="str">
        <f t="array" ref="J11">bpLOOKUP(Data!$AV11,"ROOF",CustOrdOpt,6,FALSE)</f>
        <v/>
      </c>
      <c r="K11" s="115" t="str">
        <f t="array" ref="K11">bpLOOKUP(Data!$AV11,"SWITCHBOARD",CustOrdOpt,6,FALSE)</f>
        <v/>
      </c>
      <c r="L11" s="115" t="str">
        <f t="array" ref="L11">bpLOOKUP(Data!$AV11,"STOREYS",CustOrdOpt,6,FALSE)</f>
        <v/>
      </c>
      <c r="M11" s="144" t="str">
        <f>IF(C11="","",'Job Sheet'!AK11)</f>
        <v/>
      </c>
    </row>
    <row r="12" spans="1:13" ht="60" customHeight="1">
      <c r="A12" s="120" t="str">
        <f>IF(Data!AX12="","",'Job Sheet'!A12)</f>
        <v/>
      </c>
      <c r="B12" s="121" t="str">
        <f>IF(C12="","",'Job Sheet'!B12)</f>
        <v/>
      </c>
      <c r="C12" s="121" t="str">
        <f t="array" ref="C12">IF(bpLOOKUP(Data!$AV12,"ELECTRICIAN",CustOrdOpt,6,FALSE)="Yes","Yes","")</f>
        <v/>
      </c>
      <c r="D12" s="121" t="str">
        <f>IF(C12="","",Data!AX12)</f>
        <v/>
      </c>
      <c r="E12" s="115" t="str">
        <f>IF(C12="","",'Job Sheet'!J12)</f>
        <v/>
      </c>
      <c r="F12" s="115" t="str">
        <f>IF(C12="","",'Job Sheet'!K12)</f>
        <v/>
      </c>
      <c r="G12" s="115" t="str">
        <f>IF(C12="","",'Job Sheet'!S12)</f>
        <v/>
      </c>
      <c r="H12" s="115"/>
      <c r="I12" s="115" t="str">
        <f t="array" ref="I12">bpLOOKUP(Data!$AV12,"HOUSECONSTRUCTION",CustOrdOpt,6,FALSE)</f>
        <v/>
      </c>
      <c r="J12" s="115" t="str">
        <f t="array" ref="J12">bpLOOKUP(Data!$AV12,"ROOF",CustOrdOpt,6,FALSE)</f>
        <v/>
      </c>
      <c r="K12" s="115" t="str">
        <f t="array" ref="K12">bpLOOKUP(Data!$AV12,"SWITCHBOARD",CustOrdOpt,6,FALSE)</f>
        <v/>
      </c>
      <c r="L12" s="115" t="str">
        <f t="array" ref="L12">bpLOOKUP(Data!$AV12,"STOREYS",CustOrdOpt,6,FALSE)</f>
        <v/>
      </c>
      <c r="M12" s="144" t="str">
        <f>IF(C12="","",'Job Sheet'!AK12)</f>
        <v/>
      </c>
    </row>
    <row r="13" spans="1:13" ht="60" customHeight="1">
      <c r="A13" s="120" t="str">
        <f>IF(Data!AX13="","",'Job Sheet'!A13)</f>
        <v/>
      </c>
      <c r="B13" s="121" t="str">
        <f>IF(C13="","",'Job Sheet'!B13)</f>
        <v/>
      </c>
      <c r="C13" s="121" t="str">
        <f t="array" ref="C13">IF(bpLOOKUP(Data!$AV13,"ELECTRICIAN",CustOrdOpt,6,FALSE)="Yes","Yes","")</f>
        <v/>
      </c>
      <c r="D13" s="121" t="str">
        <f>IF(C13="","",Data!AX13)</f>
        <v/>
      </c>
      <c r="E13" s="115" t="str">
        <f>IF(C13="","",'Job Sheet'!J13)</f>
        <v/>
      </c>
      <c r="F13" s="115" t="str">
        <f>IF(C13="","",'Job Sheet'!K13)</f>
        <v/>
      </c>
      <c r="G13" s="115" t="str">
        <f>IF(C13="","",'Job Sheet'!S13)</f>
        <v/>
      </c>
      <c r="H13" s="115"/>
      <c r="I13" s="115" t="str">
        <f t="array" ref="I13">bpLOOKUP(Data!$AV13,"HOUSECONSTRUCTION",CustOrdOpt,6,FALSE)</f>
        <v/>
      </c>
      <c r="J13" s="115" t="str">
        <f t="array" ref="J13">bpLOOKUP(Data!$AV13,"ROOF",CustOrdOpt,6,FALSE)</f>
        <v/>
      </c>
      <c r="K13" s="115" t="str">
        <f t="array" ref="K13">bpLOOKUP(Data!$AV13,"SWITCHBOARD",CustOrdOpt,6,FALSE)</f>
        <v/>
      </c>
      <c r="L13" s="115" t="str">
        <f t="array" ref="L13">bpLOOKUP(Data!$AV13,"STOREYS",CustOrdOpt,6,FALSE)</f>
        <v/>
      </c>
      <c r="M13" s="144" t="str">
        <f>IF(C13="","",'Job Sheet'!AK13)</f>
        <v/>
      </c>
    </row>
    <row r="14" spans="1:13" ht="60" customHeight="1">
      <c r="A14" s="120" t="str">
        <f>IF(Data!AX14="","",'Job Sheet'!A14)</f>
        <v/>
      </c>
      <c r="B14" s="121" t="str">
        <f>IF(C14="","",'Job Sheet'!B14)</f>
        <v/>
      </c>
      <c r="C14" s="121" t="str">
        <f t="array" ref="C14">IF(bpLOOKUP(Data!$AV14,"ELECTRICIAN",CustOrdOpt,6,FALSE)="Yes","Yes","")</f>
        <v/>
      </c>
      <c r="D14" s="121" t="str">
        <f>IF(C14="","",Data!AX14)</f>
        <v/>
      </c>
      <c r="E14" s="115" t="str">
        <f>IF(C14="","",'Job Sheet'!J14)</f>
        <v/>
      </c>
      <c r="F14" s="115" t="str">
        <f>IF(C14="","",'Job Sheet'!K14)</f>
        <v/>
      </c>
      <c r="G14" s="115" t="str">
        <f>IF(C14="","",'Job Sheet'!S14)</f>
        <v/>
      </c>
      <c r="H14" s="115"/>
      <c r="I14" s="115" t="str">
        <f t="array" ref="I14">bpLOOKUP(Data!$AV14,"HOUSECONSTRUCTION",CustOrdOpt,6,FALSE)</f>
        <v/>
      </c>
      <c r="J14" s="115" t="str">
        <f t="array" ref="J14">bpLOOKUP(Data!$AV14,"ROOF",CustOrdOpt,6,FALSE)</f>
        <v/>
      </c>
      <c r="K14" s="115" t="str">
        <f t="array" ref="K14">bpLOOKUP(Data!$AV14,"SWITCHBOARD",CustOrdOpt,6,FALSE)</f>
        <v/>
      </c>
      <c r="L14" s="115" t="str">
        <f t="array" ref="L14">bpLOOKUP(Data!$AV14,"STOREYS",CustOrdOpt,6,FALSE)</f>
        <v/>
      </c>
      <c r="M14" s="144" t="str">
        <f>IF(C14="","",'Job Sheet'!AK14)</f>
        <v/>
      </c>
    </row>
    <row r="15" spans="1:13" ht="60" customHeight="1">
      <c r="A15" s="120" t="str">
        <f>IF(Data!AX15="","",'Job Sheet'!A15)</f>
        <v/>
      </c>
      <c r="B15" s="121" t="str">
        <f>IF(C15="","",'Job Sheet'!B15)</f>
        <v/>
      </c>
      <c r="C15" s="121" t="str">
        <f t="array" ref="C15">IF(bpLOOKUP(Data!$AV15,"ELECTRICIAN",CustOrdOpt,6,FALSE)="Yes","Yes","")</f>
        <v/>
      </c>
      <c r="D15" s="121" t="str">
        <f>IF(C15="","",Data!AX15)</f>
        <v/>
      </c>
      <c r="E15" s="115" t="str">
        <f>IF(C15="","",'Job Sheet'!J15)</f>
        <v/>
      </c>
      <c r="F15" s="115" t="str">
        <f>IF(C15="","",'Job Sheet'!K15)</f>
        <v/>
      </c>
      <c r="G15" s="115" t="str">
        <f>IF(C15="","",'Job Sheet'!S15)</f>
        <v/>
      </c>
      <c r="H15" s="115"/>
      <c r="I15" s="115" t="str">
        <f t="array" ref="I15">bpLOOKUP(Data!$AV15,"HOUSECONSTRUCTION",CustOrdOpt,6,FALSE)</f>
        <v/>
      </c>
      <c r="J15" s="115" t="str">
        <f t="array" ref="J15">bpLOOKUP(Data!$AV15,"ROOF",CustOrdOpt,6,FALSE)</f>
        <v/>
      </c>
      <c r="K15" s="115" t="str">
        <f t="array" ref="K15">bpLOOKUP(Data!$AV15,"SWITCHBOARD",CustOrdOpt,6,FALSE)</f>
        <v/>
      </c>
      <c r="L15" s="115" t="str">
        <f t="array" ref="L15">bpLOOKUP(Data!$AV15,"STOREYS",CustOrdOpt,6,FALSE)</f>
        <v/>
      </c>
      <c r="M15" s="144" t="str">
        <f>IF(C15="","",'Job Sheet'!AK15)</f>
        <v/>
      </c>
    </row>
    <row r="16" spans="1:13" ht="60" customHeight="1">
      <c r="A16" s="120" t="str">
        <f>IF(Data!AX16="","",'Job Sheet'!A16)</f>
        <v/>
      </c>
      <c r="B16" s="121" t="str">
        <f>IF(C16="","",'Job Sheet'!B16)</f>
        <v/>
      </c>
      <c r="C16" s="121" t="str">
        <f t="array" ref="C16">IF(bpLOOKUP(Data!$AV16,"ELECTRICIAN",CustOrdOpt,6,FALSE)="Yes","Yes","")</f>
        <v/>
      </c>
      <c r="D16" s="121" t="str">
        <f>IF(C16="","",Data!AX16)</f>
        <v/>
      </c>
      <c r="E16" s="115" t="str">
        <f>IF(C16="","",'Job Sheet'!J16)</f>
        <v/>
      </c>
      <c r="F16" s="115" t="str">
        <f>IF(C16="","",'Job Sheet'!K16)</f>
        <v/>
      </c>
      <c r="G16" s="115" t="str">
        <f>IF(C16="","",'Job Sheet'!S16)</f>
        <v/>
      </c>
      <c r="H16" s="115"/>
      <c r="I16" s="115" t="str">
        <f t="array" ref="I16">bpLOOKUP(Data!$AV16,"HOUSECONSTRUCTION",CustOrdOpt,6,FALSE)</f>
        <v/>
      </c>
      <c r="J16" s="115" t="str">
        <f t="array" ref="J16">bpLOOKUP(Data!$AV16,"ROOF",CustOrdOpt,6,FALSE)</f>
        <v/>
      </c>
      <c r="K16" s="115" t="str">
        <f t="array" ref="K16">bpLOOKUP(Data!$AV16,"SWITCHBOARD",CustOrdOpt,6,FALSE)</f>
        <v/>
      </c>
      <c r="L16" s="115" t="str">
        <f t="array" ref="L16">bpLOOKUP(Data!$AV16,"STOREYS",CustOrdOpt,6,FALSE)</f>
        <v/>
      </c>
      <c r="M16" s="144" t="str">
        <f>IF(C16="","",'Job Sheet'!AK16)</f>
        <v/>
      </c>
    </row>
    <row r="17" spans="1:13" ht="60" customHeight="1">
      <c r="A17" s="120" t="str">
        <f>IF(Data!AX17="","",'Job Sheet'!A17)</f>
        <v/>
      </c>
      <c r="B17" s="121" t="str">
        <f>IF(C17="","",'Job Sheet'!B17)</f>
        <v/>
      </c>
      <c r="C17" s="121" t="str">
        <f t="array" ref="C17">IF(bpLOOKUP(Data!$AV17,"ELECTRICIAN",CustOrdOpt,6,FALSE)="Yes","Yes","")</f>
        <v/>
      </c>
      <c r="D17" s="121" t="str">
        <f>IF(C17="","",Data!AX17)</f>
        <v/>
      </c>
      <c r="E17" s="115" t="str">
        <f>IF(C17="","",'Job Sheet'!J17)</f>
        <v/>
      </c>
      <c r="F17" s="115" t="str">
        <f>IF(C17="","",'Job Sheet'!K17)</f>
        <v/>
      </c>
      <c r="G17" s="115" t="str">
        <f>IF(C17="","",'Job Sheet'!S17)</f>
        <v/>
      </c>
      <c r="H17" s="115"/>
      <c r="I17" s="115" t="str">
        <f t="array" ref="I17">bpLOOKUP(Data!$AV17,"HOUSECONSTRUCTION",CustOrdOpt,6,FALSE)</f>
        <v/>
      </c>
      <c r="J17" s="115" t="str">
        <f t="array" ref="J17">bpLOOKUP(Data!$AV17,"ROOF",CustOrdOpt,6,FALSE)</f>
        <v/>
      </c>
      <c r="K17" s="115" t="str">
        <f t="array" ref="K17">bpLOOKUP(Data!$AV17,"SWITCHBOARD",CustOrdOpt,6,FALSE)</f>
        <v/>
      </c>
      <c r="L17" s="115" t="str">
        <f t="array" ref="L17">bpLOOKUP(Data!$AV17,"STOREYS",CustOrdOpt,6,FALSE)</f>
        <v/>
      </c>
      <c r="M17" s="144" t="str">
        <f>IF(C17="","",'Job Sheet'!AK17)</f>
        <v/>
      </c>
    </row>
    <row r="18" spans="1:13" ht="60" customHeight="1">
      <c r="A18" s="120" t="str">
        <f>IF(Data!AX18="","",'Job Sheet'!A18)</f>
        <v/>
      </c>
      <c r="B18" s="121" t="str">
        <f>IF(C18="","",'Job Sheet'!B18)</f>
        <v/>
      </c>
      <c r="C18" s="121" t="str">
        <f t="array" ref="C18">IF(bpLOOKUP(Data!$AV18,"ELECTRICIAN",CustOrdOpt,6,FALSE)="Yes","Yes","")</f>
        <v/>
      </c>
      <c r="D18" s="121" t="str">
        <f>IF(C18="","",Data!AX18)</f>
        <v/>
      </c>
      <c r="E18" s="115" t="str">
        <f>IF(C18="","",'Job Sheet'!J18)</f>
        <v/>
      </c>
      <c r="F18" s="115" t="str">
        <f>IF(C18="","",'Job Sheet'!K18)</f>
        <v/>
      </c>
      <c r="G18" s="115" t="str">
        <f>IF(C18="","",'Job Sheet'!S18)</f>
        <v/>
      </c>
      <c r="H18" s="115"/>
      <c r="I18" s="115" t="str">
        <f t="array" ref="I18">bpLOOKUP(Data!$AV18,"HOUSECONSTRUCTION",CustOrdOpt,6,FALSE)</f>
        <v/>
      </c>
      <c r="J18" s="115" t="str">
        <f t="array" ref="J18">bpLOOKUP(Data!$AV18,"ROOF",CustOrdOpt,6,FALSE)</f>
        <v/>
      </c>
      <c r="K18" s="115" t="str">
        <f t="array" ref="K18">bpLOOKUP(Data!$AV18,"SWITCHBOARD",CustOrdOpt,6,FALSE)</f>
        <v/>
      </c>
      <c r="L18" s="115" t="str">
        <f t="array" ref="L18">bpLOOKUP(Data!$AV18,"STOREYS",CustOrdOpt,6,FALSE)</f>
        <v/>
      </c>
      <c r="M18" s="144" t="str">
        <f>IF(C18="","",'Job Sheet'!AK18)</f>
        <v/>
      </c>
    </row>
    <row r="19" spans="1:13" ht="60" customHeight="1">
      <c r="A19" s="120" t="str">
        <f>IF(Data!AX19="","",'Job Sheet'!A19)</f>
        <v/>
      </c>
      <c r="B19" s="121" t="str">
        <f>IF(C19="","",'Job Sheet'!B19)</f>
        <v/>
      </c>
      <c r="C19" s="121" t="str">
        <f t="array" ref="C19">IF(bpLOOKUP(Data!$AV19,"ELECTRICIAN",CustOrdOpt,6,FALSE)="Yes","Yes","")</f>
        <v/>
      </c>
      <c r="D19" s="121" t="str">
        <f>IF(C19="","",Data!AX19)</f>
        <v/>
      </c>
      <c r="E19" s="115" t="str">
        <f>IF(C19="","",'Job Sheet'!J19)</f>
        <v/>
      </c>
      <c r="F19" s="115" t="str">
        <f>IF(C19="","",'Job Sheet'!K19)</f>
        <v/>
      </c>
      <c r="G19" s="115" t="str">
        <f>IF(C19="","",'Job Sheet'!S19)</f>
        <v/>
      </c>
      <c r="H19" s="115"/>
      <c r="I19" s="115" t="str">
        <f t="array" ref="I19">bpLOOKUP(Data!$AV19,"HOUSECONSTRUCTION",CustOrdOpt,6,FALSE)</f>
        <v/>
      </c>
      <c r="J19" s="115" t="str">
        <f t="array" ref="J19">bpLOOKUP(Data!$AV19,"ROOF",CustOrdOpt,6,FALSE)</f>
        <v/>
      </c>
      <c r="K19" s="115" t="str">
        <f t="array" ref="K19">bpLOOKUP(Data!$AV19,"SWITCHBOARD",CustOrdOpt,6,FALSE)</f>
        <v/>
      </c>
      <c r="L19" s="115" t="str">
        <f t="array" ref="L19">bpLOOKUP(Data!$AV19,"STOREYS",CustOrdOpt,6,FALSE)</f>
        <v/>
      </c>
      <c r="M19" s="144" t="str">
        <f>IF(C19="","",'Job Sheet'!AK19)</f>
        <v/>
      </c>
    </row>
    <row r="20" spans="1:13" ht="60" customHeight="1">
      <c r="A20" s="120" t="str">
        <f>IF(Data!AX20="","",'Job Sheet'!A20)</f>
        <v/>
      </c>
      <c r="B20" s="121" t="str">
        <f>IF(C20="","",'Job Sheet'!B20)</f>
        <v/>
      </c>
      <c r="C20" s="121" t="str">
        <f t="array" ref="C20">IF(bpLOOKUP(Data!$AV20,"ELECTRICIAN",CustOrdOpt,6,FALSE)="Yes","Yes","")</f>
        <v/>
      </c>
      <c r="D20" s="121" t="str">
        <f>IF(C20="","",Data!AX20)</f>
        <v/>
      </c>
      <c r="E20" s="115" t="str">
        <f>IF(C20="","",'Job Sheet'!J20)</f>
        <v/>
      </c>
      <c r="F20" s="115" t="str">
        <f>IF(C20="","",'Job Sheet'!K20)</f>
        <v/>
      </c>
      <c r="G20" s="115" t="str">
        <f>IF(C20="","",'Job Sheet'!S20)</f>
        <v/>
      </c>
      <c r="H20" s="115"/>
      <c r="I20" s="115" t="str">
        <f t="array" ref="I20">bpLOOKUP(Data!$AV20,"HOUSECONSTRUCTION",CustOrdOpt,6,FALSE)</f>
        <v/>
      </c>
      <c r="J20" s="115" t="str">
        <f t="array" ref="J20">bpLOOKUP(Data!$AV20,"ROOF",CustOrdOpt,6,FALSE)</f>
        <v/>
      </c>
      <c r="K20" s="115" t="str">
        <f t="array" ref="K20">bpLOOKUP(Data!$AV20,"SWITCHBOARD",CustOrdOpt,6,FALSE)</f>
        <v/>
      </c>
      <c r="L20" s="115" t="str">
        <f t="array" ref="L20">bpLOOKUP(Data!$AV20,"STOREYS",CustOrdOpt,6,FALSE)</f>
        <v/>
      </c>
      <c r="M20" s="144" t="str">
        <f>IF(C20="","",'Job Sheet'!AK20)</f>
        <v/>
      </c>
    </row>
    <row r="21" ht="60" customHeight="1"/>
    <row r="22" ht="60" customHeight="1"/>
    <row r="23" ht="60" customHeight="1"/>
  </sheetData>
  <mergeCells count="37">
    <mergeCell ref="E8:E10"/>
    <mergeCell ref="F8:F10"/>
    <mergeCell ref="G8:G10"/>
    <mergeCell ref="H8:H10"/>
    <mergeCell ref="I8:I10"/>
    <mergeCell ref="G2:J2"/>
    <mergeCell ref="K2:M2"/>
    <mergeCell ref="K8:K10"/>
    <mergeCell ref="L8:L10"/>
    <mergeCell ref="M8:M10"/>
    <mergeCell ref="J8:J10"/>
    <mergeCell ref="L6:M6"/>
    <mergeCell ref="K3:M5"/>
    <mergeCell ref="A8:A10"/>
    <mergeCell ref="B8:B10"/>
    <mergeCell ref="C8:C10"/>
    <mergeCell ref="A4:B4"/>
    <mergeCell ref="C4:D4"/>
    <mergeCell ref="A5:B5"/>
    <mergeCell ref="C5:D5"/>
    <mergeCell ref="D8:D10"/>
    <mergeCell ref="A1:M1"/>
    <mergeCell ref="A3:B3"/>
    <mergeCell ref="C3:D3"/>
    <mergeCell ref="E3:F3"/>
    <mergeCell ref="A6:D7"/>
    <mergeCell ref="G3:J3"/>
    <mergeCell ref="G4:J4"/>
    <mergeCell ref="E5:F7"/>
    <mergeCell ref="G6:J6"/>
    <mergeCell ref="G7:J7"/>
    <mergeCell ref="K7:L7"/>
    <mergeCell ref="E4:F4"/>
    <mergeCell ref="G5:J5"/>
    <mergeCell ref="A2:B2"/>
    <mergeCell ref="C2:D2"/>
    <mergeCell ref="E2:F2"/>
  </mergeCells>
  <pageMargins left="0.904724409448832" right="0.904724409448832" top="0.75" bottom="0.75" header="0.3" footer="0.3"/>
  <pageSetup fitToHeight="0" orientation="landscape" paperSize="9" scale="1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C3338-D2C5-440D-9E7A-72B0D344D8B7}">
  <sheetPr codeName="Sheet5"/>
  <dimension ref="A1:FJ14"/>
  <sheetViews>
    <sheetView workbookViewId="0" topLeftCell="A1">
      <selection pane="topLeft" activeCell="H8" sqref="H8"/>
    </sheetView>
  </sheetViews>
  <sheetFormatPr defaultColWidth="9.109375" defaultRowHeight="13.5"/>
  <cols>
    <col min="4" max="4" width="7.57142857142857" style="20" customWidth="1"/>
    <col min="5" max="5" width="5.28571428571429" style="20" customWidth="1"/>
    <col min="6" max="6" width="7.57142857142857" style="20" customWidth="1"/>
    <col min="7" max="7" width="21" style="20" customWidth="1"/>
    <col min="8" max="8" width="41" style="20" bestFit="1" customWidth="1"/>
    <col min="9" max="9" width="14.8571428571429" style="20" customWidth="1"/>
    <col min="10" max="10" width="4.42857142857143" style="20" bestFit="1" customWidth="1"/>
    <col min="11" max="11" width="4.14285714285714" style="126" customWidth="1"/>
    <col min="12" max="12" width="4.14285714285714" style="20" customWidth="1"/>
    <col min="13" max="13" width="4.14285714285714" style="127" customWidth="1"/>
    <col min="14" max="15" width="4.14285714285714" style="20" customWidth="1"/>
    <col min="16" max="18" width="4.14285714285714" style="126" customWidth="1"/>
    <col min="19" max="164" width="4.14285714285714" style="20" customWidth="1"/>
  </cols>
  <sheetData>
    <row r="1" spans="11:18" s="20" customFormat="1" ht="10.2">
      <c r="K1" s="126"/>
      <c r="M1" s="127"/>
      <c r="P1" s="126"/>
      <c r="Q1" s="126"/>
      <c r="R1" s="126"/>
    </row>
    <row r="2" spans="1:143" s="128" customFormat="1" ht="134.7" customHeight="1">
      <c r="A2" s="128" t="s">
        <v>905</v>
      </c>
      <c r="B2" s="128" t="s">
        <v>906</v>
      </c>
      <c r="C2" s="128" t="s">
        <v>907</v>
      </c>
      <c r="D2" s="128" t="s">
        <v>608</v>
      </c>
      <c r="E2" s="128" t="s">
        <v>609</v>
      </c>
      <c r="F2" s="128" t="s">
        <v>610</v>
      </c>
      <c r="G2" s="129" t="s">
        <v>611</v>
      </c>
      <c r="H2" s="129" t="s">
        <v>612</v>
      </c>
      <c r="I2" s="129" t="s">
        <v>910</v>
      </c>
      <c r="J2" s="128" t="s">
        <v>613</v>
      </c>
      <c r="K2" s="130" t="s">
        <v>614</v>
      </c>
      <c r="L2" s="128" t="s">
        <v>615</v>
      </c>
      <c r="M2" s="131" t="s">
        <v>616</v>
      </c>
      <c r="N2" s="128" t="s">
        <v>617</v>
      </c>
      <c r="O2" s="128" t="s">
        <v>773</v>
      </c>
      <c r="P2" s="130" t="s">
        <v>711</v>
      </c>
      <c r="Q2" s="130" t="s">
        <v>710</v>
      </c>
      <c r="R2" s="130" t="s">
        <v>618</v>
      </c>
      <c r="S2" s="128" t="s">
        <v>619</v>
      </c>
      <c r="T2" s="128" t="s">
        <v>620</v>
      </c>
      <c r="U2" s="128" t="s">
        <v>621</v>
      </c>
      <c r="V2" s="128" t="s">
        <v>892</v>
      </c>
      <c r="W2" s="128" t="s">
        <v>622</v>
      </c>
      <c r="X2" s="128" t="s">
        <v>623</v>
      </c>
      <c r="Y2" s="128" t="s">
        <v>624</v>
      </c>
      <c r="Z2" s="128" t="s">
        <v>625</v>
      </c>
      <c r="AA2" s="128" t="s">
        <v>626</v>
      </c>
      <c r="AB2" s="128" t="s">
        <v>627</v>
      </c>
      <c r="AC2" s="128" t="s">
        <v>628</v>
      </c>
      <c r="AD2" s="128" t="s">
        <v>629</v>
      </c>
      <c r="AE2" s="128" t="s">
        <v>630</v>
      </c>
      <c r="AF2" s="128" t="s">
        <v>631</v>
      </c>
      <c r="AG2" s="128" t="s">
        <v>632</v>
      </c>
      <c r="AH2" s="128" t="s">
        <v>633</v>
      </c>
      <c r="AI2" s="128" t="s">
        <v>634</v>
      </c>
      <c r="AJ2" s="128" t="s">
        <v>635</v>
      </c>
      <c r="AK2" s="128" t="s">
        <v>796</v>
      </c>
      <c r="AL2" s="128" t="s">
        <v>636</v>
      </c>
      <c r="AM2" s="128" t="s">
        <v>637</v>
      </c>
      <c r="AN2" s="128" t="s">
        <v>638</v>
      </c>
      <c r="AO2" s="128" t="s">
        <v>639</v>
      </c>
      <c r="AP2" s="128" t="s">
        <v>640</v>
      </c>
      <c r="AQ2" s="128" t="s">
        <v>641</v>
      </c>
      <c r="AR2" s="128" t="s">
        <v>642</v>
      </c>
      <c r="AS2" s="128" t="s">
        <v>643</v>
      </c>
      <c r="AT2" s="128" t="s">
        <v>774</v>
      </c>
      <c r="AU2" s="128" t="s">
        <v>775</v>
      </c>
      <c r="AV2" s="128" t="s">
        <v>776</v>
      </c>
      <c r="AW2" s="128" t="s">
        <v>777</v>
      </c>
      <c r="AX2" s="128" t="s">
        <v>712</v>
      </c>
      <c r="AY2" s="128" t="s">
        <v>713</v>
      </c>
      <c r="AZ2" s="128" t="s">
        <v>644</v>
      </c>
      <c r="BA2" s="128" t="s">
        <v>645</v>
      </c>
      <c r="BB2" s="128" t="s">
        <v>646</v>
      </c>
      <c r="BC2" s="128" t="s">
        <v>756</v>
      </c>
      <c r="BD2" s="128" t="s">
        <v>724</v>
      </c>
      <c r="BE2" s="128" t="s">
        <v>647</v>
      </c>
      <c r="BF2" s="128" t="s">
        <v>648</v>
      </c>
      <c r="BG2" s="128" t="s">
        <v>649</v>
      </c>
      <c r="BH2" s="128" t="s">
        <v>650</v>
      </c>
      <c r="BI2" s="128" t="s">
        <v>757</v>
      </c>
      <c r="BJ2" s="128" t="s">
        <v>725</v>
      </c>
      <c r="BK2" s="128" t="s">
        <v>651</v>
      </c>
      <c r="BL2" s="128" t="s">
        <v>652</v>
      </c>
      <c r="BM2" s="128" t="s">
        <v>653</v>
      </c>
      <c r="BN2" s="128" t="s">
        <v>654</v>
      </c>
      <c r="BO2" s="128" t="s">
        <v>758</v>
      </c>
      <c r="BP2" s="128" t="s">
        <v>894</v>
      </c>
      <c r="BQ2" s="128" t="s">
        <v>895</v>
      </c>
      <c r="BR2" s="128" t="s">
        <v>896</v>
      </c>
      <c r="BS2" s="128" t="s">
        <v>897</v>
      </c>
      <c r="BT2" s="128" t="s">
        <v>898</v>
      </c>
      <c r="BU2" s="128" t="s">
        <v>899</v>
      </c>
      <c r="BV2" s="128" t="s">
        <v>655</v>
      </c>
      <c r="BW2" s="128" t="s">
        <v>656</v>
      </c>
      <c r="BX2" s="128" t="s">
        <v>657</v>
      </c>
      <c r="BY2" s="128" t="s">
        <v>658</v>
      </c>
      <c r="BZ2" s="128" t="s">
        <v>659</v>
      </c>
      <c r="CA2" s="128" t="s">
        <v>660</v>
      </c>
      <c r="CB2" s="128" t="s">
        <v>661</v>
      </c>
      <c r="CC2" s="128" t="s">
        <v>662</v>
      </c>
      <c r="CD2" s="128" t="s">
        <v>778</v>
      </c>
      <c r="CE2" s="128" t="s">
        <v>779</v>
      </c>
      <c r="CF2" s="128" t="s">
        <v>780</v>
      </c>
      <c r="CG2" s="128" t="s">
        <v>781</v>
      </c>
      <c r="CH2" s="128" t="s">
        <v>663</v>
      </c>
      <c r="CI2" s="128" t="s">
        <v>664</v>
      </c>
      <c r="CJ2" s="128" t="s">
        <v>782</v>
      </c>
      <c r="CK2" s="128" t="s">
        <v>665</v>
      </c>
      <c r="CL2" s="128" t="s">
        <v>666</v>
      </c>
      <c r="CM2" s="128" t="s">
        <v>783</v>
      </c>
      <c r="CN2" s="128" t="s">
        <v>667</v>
      </c>
      <c r="CO2" s="128" t="s">
        <v>668</v>
      </c>
      <c r="CP2" s="128" t="s">
        <v>784</v>
      </c>
      <c r="CQ2" s="128" t="s">
        <v>669</v>
      </c>
      <c r="CR2" s="128" t="s">
        <v>670</v>
      </c>
      <c r="CS2" s="128" t="s">
        <v>785</v>
      </c>
      <c r="CT2" s="128" t="s">
        <v>671</v>
      </c>
      <c r="CU2" s="128" t="s">
        <v>672</v>
      </c>
      <c r="CV2" s="128" t="s">
        <v>673</v>
      </c>
      <c r="CW2" s="128" t="s">
        <v>900</v>
      </c>
      <c r="CX2" s="128" t="s">
        <v>674</v>
      </c>
      <c r="CY2" s="128" t="s">
        <v>675</v>
      </c>
      <c r="CZ2" s="128" t="s">
        <v>676</v>
      </c>
      <c r="DA2" s="128" t="s">
        <v>901</v>
      </c>
      <c r="DB2" s="128" t="s">
        <v>677</v>
      </c>
      <c r="DC2" s="128" t="s">
        <v>678</v>
      </c>
      <c r="DD2" s="128" t="s">
        <v>786</v>
      </c>
      <c r="DE2" s="128" t="s">
        <v>679</v>
      </c>
      <c r="DF2" s="128" t="s">
        <v>680</v>
      </c>
      <c r="DG2" s="128" t="s">
        <v>787</v>
      </c>
      <c r="DH2" s="128" t="s">
        <v>681</v>
      </c>
      <c r="DI2" s="128" t="s">
        <v>682</v>
      </c>
      <c r="DJ2" s="128" t="s">
        <v>683</v>
      </c>
      <c r="DK2" s="128" t="s">
        <v>902</v>
      </c>
      <c r="DL2" s="128" t="s">
        <v>684</v>
      </c>
      <c r="DM2" s="128" t="s">
        <v>685</v>
      </c>
      <c r="DN2" s="128" t="s">
        <v>686</v>
      </c>
      <c r="DO2" s="128" t="s">
        <v>687</v>
      </c>
      <c r="DP2" s="128" t="s">
        <v>688</v>
      </c>
      <c r="DQ2" s="128" t="s">
        <v>689</v>
      </c>
      <c r="DR2" s="128" t="s">
        <v>788</v>
      </c>
      <c r="DS2" s="128" t="s">
        <v>690</v>
      </c>
      <c r="DT2" s="128" t="s">
        <v>691</v>
      </c>
      <c r="DU2" s="128" t="s">
        <v>692</v>
      </c>
      <c r="DV2" s="128" t="s">
        <v>903</v>
      </c>
      <c r="DW2" s="128" t="s">
        <v>693</v>
      </c>
      <c r="DX2" s="128" t="s">
        <v>694</v>
      </c>
      <c r="DY2" s="128" t="s">
        <v>695</v>
      </c>
      <c r="DZ2" s="128" t="s">
        <v>696</v>
      </c>
      <c r="EA2" s="128" t="s">
        <v>697</v>
      </c>
      <c r="EB2" s="128" t="s">
        <v>698</v>
      </c>
      <c r="EC2" s="128" t="s">
        <v>751</v>
      </c>
      <c r="ED2" s="128" t="s">
        <v>752</v>
      </c>
      <c r="EE2" s="128" t="s">
        <v>753</v>
      </c>
      <c r="EF2" s="128" t="s">
        <v>754</v>
      </c>
      <c r="EG2" s="128" t="s">
        <v>723</v>
      </c>
      <c r="EH2" s="128" t="s">
        <v>175</v>
      </c>
      <c r="EI2" s="128" t="s">
        <v>187</v>
      </c>
      <c r="EJ2" s="128" t="s">
        <v>799</v>
      </c>
      <c r="EK2" s="128" t="s">
        <v>800</v>
      </c>
      <c r="EL2" s="128" t="s">
        <v>801</v>
      </c>
      <c r="EM2" s="128" t="s">
        <v>911</v>
      </c>
    </row>
    <row r="3" spans="4:166" ht="13.2" customHeight="1">
      <c r="D3" s="20" t="str">
        <f>IF(Data!AW11="","",CONCATENATE(Data!BC$5,".",Data!BD$5))</f>
        <v>12027.C</v>
      </c>
      <c r="E3" s="20">
        <f>IF(D3="","",Data!AW11)</f>
        <v>5</v>
      </c>
      <c r="F3" s="20" t="str">
        <f>IF(D3="","",Data!AV11)</f>
        <v>0fee3f31-9625-4836-bb3d-0fac30f58f55</v>
      </c>
      <c r="G3" s="20" t="str">
        <f>IF(D3="","",Data!BF$5)</f>
        <v>Symons, Dianne</v>
      </c>
      <c r="H3" s="21" t="str">
        <f>IF(D3="","",Data!AX$5)</f>
        <v>Curtains</v>
      </c>
      <c r="I3" s="20" t="str">
        <f>IF(D3="","",'Job Sheet'!AI11)</f>
        <v>DBS to Make</v>
      </c>
      <c r="J3" s="20" t="str">
        <f>IF(D3="","",IF(OR(VLOOKUP(CONCATENATE('Tube Cutting'!D11,'Tube Cutting'!E11),TrackManufacturing,2,FALSE)="Wavefold White",VLOOKUP(CONCATENATE('Tube Cutting'!D11,'Tube Cutting'!E11),TrackManufacturing,2,FALSE)="Wavefold Black",VLOOKUP(CONCATENATE('Tube Cutting'!D11,'Tube Cutting'!E11),TrackManufacturing,2,FALSE)="Wavefold Matt Satin"),('Job Sheet'!G11*2)/1000,""))</f>
        <v/>
      </c>
      <c r="K3" s="126" t="str">
        <f>IF(D3="","",IF(OR(VLOOKUP(CONCATENATE('Tube Cutting'!D11,'Tube Cutting'!E11),TrackManufacturing,2,FALSE)="Wavefold White",VLOOKUP(CONCATENATE('Tube Cutting'!D11,'Tube Cutting'!E11),TrackManufacturing,2,FALSE)="Wavefold Matt Satin"),J3*10,""))</f>
        <v/>
      </c>
      <c r="L3" s="126" t="str">
        <f>IF(D3="","",IF(VLOOKUP(CONCATENATE('Tube Cutting'!D11,'Tube Cutting'!E11),TrackManufacturing,2,FALSE)="Wavefold Black",J3*10,""))</f>
        <v/>
      </c>
      <c r="M3" s="127" t="str">
        <f>IF(D3="","",IF(OR(VLOOKUP(CONCATENATE('Tube Cutting'!D11,'Tube Cutting'!E11),TrackManufacturing,2,FALSE)="Wavefold White",VLOOKUP(CONCATENATE('Tube Cutting'!D11,'Tube Cutting'!E11),TrackManufacturing,2,FALSE)="System 20 White"),'Tube Cutting'!C11/1000,""))</f>
        <v/>
      </c>
      <c r="N3" s="127" t="str">
        <f>IF(D3="","",IF(VLOOKUP(CONCATENATE('Tube Cutting'!D11,'Tube Cutting'!E11),TrackManufacturing,2,FALSE)="Wavefold Black",'Tube Cutting'!C11/1000,""))</f>
        <v/>
      </c>
      <c r="O3" s="127" t="str">
        <f>IF(D3="","",IF(OR(VLOOKUP(CONCATENATE('Tube Cutting'!D11,'Tube Cutting'!E11),TrackManufacturing,2,FALSE)="Wavefold Matt Satin",VLOOKUP(CONCATENATE('Tube Cutting'!D11,'Tube Cutting'!E11),TrackManufacturing,2,FALSE)="System 20 Matt Satin"),'Tube Cutting'!C11/1000,""))</f>
        <v/>
      </c>
      <c r="P3" s="126" t="str">
        <f>IF(D3="","",IF(AND((OR('Tube Cutting'!E11="White",'Tube Cutting'!E11="Matt Satin")),(OR('Tube Cutting'!D11="Wavefold Hand Operation",'Tube Cutting'!D11="Wavefold Cord Operation"))),IF(M3="",O3*20,M3*20),""))</f>
        <v/>
      </c>
      <c r="Q3" s="126" t="str">
        <f>IF(D3="","",IF(AND('Tube Cutting'!E11="Matt Black Ink",(OR('Tube Cutting'!D11="Wavefold Hand Operation",'Tube Cutting'!D11="Wavefold Cord Operation"))),N3*20,""))</f>
        <v/>
      </c>
      <c r="R3" s="126">
        <f>IF(D3="","",IF(OR('Tube Cutting'!D11="Streamline Hand Operation",'Tube Cutting'!D11="Streamline Cord Operation"),Assembly!I11,""))</f>
        <v>17.8</v>
      </c>
      <c r="S3" s="20" t="str">
        <f>IF(D3="","",IF(VLOOKUP(CONCATENATE('Tube Cutting'!D11,'Tube Cutting'!E11),TrackManufacturing,2,FALSE)="Streamline White",'Tube Cutting'!C11/1000,""))</f>
        <v/>
      </c>
      <c r="T3" s="20" t="str">
        <f>IF(D3="","",IF(VLOOKUP(CONCATENATE('Tube Cutting'!D11,'Tube Cutting'!E11),TrackManufacturing,2,FALSE)="Streamline Matt Black Ink",'Tube Cutting'!C11/1000,""))</f>
        <v/>
      </c>
      <c r="U3" s="20">
        <f>IF(D3="","",IF(VLOOKUP(CONCATENATE('Tube Cutting'!D11,'Tube Cutting'!E11),TrackManufacturing,2,FALSE)="Streamline Birch White",'Tube Cutting'!C11/1000,""))</f>
        <v>1.78</v>
      </c>
      <c r="V3" s="20" t="str">
        <f>IF(D3="","",IF(VLOOKUP(CONCATENATE('Tube Cutting'!D11,'Tube Cutting'!E11),TrackManufacturing,2,FALSE)="Streamline Matt Satin",'Tube Cutting'!C11/1000,""))</f>
        <v/>
      </c>
      <c r="W3" s="20" t="str">
        <f>IF(I3="Track from TBS","",IF(Bagging!I11="White Aluminium Flick Sticks 100cm",VALUE(Bagging!J11),""))</f>
        <v/>
      </c>
      <c r="X3" s="20" t="str">
        <f>IF(I3="Track from TBS","",IF(Bagging!I11="White Aluminium Flick Sticks 125cm",VALUE(Bagging!J11),""))</f>
        <v/>
      </c>
      <c r="Y3" s="20" t="str">
        <f>IF(I3="Track from TBS","",IF(Bagging!I11="White Aluminium Flick Sticks 150cm",VALUE(Bagging!J11),""))</f>
        <v/>
      </c>
      <c r="Z3" s="20" t="str">
        <f>IF(I3="Track from TBS","",IF(Bagging!I11="Black Aluminium Flick Sticks 100cm",VALUE(Bagging!J11),""))</f>
        <v/>
      </c>
      <c r="AA3" s="20" t="str">
        <f>IF(I3="Track from TBS","",IF(Bagging!I11="Black Aluminium Flick Sticks 125cm",VALUE(Bagging!J11),""))</f>
        <v/>
      </c>
      <c r="AB3" s="20" t="str">
        <f>IF(I3="Track from TBS","",IF(Bagging!I11="Black Aluminium Flick Sticks 150cm",VALUE(Bagging!J11),""))</f>
        <v/>
      </c>
      <c r="AC3" s="20" t="str">
        <f>IF(I3="Track from TBS","",IF(Bagging!I11="Matt Satin Aluminium Flick Sticks 100cm",VALUE(Bagging!J11),""))</f>
        <v/>
      </c>
      <c r="AD3" s="20" t="str">
        <f>IF(I3="Track from TBS","",IF(Bagging!I11="Matt Satin Aluminium Flick Sticks 125cm",VALUE(Bagging!J11),""))</f>
        <v/>
      </c>
      <c r="AE3" s="20" t="str">
        <f>IF(I3="Track from TBS","",IF(Bagging!I11="Matt Satin Aluminium Flick Sticks 150cm",VALUE(Bagging!J11),""))</f>
        <v/>
      </c>
      <c r="AF3" s="20" t="str">
        <f>IF(I3="Track from TBS","",IF(Bagging!I11="Standard Clear 75cm",VALUE(Bagging!J11),""))</f>
        <v/>
      </c>
      <c r="AG3" s="20" t="str">
        <f>IF(I3="Track from TBS","",IF(Bagging!I11="Standard Clear 100cm",VALUE(Bagging!J11),""))</f>
        <v/>
      </c>
      <c r="AH3" s="20" t="str">
        <f>IF(I3="Track from TBS","",IF(Bagging!I11="Standard Clear 125cm",VALUE(Bagging!J11),""))</f>
        <v/>
      </c>
      <c r="AI3" s="20" t="str">
        <f>IF(I3="Track from TBS","",IF(Bagging!I11="Standard Clear 150cm",VALUE(Bagging!J11),""))</f>
        <v/>
      </c>
      <c r="AJ3" s="20" t="str">
        <f>IF(I3="Track from TBS","",IF(Bagging!I11="White Fibreglass 200cm",VALUE(Bagging!J11),""))</f>
        <v/>
      </c>
      <c r="AK3" s="20" t="str">
        <f>IF(I3="Track from TBS","",IF(Bagging!I11="White Fibreglass 250cm",VALUE(Bagging!J11),""))</f>
        <v/>
      </c>
      <c r="AL3" s="20" t="str">
        <f>IF(D3="","",IF(AND(VLOOKUP(CONCATENATE('Tube Cutting'!D11,'Tube Cutting'!E11),TrackManufacturing,2,FALSE)="Wavefold White",(Bagging!E11="Top Fix Brackets")),Bagging!F11,""))</f>
        <v/>
      </c>
      <c r="AM3" s="20" t="str">
        <f>IF(D3="","",IF(AND(VLOOKUP(CONCATENATE('Tube Cutting'!D11,'Tube Cutting'!E11),TrackManufacturing,2,FALSE)="Wavefold White",(Bagging!E11="Single Face Fix Brackets")),Bagging!F11,""))</f>
        <v/>
      </c>
      <c r="AN3" s="20" t="str">
        <f>IF(D3="","",IF(AND(VLOOKUP(CONCATENATE('Tube Cutting'!D11,'Tube Cutting'!E11),TrackManufacturing,2,FALSE)="Wavefold White",(Bagging!E11="Double Face Fix Brackets")),Bagging!F11,""))</f>
        <v/>
      </c>
      <c r="AO3" s="20" t="str">
        <f>IF(D3="","",IF(AND(VLOOKUP(CONCATENATE('Tube Cutting'!D11,'Tube Cutting'!E11),TrackManufacturing,2,FALSE)="Wavefold White",(Bagging!E11="Triple Face Fix Brackets")),Bagging!F11,""))</f>
        <v/>
      </c>
      <c r="AP3" s="20" t="str">
        <f>IF(D3="","",IF(AND(VLOOKUP(CONCATENATE('Tube Cutting'!D11,'Tube Cutting'!E11),TrackManufacturing,2,FALSE)="Wavefold Black",(Bagging!E11="Top Fix Brackets")),Bagging!F11,""))</f>
        <v/>
      </c>
      <c r="AQ3" s="20" t="str">
        <f>IF(D3="","",IF(AND(VLOOKUP(CONCATENATE('Tube Cutting'!D11,'Tube Cutting'!E11),TrackManufacturing,2,FALSE)="Wavefold Black",(Bagging!E11="Single Face Fix Brackets")),Bagging!F11,""))</f>
        <v/>
      </c>
      <c r="AR3" s="20" t="str">
        <f>IF(D3="","",IF(AND(VLOOKUP(CONCATENATE('Tube Cutting'!D11,'Tube Cutting'!E11),TrackManufacturing,2,FALSE)="Wavefold Black",(Bagging!E11="Double Face Fix Brackets")),Bagging!F11,""))</f>
        <v/>
      </c>
      <c r="AS3" s="20" t="str">
        <f>IF(D3="","",IF(AND(VLOOKUP(CONCATENATE('Tube Cutting'!D11,'Tube Cutting'!E11),TrackManufacturing,2,FALSE)="Wavefold Black",(Bagging!E11="Triple Face Fix Brackets")),Bagging!F11,""))</f>
        <v/>
      </c>
      <c r="AT3" s="20" t="str">
        <f>IF(D3="","",IF(AND(OR(VLOOKUP(CONCATENATE('Tube Cutting'!D11,'Tube Cutting'!E11),TrackManufacturing,2,FALSE)="Wavefold Matt Satin",VLOOKUP(CONCATENATE('Tube Cutting'!D11,'Tube Cutting'!E11),TrackManufacturing,2,FALSE)="System 20 Matt Satin"),(Bagging!E11="Top Fix Brackets")),Bagging!F11,""))</f>
        <v/>
      </c>
      <c r="AU3" s="20" t="str">
        <f>IF(D3="","",IF(AND(OR(VLOOKUP(CONCATENATE('Tube Cutting'!D11,'Tube Cutting'!E11),TrackManufacturing,2,FALSE)="Wavefold Matt Satin",VLOOKUP(CONCATENATE('Tube Cutting'!D11,'Tube Cutting'!E11),TrackManufacturing,2,FALSE)="System 20 Matt Satin"),(Bagging!E11="Single Face Fix Brackets")),Bagging!F11,""))</f>
        <v/>
      </c>
      <c r="AV3" s="20" t="str">
        <f>IF(D3="","",IF(AND(OR(VLOOKUP(CONCATENATE('Tube Cutting'!D11,'Tube Cutting'!E11),TrackManufacturing,2,FALSE)="Wavefold Matt Satin",VLOOKUP(CONCATENATE('Tube Cutting'!D11,'Tube Cutting'!E11),TrackManufacturing,2,FALSE)="System 20 Matt Satin"),(Bagging!E11="Double Face Fix Brackets")),Bagging!F11,""))</f>
        <v/>
      </c>
      <c r="AW3" s="20" t="str">
        <f>IF(D3="","",IF(AND(OR(VLOOKUP(CONCATENATE('Tube Cutting'!D11,'Tube Cutting'!E11),TrackManufacturing,2,FALSE)="Wavefold Matt Satin",VLOOKUP(CONCATENATE('Tube Cutting'!D11,'Tube Cutting'!E11),TrackManufacturing,2,FALSE)="System 20 Matt Satin"),(Bagging!E11="Triple Face Fix Brackets")),Bagging!F11,""))</f>
        <v/>
      </c>
      <c r="AX3" s="20" t="str">
        <f>IF(D3="","",IF(AND(VLOOKUP(CONCATENATE('Tube Cutting'!D11,'Tube Cutting'!E11),TrackManufacturing,2,FALSE)="Streamline White",(Bagging!E11="Nylon Top Fix Brackets")),VLOOKUP('Job Sheet'!G11,Brackets,2,TRUE),""))</f>
        <v/>
      </c>
      <c r="AY3" s="20" t="str">
        <f>IF(D3="","",IF(AND(VLOOKUP(CONCATENATE('Tube Cutting'!D11,'Tube Cutting'!E11),TrackManufacturing,2,FALSE)="Streamline White",(Bagging!E11="Metal Fix Brackets")),VLOOKUP('Job Sheet'!G11,Brackets,2,TRUE),""))</f>
        <v/>
      </c>
      <c r="AZ3" s="20" t="str">
        <f>IF(D3="","",IF(AND(VLOOKUP(CONCATENATE('Tube Cutting'!D11,'Tube Cutting'!E11),TrackManufacturing,2,FALSE)="Streamline White",(Bagging!E11="Single Face Fix Brackets")),Bagging!F11,""))</f>
        <v/>
      </c>
      <c r="BA3" s="20" t="str">
        <f>IF(D3="","",IF(AND(VLOOKUP(CONCATENATE('Tube Cutting'!D11,'Tube Cutting'!E11),TrackManufacturing,2,FALSE)="Streamline White",(Bagging!E11="Double Face Fix Brackets")),Bagging!F11,""))</f>
        <v/>
      </c>
      <c r="BB3" s="20" t="str">
        <f>IF(D3="","",IF(AND(VLOOKUP(CONCATENATE('Tube Cutting'!D11,'Tube Cutting'!E11),TrackManufacturing,2,FALSE)="Streamline White",(Bagging!E11="Triple Face Fix Brackets")),Bagging!F11,""))</f>
        <v/>
      </c>
      <c r="BC3" s="20" t="str">
        <f>IF(D3="","",IF(AND(VLOOKUP(CONCATENATE('Tube Cutting'!D11,'Tube Cutting'!E11),TrackManufacturing,2,FALSE)="Streamline White",(Bagging!E11="32mm Face Fix Brackets")),Bagging!F11,""))</f>
        <v/>
      </c>
      <c r="BD3" s="20" t="str">
        <f>IF(J3="","",IF(AND(VLOOKUP(CONCATENATE('Tube Cutting'!D11,'Tube Cutting'!E11),TrackManufacturing,2,FALSE)="Streamline Matt Black Ink",(Bagging!M11="Nylon Top Fix Brackets")),VLOOKUP('Job Sheet'!L11,Brackets,2,TRUE),""))</f>
        <v/>
      </c>
      <c r="BE3" s="20" t="str">
        <f>IF(D3="","",IF(AND(VLOOKUP(CONCATENATE('Tube Cutting'!D11,'Tube Cutting'!E11),TrackManufacturing,2,FALSE)="Streamline Matt Black Ink",(Bagging!E11="Top Fix Brackets")),Bagging!F11,""))</f>
        <v/>
      </c>
      <c r="BF3" s="20" t="str">
        <f>IF(D3="","",IF(AND(VLOOKUP(CONCATENATE('Tube Cutting'!D11,'Tube Cutting'!E11),TrackManufacturing,2,FALSE)="Streamline Matt Black Ink",(Bagging!E11="Single Face Fix Brackets")),Bagging!F11,""))</f>
        <v/>
      </c>
      <c r="BG3" s="20" t="str">
        <f>IF(D3="","",IF(AND(VLOOKUP(CONCATENATE('Tube Cutting'!D11,'Tube Cutting'!E11),TrackManufacturing,2,FALSE)="Streamline Matt Black Ink",(Bagging!E11="Double Face Fix Brackets")),Bagging!F11,""))</f>
        <v/>
      </c>
      <c r="BH3" s="20" t="str">
        <f>IF(D3="","",IF(AND(VLOOKUP(CONCATENATE('Tube Cutting'!D11,'Tube Cutting'!E11),TrackManufacturing,2,FALSE)="Streamline Matt Black Ink",(Bagging!E11="Triple Face Fix Brackets")),Bagging!F11,""))</f>
        <v/>
      </c>
      <c r="BI3" s="20" t="str">
        <f>IF(D3="","",IF(AND(VLOOKUP(CONCATENATE('Tube Cutting'!D11,'Tube Cutting'!E11),TrackManufacturing,2,FALSE)="Streamline Matt Black Ink",(Bagging!E11="32mm Face Fix Brackets")),Bagging!F11,""))</f>
        <v/>
      </c>
      <c r="BJ3" s="20" t="str">
        <f>IF(D3="","",IF(AND(VLOOKUP(CONCATENATE('Tube Cutting'!D11,'Tube Cutting'!E11),TrackManufacturing,2,FALSE)="Streamline Birch White",(Bagging!P11="Nylon Top Fix Brackets")),VLOOKUP('Job Sheet'!Q11,Brackets,2,TRUE),""))</f>
        <v/>
      </c>
      <c r="BK3" s="20" t="str">
        <f>IF(D3="","",IF(AND(VLOOKUP(CONCATENATE('Tube Cutting'!D11,'Tube Cutting'!E11),TrackManufacturing,2,FALSE)="Streamline Birch White",(Bagging!E11="Top Fix Brackets")),Bagging!F11,""))</f>
        <v/>
      </c>
      <c r="BL3" s="20">
        <f>IF(D3="","",IF(AND(VLOOKUP(CONCATENATE('Tube Cutting'!D11,'Tube Cutting'!E11),TrackManufacturing,2,FALSE)="Streamline Birch White",(Bagging!E11="Single Face Fix Brackets")),Bagging!F11,""))</f>
        <v>4</v>
      </c>
      <c r="BM3" s="20" t="str">
        <f>IF(D3="","",IF(AND(VLOOKUP(CONCATENATE('Tube Cutting'!D11,'Tube Cutting'!E11),TrackManufacturing,2,FALSE)="Streamline Birch White",(Bagging!E11="Double Face Fix Brackets")),Bagging!F11,""))</f>
        <v/>
      </c>
      <c r="BN3" s="20" t="str">
        <f>IF(D3="","",IF(AND(VLOOKUP(CONCATENATE('Tube Cutting'!D11,'Tube Cutting'!E11),TrackManufacturing,2,FALSE)="Streamline Birch White",(Bagging!E11="Triple Face Fix Brackets")),Bagging!F11,""))</f>
        <v/>
      </c>
      <c r="BO3" s="20" t="str">
        <f>IF(D3="","",IF(AND(VLOOKUP(CONCATENATE('Tube Cutting'!D11,'Tube Cutting'!E11),TrackManufacturing,2,FALSE)="Streamline Birch White",(Bagging!E11="32mm Face Fix Brackets")),Bagging!F11,""))</f>
        <v/>
      </c>
      <c r="BP3" s="20" t="str">
        <f>IF(D3="","",IF(AND(VLOOKUP(CONCATENATE('Tube Cutting'!D11,'Tube Cutting'!E11),TrackManufacturing,2,FALSE)="Streamline Matt Satin",(Bagging!E11="Top Fix Brackets")),Bagging!F11,""))</f>
        <v/>
      </c>
      <c r="BQ3" s="20" t="str">
        <f>IF(K3="","",IF(AND(VLOOKUP(CONCATENATE('Tube Cutting'!J11,'Tube Cutting'!K11),TrackManufacturing,2,FALSE)="Streamline Matt Satin",(Bagging!K11="Top Fix Brackets")),Bagging!L11,""))</f>
        <v/>
      </c>
      <c r="BR3" s="20" t="str">
        <f>IF(K3="","",IF(AND(VLOOKUP(CONCATENATE('Tube Cutting'!J11,'Tube Cutting'!K11),TrackManufacturing,2,FALSE)="Streamline Matt Satin",(Bagging!K11="Single Face Fix Brackets")),Bagging!L11,""))</f>
        <v/>
      </c>
      <c r="BS3" s="20" t="str">
        <f>IF(D3="","",IF(AND(VLOOKUP(CONCATENATE('Tube Cutting'!D11,'Tube Cutting'!E11),TrackManufacturing,2,FALSE)="Streamline Matt Satin",(Bagging!E11="Double Face Fix Brackets")),Bagging!F11,""))</f>
        <v/>
      </c>
      <c r="BT3" s="20" t="str">
        <f>IF(D3="","",IF(AND(VLOOKUP(CONCATENATE('Tube Cutting'!D11,'Tube Cutting'!E11),TrackManufacturing,2,FALSE)="Streamline Matt Satin",(Bagging!E11="Triple Face Fix Brackets")),Bagging!F11,""))</f>
        <v/>
      </c>
      <c r="BU3" s="20" t="str">
        <f>IF(D3="","",IF(AND(VLOOKUP(CONCATENATE('Tube Cutting'!D11,'Tube Cutting'!E11),TrackManufacturing,2,FALSE)="Streamline Matt Satin",(Bagging!E11="32mm Face Fix Brackets")),Bagging!F11,""))</f>
        <v/>
      </c>
      <c r="BV3" s="20" t="str">
        <f>AL3</f>
        <v/>
      </c>
      <c r="BW3" s="20" t="str">
        <f>IF(D3="","",IF(AND(VLOOKUP(CONCATENATE('Tube Cutting'!D11,'Tube Cutting'!E11),TrackManufacturing,2,FALSE)="White",Bagging!E11="Single Face Fix Brackets"),Bagging!F11,""))</f>
        <v/>
      </c>
      <c r="BX3" s="20" t="str">
        <f>IF(AND('Tube Cutting'!E11="White",Bagging!E11="Double Face Fix Brackets"),Bagging!F11,"")</f>
        <v/>
      </c>
      <c r="BY3" s="20" t="str">
        <f>IF(AND('Tube Cutting'!E11="White",Bagging!E11="Triple Face Fix Brackets"),Bagging!F11,"")</f>
        <v/>
      </c>
      <c r="BZ3" s="20" t="str">
        <f>AP3</f>
        <v/>
      </c>
      <c r="CA3" s="20" t="str">
        <f>IF(AND('Tube Cutting'!E11="Matt Black Ink",Bagging!E11="Single Face Fix Brackets"),Bagging!F11,"")</f>
        <v/>
      </c>
      <c r="CB3" s="20" t="str">
        <f>IF(AND('Tube Cutting'!E11="Matt Black Ink",Bagging!E11="Double Face Fix Brackets"),Bagging!F11,"")</f>
        <v/>
      </c>
      <c r="CC3" s="20" t="str">
        <f>IF(AND('Tube Cutting'!E11="Matt Black Ink",Bagging!E11="Triple Fix Brackets"),Bagging!F11,"")</f>
        <v/>
      </c>
      <c r="CD3" s="20" t="str">
        <f>IF(AND('Tube Cutting'!E11="Matt Satin",Bagging!E11="Top Fix Brackets"),Bagging!F11,"")</f>
        <v/>
      </c>
      <c r="CE3" s="20" t="str">
        <f>IF(AND('Tube Cutting'!E11="Matt Satin",Bagging!E11="Single Face Fix Brackets"),Bagging!F11,"")</f>
        <v/>
      </c>
      <c r="CF3" s="20" t="str">
        <f>IF(AND('Tube Cutting'!E11="Matt Satin",Bagging!E11="Double Face Fix Brackets"),Bagging!F11,"")</f>
        <v/>
      </c>
      <c r="CG3" s="20" t="str">
        <f>IF(AND('Tube Cutting'!E11="Matt Satin",Bagging!E11="Triple Fix Brackets"),Bagging!F11,"")</f>
        <v/>
      </c>
      <c r="CH3" s="20" t="str">
        <f>IF(D3="","",IF(AND('Tube Cutting'!E11="White",(OR(Bagging!L11="Single Left",Bagging!L11="Single Left &amp; Right"))),"1",""))</f>
        <v/>
      </c>
      <c r="CI3" s="20" t="str">
        <f>IF(D3="","",IF(AND('Tube Cutting'!E11="Matt Black Ink",(OR(Bagging!L11="Single Left",Bagging!L11="Single Left &amp; Right"))),"1",""))</f>
        <v/>
      </c>
      <c r="CJ3" s="20" t="str">
        <f>IF(D3="","",IF(AND('Tube Cutting'!E11="Matt Satin",(OR(Bagging!L11="Single Left",Bagging!L11="Single Left &amp; Right"))),"1",""))</f>
        <v/>
      </c>
      <c r="CK3" s="20" t="str">
        <f>IF(D3="","",IF(AND('Tube Cutting'!E11="White",(OR(Bagging!L11="Single Right",Bagging!L11="Single Left &amp; Right"))),"1",""))</f>
        <v/>
      </c>
      <c r="CL3" s="20" t="str">
        <f>IF(D3="","",IF(AND('Tube Cutting'!E11="Matt Black Ink",(OR(Bagging!L11="Single Right",Bagging!L11="Single Left &amp; Right"))),"1",""))</f>
        <v/>
      </c>
      <c r="CM3" s="20" t="str">
        <f>IF(D3="","",IF(AND('Tube Cutting'!E11="Matt Satin",(OR(Bagging!L11="Single Right",Bagging!L11="Single Left &amp; Right"))),"1",""))</f>
        <v/>
      </c>
      <c r="CN3" s="20" t="str">
        <f>IF(D3="","",IF(AND('Tube Cutting'!E11="White",(OR(Bagging!L11="Double Left",Bagging!L11="Double Left &amp; Right"))),"1",""))</f>
        <v/>
      </c>
      <c r="CO3" s="20" t="str">
        <f>IF(D3="","",IF(AND('Tube Cutting'!E11="Matt Black Ink",(OR(Bagging!L11="Double Left",Bagging!L11="Double Left &amp; Right"))),"1",""))</f>
        <v/>
      </c>
      <c r="CP3" s="20" t="str">
        <f>IF(D3="","",IF(AND('Tube Cutting'!E11="Matt Satin",(OR(Bagging!L11="Double Left",Bagging!L11="Double Left &amp; Right"))),"1",""))</f>
        <v/>
      </c>
      <c r="CQ3" s="20" t="str">
        <f>IF(D3="","",IF(AND('Tube Cutting'!E11="White",(OR(Bagging!L11="Double Right",Bagging!L11="Double Left &amp; Right"))),"1",""))</f>
        <v/>
      </c>
      <c r="CR3" s="20" t="str">
        <f>IF(D3="","",IF(AND('Tube Cutting'!E11="Matt Black Ink",(OR(Bagging!L11="Double Right",Bagging!L11="Double Left &amp; Right"))),"1",""))</f>
        <v/>
      </c>
      <c r="CS3" s="20" t="str">
        <f>IF(D3="","",IF(AND('Tube Cutting'!E11="Matt Satin",(OR(Bagging!L11="Double Right",Bagging!L11="Double Left &amp; Right"))),"1",""))</f>
        <v/>
      </c>
      <c r="CT3" s="20" t="str">
        <f>IF(D3="","",IF(VLOOKUP(CONCATENATE('Tube Cutting'!D11,'Tube Cutting'!E11),TrackManufacturing,2,FALSE)="Streamline White",1,""))</f>
        <v/>
      </c>
      <c r="CU3" s="20" t="str">
        <f>IF(D3="","",IF(VLOOKUP(CONCATENATE('Tube Cutting'!D11,'Tube Cutting'!E11),TrackManufacturing,2,FALSE)="Streamline Matt Black Ink",1,""))</f>
        <v/>
      </c>
      <c r="CV3" s="20">
        <f>IF(D3="","",IF(VLOOKUP(CONCATENATE('Tube Cutting'!D11,'Tube Cutting'!E11),TrackManufacturing,2,FALSE)="Streamline Birch White",1,""))</f>
        <v>1</v>
      </c>
      <c r="CW3" s="20" t="str">
        <f>IF(D3="","",IF(VLOOKUP(CONCATENATE('Tube Cutting'!D11,'Tube Cutting'!E11),TrackManufacturing,2,FALSE)="Streamline Matt Satin",1,""))</f>
        <v/>
      </c>
      <c r="CX3" s="20" t="str">
        <f>IF(D3="","",IF(AND(VLOOKUP(CONCATENATE('Tube Cutting'!D11,'Tube Cutting'!E11),TrackManufacturing,2,FALSE)="Streamline White",(OR(Assembly!F11="Centre Opening",Assembly!F11="Centre Opening - Free Flowing",Assembly!F11="Centre Opening (Offset)",Assembly!F11="Centre Opening - Free Flowing (Offset)"))),1,""))</f>
        <v/>
      </c>
      <c r="CY3" s="20" t="str">
        <f>IF(D3="","",IF(AND(VLOOKUP(CONCATENATE('Tube Cutting'!D11,'Tube Cutting'!E11),TrackManufacturing,2,FALSE)="Streamline Matt Black Ink",(OR(Assembly!F11="Centre Opening",Assembly!F11="Centre Opening - Free Flowing",Assembly!F11="Centre Opening (Offset)",Assembly!F11="Centre Opening - Free Flowing (Offset)"))),1,""))</f>
        <v/>
      </c>
      <c r="CZ3" s="20">
        <f>IF(D3="","",IF(AND(VLOOKUP(CONCATENATE('Tube Cutting'!D11,'Tube Cutting'!E11),TrackManufacturing,2,FALSE)="Streamline Birch White",(OR(Assembly!F11="Centre Opening",Assembly!F11="Centre Opening - Free Flowing",Assembly!F11="Centre Opening (Offset)",Assembly!F11="Centre Opening - Free Flowing (Offset)"))),1,""))</f>
        <v>1</v>
      </c>
      <c r="DA3" s="20" t="str">
        <f>IF(D3="","",IF(AND(VLOOKUP(CONCATENATE('Tube Cutting'!D11,'Tube Cutting'!E11),TrackManufacturing,2,FALSE)="Streamline Matt Satin",(OR(Assembly!F11="Centre Opening",Assembly!F11="Centre Opening - Free Flowing",Assembly!F11="Centre Opening (Offset)",Assembly!F11="Centre Opening - Free Flowing (Offset)"))),1,""))</f>
        <v/>
      </c>
      <c r="DB3" s="20" t="str">
        <f>IF(OR('Job Sheet'!H11="Conduit",'Job Sheet'!H11="Conduit x 2",I3&lt;&gt;"DBS to Make"),"",IF(VLOOKUP(CONCATENATE(Assembly!C11,Assembly!F11),PulleysEndCaps,2,FALSE)="","",IF('Tube Cutting'!E11="White",VLOOKUP(CONCATENATE(Assembly!C11,Assembly!F11),PulleysEndCaps,2,FALSE),"")))</f>
        <v/>
      </c>
      <c r="DC3" s="20" t="str">
        <f>IF(OR('Job Sheet'!H11="Conduit",'Job Sheet'!H11="Conduit x 2",I3&lt;&gt;"DBS to Make"),"",IF(VLOOKUP(CONCATENATE(Assembly!C11,Assembly!F11),PulleysEndCaps,2,FALSE)="","",IF('Tube Cutting'!E11="Matt Black Ink",VLOOKUP(CONCATENATE(Assembly!C11,Assembly!F11),PulleysEndCaps,2,FALSE),"")))</f>
        <v/>
      </c>
      <c r="DD3" s="20" t="str">
        <f>IF(OR('Job Sheet'!H11="Conduit",'Job Sheet'!H11="Conduit x 2",I3&lt;&gt;"DBS to Make"),"",IF(VLOOKUP(CONCATENATE(Assembly!C11,Assembly!F11),PulleysEndCaps,2,FALSE)="","",IF('Tube Cutting'!E11="Matt Satin",VLOOKUP(CONCATENATE(Assembly!C11,Assembly!F11),PulleysEndCaps,2,FALSE),"")))</f>
        <v/>
      </c>
      <c r="DE3" s="20" t="str">
        <f>IF(OR('Job Sheet'!H11="Conduit",'Job Sheet'!H11="Conduit x 2",I3&lt;&gt;"DBS to Make"),"",IF(VLOOKUP(CONCATENATE(Assembly!C11,Assembly!F11),PulleysEndCaps,3,FALSE)="","",IF('Tube Cutting'!E11="White",VLOOKUP(CONCATENATE(Assembly!C11,Assembly!F11),PulleysEndCaps,3,FALSE),"")))</f>
        <v/>
      </c>
      <c r="DF3" s="20" t="str">
        <f>IF(OR('Job Sheet'!H11="Conduit",'Job Sheet'!H11="Conduit x 2",I3&lt;&gt;"DBS to Make"),"",IF(VLOOKUP(CONCATENATE(Assembly!C11,Assembly!F11),PulleysEndCaps,3,FALSE)="","",IF('Tube Cutting'!E11="Matt Black Ink",VLOOKUP(CONCATENATE(Assembly!C11,Assembly!F11),PulleysEndCaps,3,FALSE),"")))</f>
        <v/>
      </c>
      <c r="DG3" s="20" t="str">
        <f>IF(OR('Job Sheet'!H11="Conduit",'Job Sheet'!H11="Conduit x 2",I3&lt;&gt;"DBS to Make"),"",IF(VLOOKUP(CONCATENATE(Assembly!C11,Assembly!F11),PulleysEndCaps,3,FALSE)="","",IF('Tube Cutting'!E11="Matt Satin",VLOOKUP(CONCATENATE(Assembly!C11,Assembly!F11),PulleysEndCaps,3,FALSE),"")))</f>
        <v/>
      </c>
      <c r="DH3" s="20" t="str">
        <f>IF(OR('Job Sheet'!H11="Conduit",'Job Sheet'!H11="Conduit x 2",I3&lt;&gt;"DBS to Make"),"",IF(VLOOKUP(CONCATENATE(Assembly!C11,Assembly!F11),PulleysEndCaps,6,FALSE)="","",IF('Tube Cutting'!E11="White",VLOOKUP(CONCATENATE(Assembly!C11,Assembly!F11),PulleysEndCaps,6,FALSE),"")))</f>
        <v/>
      </c>
      <c r="DI3" s="20" t="str">
        <f>IF(OR('Job Sheet'!H11="Conduit",'Job Sheet'!H11="Conduit x 2",I3&lt;&gt;"DBS to Make"),"",IF(VLOOKUP(CONCATENATE(Assembly!C11,Assembly!F11),PulleysEndCaps,6,FALSE)="","",IF('Tube Cutting'!E11="Matt Black Ink",VLOOKUP(CONCATENATE(Assembly!C11,Assembly!F11),PulleysEndCaps,6,FALSE),"")))</f>
        <v/>
      </c>
      <c r="DJ3" s="20">
        <f>IF(OR('Job Sheet'!H11="Conduit",'Job Sheet'!H11="Conduit x 2",I3&lt;&gt;"DBS to Make"),"",IF(VLOOKUP(CONCATENATE(Assembly!C11,Assembly!F11),PulleysEndCaps,6,FALSE)="","",IF('Tube Cutting'!E11="Birch White",VLOOKUP(CONCATENATE(Assembly!C11,Assembly!F11),PulleysEndCaps,6,FALSE),"")))</f>
        <v>2</v>
      </c>
      <c r="DK3" s="20" t="str">
        <f>IF(OR('Job Sheet'!H11="Conduit",'Job Sheet'!H11="Conduit x 2",I3&lt;&gt;"DBS to Make"),"",IF(VLOOKUP(CONCATENATE(Assembly!C11,Assembly!F11),PulleysEndCaps,6,FALSE)="","",IF('Tube Cutting'!E11="Matt Satin",VLOOKUP(CONCATENATE(Assembly!C11,Assembly!F11),PulleysEndCaps,6,FALSE),"")))</f>
        <v/>
      </c>
      <c r="DL3" s="20" t="str">
        <f>IF(OR('Job Sheet'!H11="Conduit",'Job Sheet'!H11="Conduit x 2",I3&lt;&gt;"DBS to Make"),"",IF(VLOOKUP(CONCATENATE(Assembly!C11,Assembly!F11),PulleysEndCaps,4,FALSE)="","",VLOOKUP(CONCATENATE(Assembly!C11,Assembly!F11),PulleysEndCaps,4,FALSE)))</f>
        <v/>
      </c>
      <c r="DM3" s="20" t="str">
        <f>IF(OR('Job Sheet'!H11="Conduit",'Job Sheet'!H11="Conduit x 2",I3&lt;&gt;"DBS to Make"),"",IF(VLOOKUP(CONCATENATE(Assembly!C11,Assembly!F11),PulleysEndCaps,7,FALSE)="","",VLOOKUP(CONCATENATE(Assembly!C11,Assembly!F11),PulleysEndCaps,7,FALSE)))</f>
        <v/>
      </c>
      <c r="DN3" s="20" t="str">
        <f>IF(D3="","",IF(AND(OR(VLOOKUP(CONCATENATE('Tube Cutting'!D11,'Tube Cutting'!E11),TrackManufacturing,2,FALSE)="Wavefold White",VLOOKUP(CONCATENATE('Tube Cutting'!D11,'Tube Cutting'!E11),TrackManufacturing,2,FALSE)="Wavefold Black",VLOOKUP(CONCATENATE('Tube Cutting'!D11,'Tube Cutting'!E11),TrackManufacturing,2,FALSE)="Wavefold Matt Satin",VLOOKUP(CONCATENATE('Tube Cutting'!D11,'Tube Cutting'!E11),TrackManufacturing,2,FALSE)="System 20 White",VLOOKUP(CONCATENATE('Tube Cutting'!D11,'Tube Cutting'!E11),TrackManufacturing,2,FALSE)="System 20 Black",VLOOKUP(CONCATENATE('Tube Cutting'!D11,'Tube Cutting'!E11),TrackManufacturing,2,FALSE)="System 20 Matt Satin"),'Tube Cutting'!C11&gt;6000),1,""))</f>
        <v/>
      </c>
      <c r="DO3" s="20" t="str">
        <f>IF(D3="","",IF(AND(OR(VLOOKUP(CONCATENATE('Tube Cutting'!D11,'Tube Cutting'!E11),TrackManufacturing,2,FALSE)="Streamline White",VLOOKUP(CONCATENATE('Tube Cutting'!D11,'Tube Cutting'!E11),TrackManufacturing,2,FALSE)="Streamline Black",VLOOKUP(CONCATENATE('Tube Cutting'!D11,'Tube Cutting'!E11),TrackManufacturing,2,FALSE)="Streamline Birch White",VLOOKUP(CONCATENATE('Tube Cutting'!D11,'Tube Cutting'!E11),TrackManufacturing,2,FALSE)="Streamline Matt Satin"),'Tube Cutting'!C11&gt;6000),1,""))</f>
        <v/>
      </c>
      <c r="DP3" s="20" t="str">
        <f>IF(OR('Job Sheet'!H11="Conduit",'Job Sheet'!H11="Conduit x 2",I3&lt;&gt;"DBS to Make"),"",IF(VLOOKUP(CONCATENATE(Assembly!C11,Assembly!F11),PulleysEndCaps,5,FALSE)="","",IF('Tube Cutting'!E11="White",VLOOKUP(CONCATENATE(Assembly!C11,Assembly!F11),PulleysEndCaps,5,FALSE),"")))</f>
        <v/>
      </c>
      <c r="DQ3" s="20" t="str">
        <f>IF(OR('Job Sheet'!H11="Conduit",'Job Sheet'!H11="Conduit x 2",I3&lt;&gt;"DBS to Make"),"",IF(VLOOKUP(CONCATENATE(Assembly!C11,Assembly!F11),PulleysEndCaps,5,FALSE)="","",IF('Tube Cutting'!E11="Matt Black Ink",VLOOKUP(CONCATENATE(Assembly!C11,Assembly!F11),PulleysEndCaps,5,FALSE),"")))</f>
        <v/>
      </c>
      <c r="DR3" s="20" t="str">
        <f>IF(OR('Job Sheet'!H11="Conduit",'Job Sheet'!H11="Conduit x 2",I3&lt;&gt;"DBS to Make"),"",IF(VLOOKUP(CONCATENATE(Assembly!C11,Assembly!F11),PulleysEndCaps,5,FALSE)="","",IF('Tube Cutting'!E11="Matt Satin",VLOOKUP(CONCATENATE(Assembly!C11,Assembly!F11),PulleysEndCaps,5,FALSE),"")))</f>
        <v/>
      </c>
      <c r="DS3" s="20" t="str">
        <f>IF(OR('Job Sheet'!H11="Conduit",'Job Sheet'!H11="Conduit x 2",I3&lt;&gt;"DBS to Make"),"",IF(VLOOKUP(CONCATENATE(Assembly!C11,Assembly!F11),PulleysEndCaps,5,FALSE)="","",IF('Tube Cutting'!E11="Matt Satin",VLOOKUP(CONCATENATE(Assembly!C11,Assembly!F11),PulleysEndCaps,5,FALSE),"")))</f>
        <v/>
      </c>
      <c r="DT3" s="20" t="str">
        <f>IF(OR('Job Sheet'!H11="Conduit",'Job Sheet'!H11="Conduit x 2",I3&lt;&gt;"DBS to Make"),"",IF(VLOOKUP(CONCATENATE(Assembly!C11,Assembly!F11),PulleysEndCaps,8,FALSE)="","",IF('Tube Cutting'!E11="Matt Black Ink",VLOOKUP(CONCATENATE(Assembly!C11,Assembly!F11),PulleysEndCaps,8,FALSE),"")))</f>
        <v/>
      </c>
      <c r="DU3" s="20" t="str">
        <f>IF(OR('Job Sheet'!H11="Conduit",'Job Sheet'!H11="Conduit x 2",I3&lt;&gt;"DBS to Make"),"",IF(VLOOKUP(CONCATENATE(Assembly!C11,Assembly!F11),PulleysEndCaps,8,FALSE)="","",IF('Tube Cutting'!E11="Birch White",VLOOKUP(CONCATENATE(Assembly!C11,Assembly!F11),PulleysEndCaps,8,FALSE),"")))</f>
        <v/>
      </c>
      <c r="DV3" s="20" t="str">
        <f>IF(OR('Job Sheet'!H11="Conduit",'Job Sheet'!H11="Conduit x 2",I3&lt;&gt;"DBS to Make"),"",IF(VLOOKUP(CONCATENATE(Assembly!C11,Assembly!F11),PulleysEndCaps,8,FALSE)="","",IF('Tube Cutting'!E11="Matt Satin",VLOOKUP(CONCATENATE(Assembly!C11,Assembly!F11),PulleysEndCaps,8,FALSE),"")))</f>
        <v/>
      </c>
      <c r="DW3" s="20" t="str">
        <f>IF(D3="","",IF(AND(AND(Assembly!C11="Wavefold Cord Operation",'Tube Cutting'!E11="White",'Tube Cutting'!E11),(OR(Assembly!F11="Centre Opening",Assembly!F11="Centre Opening - Free Flowing",Assembly!F11="Centre Opening (Offset)",Assembly!F11="Centre Opening - Free Flowing (Offset)"))),2,IF(AND(AND(Assembly!C11="Wavefold Cord Operation",'Tube Cutting'!E11="White",'Tube Cutting'!E11),(OR(Assembly!F11="Single Panel - Left Stacking",Assembly!F11="Single Panel - Right Stacking",Assembly!F11="Single Panel - Free Flowing"))),1,"")))</f>
        <v/>
      </c>
      <c r="DX3" s="20" t="str">
        <f>IF(D3="","",IF(AND(AND(Assembly!C11="Wavefold Cord Operation",'Tube Cutting'!E11="Matt Black Ink",'Tube Cutting'!E11),(OR(Assembly!F11="Centre Opening",Assembly!F11="Centre Opening - Free Flowing",Assembly!F11="Centre Opening (Offset)",Assembly!F11="Centre Opening - Free Flowing (Offset)"))),2,IF(AND(AND(Assembly!C11="Wavefold Cord Operation",'Tube Cutting'!E11="Matt Black Ink",'Tube Cutting'!E11),(OR(Assembly!F11="Single Panel - Left Stacking",Assembly!F11="Single Panel - Right Stacking",Assembly!F11="Single Panel - Free Flowing"))),1,"")))</f>
        <v/>
      </c>
      <c r="DY3" s="20" t="str">
        <f>IF(D3="","",IF(AND(Assembly!C11="Wavefold Hand Operation",'Tube Cutting'!E11="White"),Bagging!J11,""))</f>
        <v/>
      </c>
      <c r="DZ3" s="20" t="str">
        <f>IF(D3="","",IF(AND(Assembly!C11="Wavefold Hand Operation",(OR('Tube Cutting'!E11="White",'Tube Cutting'!E11="White"))),Bagging!J11,""))</f>
        <v/>
      </c>
      <c r="EA3" s="20" t="str">
        <f>IF(OR(D3="",'Job Sheet'!U11="Straight"),"",VLOOKUP(CONCATENATE('Job Sheet'!U11,'Job Sheet'!L11),CornerBlocks,2,FALSE))</f>
        <v/>
      </c>
      <c r="EB3" s="20">
        <f>IF(D3="","",IF(OR('Tube Cutting'!D11="Streamline Cord Operation",'Tube Cutting'!D11="Wavefold Cord Operation"),1,""))</f>
        <v>1</v>
      </c>
      <c r="EC3" s="20" t="str">
        <f>IF(D3="","",IF(VLOOKUP(CONCATENATE('Tube Cutting'!D11,'Tube Cutting'!E11),TrackManufacturing,2,FALSE)="System 20 White",1,""))</f>
        <v/>
      </c>
      <c r="ED3" s="20" t="str">
        <f>IF(D3="","",IF(VLOOKUP(CONCATENATE('Tube Cutting'!D11,'Tube Cutting'!E11),TrackManufacturing,2,FALSE)="System 20 Black",1,""))</f>
        <v/>
      </c>
      <c r="EE3" s="20" t="str">
        <f>IF(D3="","",IF(AND(VLOOKUP(CONCATENATE('Tube Cutting'!D11,'Tube Cutting'!E11),TrackManufacturing,2,FALSE)="System 20 White",(OR(Assembly!F11="Centre Opening",Assembly!F11="Centre Opening - Free Flowing",Assembly!F11="Centre Opening (Offset)",Assembly!F11="Centre Opening - Free Flowing (Offset)"))),1,""))</f>
        <v/>
      </c>
      <c r="EF3" s="20" t="str">
        <f>IF(D3="","",IF(AND(VLOOKUP(CONCATENATE('Tube Cutting'!D11,'Tube Cutting'!E11),TrackManufacturing,2,FALSE)="System 20 Black",(OR(Assembly!F11="Centre Opening",Assembly!F11="Centre Opening - Free Flowing",Assembly!F11="Centre Opening (Offset)",Assembly!F11="Centre Opening - Free Flowing (Offset)"))),1,""))</f>
        <v/>
      </c>
      <c r="EG3" s="126" t="str">
        <f>IF(D3="","",IF(OR(VLOOKUP(CONCATENATE('Tube Cutting'!D11,'Tube Cutting'!E11),TrackManufacturing,2,FALSE)="System 20 White",VLOOKUP(CONCATENATE('Tube Cutting'!D11,'Tube Cutting'!E11),TrackManufacturing,2,FALSE)="System 20 Black",VLOOKUP(CONCATENATE('Tube Cutting'!D11,'Tube Cutting'!E11),TrackManufacturing,2,FALSE)="System 20 Matt Black Ink"),Assembly!I11,IF('Tube Cutting'!D11="SEM Streamline Hand Operation",9,"")))</f>
        <v/>
      </c>
      <c r="EH3" s="20" t="str">
        <f>IF('Tube Cutting'!D11="Conduit",'Tube Cutting'!C11,"")</f>
        <v/>
      </c>
      <c r="EI3" s="20" t="str">
        <f>IF(Bagging!E11="Muslin Brackets",2,IF(Bagging!E11="Muslin Brackets Top and Bottom",4,""))</f>
        <v/>
      </c>
      <c r="EJ3" s="20" t="str">
        <f>IF(Bagging!E11="100mm Unstayed Brackets with Acorns",2,"")</f>
        <v/>
      </c>
      <c r="EK3" s="20" t="str">
        <f>IF(Bagging!E11="25mm Brackets with Acorns",2,"")</f>
        <v/>
      </c>
      <c r="EL3" s="20" t="str">
        <f>IF(OR(Bagging!E11="25mm Brackets with Acorns",Bagging!E11="100mm Unstayed Brackets with Acorns"),2,"")</f>
        <v/>
      </c>
      <c r="FI3" s="20"/>
      <c r="FJ3" s="20"/>
    </row>
    <row r="4" spans="4:166" ht="13.2" customHeight="1">
      <c r="D4" s="20" t="str">
        <f>IF(Data!AW12="","",CONCATENATE(Data!BC$5,".",Data!BD$5))</f>
        <v/>
      </c>
      <c r="E4" s="20" t="str">
        <f>IF(D4="","",Data!AW12)</f>
        <v/>
      </c>
      <c r="F4" s="20" t="str">
        <f>IF(D4="","",Data!AV12)</f>
        <v/>
      </c>
      <c r="G4" s="20" t="str">
        <f>IF(D4="","",Data!BF$5)</f>
        <v/>
      </c>
      <c r="H4" s="20" t="str">
        <f>IF(D4="","",Data!AX$5)</f>
        <v/>
      </c>
      <c r="I4" s="20" t="str">
        <f>IF(D4="","",'Job Sheet'!AI12)</f>
        <v/>
      </c>
      <c r="J4" s="20" t="str">
        <f>IF(D4="","",IF(OR(VLOOKUP(CONCATENATE('Tube Cutting'!D12,'Tube Cutting'!E12),TrackManufacturing,2,FALSE)="Wavefold White",VLOOKUP(CONCATENATE('Tube Cutting'!D12,'Tube Cutting'!E12),TrackManufacturing,2,FALSE)="Wavefold Black",VLOOKUP(CONCATENATE('Tube Cutting'!D12,'Tube Cutting'!E12),TrackManufacturing,2,FALSE)="Wavefold Matt Satin"),('Job Sheet'!G12*2)/1000,""))</f>
        <v/>
      </c>
      <c r="K4" s="126" t="str">
        <f>IF(D4="","",IF(OR(VLOOKUP(CONCATENATE('Tube Cutting'!D12,'Tube Cutting'!E12),TrackManufacturing,2,FALSE)="Wavefold White",VLOOKUP(CONCATENATE('Tube Cutting'!D12,'Tube Cutting'!E12),TrackManufacturing,2,FALSE)="Wavefold Matt Satin"),J4*10,""))</f>
        <v/>
      </c>
      <c r="L4" s="126" t="str">
        <f>IF(D4="","",IF(VLOOKUP(CONCATENATE('Tube Cutting'!D12,'Tube Cutting'!E12),TrackManufacturing,2,FALSE)="Wavefold Black",J4*10,""))</f>
        <v/>
      </c>
      <c r="M4" s="127" t="str">
        <f>IF(D4="","",IF(OR(VLOOKUP(CONCATENATE('Tube Cutting'!D12,'Tube Cutting'!E12),TrackManufacturing,2,FALSE)="Wavefold White",VLOOKUP(CONCATENATE('Tube Cutting'!D12,'Tube Cutting'!E12),TrackManufacturing,2,FALSE)="System 20 White"),'Tube Cutting'!C12/1000,""))</f>
        <v/>
      </c>
      <c r="N4" s="127" t="str">
        <f>IF(D4="","",IF(VLOOKUP(CONCATENATE('Tube Cutting'!D12,'Tube Cutting'!E12),TrackManufacturing,2,FALSE)="Wavefold Black",'Tube Cutting'!C12/1000,""))</f>
        <v/>
      </c>
      <c r="O4" s="127" t="str">
        <f>IF(D4="","",IF(OR(VLOOKUP(CONCATENATE('Tube Cutting'!D12,'Tube Cutting'!E12),TrackManufacturing,2,FALSE)="Wavefold Matt Satin",VLOOKUP(CONCATENATE('Tube Cutting'!D12,'Tube Cutting'!E12),TrackManufacturing,2,FALSE)="System 20 Matt Satin"),'Tube Cutting'!C12/1000,""))</f>
        <v/>
      </c>
      <c r="P4" s="126" t="str">
        <f>IF(D4="","",IF(AND((OR('Tube Cutting'!E12="White",'Tube Cutting'!E12="Matt Satin")),(OR('Tube Cutting'!D12="Wavefold Hand Operation",'Tube Cutting'!D12="Wavefold Cord Operation"))),IF(M4="",O4*20,M4*20),""))</f>
        <v/>
      </c>
      <c r="Q4" s="126" t="str">
        <f>IF(D4="","",IF(AND('Tube Cutting'!E12="Matt Black Ink",(OR('Tube Cutting'!D12="Wavefold Hand Operation",'Tube Cutting'!D12="Wavefold Cord Operation"))),N4*20,""))</f>
        <v/>
      </c>
      <c r="R4" s="126" t="str">
        <f>IF(D4="","",IF(OR('Tube Cutting'!D12="Streamline Hand Operation",'Tube Cutting'!D12="Streamline Cord Operation"),Assembly!I12,""))</f>
        <v/>
      </c>
      <c r="S4" s="20" t="str">
        <f>IF(D4="","",IF(VLOOKUP(CONCATENATE('Tube Cutting'!D12,'Tube Cutting'!E12),TrackManufacturing,2,FALSE)="Streamline White",'Tube Cutting'!C12/1000,""))</f>
        <v/>
      </c>
      <c r="T4" s="20" t="str">
        <f>IF(D4="","",IF(VLOOKUP(CONCATENATE('Tube Cutting'!D12,'Tube Cutting'!E12),TrackManufacturing,2,FALSE)="Streamline Matt Black Ink",'Tube Cutting'!C12/1000,""))</f>
        <v/>
      </c>
      <c r="U4" s="20" t="str">
        <f>IF(D4="","",IF(VLOOKUP(CONCATENATE('Tube Cutting'!D12,'Tube Cutting'!E12),TrackManufacturing,2,FALSE)="Streamline Birch White",'Tube Cutting'!C12/1000,""))</f>
        <v/>
      </c>
      <c r="V4" s="20" t="str">
        <f>IF(D4="","",IF(VLOOKUP(CONCATENATE('Tube Cutting'!D12,'Tube Cutting'!E12),TrackManufacturing,2,FALSE)="Streamline Matt Satin",'Tube Cutting'!C12/1000,""))</f>
        <v/>
      </c>
      <c r="W4" s="20" t="str">
        <f>IF(I4="Track from TBS","",IF(Bagging!I12="White Aluminium Flick Sticks 100cm",VALUE(Bagging!J12),""))</f>
        <v/>
      </c>
      <c r="X4" s="20" t="str">
        <f>IF(I4="Track from TBS","",IF(Bagging!I12="White Aluminium Flick Sticks 125cm",VALUE(Bagging!J12),""))</f>
        <v/>
      </c>
      <c r="Y4" s="20" t="str">
        <f>IF(I4="Track from TBS","",IF(Bagging!I12="White Aluminium Flick Sticks 150cm",VALUE(Bagging!J12),""))</f>
        <v/>
      </c>
      <c r="Z4" s="20" t="str">
        <f>IF(I4="Track from TBS","",IF(Bagging!I12="Black Aluminium Flick Sticks 100cm",VALUE(Bagging!J12),""))</f>
        <v/>
      </c>
      <c r="AA4" s="20" t="str">
        <f>IF(I4="Track from TBS","",IF(Bagging!I12="Black Aluminium Flick Sticks 125cm",VALUE(Bagging!J12),""))</f>
        <v/>
      </c>
      <c r="AB4" s="20" t="str">
        <f>IF(I4="Track from TBS","",IF(Bagging!I12="Black Aluminium Flick Sticks 150cm",VALUE(Bagging!J12),""))</f>
        <v/>
      </c>
      <c r="AC4" s="20" t="str">
        <f>IF(I4="Track from TBS","",IF(Bagging!I12="Matt Satin Aluminium Flick Sticks 100cm",VALUE(Bagging!J12),""))</f>
        <v/>
      </c>
      <c r="AD4" s="20" t="str">
        <f>IF(I4="Track from TBS","",IF(Bagging!I12="Matt Satin Aluminium Flick Sticks 125cm",VALUE(Bagging!J12),""))</f>
        <v/>
      </c>
      <c r="AE4" s="20" t="str">
        <f>IF(I4="Track from TBS","",IF(Bagging!I12="Matt Satin Aluminium Flick Sticks 150cm",VALUE(Bagging!J12),""))</f>
        <v/>
      </c>
      <c r="AF4" s="20" t="str">
        <f>IF(I4="Track from TBS","",IF(Bagging!I12="Standard Clear 75cm",VALUE(Bagging!J12),""))</f>
        <v/>
      </c>
      <c r="AG4" s="20" t="str">
        <f>IF(I4="Track from TBS","",IF(Bagging!I12="Standard Clear 100cm",VALUE(Bagging!J12),""))</f>
        <v/>
      </c>
      <c r="AH4" s="20" t="str">
        <f>IF(I4="Track from TBS","",IF(Bagging!I12="Standard Clear 125cm",VALUE(Bagging!J12),""))</f>
        <v/>
      </c>
      <c r="AI4" s="20" t="str">
        <f>IF(I4="Track from TBS","",IF(Bagging!I12="Standard Clear 150cm",VALUE(Bagging!J12),""))</f>
        <v/>
      </c>
      <c r="AJ4" s="20" t="str">
        <f>IF(I4="Track from TBS","",IF(Bagging!I12="White Fibreglass 200cm",VALUE(Bagging!J12),""))</f>
        <v/>
      </c>
      <c r="AK4" s="20" t="str">
        <f>IF(I4="Track from TBS","",IF(Bagging!I12="White Fibreglass 250cm",VALUE(Bagging!J12),""))</f>
        <v/>
      </c>
      <c r="AL4" s="20" t="str">
        <f>IF(D4="","",IF(AND(VLOOKUP(CONCATENATE('Tube Cutting'!D12,'Tube Cutting'!E12),TrackManufacturing,2,FALSE)="Wavefold White",(Bagging!E12="Top Fix Brackets")),Bagging!F12,""))</f>
        <v/>
      </c>
      <c r="AM4" s="20" t="str">
        <f>IF(D4="","",IF(AND(VLOOKUP(CONCATENATE('Tube Cutting'!D12,'Tube Cutting'!E12),TrackManufacturing,2,FALSE)="Wavefold White",(Bagging!E12="Single Face Fix Brackets")),Bagging!F12,""))</f>
        <v/>
      </c>
      <c r="AN4" s="20" t="str">
        <f>IF(D4="","",IF(AND(VLOOKUP(CONCATENATE('Tube Cutting'!D12,'Tube Cutting'!E12),TrackManufacturing,2,FALSE)="Wavefold White",(Bagging!E12="Double Face Fix Brackets")),Bagging!F12,""))</f>
        <v/>
      </c>
      <c r="AO4" s="20" t="str">
        <f>IF(D4="","",IF(AND(VLOOKUP(CONCATENATE('Tube Cutting'!D12,'Tube Cutting'!E12),TrackManufacturing,2,FALSE)="Wavefold White",(Bagging!E12="Triple Face Fix Brackets")),Bagging!F12,""))</f>
        <v/>
      </c>
      <c r="AP4" s="20" t="str">
        <f>IF(D4="","",IF(AND(VLOOKUP(CONCATENATE('Tube Cutting'!D12,'Tube Cutting'!E12),TrackManufacturing,2,FALSE)="Wavefold Black",(Bagging!E12="Top Fix Brackets")),Bagging!F12,""))</f>
        <v/>
      </c>
      <c r="AQ4" s="20" t="str">
        <f>IF(D4="","",IF(AND(VLOOKUP(CONCATENATE('Tube Cutting'!D12,'Tube Cutting'!E12),TrackManufacturing,2,FALSE)="Wavefold Black",(Bagging!E12="Single Face Fix Brackets")),Bagging!F12,""))</f>
        <v/>
      </c>
      <c r="AR4" s="20" t="str">
        <f>IF(D4="","",IF(AND(VLOOKUP(CONCATENATE('Tube Cutting'!D12,'Tube Cutting'!E12),TrackManufacturing,2,FALSE)="Wavefold Black",(Bagging!E12="Double Face Fix Brackets")),Bagging!F12,""))</f>
        <v/>
      </c>
      <c r="AS4" s="20" t="str">
        <f>IF(D4="","",IF(AND(VLOOKUP(CONCATENATE('Tube Cutting'!D12,'Tube Cutting'!E12),TrackManufacturing,2,FALSE)="Wavefold Black",(Bagging!E12="Triple Face Fix Brackets")),Bagging!F12,""))</f>
        <v/>
      </c>
      <c r="AT4" s="20" t="str">
        <f>IF(D4="","",IF(AND(OR(VLOOKUP(CONCATENATE('Tube Cutting'!D12,'Tube Cutting'!E12),TrackManufacturing,2,FALSE)="Wavefold Matt Satin",VLOOKUP(CONCATENATE('Tube Cutting'!D12,'Tube Cutting'!E12),TrackManufacturing,2,FALSE)="System 20 Matt Satin"),(Bagging!E12="Top Fix Brackets")),Bagging!F12,""))</f>
        <v/>
      </c>
      <c r="AU4" s="20" t="str">
        <f>IF(D4="","",IF(AND(OR(VLOOKUP(CONCATENATE('Tube Cutting'!D12,'Tube Cutting'!E12),TrackManufacturing,2,FALSE)="Wavefold Matt Satin",VLOOKUP(CONCATENATE('Tube Cutting'!D12,'Tube Cutting'!E12),TrackManufacturing,2,FALSE)="System 20 Matt Satin"),(Bagging!E12="Single Face Fix Brackets")),Bagging!F12,""))</f>
        <v/>
      </c>
      <c r="AV4" s="20" t="str">
        <f>IF(D4="","",IF(AND(OR(VLOOKUP(CONCATENATE('Tube Cutting'!D12,'Tube Cutting'!E12),TrackManufacturing,2,FALSE)="Wavefold Matt Satin",VLOOKUP(CONCATENATE('Tube Cutting'!D12,'Tube Cutting'!E12),TrackManufacturing,2,FALSE)="System 20 Matt Satin"),(Bagging!E12="Double Face Fix Brackets")),Bagging!F12,""))</f>
        <v/>
      </c>
      <c r="AW4" s="20" t="str">
        <f>IF(D4="","",IF(AND(OR(VLOOKUP(CONCATENATE('Tube Cutting'!D12,'Tube Cutting'!E12),TrackManufacturing,2,FALSE)="Wavefold Matt Satin",VLOOKUP(CONCATENATE('Tube Cutting'!D12,'Tube Cutting'!E12),TrackManufacturing,2,FALSE)="System 20 Matt Satin"),(Bagging!E12="Triple Face Fix Brackets")),Bagging!F12,""))</f>
        <v/>
      </c>
      <c r="AX4" s="20" t="str">
        <f>IF(D4="","",IF(AND(VLOOKUP(CONCATENATE('Tube Cutting'!D12,'Tube Cutting'!E12),TrackManufacturing,2,FALSE)="Streamline White",(Bagging!E12="Nylon Top Fix Brackets")),VLOOKUP('Job Sheet'!G12,Brackets,2,TRUE),""))</f>
        <v/>
      </c>
      <c r="AY4" s="20" t="str">
        <f>IF(D4="","",IF(AND(VLOOKUP(CONCATENATE('Tube Cutting'!D12,'Tube Cutting'!E12),TrackManufacturing,2,FALSE)="Streamline White",(Bagging!E12="Metal Fix Brackets")),VLOOKUP('Job Sheet'!G12,Brackets,2,TRUE),""))</f>
        <v/>
      </c>
      <c r="AZ4" s="20" t="str">
        <f>IF(D4="","",IF(AND(VLOOKUP(CONCATENATE('Tube Cutting'!D12,'Tube Cutting'!E12),TrackManufacturing,2,FALSE)="Streamline White",(Bagging!E12="Single Face Fix Brackets")),Bagging!F12,""))</f>
        <v/>
      </c>
      <c r="BA4" s="20" t="str">
        <f>IF(D4="","",IF(AND(VLOOKUP(CONCATENATE('Tube Cutting'!D12,'Tube Cutting'!E12),TrackManufacturing,2,FALSE)="Streamline White",(Bagging!E12="Double Face Fix Brackets")),Bagging!F12,""))</f>
        <v/>
      </c>
      <c r="BB4" s="20" t="str">
        <f>IF(D4="","",IF(AND(VLOOKUP(CONCATENATE('Tube Cutting'!D12,'Tube Cutting'!E12),TrackManufacturing,2,FALSE)="Streamline White",(Bagging!E12="Triple Face Fix Brackets")),Bagging!F12,""))</f>
        <v/>
      </c>
      <c r="BC4" s="20" t="str">
        <f>IF(D4="","",IF(AND(VLOOKUP(CONCATENATE('Tube Cutting'!D12,'Tube Cutting'!E12),TrackManufacturing,2,FALSE)="Streamline White",(Bagging!E12="32mm Face Fix Brackets")),Bagging!F12,""))</f>
        <v/>
      </c>
      <c r="BD4" s="20" t="str">
        <f>IF(J4="","",IF(AND(VLOOKUP(CONCATENATE('Tube Cutting'!D12,'Tube Cutting'!E12),TrackManufacturing,2,FALSE)="Streamline Matt Black Ink",(Bagging!M12="Nylon Top Fix Brackets")),VLOOKUP('Job Sheet'!L12,Brackets,2,TRUE),""))</f>
        <v/>
      </c>
      <c r="BE4" s="20" t="str">
        <f>IF(D4="","",IF(AND(VLOOKUP(CONCATENATE('Tube Cutting'!D12,'Tube Cutting'!E12),TrackManufacturing,2,FALSE)="Streamline Matt Black Ink",(Bagging!E12="Top Fix Brackets")),Bagging!F12,""))</f>
        <v/>
      </c>
      <c r="BF4" s="20" t="str">
        <f>IF(D4="","",IF(AND(VLOOKUP(CONCATENATE('Tube Cutting'!D12,'Tube Cutting'!E12),TrackManufacturing,2,FALSE)="Streamline Matt Black Ink",(Bagging!E12="Single Face Fix Brackets")),Bagging!F12,""))</f>
        <v/>
      </c>
      <c r="BG4" s="20" t="str">
        <f>IF(D4="","",IF(AND(VLOOKUP(CONCATENATE('Tube Cutting'!D12,'Tube Cutting'!E12),TrackManufacturing,2,FALSE)="Streamline Matt Black Ink",(Bagging!E12="Double Face Fix Brackets")),Bagging!F12,""))</f>
        <v/>
      </c>
      <c r="BH4" s="20" t="str">
        <f>IF(D4="","",IF(AND(VLOOKUP(CONCATENATE('Tube Cutting'!D12,'Tube Cutting'!E12),TrackManufacturing,2,FALSE)="Streamline Matt Black Ink",(Bagging!E12="Triple Face Fix Brackets")),Bagging!F12,""))</f>
        <v/>
      </c>
      <c r="BI4" s="20" t="str">
        <f>IF(D4="","",IF(AND(VLOOKUP(CONCATENATE('Tube Cutting'!D12,'Tube Cutting'!E12),TrackManufacturing,2,FALSE)="Streamline Matt Black Ink",(Bagging!E12="32mm Face Fix Brackets")),Bagging!F12,""))</f>
        <v/>
      </c>
      <c r="BJ4" s="20" t="str">
        <f>IF(D4="","",IF(AND(VLOOKUP(CONCATENATE('Tube Cutting'!D12,'Tube Cutting'!E12),TrackManufacturing,2,FALSE)="Streamline Birch White",(Bagging!P12="Nylon Top Fix Brackets")),VLOOKUP('Job Sheet'!Q12,Brackets,2,TRUE),""))</f>
        <v/>
      </c>
      <c r="BK4" s="20" t="str">
        <f>IF(D4="","",IF(AND(VLOOKUP(CONCATENATE('Tube Cutting'!D12,'Tube Cutting'!E12),TrackManufacturing,2,FALSE)="Streamline Birch White",(Bagging!E12="Top Fix Brackets")),Bagging!F12,""))</f>
        <v/>
      </c>
      <c r="BL4" s="20" t="str">
        <f>IF(D4="","",IF(AND(VLOOKUP(CONCATENATE('Tube Cutting'!D12,'Tube Cutting'!E12),TrackManufacturing,2,FALSE)="Streamline Birch White",(Bagging!E12="Single Face Fix Brackets")),Bagging!F12,""))</f>
        <v/>
      </c>
      <c r="BM4" s="20" t="str">
        <f>IF(D4="","",IF(AND(VLOOKUP(CONCATENATE('Tube Cutting'!D12,'Tube Cutting'!E12),TrackManufacturing,2,FALSE)="Streamline Birch White",(Bagging!E12="Double Face Fix Brackets")),Bagging!F12,""))</f>
        <v/>
      </c>
      <c r="BN4" s="20" t="str">
        <f>IF(D4="","",IF(AND(VLOOKUP(CONCATENATE('Tube Cutting'!D12,'Tube Cutting'!E12),TrackManufacturing,2,FALSE)="Streamline Birch White",(Bagging!E12="Triple Face Fix Brackets")),Bagging!F12,""))</f>
        <v/>
      </c>
      <c r="BO4" s="20" t="str">
        <f>IF(D4="","",IF(AND(VLOOKUP(CONCATENATE('Tube Cutting'!D12,'Tube Cutting'!E12),TrackManufacturing,2,FALSE)="Streamline Birch White",(Bagging!E12="32mm Face Fix Brackets")),Bagging!F12,""))</f>
        <v/>
      </c>
      <c r="BP4" s="20" t="str">
        <f>IF(D4="","",IF(AND(VLOOKUP(CONCATENATE('Tube Cutting'!D12,'Tube Cutting'!E12),TrackManufacturing,2,FALSE)="Streamline Matt Satin",(Bagging!E12="Top Fix Brackets")),Bagging!F12,""))</f>
        <v/>
      </c>
      <c r="BQ4" s="20" t="str">
        <f>IF(K4="","",IF(AND(VLOOKUP(CONCATENATE('Tube Cutting'!J12,'Tube Cutting'!K12),TrackManufacturing,2,FALSE)="Streamline Matt Satin",(Bagging!K12="Top Fix Brackets")),Bagging!L12,""))</f>
        <v/>
      </c>
      <c r="BR4" s="20" t="str">
        <f>IF(K4="","",IF(AND(VLOOKUP(CONCATENATE('Tube Cutting'!J12,'Tube Cutting'!K12),TrackManufacturing,2,FALSE)="Streamline Matt Satin",(Bagging!K12="Single Face Fix Brackets")),Bagging!L12,""))</f>
        <v/>
      </c>
      <c r="BS4" s="20" t="str">
        <f>IF(D4="","",IF(AND(VLOOKUP(CONCATENATE('Tube Cutting'!D12,'Tube Cutting'!E12),TrackManufacturing,2,FALSE)="Streamline Matt Satin",(Bagging!E12="Double Face Fix Brackets")),Bagging!F12,""))</f>
        <v/>
      </c>
      <c r="BT4" s="20" t="str">
        <f>IF(D4="","",IF(AND(VLOOKUP(CONCATENATE('Tube Cutting'!D12,'Tube Cutting'!E12),TrackManufacturing,2,FALSE)="Streamline Matt Satin",(Bagging!E12="Triple Face Fix Brackets")),Bagging!F12,""))</f>
        <v/>
      </c>
      <c r="BU4" s="20" t="str">
        <f>IF(D4="","",IF(AND(VLOOKUP(CONCATENATE('Tube Cutting'!D12,'Tube Cutting'!E12),TrackManufacturing,2,FALSE)="Streamline Matt Satin",(Bagging!E12="32mm Face Fix Brackets")),Bagging!F12,""))</f>
        <v/>
      </c>
      <c r="BV4" s="20" t="str">
        <f t="shared" si="0" ref="BV4:BV12">AL4</f>
        <v/>
      </c>
      <c r="BW4" s="20" t="str">
        <f>IF(D4="","",IF(AND(VLOOKUP(CONCATENATE('Tube Cutting'!D12,'Tube Cutting'!E12),TrackManufacturing,2,FALSE)="White",Bagging!E12="Single Face Fix Brackets"),Bagging!F12,""))</f>
        <v/>
      </c>
      <c r="BX4" s="20" t="str">
        <f>IF(AND('Tube Cutting'!E12="White",Bagging!E12="Double Face Fix Brackets"),Bagging!F12,"")</f>
        <v/>
      </c>
      <c r="BY4" s="20" t="str">
        <f>IF(AND('Tube Cutting'!E12="White",Bagging!E12="Triple Face Fix Brackets"),Bagging!F12,"")</f>
        <v/>
      </c>
      <c r="BZ4" s="20" t="str">
        <f t="shared" si="1" ref="BZ4:BZ12">AP4</f>
        <v/>
      </c>
      <c r="CA4" s="20" t="str">
        <f>IF(AND('Tube Cutting'!E12="Matt Black Ink",Bagging!E12="Single Face Fix Brackets"),Bagging!F12,"")</f>
        <v/>
      </c>
      <c r="CB4" s="20" t="str">
        <f>IF(AND('Tube Cutting'!E12="Matt Black Ink",Bagging!E12="Double Face Fix Brackets"),Bagging!F12,"")</f>
        <v/>
      </c>
      <c r="CC4" s="20" t="str">
        <f>IF(AND('Tube Cutting'!E12="Matt Black Ink",Bagging!E12="Triple Fix Brackets"),Bagging!F12,"")</f>
        <v/>
      </c>
      <c r="CD4" s="20" t="str">
        <f>IF(AND('Tube Cutting'!E12="Matt Satin",Bagging!E12="Top Fix Brackets"),Bagging!F12,"")</f>
        <v/>
      </c>
      <c r="CE4" s="20" t="str">
        <f>IF(AND('Tube Cutting'!E12="Matt Satin",Bagging!E12="Single Face Fix Brackets"),Bagging!F12,"")</f>
        <v/>
      </c>
      <c r="CF4" s="20" t="str">
        <f>IF(AND('Tube Cutting'!E12="Matt Satin",Bagging!E12="Double Face Fix Brackets"),Bagging!F12,"")</f>
        <v/>
      </c>
      <c r="CG4" s="20" t="str">
        <f>IF(AND('Tube Cutting'!E12="Matt Satin",Bagging!E12="Triple Fix Brackets"),Bagging!F12,"")</f>
        <v/>
      </c>
      <c r="CH4" s="20" t="str">
        <f>IF(D4="","",IF(AND('Tube Cutting'!E12="White",(OR(Bagging!L12="Single Left",Bagging!L12="Single Left &amp; Right"))),"1",""))</f>
        <v/>
      </c>
      <c r="CI4" s="20" t="str">
        <f>IF(D4="","",IF(AND('Tube Cutting'!E12="Matt Black Ink",(OR(Bagging!L12="Single Left",Bagging!L12="Single Left &amp; Right"))),"1",""))</f>
        <v/>
      </c>
      <c r="CJ4" s="20" t="str">
        <f>IF(D4="","",IF(AND('Tube Cutting'!E12="Matt Satin",(OR(Bagging!L12="Single Left",Bagging!L12="Single Left &amp; Right"))),"1",""))</f>
        <v/>
      </c>
      <c r="CK4" s="20" t="str">
        <f>IF(D4="","",IF(AND('Tube Cutting'!E12="White",(OR(Bagging!L12="Single Right",Bagging!L12="Single Left &amp; Right"))),"1",""))</f>
        <v/>
      </c>
      <c r="CL4" s="20" t="str">
        <f>IF(D4="","",IF(AND('Tube Cutting'!E12="Matt Black Ink",(OR(Bagging!L12="Single Right",Bagging!L12="Single Left &amp; Right"))),"1",""))</f>
        <v/>
      </c>
      <c r="CM4" s="20" t="str">
        <f>IF(D4="","",IF(AND('Tube Cutting'!E12="Matt Satin",(OR(Bagging!L12="Single Right",Bagging!L12="Single Left &amp; Right"))),"1",""))</f>
        <v/>
      </c>
      <c r="CN4" s="20" t="str">
        <f>IF(D4="","",IF(AND('Tube Cutting'!E12="White",(OR(Bagging!L12="Double Left",Bagging!L12="Double Left &amp; Right"))),"1",""))</f>
        <v/>
      </c>
      <c r="CO4" s="20" t="str">
        <f>IF(D4="","",IF(AND('Tube Cutting'!E12="Matt Black Ink",(OR(Bagging!L12="Double Left",Bagging!L12="Double Left &amp; Right"))),"1",""))</f>
        <v/>
      </c>
      <c r="CP4" s="20" t="str">
        <f>IF(D4="","",IF(AND('Tube Cutting'!E12="Matt Satin",(OR(Bagging!L12="Double Left",Bagging!L12="Double Left &amp; Right"))),"1",""))</f>
        <v/>
      </c>
      <c r="CQ4" s="20" t="str">
        <f>IF(D4="","",IF(AND('Tube Cutting'!E12="White",(OR(Bagging!L12="Double Right",Bagging!L12="Double Left &amp; Right"))),"1",""))</f>
        <v/>
      </c>
      <c r="CR4" s="20" t="str">
        <f>IF(D4="","",IF(AND('Tube Cutting'!E12="Matt Black Ink",(OR(Bagging!L12="Double Right",Bagging!L12="Double Left &amp; Right"))),"1",""))</f>
        <v/>
      </c>
      <c r="CS4" s="20" t="str">
        <f>IF(D4="","",IF(AND('Tube Cutting'!E12="Matt Satin",(OR(Bagging!L12="Double Right",Bagging!L12="Double Left &amp; Right"))),"1",""))</f>
        <v/>
      </c>
      <c r="CT4" s="20" t="str">
        <f>IF(D4="","",IF(VLOOKUP(CONCATENATE('Tube Cutting'!D12,'Tube Cutting'!E12),TrackManufacturing,2,FALSE)="Streamline White",1,""))</f>
        <v/>
      </c>
      <c r="CU4" s="20" t="str">
        <f>IF(D4="","",IF(VLOOKUP(CONCATENATE('Tube Cutting'!D12,'Tube Cutting'!E12),TrackManufacturing,2,FALSE)="Streamline Matt Black Ink",1,""))</f>
        <v/>
      </c>
      <c r="CV4" s="20" t="str">
        <f>IF(D4="","",IF(VLOOKUP(CONCATENATE('Tube Cutting'!D12,'Tube Cutting'!E12),TrackManufacturing,2,FALSE)="Streamline Birch White",1,""))</f>
        <v/>
      </c>
      <c r="CW4" s="20" t="str">
        <f>IF(D4="","",IF(VLOOKUP(CONCATENATE('Tube Cutting'!D12,'Tube Cutting'!E12),TrackManufacturing,2,FALSE)="Streamline Matt Satin",1,""))</f>
        <v/>
      </c>
      <c r="CX4" s="20" t="str">
        <f>IF(D4="","",IF(AND(VLOOKUP(CONCATENATE('Tube Cutting'!D12,'Tube Cutting'!E12),TrackManufacturing,2,FALSE)="Streamline White",(OR(Assembly!F12="Centre Opening",Assembly!F12="Centre Opening - Free Flowing",Assembly!F12="Centre Opening (Offset)",Assembly!F12="Centre Opening - Free Flowing (Offset)"))),1,""))</f>
        <v/>
      </c>
      <c r="CY4" s="20" t="str">
        <f>IF(D4="","",IF(AND(VLOOKUP(CONCATENATE('Tube Cutting'!D12,'Tube Cutting'!E12),TrackManufacturing,2,FALSE)="Streamline Matt Black Ink",(OR(Assembly!F12="Centre Opening",Assembly!F12="Centre Opening - Free Flowing",Assembly!F12="Centre Opening (Offset)",Assembly!F12="Centre Opening - Free Flowing (Offset)"))),1,""))</f>
        <v/>
      </c>
      <c r="CZ4" s="20" t="str">
        <f>IF(D4="","",IF(AND(VLOOKUP(CONCATENATE('Tube Cutting'!D12,'Tube Cutting'!E12),TrackManufacturing,2,FALSE)="Streamline Birch White",(OR(Assembly!F12="Centre Opening",Assembly!F12="Centre Opening - Free Flowing",Assembly!F12="Centre Opening (Offset)",Assembly!F12="Centre Opening - Free Flowing (Offset)"))),1,""))</f>
        <v/>
      </c>
      <c r="DA4" s="20" t="str">
        <f>IF(D4="","",IF(AND(VLOOKUP(CONCATENATE('Tube Cutting'!D12,'Tube Cutting'!E12),TrackManufacturing,2,FALSE)="Streamline Matt Satin",(OR(Assembly!F12="Centre Opening",Assembly!F12="Centre Opening - Free Flowing",Assembly!F12="Centre Opening (Offset)",Assembly!F12="Centre Opening - Free Flowing (Offset)"))),1,""))</f>
        <v/>
      </c>
      <c r="DB4" s="20" t="str">
        <f>IF(OR('Job Sheet'!H12="Conduit",'Job Sheet'!H12="Conduit x 2",I4&lt;&gt;"DBS to Make"),"",IF(VLOOKUP(CONCATENATE(Assembly!C12,Assembly!F12),PulleysEndCaps,2,FALSE)="","",IF('Tube Cutting'!E12="White",VLOOKUP(CONCATENATE(Assembly!C12,Assembly!F12),PulleysEndCaps,2,FALSE),"")))</f>
        <v/>
      </c>
      <c r="DC4" s="20" t="str">
        <f>IF(OR('Job Sheet'!H12="Conduit",'Job Sheet'!H12="Conduit x 2",I4&lt;&gt;"DBS to Make"),"",IF(VLOOKUP(CONCATENATE(Assembly!C12,Assembly!F12),PulleysEndCaps,2,FALSE)="","",IF('Tube Cutting'!E12="Matt Black Ink",VLOOKUP(CONCATENATE(Assembly!C12,Assembly!F12),PulleysEndCaps,2,FALSE),"")))</f>
        <v/>
      </c>
      <c r="DD4" s="20" t="str">
        <f>IF(OR('Job Sheet'!H12="Conduit",'Job Sheet'!H12="Conduit x 2",I4&lt;&gt;"DBS to Make"),"",IF(VLOOKUP(CONCATENATE(Assembly!C12,Assembly!F12),PulleysEndCaps,2,FALSE)="","",IF('Tube Cutting'!E12="Matt Satin",VLOOKUP(CONCATENATE(Assembly!C12,Assembly!F12),PulleysEndCaps,2,FALSE),"")))</f>
        <v/>
      </c>
      <c r="DE4" s="20" t="str">
        <f>IF(OR('Job Sheet'!H12="Conduit",'Job Sheet'!H12="Conduit x 2",I4&lt;&gt;"DBS to Make"),"",IF(VLOOKUP(CONCATENATE(Assembly!C12,Assembly!F12),PulleysEndCaps,3,FALSE)="","",IF('Tube Cutting'!E12="White",VLOOKUP(CONCATENATE(Assembly!C12,Assembly!F12),PulleysEndCaps,3,FALSE),"")))</f>
        <v/>
      </c>
      <c r="DF4" s="20" t="str">
        <f>IF(OR('Job Sheet'!H12="Conduit",'Job Sheet'!H12="Conduit x 2",I4&lt;&gt;"DBS to Make"),"",IF(VLOOKUP(CONCATENATE(Assembly!C12,Assembly!F12),PulleysEndCaps,3,FALSE)="","",IF('Tube Cutting'!E12="Matt Black Ink",VLOOKUP(CONCATENATE(Assembly!C12,Assembly!F12),PulleysEndCaps,3,FALSE),"")))</f>
        <v/>
      </c>
      <c r="DG4" s="20" t="str">
        <f>IF(OR('Job Sheet'!H12="Conduit",'Job Sheet'!H12="Conduit x 2",I4&lt;&gt;"DBS to Make"),"",IF(VLOOKUP(CONCATENATE(Assembly!C12,Assembly!F12),PulleysEndCaps,3,FALSE)="","",IF('Tube Cutting'!E12="Matt Satin",VLOOKUP(CONCATENATE(Assembly!C12,Assembly!F12),PulleysEndCaps,3,FALSE),"")))</f>
        <v/>
      </c>
      <c r="DH4" s="20" t="str">
        <f>IF(OR('Job Sheet'!H12="Conduit",'Job Sheet'!H12="Conduit x 2",I4&lt;&gt;"DBS to Make"),"",IF(VLOOKUP(CONCATENATE(Assembly!C12,Assembly!F12),PulleysEndCaps,6,FALSE)="","",IF('Tube Cutting'!E12="White",VLOOKUP(CONCATENATE(Assembly!C12,Assembly!F12),PulleysEndCaps,6,FALSE),"")))</f>
        <v/>
      </c>
      <c r="DI4" s="20" t="str">
        <f>IF(OR('Job Sheet'!H12="Conduit",'Job Sheet'!H12="Conduit x 2",I4&lt;&gt;"DBS to Make"),"",IF(VLOOKUP(CONCATENATE(Assembly!C12,Assembly!F12),PulleysEndCaps,6,FALSE)="","",IF('Tube Cutting'!E12="Matt Black Ink",VLOOKUP(CONCATENATE(Assembly!C12,Assembly!F12),PulleysEndCaps,6,FALSE),"")))</f>
        <v/>
      </c>
      <c r="DJ4" s="20" t="str">
        <f>IF(OR('Job Sheet'!H12="Conduit",'Job Sheet'!H12="Conduit x 2",I4&lt;&gt;"DBS to Make"),"",IF(VLOOKUP(CONCATENATE(Assembly!C12,Assembly!F12),PulleysEndCaps,6,FALSE)="","",IF('Tube Cutting'!E12="Birch White",VLOOKUP(CONCATENATE(Assembly!C12,Assembly!F12),PulleysEndCaps,6,FALSE),"")))</f>
        <v/>
      </c>
      <c r="DK4" s="20" t="str">
        <f>IF(OR('Job Sheet'!H12="Conduit",'Job Sheet'!H12="Conduit x 2",I4&lt;&gt;"DBS to Make"),"",IF(VLOOKUP(CONCATENATE(Assembly!C12,Assembly!F12),PulleysEndCaps,6,FALSE)="","",IF('Tube Cutting'!E12="Matt Satin",VLOOKUP(CONCATENATE(Assembly!C12,Assembly!F12),PulleysEndCaps,6,FALSE),"")))</f>
        <v/>
      </c>
      <c r="DL4" s="20" t="str">
        <f>IF(OR('Job Sheet'!H12="Conduit",'Job Sheet'!H12="Conduit x 2",I4&lt;&gt;"DBS to Make"),"",IF(VLOOKUP(CONCATENATE(Assembly!C12,Assembly!F12),PulleysEndCaps,4,FALSE)="","",VLOOKUP(CONCATENATE(Assembly!C12,Assembly!F12),PulleysEndCaps,4,FALSE)))</f>
        <v/>
      </c>
      <c r="DM4" s="20" t="str">
        <f>IF(OR('Job Sheet'!H12="Conduit",'Job Sheet'!H12="Conduit x 2",I4&lt;&gt;"DBS to Make"),"",IF(VLOOKUP(CONCATENATE(Assembly!C12,Assembly!F12),PulleysEndCaps,7,FALSE)="","",VLOOKUP(CONCATENATE(Assembly!C12,Assembly!F12),PulleysEndCaps,7,FALSE)))</f>
        <v/>
      </c>
      <c r="DN4" s="20" t="str">
        <f>IF(D4="","",IF(AND(OR(VLOOKUP(CONCATENATE('Tube Cutting'!D12,'Tube Cutting'!E12),TrackManufacturing,2,FALSE)="Wavefold White",VLOOKUP(CONCATENATE('Tube Cutting'!D12,'Tube Cutting'!E12),TrackManufacturing,2,FALSE)="Wavefold Black",VLOOKUP(CONCATENATE('Tube Cutting'!D12,'Tube Cutting'!E12),TrackManufacturing,2,FALSE)="Wavefold Matt Satin",VLOOKUP(CONCATENATE('Tube Cutting'!D12,'Tube Cutting'!E12),TrackManufacturing,2,FALSE)="System 20 White",VLOOKUP(CONCATENATE('Tube Cutting'!D12,'Tube Cutting'!E12),TrackManufacturing,2,FALSE)="System 20 Black",VLOOKUP(CONCATENATE('Tube Cutting'!D12,'Tube Cutting'!E12),TrackManufacturing,2,FALSE)="System 20 Matt Satin"),'Tube Cutting'!C12&gt;6000),1,""))</f>
        <v/>
      </c>
      <c r="DO4" s="20" t="str">
        <f>IF(D4="","",IF(AND(OR(VLOOKUP(CONCATENATE('Tube Cutting'!D12,'Tube Cutting'!E12),TrackManufacturing,2,FALSE)="Streamline White",VLOOKUP(CONCATENATE('Tube Cutting'!D12,'Tube Cutting'!E12),TrackManufacturing,2,FALSE)="Streamline Black",VLOOKUP(CONCATENATE('Tube Cutting'!D12,'Tube Cutting'!E12),TrackManufacturing,2,FALSE)="Streamline Birch White",VLOOKUP(CONCATENATE('Tube Cutting'!D12,'Tube Cutting'!E12),TrackManufacturing,2,FALSE)="Streamline Matt Satin"),'Tube Cutting'!C12&gt;6000),1,""))</f>
        <v/>
      </c>
      <c r="DP4" s="20" t="str">
        <f>IF(OR('Job Sheet'!H12="Conduit",'Job Sheet'!H12="Conduit x 2",I4&lt;&gt;"DBS to Make"),"",IF(VLOOKUP(CONCATENATE(Assembly!C12,Assembly!F12),PulleysEndCaps,5,FALSE)="","",IF('Tube Cutting'!E12="White",VLOOKUP(CONCATENATE(Assembly!C12,Assembly!F12),PulleysEndCaps,5,FALSE),"")))</f>
        <v/>
      </c>
      <c r="DQ4" s="20" t="str">
        <f>IF(OR('Job Sheet'!H12="Conduit",'Job Sheet'!H12="Conduit x 2",I4&lt;&gt;"DBS to Make"),"",IF(VLOOKUP(CONCATENATE(Assembly!C12,Assembly!F12),PulleysEndCaps,5,FALSE)="","",IF('Tube Cutting'!E12="Matt Black Ink",VLOOKUP(CONCATENATE(Assembly!C12,Assembly!F12),PulleysEndCaps,5,FALSE),"")))</f>
        <v/>
      </c>
      <c r="DR4" s="20" t="str">
        <f>IF(OR('Job Sheet'!H12="Conduit",'Job Sheet'!H12="Conduit x 2",I4&lt;&gt;"DBS to Make"),"",IF(VLOOKUP(CONCATENATE(Assembly!C12,Assembly!F12),PulleysEndCaps,5,FALSE)="","",IF('Tube Cutting'!E12="Matt Satin",VLOOKUP(CONCATENATE(Assembly!C12,Assembly!F12),PulleysEndCaps,5,FALSE),"")))</f>
        <v/>
      </c>
      <c r="DS4" s="20" t="str">
        <f>IF(OR('Job Sheet'!H12="Conduit",'Job Sheet'!H12="Conduit x 2",I4&lt;&gt;"DBS to Make"),"",IF(VLOOKUP(CONCATENATE(Assembly!C12,Assembly!F12),PulleysEndCaps,5,FALSE)="","",IF('Tube Cutting'!E12="Matt Satin",VLOOKUP(CONCATENATE(Assembly!C12,Assembly!F12),PulleysEndCaps,5,FALSE),"")))</f>
        <v/>
      </c>
      <c r="DT4" s="20" t="str">
        <f>IF(OR('Job Sheet'!H12="Conduit",'Job Sheet'!H12="Conduit x 2",I4&lt;&gt;"DBS to Make"),"",IF(VLOOKUP(CONCATENATE(Assembly!C12,Assembly!F12),PulleysEndCaps,8,FALSE)="","",IF('Tube Cutting'!E12="Matt Black Ink",VLOOKUP(CONCATENATE(Assembly!C12,Assembly!F12),PulleysEndCaps,8,FALSE),"")))</f>
        <v/>
      </c>
      <c r="DU4" s="20" t="str">
        <f>IF(OR('Job Sheet'!H12="Conduit",'Job Sheet'!H12="Conduit x 2",I4&lt;&gt;"DBS to Make"),"",IF(VLOOKUP(CONCATENATE(Assembly!C12,Assembly!F12),PulleysEndCaps,8,FALSE)="","",IF('Tube Cutting'!E12="Birch White",VLOOKUP(CONCATENATE(Assembly!C12,Assembly!F12),PulleysEndCaps,8,FALSE),"")))</f>
        <v/>
      </c>
      <c r="DV4" s="20" t="str">
        <f>IF(OR('Job Sheet'!H12="Conduit",'Job Sheet'!H12="Conduit x 2",I4&lt;&gt;"DBS to Make"),"",IF(VLOOKUP(CONCATENATE(Assembly!C12,Assembly!F12),PulleysEndCaps,8,FALSE)="","",IF('Tube Cutting'!E12="Matt Satin",VLOOKUP(CONCATENATE(Assembly!C12,Assembly!F12),PulleysEndCaps,8,FALSE),"")))</f>
        <v/>
      </c>
      <c r="DW4" s="20" t="str">
        <f>IF(D4="","",IF(AND(AND(Assembly!C12="Wavefold Cord Operation",'Tube Cutting'!E12="White",'Tube Cutting'!E12),(OR(Assembly!F12="Centre Opening",Assembly!F12="Centre Opening - Free Flowing",Assembly!F12="Centre Opening (Offset)",Assembly!F12="Centre Opening - Free Flowing (Offset)"))),2,IF(AND(AND(Assembly!C12="Wavefold Cord Operation",'Tube Cutting'!E12="White",'Tube Cutting'!E12),(OR(Assembly!F12="Single Panel - Left Stacking",Assembly!F12="Single Panel - Right Stacking",Assembly!F12="Single Panel - Free Flowing"))),1,"")))</f>
        <v/>
      </c>
      <c r="DX4" s="20" t="str">
        <f>IF(D4="","",IF(AND(AND(Assembly!C12="Wavefold Cord Operation",'Tube Cutting'!E12="Matt Black Ink",'Tube Cutting'!E12),(OR(Assembly!F12="Centre Opening",Assembly!F12="Centre Opening - Free Flowing",Assembly!F12="Centre Opening (Offset)",Assembly!F12="Centre Opening - Free Flowing (Offset)"))),2,IF(AND(AND(Assembly!C12="Wavefold Cord Operation",'Tube Cutting'!E12="Matt Black Ink",'Tube Cutting'!E12),(OR(Assembly!F12="Single Panel - Left Stacking",Assembly!F12="Single Panel - Right Stacking",Assembly!F12="Single Panel - Free Flowing"))),1,"")))</f>
        <v/>
      </c>
      <c r="DY4" s="20" t="str">
        <f>IF(D4="","",IF(AND(Assembly!C12="Wavefold Hand Operation",'Tube Cutting'!E12="White"),Bagging!J12,""))</f>
        <v/>
      </c>
      <c r="DZ4" s="20" t="str">
        <f>IF(D4="","",IF(AND(Assembly!C12="Wavefold Hand Operation",(OR('Tube Cutting'!E12="White",'Tube Cutting'!E12="White"))),Bagging!J12,""))</f>
        <v/>
      </c>
      <c r="EA4" s="20" t="str">
        <f>IF(OR(D4="",'Job Sheet'!U12="Straight"),"",VLOOKUP(CONCATENATE('Job Sheet'!U12,'Job Sheet'!L12),CornerBlocks,2,FALSE))</f>
        <v/>
      </c>
      <c r="EB4" s="20" t="str">
        <f>IF(D4="","",IF(OR('Tube Cutting'!D12="Streamline Cord Operation",'Tube Cutting'!D12="Wavefold Cord Operation"),1,""))</f>
        <v/>
      </c>
      <c r="EC4" s="20" t="str">
        <f>IF(D4="","",IF(VLOOKUP(CONCATENATE('Tube Cutting'!D12,'Tube Cutting'!E12),TrackManufacturing,2,FALSE)="System 20 White",1,""))</f>
        <v/>
      </c>
      <c r="ED4" s="20" t="str">
        <f>IF(D4="","",IF(VLOOKUP(CONCATENATE('Tube Cutting'!D12,'Tube Cutting'!E12),TrackManufacturing,2,FALSE)="System 20 Black",1,""))</f>
        <v/>
      </c>
      <c r="EE4" s="20" t="str">
        <f>IF(D4="","",IF(AND(VLOOKUP(CONCATENATE('Tube Cutting'!D12,'Tube Cutting'!E12),TrackManufacturing,2,FALSE)="System 20 White",(OR(Assembly!F12="Centre Opening",Assembly!F12="Centre Opening - Free Flowing",Assembly!F12="Centre Opening (Offset)",Assembly!F12="Centre Opening - Free Flowing (Offset)"))),1,""))</f>
        <v/>
      </c>
      <c r="EF4" s="20" t="str">
        <f>IF(D4="","",IF(AND(VLOOKUP(CONCATENATE('Tube Cutting'!D12,'Tube Cutting'!E12),TrackManufacturing,2,FALSE)="System 20 Black",(OR(Assembly!F12="Centre Opening",Assembly!F12="Centre Opening - Free Flowing",Assembly!F12="Centre Opening (Offset)",Assembly!F12="Centre Opening - Free Flowing (Offset)"))),1,""))</f>
        <v/>
      </c>
      <c r="EG4" s="126" t="str">
        <f>IF(D4="","",IF(OR(VLOOKUP(CONCATENATE('Tube Cutting'!D12,'Tube Cutting'!E12),TrackManufacturing,2,FALSE)="System 20 White",VLOOKUP(CONCATENATE('Tube Cutting'!D12,'Tube Cutting'!E12),TrackManufacturing,2,FALSE)="System 20 Black",VLOOKUP(CONCATENATE('Tube Cutting'!D12,'Tube Cutting'!E12),TrackManufacturing,2,FALSE)="System 20 Matt Black Ink"),Assembly!I12,IF('Tube Cutting'!D12="SEM Streamline Hand Operation",9,"")))</f>
        <v/>
      </c>
      <c r="EH4" s="20" t="str">
        <f>IF('Tube Cutting'!D12="Conduit",'Tube Cutting'!C12,"")</f>
        <v/>
      </c>
      <c r="EI4" s="20" t="str">
        <f>IF(Bagging!E12="Muslin Brackets",2,IF(Bagging!E12="Muslin Brackets Top and Bottom",4,""))</f>
        <v/>
      </c>
      <c r="EJ4" s="20" t="str">
        <f>IF(Bagging!E12="100mm Unstayed Brackets with Acorns",2,"")</f>
        <v/>
      </c>
      <c r="EK4" s="20" t="str">
        <f>IF(Bagging!E12="25mm Brackets with Acorns",2,"")</f>
        <v/>
      </c>
      <c r="EL4" s="20" t="str">
        <f>IF(OR(Bagging!E12="25mm Brackets with Acorns",Bagging!E12="100mm Unstayed Brackets with Acorns"),2,"")</f>
        <v/>
      </c>
      <c r="FI4" s="20"/>
      <c r="FJ4" s="20"/>
    </row>
    <row r="5" spans="4:166" ht="13.2" customHeight="1">
      <c r="D5" s="20" t="str">
        <f>IF(Data!AW13="","",CONCATENATE(Data!BC$5,".",Data!BD$5))</f>
        <v/>
      </c>
      <c r="E5" s="20" t="str">
        <f>IF(D5="","",Data!AW13)</f>
        <v/>
      </c>
      <c r="F5" s="20" t="str">
        <f>IF(D5="","",Data!AV13)</f>
        <v/>
      </c>
      <c r="G5" s="20" t="str">
        <f>IF(D5="","",Data!BF$5)</f>
        <v/>
      </c>
      <c r="H5" s="20" t="str">
        <f>IF(D5="","",Data!AX$5)</f>
        <v/>
      </c>
      <c r="I5" s="20" t="str">
        <f>IF(D5="","",'Job Sheet'!AI13)</f>
        <v/>
      </c>
      <c r="J5" s="20" t="str">
        <f>IF(D5="","",IF(OR(VLOOKUP(CONCATENATE('Tube Cutting'!D13,'Tube Cutting'!E13),TrackManufacturing,2,FALSE)="Wavefold White",VLOOKUP(CONCATENATE('Tube Cutting'!D13,'Tube Cutting'!E13),TrackManufacturing,2,FALSE)="Wavefold Black",VLOOKUP(CONCATENATE('Tube Cutting'!D13,'Tube Cutting'!E13),TrackManufacturing,2,FALSE)="Wavefold Matt Satin"),('Job Sheet'!G13*2)/1000,""))</f>
        <v/>
      </c>
      <c r="K5" s="126" t="str">
        <f>IF(D5="","",IF(OR(VLOOKUP(CONCATENATE('Tube Cutting'!D13,'Tube Cutting'!E13),TrackManufacturing,2,FALSE)="Wavefold White",VLOOKUP(CONCATENATE('Tube Cutting'!D13,'Tube Cutting'!E13),TrackManufacturing,2,FALSE)="Wavefold Matt Satin"),J5*10,""))</f>
        <v/>
      </c>
      <c r="L5" s="126" t="str">
        <f>IF(D5="","",IF(VLOOKUP(CONCATENATE('Tube Cutting'!D13,'Tube Cutting'!E13),TrackManufacturing,2,FALSE)="Wavefold Black",J5*10,""))</f>
        <v/>
      </c>
      <c r="M5" s="127" t="str">
        <f>IF(D5="","",IF(OR(VLOOKUP(CONCATENATE('Tube Cutting'!D13,'Tube Cutting'!E13),TrackManufacturing,2,FALSE)="Wavefold White",VLOOKUP(CONCATENATE('Tube Cutting'!D13,'Tube Cutting'!E13),TrackManufacturing,2,FALSE)="System 20 White"),'Tube Cutting'!C13/1000,""))</f>
        <v/>
      </c>
      <c r="N5" s="127" t="str">
        <f>IF(D5="","",IF(VLOOKUP(CONCATENATE('Tube Cutting'!D13,'Tube Cutting'!E13),TrackManufacturing,2,FALSE)="Wavefold Black",'Tube Cutting'!C13/1000,""))</f>
        <v/>
      </c>
      <c r="O5" s="127" t="str">
        <f>IF(D5="","",IF(OR(VLOOKUP(CONCATENATE('Tube Cutting'!D13,'Tube Cutting'!E13),TrackManufacturing,2,FALSE)="Wavefold Matt Satin",VLOOKUP(CONCATENATE('Tube Cutting'!D13,'Tube Cutting'!E13),TrackManufacturing,2,FALSE)="System 20 Matt Satin"),'Tube Cutting'!C13/1000,""))</f>
        <v/>
      </c>
      <c r="P5" s="126" t="str">
        <f>IF(D5="","",IF(AND((OR('Tube Cutting'!E13="White",'Tube Cutting'!E13="Matt Satin")),(OR('Tube Cutting'!D13="Wavefold Hand Operation",'Tube Cutting'!D13="Wavefold Cord Operation"))),IF(M5="",O5*20,M5*20),""))</f>
        <v/>
      </c>
      <c r="Q5" s="126" t="str">
        <f>IF(D5="","",IF(AND('Tube Cutting'!E13="Matt Black Ink",(OR('Tube Cutting'!D13="Wavefold Hand Operation",'Tube Cutting'!D13="Wavefold Cord Operation"))),N5*20,""))</f>
        <v/>
      </c>
      <c r="R5" s="126" t="str">
        <f>IF(D5="","",IF(OR('Tube Cutting'!D13="Streamline Hand Operation",'Tube Cutting'!D13="Streamline Cord Operation"),Assembly!I13,""))</f>
        <v/>
      </c>
      <c r="S5" s="20" t="str">
        <f>IF(D5="","",IF(VLOOKUP(CONCATENATE('Tube Cutting'!D13,'Tube Cutting'!E13),TrackManufacturing,2,FALSE)="Streamline White",'Tube Cutting'!C13/1000,""))</f>
        <v/>
      </c>
      <c r="T5" s="20" t="str">
        <f>IF(D5="","",IF(VLOOKUP(CONCATENATE('Tube Cutting'!D13,'Tube Cutting'!E13),TrackManufacturing,2,FALSE)="Streamline Matt Black Ink",'Tube Cutting'!C13/1000,""))</f>
        <v/>
      </c>
      <c r="U5" s="20" t="str">
        <f>IF(D5="","",IF(VLOOKUP(CONCATENATE('Tube Cutting'!D13,'Tube Cutting'!E13),TrackManufacturing,2,FALSE)="Streamline Birch White",'Tube Cutting'!C13/1000,""))</f>
        <v/>
      </c>
      <c r="V5" s="20" t="str">
        <f>IF(D5="","",IF(VLOOKUP(CONCATENATE('Tube Cutting'!D13,'Tube Cutting'!E13),TrackManufacturing,2,FALSE)="Streamline Matt Satin",'Tube Cutting'!C13/1000,""))</f>
        <v/>
      </c>
      <c r="W5" s="20" t="str">
        <f>IF(I5="Track from TBS","",IF(Bagging!I13="White Aluminium Flick Sticks 100cm",VALUE(Bagging!J13),""))</f>
        <v/>
      </c>
      <c r="X5" s="20" t="str">
        <f>IF(I5="Track from TBS","",IF(Bagging!I13="White Aluminium Flick Sticks 125cm",VALUE(Bagging!J13),""))</f>
        <v/>
      </c>
      <c r="Y5" s="20" t="str">
        <f>IF(I5="Track from TBS","",IF(Bagging!I13="White Aluminium Flick Sticks 150cm",VALUE(Bagging!J13),""))</f>
        <v/>
      </c>
      <c r="Z5" s="20" t="str">
        <f>IF(I5="Track from TBS","",IF(Bagging!I13="Black Aluminium Flick Sticks 100cm",VALUE(Bagging!J13),""))</f>
        <v/>
      </c>
      <c r="AA5" s="20" t="str">
        <f>IF(I5="Track from TBS","",IF(Bagging!I13="Black Aluminium Flick Sticks 125cm",VALUE(Bagging!J13),""))</f>
        <v/>
      </c>
      <c r="AB5" s="20" t="str">
        <f>IF(I5="Track from TBS","",IF(Bagging!I13="Black Aluminium Flick Sticks 150cm",VALUE(Bagging!J13),""))</f>
        <v/>
      </c>
      <c r="AC5" s="20" t="str">
        <f>IF(I5="Track from TBS","",IF(Bagging!I13="Matt Satin Aluminium Flick Sticks 100cm",VALUE(Bagging!J13),""))</f>
        <v/>
      </c>
      <c r="AD5" s="20" t="str">
        <f>IF(I5="Track from TBS","",IF(Bagging!I13="Matt Satin Aluminium Flick Sticks 125cm",VALUE(Bagging!J13),""))</f>
        <v/>
      </c>
      <c r="AE5" s="20" t="str">
        <f>IF(I5="Track from TBS","",IF(Bagging!I13="Matt Satin Aluminium Flick Sticks 150cm",VALUE(Bagging!J13),""))</f>
        <v/>
      </c>
      <c r="AF5" s="20" t="str">
        <f>IF(I5="Track from TBS","",IF(Bagging!I13="Standard Clear 75cm",VALUE(Bagging!J13),""))</f>
        <v/>
      </c>
      <c r="AG5" s="20" t="str">
        <f>IF(I5="Track from TBS","",IF(Bagging!I13="Standard Clear 100cm",VALUE(Bagging!J13),""))</f>
        <v/>
      </c>
      <c r="AH5" s="20" t="str">
        <f>IF(I5="Track from TBS","",IF(Bagging!I13="Standard Clear 125cm",VALUE(Bagging!J13),""))</f>
        <v/>
      </c>
      <c r="AI5" s="20" t="str">
        <f>IF(I5="Track from TBS","",IF(Bagging!I13="Standard Clear 150cm",VALUE(Bagging!J13),""))</f>
        <v/>
      </c>
      <c r="AJ5" s="20" t="str">
        <f>IF(I5="Track from TBS","",IF(Bagging!I13="White Fibreglass 200cm",VALUE(Bagging!J13),""))</f>
        <v/>
      </c>
      <c r="AK5" s="20" t="str">
        <f>IF(I5="Track from TBS","",IF(Bagging!I13="White Fibreglass 250cm",VALUE(Bagging!J13),""))</f>
        <v/>
      </c>
      <c r="AL5" s="20" t="str">
        <f>IF(D5="","",IF(AND(VLOOKUP(CONCATENATE('Tube Cutting'!D13,'Tube Cutting'!E13),TrackManufacturing,2,FALSE)="Wavefold White",(Bagging!E13="Top Fix Brackets")),Bagging!F13,""))</f>
        <v/>
      </c>
      <c r="AM5" s="20" t="str">
        <f>IF(D5="","",IF(AND(VLOOKUP(CONCATENATE('Tube Cutting'!D13,'Tube Cutting'!E13),TrackManufacturing,2,FALSE)="Wavefold White",(Bagging!E13="Single Face Fix Brackets")),Bagging!F13,""))</f>
        <v/>
      </c>
      <c r="AN5" s="20" t="str">
        <f>IF(D5="","",IF(AND(VLOOKUP(CONCATENATE('Tube Cutting'!D13,'Tube Cutting'!E13),TrackManufacturing,2,FALSE)="Wavefold White",(Bagging!E13="Double Face Fix Brackets")),Bagging!F13,""))</f>
        <v/>
      </c>
      <c r="AO5" s="20" t="str">
        <f>IF(D5="","",IF(AND(VLOOKUP(CONCATENATE('Tube Cutting'!D13,'Tube Cutting'!E13),TrackManufacturing,2,FALSE)="Wavefold White",(Bagging!E13="Triple Face Fix Brackets")),Bagging!F13,""))</f>
        <v/>
      </c>
      <c r="AP5" s="20" t="str">
        <f>IF(D5="","",IF(AND(VLOOKUP(CONCATENATE('Tube Cutting'!D13,'Tube Cutting'!E13),TrackManufacturing,2,FALSE)="Wavefold Black",(Bagging!E13="Top Fix Brackets")),Bagging!F13,""))</f>
        <v/>
      </c>
      <c r="AQ5" s="20" t="str">
        <f>IF(D5="","",IF(AND(VLOOKUP(CONCATENATE('Tube Cutting'!D13,'Tube Cutting'!E13),TrackManufacturing,2,FALSE)="Wavefold Black",(Bagging!E13="Single Face Fix Brackets")),Bagging!F13,""))</f>
        <v/>
      </c>
      <c r="AR5" s="20" t="str">
        <f>IF(D5="","",IF(AND(VLOOKUP(CONCATENATE('Tube Cutting'!D13,'Tube Cutting'!E13),TrackManufacturing,2,FALSE)="Wavefold Black",(Bagging!E13="Double Face Fix Brackets")),Bagging!F13,""))</f>
        <v/>
      </c>
      <c r="AS5" s="20" t="str">
        <f>IF(D5="","",IF(AND(VLOOKUP(CONCATENATE('Tube Cutting'!D13,'Tube Cutting'!E13),TrackManufacturing,2,FALSE)="Wavefold Black",(Bagging!E13="Triple Face Fix Brackets")),Bagging!F13,""))</f>
        <v/>
      </c>
      <c r="AT5" s="20" t="str">
        <f>IF(D5="","",IF(AND(OR(VLOOKUP(CONCATENATE('Tube Cutting'!D13,'Tube Cutting'!E13),TrackManufacturing,2,FALSE)="Wavefold Matt Satin",VLOOKUP(CONCATENATE('Tube Cutting'!D13,'Tube Cutting'!E13),TrackManufacturing,2,FALSE)="System 20 Matt Satin"),(Bagging!E13="Top Fix Brackets")),Bagging!F13,""))</f>
        <v/>
      </c>
      <c r="AU5" s="20" t="str">
        <f>IF(D5="","",IF(AND(OR(VLOOKUP(CONCATENATE('Tube Cutting'!D13,'Tube Cutting'!E13),TrackManufacturing,2,FALSE)="Wavefold Matt Satin",VLOOKUP(CONCATENATE('Tube Cutting'!D13,'Tube Cutting'!E13),TrackManufacturing,2,FALSE)="System 20 Matt Satin"),(Bagging!E13="Single Face Fix Brackets")),Bagging!F13,""))</f>
        <v/>
      </c>
      <c r="AV5" s="20" t="str">
        <f>IF(D5="","",IF(AND(OR(VLOOKUP(CONCATENATE('Tube Cutting'!D13,'Tube Cutting'!E13),TrackManufacturing,2,FALSE)="Wavefold Matt Satin",VLOOKUP(CONCATENATE('Tube Cutting'!D13,'Tube Cutting'!E13),TrackManufacturing,2,FALSE)="System 20 Matt Satin"),(Bagging!E13="Double Face Fix Brackets")),Bagging!F13,""))</f>
        <v/>
      </c>
      <c r="AW5" s="20" t="str">
        <f>IF(D5="","",IF(AND(OR(VLOOKUP(CONCATENATE('Tube Cutting'!D13,'Tube Cutting'!E13),TrackManufacturing,2,FALSE)="Wavefold Matt Satin",VLOOKUP(CONCATENATE('Tube Cutting'!D13,'Tube Cutting'!E13),TrackManufacturing,2,FALSE)="System 20 Matt Satin"),(Bagging!E13="Triple Face Fix Brackets")),Bagging!F13,""))</f>
        <v/>
      </c>
      <c r="AX5" s="20" t="str">
        <f>IF(D5="","",IF(AND(VLOOKUP(CONCATENATE('Tube Cutting'!D13,'Tube Cutting'!E13),TrackManufacturing,2,FALSE)="Streamline White",(Bagging!E13="Nylon Top Fix Brackets")),VLOOKUP('Job Sheet'!G13,Brackets,2,TRUE),""))</f>
        <v/>
      </c>
      <c r="AY5" s="20" t="str">
        <f>IF(D5="","",IF(AND(VLOOKUP(CONCATENATE('Tube Cutting'!D13,'Tube Cutting'!E13),TrackManufacturing,2,FALSE)="Streamline White",(Bagging!E13="Metal Fix Brackets")),VLOOKUP('Job Sheet'!G13,Brackets,2,TRUE),""))</f>
        <v/>
      </c>
      <c r="AZ5" s="20" t="str">
        <f>IF(D5="","",IF(AND(VLOOKUP(CONCATENATE('Tube Cutting'!D13,'Tube Cutting'!E13),TrackManufacturing,2,FALSE)="Streamline White",(Bagging!E13="Single Face Fix Brackets")),Bagging!F13,""))</f>
        <v/>
      </c>
      <c r="BA5" s="20" t="str">
        <f>IF(D5="","",IF(AND(VLOOKUP(CONCATENATE('Tube Cutting'!D13,'Tube Cutting'!E13),TrackManufacturing,2,FALSE)="Streamline White",(Bagging!E13="Double Face Fix Brackets")),Bagging!F13,""))</f>
        <v/>
      </c>
      <c r="BB5" s="20" t="str">
        <f>IF(D5="","",IF(AND(VLOOKUP(CONCATENATE('Tube Cutting'!D13,'Tube Cutting'!E13),TrackManufacturing,2,FALSE)="Streamline White",(Bagging!E13="Triple Face Fix Brackets")),Bagging!F13,""))</f>
        <v/>
      </c>
      <c r="BC5" s="20" t="str">
        <f>IF(D5="","",IF(AND(VLOOKUP(CONCATENATE('Tube Cutting'!D13,'Tube Cutting'!E13),TrackManufacturing,2,FALSE)="Streamline White",(Bagging!E13="32mm Face Fix Brackets")),Bagging!F13,""))</f>
        <v/>
      </c>
      <c r="BD5" s="20" t="str">
        <f>IF(J5="","",IF(AND(VLOOKUP(CONCATENATE('Tube Cutting'!D13,'Tube Cutting'!E13),TrackManufacturing,2,FALSE)="Streamline Matt Black Ink",(Bagging!M13="Nylon Top Fix Brackets")),VLOOKUP('Job Sheet'!L13,Brackets,2,TRUE),""))</f>
        <v/>
      </c>
      <c r="BE5" s="20" t="str">
        <f>IF(D5="","",IF(AND(VLOOKUP(CONCATENATE('Tube Cutting'!D13,'Tube Cutting'!E13),TrackManufacturing,2,FALSE)="Streamline Matt Black Ink",(Bagging!E13="Top Fix Brackets")),Bagging!F13,""))</f>
        <v/>
      </c>
      <c r="BF5" s="20" t="str">
        <f>IF(D5="","",IF(AND(VLOOKUP(CONCATENATE('Tube Cutting'!D13,'Tube Cutting'!E13),TrackManufacturing,2,FALSE)="Streamline Matt Black Ink",(Bagging!E13="Single Face Fix Brackets")),Bagging!F13,""))</f>
        <v/>
      </c>
      <c r="BG5" s="20" t="str">
        <f>IF(D5="","",IF(AND(VLOOKUP(CONCATENATE('Tube Cutting'!D13,'Tube Cutting'!E13),TrackManufacturing,2,FALSE)="Streamline Matt Black Ink",(Bagging!E13="Double Face Fix Brackets")),Bagging!F13,""))</f>
        <v/>
      </c>
      <c r="BH5" s="20" t="str">
        <f>IF(D5="","",IF(AND(VLOOKUP(CONCATENATE('Tube Cutting'!D13,'Tube Cutting'!E13),TrackManufacturing,2,FALSE)="Streamline Matt Black Ink",(Bagging!E13="Triple Face Fix Brackets")),Bagging!F13,""))</f>
        <v/>
      </c>
      <c r="BI5" s="20" t="str">
        <f>IF(D5="","",IF(AND(VLOOKUP(CONCATENATE('Tube Cutting'!D13,'Tube Cutting'!E13),TrackManufacturing,2,FALSE)="Streamline Matt Black Ink",(Bagging!E13="32mm Face Fix Brackets")),Bagging!F13,""))</f>
        <v/>
      </c>
      <c r="BJ5" s="20" t="str">
        <f>IF(D5="","",IF(AND(VLOOKUP(CONCATENATE('Tube Cutting'!D13,'Tube Cutting'!E13),TrackManufacturing,2,FALSE)="Streamline Birch White",(Bagging!P13="Nylon Top Fix Brackets")),VLOOKUP('Job Sheet'!Q13,Brackets,2,TRUE),""))</f>
        <v/>
      </c>
      <c r="BK5" s="20" t="str">
        <f>IF(D5="","",IF(AND(VLOOKUP(CONCATENATE('Tube Cutting'!D13,'Tube Cutting'!E13),TrackManufacturing,2,FALSE)="Streamline Birch White",(Bagging!E13="Top Fix Brackets")),Bagging!F13,""))</f>
        <v/>
      </c>
      <c r="BL5" s="20" t="str">
        <f>IF(D5="","",IF(AND(VLOOKUP(CONCATENATE('Tube Cutting'!D13,'Tube Cutting'!E13),TrackManufacturing,2,FALSE)="Streamline Birch White",(Bagging!E13="Single Face Fix Brackets")),Bagging!F13,""))</f>
        <v/>
      </c>
      <c r="BM5" s="20" t="str">
        <f>IF(D5="","",IF(AND(VLOOKUP(CONCATENATE('Tube Cutting'!D13,'Tube Cutting'!E13),TrackManufacturing,2,FALSE)="Streamline Birch White",(Bagging!E13="Double Face Fix Brackets")),Bagging!F13,""))</f>
        <v/>
      </c>
      <c r="BN5" s="20" t="str">
        <f>IF(D5="","",IF(AND(VLOOKUP(CONCATENATE('Tube Cutting'!D13,'Tube Cutting'!E13),TrackManufacturing,2,FALSE)="Streamline Birch White",(Bagging!E13="Triple Face Fix Brackets")),Bagging!F13,""))</f>
        <v/>
      </c>
      <c r="BO5" s="20" t="str">
        <f>IF(D5="","",IF(AND(VLOOKUP(CONCATENATE('Tube Cutting'!D13,'Tube Cutting'!E13),TrackManufacturing,2,FALSE)="Streamline Birch White",(Bagging!E13="32mm Face Fix Brackets")),Bagging!F13,""))</f>
        <v/>
      </c>
      <c r="BP5" s="20" t="str">
        <f>IF(D5="","",IF(AND(VLOOKUP(CONCATENATE('Tube Cutting'!D13,'Tube Cutting'!E13),TrackManufacturing,2,FALSE)="Streamline Matt Satin",(Bagging!E13="Top Fix Brackets")),Bagging!F13,""))</f>
        <v/>
      </c>
      <c r="BQ5" s="20" t="str">
        <f>IF(K5="","",IF(AND(VLOOKUP(CONCATENATE('Tube Cutting'!J13,'Tube Cutting'!K13),TrackManufacturing,2,FALSE)="Streamline Matt Satin",(Bagging!K13="Top Fix Brackets")),Bagging!L13,""))</f>
        <v/>
      </c>
      <c r="BR5" s="20" t="str">
        <f>IF(K5="","",IF(AND(VLOOKUP(CONCATENATE('Tube Cutting'!J13,'Tube Cutting'!K13),TrackManufacturing,2,FALSE)="Streamline Matt Satin",(Bagging!K13="Single Face Fix Brackets")),Bagging!L13,""))</f>
        <v/>
      </c>
      <c r="BS5" s="20" t="str">
        <f>IF(D5="","",IF(AND(VLOOKUP(CONCATENATE('Tube Cutting'!D13,'Tube Cutting'!E13),TrackManufacturing,2,FALSE)="Streamline Matt Satin",(Bagging!E13="Double Face Fix Brackets")),Bagging!F13,""))</f>
        <v/>
      </c>
      <c r="BT5" s="20" t="str">
        <f>IF(D5="","",IF(AND(VLOOKUP(CONCATENATE('Tube Cutting'!D13,'Tube Cutting'!E13),TrackManufacturing,2,FALSE)="Streamline Matt Satin",(Bagging!E13="Triple Face Fix Brackets")),Bagging!F13,""))</f>
        <v/>
      </c>
      <c r="BU5" s="20" t="str">
        <f>IF(D5="","",IF(AND(VLOOKUP(CONCATENATE('Tube Cutting'!D13,'Tube Cutting'!E13),TrackManufacturing,2,FALSE)="Streamline Matt Satin",(Bagging!E13="32mm Face Fix Brackets")),Bagging!F13,""))</f>
        <v/>
      </c>
      <c r="BV5" s="20" t="str">
        <f t="shared" si="0"/>
        <v/>
      </c>
      <c r="BW5" s="20" t="str">
        <f>IF(D5="","",IF(AND(VLOOKUP(CONCATENATE('Tube Cutting'!D13,'Tube Cutting'!E13),TrackManufacturing,2,FALSE)="White",Bagging!E13="Single Face Fix Brackets"),Bagging!F13,""))</f>
        <v/>
      </c>
      <c r="BX5" s="20" t="str">
        <f>IF(AND('Tube Cutting'!E13="White",Bagging!E13="Double Face Fix Brackets"),Bagging!F13,"")</f>
        <v/>
      </c>
      <c r="BY5" s="20" t="str">
        <f>IF(AND('Tube Cutting'!E13="White",Bagging!E13="Triple Face Fix Brackets"),Bagging!F13,"")</f>
        <v/>
      </c>
      <c r="BZ5" s="20" t="str">
        <f t="shared" si="1"/>
        <v/>
      </c>
      <c r="CA5" s="20" t="str">
        <f>IF(AND('Tube Cutting'!E13="Matt Black Ink",Bagging!E13="Single Face Fix Brackets"),Bagging!F13,"")</f>
        <v/>
      </c>
      <c r="CB5" s="20" t="str">
        <f>IF(AND('Tube Cutting'!E13="Matt Black Ink",Bagging!E13="Double Face Fix Brackets"),Bagging!F13,"")</f>
        <v/>
      </c>
      <c r="CC5" s="20" t="str">
        <f>IF(AND('Tube Cutting'!E13="Matt Black Ink",Bagging!E13="Triple Fix Brackets"),Bagging!F13,"")</f>
        <v/>
      </c>
      <c r="CD5" s="20" t="str">
        <f>IF(AND('Tube Cutting'!E13="Matt Satin",Bagging!E13="Top Fix Brackets"),Bagging!F13,"")</f>
        <v/>
      </c>
      <c r="CE5" s="20" t="str">
        <f>IF(AND('Tube Cutting'!E13="Matt Satin",Bagging!E13="Single Face Fix Brackets"),Bagging!F13,"")</f>
        <v/>
      </c>
      <c r="CF5" s="20" t="str">
        <f>IF(AND('Tube Cutting'!E13="Matt Satin",Bagging!E13="Double Face Fix Brackets"),Bagging!F13,"")</f>
        <v/>
      </c>
      <c r="CG5" s="20" t="str">
        <f>IF(AND('Tube Cutting'!E13="Matt Satin",Bagging!E13="Triple Fix Brackets"),Bagging!F13,"")</f>
        <v/>
      </c>
      <c r="CH5" s="20" t="str">
        <f>IF(D5="","",IF(AND('Tube Cutting'!E13="White",(OR(Bagging!L13="Single Left",Bagging!L13="Single Left &amp; Right"))),"1",""))</f>
        <v/>
      </c>
      <c r="CI5" s="20" t="str">
        <f>IF(D5="","",IF(AND('Tube Cutting'!E13="Matt Black Ink",(OR(Bagging!L13="Single Left",Bagging!L13="Single Left &amp; Right"))),"1",""))</f>
        <v/>
      </c>
      <c r="CJ5" s="20" t="str">
        <f>IF(D5="","",IF(AND('Tube Cutting'!E13="Matt Satin",(OR(Bagging!L13="Single Left",Bagging!L13="Single Left &amp; Right"))),"1",""))</f>
        <v/>
      </c>
      <c r="CK5" s="20" t="str">
        <f>IF(D5="","",IF(AND('Tube Cutting'!E13="White",(OR(Bagging!L13="Single Right",Bagging!L13="Single Left &amp; Right"))),"1",""))</f>
        <v/>
      </c>
      <c r="CL5" s="20" t="str">
        <f>IF(D5="","",IF(AND('Tube Cutting'!E13="Matt Black Ink",(OR(Bagging!L13="Single Right",Bagging!L13="Single Left &amp; Right"))),"1",""))</f>
        <v/>
      </c>
      <c r="CM5" s="20" t="str">
        <f>IF(D5="","",IF(AND('Tube Cutting'!E13="Matt Satin",(OR(Bagging!L13="Single Right",Bagging!L13="Single Left &amp; Right"))),"1",""))</f>
        <v/>
      </c>
      <c r="CN5" s="20" t="str">
        <f>IF(D5="","",IF(AND('Tube Cutting'!E13="White",(OR(Bagging!L13="Double Left",Bagging!L13="Double Left &amp; Right"))),"1",""))</f>
        <v/>
      </c>
      <c r="CO5" s="20" t="str">
        <f>IF(D5="","",IF(AND('Tube Cutting'!E13="Matt Black Ink",(OR(Bagging!L13="Double Left",Bagging!L13="Double Left &amp; Right"))),"1",""))</f>
        <v/>
      </c>
      <c r="CP5" s="20" t="str">
        <f>IF(D5="","",IF(AND('Tube Cutting'!E13="Matt Satin",(OR(Bagging!L13="Double Left",Bagging!L13="Double Left &amp; Right"))),"1",""))</f>
        <v/>
      </c>
      <c r="CQ5" s="20" t="str">
        <f>IF(D5="","",IF(AND('Tube Cutting'!E13="White",(OR(Bagging!L13="Double Right",Bagging!L13="Double Left &amp; Right"))),"1",""))</f>
        <v/>
      </c>
      <c r="CR5" s="20" t="str">
        <f>IF(D5="","",IF(AND('Tube Cutting'!E13="Matt Black Ink",(OR(Bagging!L13="Double Right",Bagging!L13="Double Left &amp; Right"))),"1",""))</f>
        <v/>
      </c>
      <c r="CS5" s="20" t="str">
        <f>IF(D5="","",IF(AND('Tube Cutting'!E13="Matt Satin",(OR(Bagging!L13="Double Right",Bagging!L13="Double Left &amp; Right"))),"1",""))</f>
        <v/>
      </c>
      <c r="CT5" s="20" t="str">
        <f>IF(D5="","",IF(VLOOKUP(CONCATENATE('Tube Cutting'!D13,'Tube Cutting'!E13),TrackManufacturing,2,FALSE)="Streamline White",1,""))</f>
        <v/>
      </c>
      <c r="CU5" s="20" t="str">
        <f>IF(D5="","",IF(VLOOKUP(CONCATENATE('Tube Cutting'!D13,'Tube Cutting'!E13),TrackManufacturing,2,FALSE)="Streamline Matt Black Ink",1,""))</f>
        <v/>
      </c>
      <c r="CV5" s="20" t="str">
        <f>IF(D5="","",IF(VLOOKUP(CONCATENATE('Tube Cutting'!D13,'Tube Cutting'!E13),TrackManufacturing,2,FALSE)="Streamline Birch White",1,""))</f>
        <v/>
      </c>
      <c r="CW5" s="20" t="str">
        <f>IF(D5="","",IF(VLOOKUP(CONCATENATE('Tube Cutting'!D13,'Tube Cutting'!E13),TrackManufacturing,2,FALSE)="Streamline Matt Satin",1,""))</f>
        <v/>
      </c>
      <c r="CX5" s="20" t="str">
        <f>IF(D5="","",IF(AND(VLOOKUP(CONCATENATE('Tube Cutting'!D13,'Tube Cutting'!E13),TrackManufacturing,2,FALSE)="Streamline White",(OR(Assembly!F13="Centre Opening",Assembly!F13="Centre Opening - Free Flowing",Assembly!F13="Centre Opening (Offset)",Assembly!F13="Centre Opening - Free Flowing (Offset)"))),1,""))</f>
        <v/>
      </c>
      <c r="CY5" s="20" t="str">
        <f>IF(D5="","",IF(AND(VLOOKUP(CONCATENATE('Tube Cutting'!D13,'Tube Cutting'!E13),TrackManufacturing,2,FALSE)="Streamline Matt Black Ink",(OR(Assembly!F13="Centre Opening",Assembly!F13="Centre Opening - Free Flowing",Assembly!F13="Centre Opening (Offset)",Assembly!F13="Centre Opening - Free Flowing (Offset)"))),1,""))</f>
        <v/>
      </c>
      <c r="CZ5" s="20" t="str">
        <f>IF(D5="","",IF(AND(VLOOKUP(CONCATENATE('Tube Cutting'!D13,'Tube Cutting'!E13),TrackManufacturing,2,FALSE)="Streamline Birch White",(OR(Assembly!F13="Centre Opening",Assembly!F13="Centre Opening - Free Flowing",Assembly!F13="Centre Opening (Offset)",Assembly!F13="Centre Opening - Free Flowing (Offset)"))),1,""))</f>
        <v/>
      </c>
      <c r="DA5" s="20" t="str">
        <f>IF(D5="","",IF(AND(VLOOKUP(CONCATENATE('Tube Cutting'!D13,'Tube Cutting'!E13),TrackManufacturing,2,FALSE)="Streamline Matt Satin",(OR(Assembly!F13="Centre Opening",Assembly!F13="Centre Opening - Free Flowing",Assembly!F13="Centre Opening (Offset)",Assembly!F13="Centre Opening - Free Flowing (Offset)"))),1,""))</f>
        <v/>
      </c>
      <c r="DB5" s="20" t="str">
        <f>IF(OR('Job Sheet'!H13="Conduit",'Job Sheet'!H13="Conduit x 2",I5&lt;&gt;"DBS to Make"),"",IF(VLOOKUP(CONCATENATE(Assembly!C13,Assembly!F13),PulleysEndCaps,2,FALSE)="","",IF('Tube Cutting'!E13="White",VLOOKUP(CONCATENATE(Assembly!C13,Assembly!F13),PulleysEndCaps,2,FALSE),"")))</f>
        <v/>
      </c>
      <c r="DC5" s="20" t="str">
        <f>IF(OR('Job Sheet'!H13="Conduit",'Job Sheet'!H13="Conduit x 2",I5&lt;&gt;"DBS to Make"),"",IF(VLOOKUP(CONCATENATE(Assembly!C13,Assembly!F13),PulleysEndCaps,2,FALSE)="","",IF('Tube Cutting'!E13="Matt Black Ink",VLOOKUP(CONCATENATE(Assembly!C13,Assembly!F13),PulleysEndCaps,2,FALSE),"")))</f>
        <v/>
      </c>
      <c r="DD5" s="20" t="str">
        <f>IF(OR('Job Sheet'!H13="Conduit",'Job Sheet'!H13="Conduit x 2",I5&lt;&gt;"DBS to Make"),"",IF(VLOOKUP(CONCATENATE(Assembly!C13,Assembly!F13),PulleysEndCaps,2,FALSE)="","",IF('Tube Cutting'!E13="Matt Satin",VLOOKUP(CONCATENATE(Assembly!C13,Assembly!F13),PulleysEndCaps,2,FALSE),"")))</f>
        <v/>
      </c>
      <c r="DE5" s="20" t="str">
        <f>IF(OR('Job Sheet'!H13="Conduit",'Job Sheet'!H13="Conduit x 2",I5&lt;&gt;"DBS to Make"),"",IF(VLOOKUP(CONCATENATE(Assembly!C13,Assembly!F13),PulleysEndCaps,3,FALSE)="","",IF('Tube Cutting'!E13="White",VLOOKUP(CONCATENATE(Assembly!C13,Assembly!F13),PulleysEndCaps,3,FALSE),"")))</f>
        <v/>
      </c>
      <c r="DF5" s="20" t="str">
        <f>IF(OR('Job Sheet'!H13="Conduit",'Job Sheet'!H13="Conduit x 2",I5&lt;&gt;"DBS to Make"),"",IF(VLOOKUP(CONCATENATE(Assembly!C13,Assembly!F13),PulleysEndCaps,3,FALSE)="","",IF('Tube Cutting'!E13="Matt Black Ink",VLOOKUP(CONCATENATE(Assembly!C13,Assembly!F13),PulleysEndCaps,3,FALSE),"")))</f>
        <v/>
      </c>
      <c r="DG5" s="20" t="str">
        <f>IF(OR('Job Sheet'!H13="Conduit",'Job Sheet'!H13="Conduit x 2",I5&lt;&gt;"DBS to Make"),"",IF(VLOOKUP(CONCATENATE(Assembly!C13,Assembly!F13),PulleysEndCaps,3,FALSE)="","",IF('Tube Cutting'!E13="Matt Satin",VLOOKUP(CONCATENATE(Assembly!C13,Assembly!F13),PulleysEndCaps,3,FALSE),"")))</f>
        <v/>
      </c>
      <c r="DH5" s="20" t="str">
        <f>IF(OR('Job Sheet'!H13="Conduit",'Job Sheet'!H13="Conduit x 2",I5&lt;&gt;"DBS to Make"),"",IF(VLOOKUP(CONCATENATE(Assembly!C13,Assembly!F13),PulleysEndCaps,6,FALSE)="","",IF('Tube Cutting'!E13="White",VLOOKUP(CONCATENATE(Assembly!C13,Assembly!F13),PulleysEndCaps,6,FALSE),"")))</f>
        <v/>
      </c>
      <c r="DI5" s="20" t="str">
        <f>IF(OR('Job Sheet'!H13="Conduit",'Job Sheet'!H13="Conduit x 2",I5&lt;&gt;"DBS to Make"),"",IF(VLOOKUP(CONCATENATE(Assembly!C13,Assembly!F13),PulleysEndCaps,6,FALSE)="","",IF('Tube Cutting'!E13="Matt Black Ink",VLOOKUP(CONCATENATE(Assembly!C13,Assembly!F13),PulleysEndCaps,6,FALSE),"")))</f>
        <v/>
      </c>
      <c r="DJ5" s="20" t="str">
        <f>IF(OR('Job Sheet'!H13="Conduit",'Job Sheet'!H13="Conduit x 2",I5&lt;&gt;"DBS to Make"),"",IF(VLOOKUP(CONCATENATE(Assembly!C13,Assembly!F13),PulleysEndCaps,6,FALSE)="","",IF('Tube Cutting'!E13="Birch White",VLOOKUP(CONCATENATE(Assembly!C13,Assembly!F13),PulleysEndCaps,6,FALSE),"")))</f>
        <v/>
      </c>
      <c r="DK5" s="20" t="str">
        <f>IF(OR('Job Sheet'!H13="Conduit",'Job Sheet'!H13="Conduit x 2",I5&lt;&gt;"DBS to Make"),"",IF(VLOOKUP(CONCATENATE(Assembly!C13,Assembly!F13),PulleysEndCaps,6,FALSE)="","",IF('Tube Cutting'!E13="Matt Satin",VLOOKUP(CONCATENATE(Assembly!C13,Assembly!F13),PulleysEndCaps,6,FALSE),"")))</f>
        <v/>
      </c>
      <c r="DL5" s="20" t="str">
        <f>IF(OR('Job Sheet'!H13="Conduit",'Job Sheet'!H13="Conduit x 2",I5&lt;&gt;"DBS to Make"),"",IF(VLOOKUP(CONCATENATE(Assembly!C13,Assembly!F13),PulleysEndCaps,4,FALSE)="","",VLOOKUP(CONCATENATE(Assembly!C13,Assembly!F13),PulleysEndCaps,4,FALSE)))</f>
        <v/>
      </c>
      <c r="DM5" s="20" t="str">
        <f>IF(OR('Job Sheet'!H13="Conduit",'Job Sheet'!H13="Conduit x 2",I5&lt;&gt;"DBS to Make"),"",IF(VLOOKUP(CONCATENATE(Assembly!C13,Assembly!F13),PulleysEndCaps,7,FALSE)="","",VLOOKUP(CONCATENATE(Assembly!C13,Assembly!F13),PulleysEndCaps,7,FALSE)))</f>
        <v/>
      </c>
      <c r="DN5" s="20" t="str">
        <f>IF(D5="","",IF(AND(OR(VLOOKUP(CONCATENATE('Tube Cutting'!D13,'Tube Cutting'!E13),TrackManufacturing,2,FALSE)="Wavefold White",VLOOKUP(CONCATENATE('Tube Cutting'!D13,'Tube Cutting'!E13),TrackManufacturing,2,FALSE)="Wavefold Black",VLOOKUP(CONCATENATE('Tube Cutting'!D13,'Tube Cutting'!E13),TrackManufacturing,2,FALSE)="Wavefold Matt Satin",VLOOKUP(CONCATENATE('Tube Cutting'!D13,'Tube Cutting'!E13),TrackManufacturing,2,FALSE)="System 20 White",VLOOKUP(CONCATENATE('Tube Cutting'!D13,'Tube Cutting'!E13),TrackManufacturing,2,FALSE)="System 20 Black",VLOOKUP(CONCATENATE('Tube Cutting'!D13,'Tube Cutting'!E13),TrackManufacturing,2,FALSE)="System 20 Matt Satin"),'Tube Cutting'!C13&gt;6000),1,""))</f>
        <v/>
      </c>
      <c r="DO5" s="20" t="str">
        <f>IF(D5="","",IF(AND(OR(VLOOKUP(CONCATENATE('Tube Cutting'!D13,'Tube Cutting'!E13),TrackManufacturing,2,FALSE)="Streamline White",VLOOKUP(CONCATENATE('Tube Cutting'!D13,'Tube Cutting'!E13),TrackManufacturing,2,FALSE)="Streamline Black",VLOOKUP(CONCATENATE('Tube Cutting'!D13,'Tube Cutting'!E13),TrackManufacturing,2,FALSE)="Streamline Birch White",VLOOKUP(CONCATENATE('Tube Cutting'!D13,'Tube Cutting'!E13),TrackManufacturing,2,FALSE)="Streamline Matt Satin"),'Tube Cutting'!C13&gt;6000),1,""))</f>
        <v/>
      </c>
      <c r="DP5" s="20" t="str">
        <f>IF(OR('Job Sheet'!H13="Conduit",'Job Sheet'!H13="Conduit x 2",I5&lt;&gt;"DBS to Make"),"",IF(VLOOKUP(CONCATENATE(Assembly!C13,Assembly!F13),PulleysEndCaps,5,FALSE)="","",IF('Tube Cutting'!E13="White",VLOOKUP(CONCATENATE(Assembly!C13,Assembly!F13),PulleysEndCaps,5,FALSE),"")))</f>
        <v/>
      </c>
      <c r="DQ5" s="20" t="str">
        <f>IF(OR('Job Sheet'!H13="Conduit",'Job Sheet'!H13="Conduit x 2",I5&lt;&gt;"DBS to Make"),"",IF(VLOOKUP(CONCATENATE(Assembly!C13,Assembly!F13),PulleysEndCaps,5,FALSE)="","",IF('Tube Cutting'!E13="Matt Black Ink",VLOOKUP(CONCATENATE(Assembly!C13,Assembly!F13),PulleysEndCaps,5,FALSE),"")))</f>
        <v/>
      </c>
      <c r="DR5" s="20" t="str">
        <f>IF(OR('Job Sheet'!H13="Conduit",'Job Sheet'!H13="Conduit x 2",I5&lt;&gt;"DBS to Make"),"",IF(VLOOKUP(CONCATENATE(Assembly!C13,Assembly!F13),PulleysEndCaps,5,FALSE)="","",IF('Tube Cutting'!E13="Matt Satin",VLOOKUP(CONCATENATE(Assembly!C13,Assembly!F13),PulleysEndCaps,5,FALSE),"")))</f>
        <v/>
      </c>
      <c r="DS5" s="20" t="str">
        <f>IF(OR('Job Sheet'!H13="Conduit",'Job Sheet'!H13="Conduit x 2",I5&lt;&gt;"DBS to Make"),"",IF(VLOOKUP(CONCATENATE(Assembly!C13,Assembly!F13),PulleysEndCaps,5,FALSE)="","",IF('Tube Cutting'!E13="Matt Satin",VLOOKUP(CONCATENATE(Assembly!C13,Assembly!F13),PulleysEndCaps,5,FALSE),"")))</f>
        <v/>
      </c>
      <c r="DT5" s="20" t="str">
        <f>IF(OR('Job Sheet'!H13="Conduit",'Job Sheet'!H13="Conduit x 2",I5&lt;&gt;"DBS to Make"),"",IF(VLOOKUP(CONCATENATE(Assembly!C13,Assembly!F13),PulleysEndCaps,8,FALSE)="","",IF('Tube Cutting'!E13="Matt Black Ink",VLOOKUP(CONCATENATE(Assembly!C13,Assembly!F13),PulleysEndCaps,8,FALSE),"")))</f>
        <v/>
      </c>
      <c r="DU5" s="20" t="str">
        <f>IF(OR('Job Sheet'!H13="Conduit",'Job Sheet'!H13="Conduit x 2",I5&lt;&gt;"DBS to Make"),"",IF(VLOOKUP(CONCATENATE(Assembly!C13,Assembly!F13),PulleysEndCaps,8,FALSE)="","",IF('Tube Cutting'!E13="Birch White",VLOOKUP(CONCATENATE(Assembly!C13,Assembly!F13),PulleysEndCaps,8,FALSE),"")))</f>
        <v/>
      </c>
      <c r="DV5" s="20" t="str">
        <f>IF(OR('Job Sheet'!H13="Conduit",'Job Sheet'!H13="Conduit x 2",I5&lt;&gt;"DBS to Make"),"",IF(VLOOKUP(CONCATENATE(Assembly!C13,Assembly!F13),PulleysEndCaps,8,FALSE)="","",IF('Tube Cutting'!E13="Matt Satin",VLOOKUP(CONCATENATE(Assembly!C13,Assembly!F13),PulleysEndCaps,8,FALSE),"")))</f>
        <v/>
      </c>
      <c r="DW5" s="20" t="str">
        <f>IF(D5="","",IF(AND(AND(Assembly!C13="Wavefold Cord Operation",'Tube Cutting'!E13="White",'Tube Cutting'!E13),(OR(Assembly!F13="Centre Opening",Assembly!F13="Centre Opening - Free Flowing",Assembly!F13="Centre Opening (Offset)",Assembly!F13="Centre Opening - Free Flowing (Offset)"))),2,IF(AND(AND(Assembly!C13="Wavefold Cord Operation",'Tube Cutting'!E13="White",'Tube Cutting'!E13),(OR(Assembly!F13="Single Panel - Left Stacking",Assembly!F13="Single Panel - Right Stacking",Assembly!F13="Single Panel - Free Flowing"))),1,"")))</f>
        <v/>
      </c>
      <c r="DX5" s="20" t="str">
        <f>IF(D5="","",IF(AND(AND(Assembly!C13="Wavefold Cord Operation",'Tube Cutting'!E13="Matt Black Ink",'Tube Cutting'!E13),(OR(Assembly!F13="Centre Opening",Assembly!F13="Centre Opening - Free Flowing",Assembly!F13="Centre Opening (Offset)",Assembly!F13="Centre Opening - Free Flowing (Offset)"))),2,IF(AND(AND(Assembly!C13="Wavefold Cord Operation",'Tube Cutting'!E13="Matt Black Ink",'Tube Cutting'!E13),(OR(Assembly!F13="Single Panel - Left Stacking",Assembly!F13="Single Panel - Right Stacking",Assembly!F13="Single Panel - Free Flowing"))),1,"")))</f>
        <v/>
      </c>
      <c r="DY5" s="20" t="str">
        <f>IF(D5="","",IF(AND(Assembly!C13="Wavefold Hand Operation",'Tube Cutting'!E13="White"),Bagging!J13,""))</f>
        <v/>
      </c>
      <c r="DZ5" s="20" t="str">
        <f>IF(D5="","",IF(AND(Assembly!C13="Wavefold Hand Operation",(OR('Tube Cutting'!E13="White",'Tube Cutting'!E13="White"))),Bagging!J13,""))</f>
        <v/>
      </c>
      <c r="EA5" s="20" t="str">
        <f>IF(OR(D5="",'Job Sheet'!U13="Straight"),"",VLOOKUP(CONCATENATE('Job Sheet'!U13,'Job Sheet'!L13),CornerBlocks,2,FALSE))</f>
        <v/>
      </c>
      <c r="EB5" s="20" t="str">
        <f>IF(D5="","",IF(OR('Tube Cutting'!D13="Streamline Cord Operation",'Tube Cutting'!D13="Wavefold Cord Operation"),1,""))</f>
        <v/>
      </c>
      <c r="EC5" s="20" t="str">
        <f>IF(D5="","",IF(VLOOKUP(CONCATENATE('Tube Cutting'!D13,'Tube Cutting'!E13),TrackManufacturing,2,FALSE)="System 20 White",1,""))</f>
        <v/>
      </c>
      <c r="ED5" s="20" t="str">
        <f>IF(D5="","",IF(VLOOKUP(CONCATENATE('Tube Cutting'!D13,'Tube Cutting'!E13),TrackManufacturing,2,FALSE)="System 20 Black",1,""))</f>
        <v/>
      </c>
      <c r="EE5" s="20" t="str">
        <f>IF(D5="","",IF(AND(VLOOKUP(CONCATENATE('Tube Cutting'!D13,'Tube Cutting'!E13),TrackManufacturing,2,FALSE)="System 20 White",(OR(Assembly!F13="Centre Opening",Assembly!F13="Centre Opening - Free Flowing",Assembly!F13="Centre Opening (Offset)",Assembly!F13="Centre Opening - Free Flowing (Offset)"))),1,""))</f>
        <v/>
      </c>
      <c r="EF5" s="20" t="str">
        <f>IF(D5="","",IF(AND(VLOOKUP(CONCATENATE('Tube Cutting'!D13,'Tube Cutting'!E13),TrackManufacturing,2,FALSE)="System 20 Black",(OR(Assembly!F13="Centre Opening",Assembly!F13="Centre Opening - Free Flowing",Assembly!F13="Centre Opening (Offset)",Assembly!F13="Centre Opening - Free Flowing (Offset)"))),1,""))</f>
        <v/>
      </c>
      <c r="EG5" s="126" t="str">
        <f>IF(D5="","",IF(OR(VLOOKUP(CONCATENATE('Tube Cutting'!D13,'Tube Cutting'!E13),TrackManufacturing,2,FALSE)="System 20 White",VLOOKUP(CONCATENATE('Tube Cutting'!D13,'Tube Cutting'!E13),TrackManufacturing,2,FALSE)="System 20 Black",VLOOKUP(CONCATENATE('Tube Cutting'!D13,'Tube Cutting'!E13),TrackManufacturing,2,FALSE)="System 20 Matt Black Ink"),Assembly!I13,IF('Tube Cutting'!D13="SEM Streamline Hand Operation",9,"")))</f>
        <v/>
      </c>
      <c r="EH5" s="20" t="str">
        <f>IF('Tube Cutting'!D13="Conduit",'Tube Cutting'!C13,"")</f>
        <v/>
      </c>
      <c r="EI5" s="20" t="str">
        <f>IF(Bagging!E13="Muslin Brackets",2,IF(Bagging!E13="Muslin Brackets Top and Bottom",4,""))</f>
        <v/>
      </c>
      <c r="EJ5" s="20" t="str">
        <f>IF(Bagging!E13="100mm Unstayed Brackets with Acorns",2,"")</f>
        <v/>
      </c>
      <c r="EK5" s="20" t="str">
        <f>IF(Bagging!E13="25mm Brackets with Acorns",2,"")</f>
        <v/>
      </c>
      <c r="EL5" s="20" t="str">
        <f>IF(OR(Bagging!E13="25mm Brackets with Acorns",Bagging!E13="100mm Unstayed Brackets with Acorns"),2,"")</f>
        <v/>
      </c>
      <c r="FI5" s="20"/>
      <c r="FJ5" s="20"/>
    </row>
    <row r="6" spans="4:166" ht="13.2" customHeight="1">
      <c r="D6" s="20" t="str">
        <f>IF(Data!AW14="","",CONCATENATE(Data!BC$5,".",Data!BD$5))</f>
        <v/>
      </c>
      <c r="E6" s="20" t="str">
        <f>IF(D6="","",Data!AW14)</f>
        <v/>
      </c>
      <c r="F6" s="20" t="str">
        <f>IF(D6="","",Data!AV14)</f>
        <v/>
      </c>
      <c r="G6" s="20" t="str">
        <f>IF(D6="","",Data!BF$5)</f>
        <v/>
      </c>
      <c r="H6" s="20" t="str">
        <f>IF(D6="","",Data!AX$5)</f>
        <v/>
      </c>
      <c r="I6" s="20" t="str">
        <f>IF(D6="","",'Job Sheet'!AI14)</f>
        <v/>
      </c>
      <c r="J6" s="20" t="str">
        <f>IF(D6="","",IF(OR(VLOOKUP(CONCATENATE('Tube Cutting'!D14,'Tube Cutting'!E14),TrackManufacturing,2,FALSE)="Wavefold White",VLOOKUP(CONCATENATE('Tube Cutting'!D14,'Tube Cutting'!E14),TrackManufacturing,2,FALSE)="Wavefold Black",VLOOKUP(CONCATENATE('Tube Cutting'!D14,'Tube Cutting'!E14),TrackManufacturing,2,FALSE)="Wavefold Matt Satin"),('Job Sheet'!G14*2)/1000,""))</f>
        <v/>
      </c>
      <c r="K6" s="126" t="str">
        <f>IF(D6="","",IF(OR(VLOOKUP(CONCATENATE('Tube Cutting'!D14,'Tube Cutting'!E14),TrackManufacturing,2,FALSE)="Wavefold White",VLOOKUP(CONCATENATE('Tube Cutting'!D14,'Tube Cutting'!E14),TrackManufacturing,2,FALSE)="Wavefold Matt Satin"),J6*10,""))</f>
        <v/>
      </c>
      <c r="L6" s="126" t="str">
        <f>IF(D6="","",IF(VLOOKUP(CONCATENATE('Tube Cutting'!D14,'Tube Cutting'!E14),TrackManufacturing,2,FALSE)="Wavefold Black",J6*10,""))</f>
        <v/>
      </c>
      <c r="M6" s="127" t="str">
        <f>IF(D6="","",IF(OR(VLOOKUP(CONCATENATE('Tube Cutting'!D14,'Tube Cutting'!E14),TrackManufacturing,2,FALSE)="Wavefold White",VLOOKUP(CONCATENATE('Tube Cutting'!D14,'Tube Cutting'!E14),TrackManufacturing,2,FALSE)="System 20 White"),'Tube Cutting'!C14/1000,""))</f>
        <v/>
      </c>
      <c r="N6" s="127" t="str">
        <f>IF(D6="","",IF(VLOOKUP(CONCATENATE('Tube Cutting'!D14,'Tube Cutting'!E14),TrackManufacturing,2,FALSE)="Wavefold Black",'Tube Cutting'!C14/1000,""))</f>
        <v/>
      </c>
      <c r="O6" s="127" t="str">
        <f>IF(D6="","",IF(OR(VLOOKUP(CONCATENATE('Tube Cutting'!D14,'Tube Cutting'!E14),TrackManufacturing,2,FALSE)="Wavefold Matt Satin",VLOOKUP(CONCATENATE('Tube Cutting'!D14,'Tube Cutting'!E14),TrackManufacturing,2,FALSE)="System 20 Matt Satin"),'Tube Cutting'!C14/1000,""))</f>
        <v/>
      </c>
      <c r="P6" s="126" t="str">
        <f>IF(D6="","",IF(AND((OR('Tube Cutting'!E14="White",'Tube Cutting'!E14="Matt Satin")),(OR('Tube Cutting'!D14="Wavefold Hand Operation",'Tube Cutting'!D14="Wavefold Cord Operation"))),IF(M6="",O6*20,M6*20),""))</f>
        <v/>
      </c>
      <c r="Q6" s="126" t="str">
        <f>IF(D6="","",IF(AND('Tube Cutting'!E14="Matt Black Ink",(OR('Tube Cutting'!D14="Wavefold Hand Operation",'Tube Cutting'!D14="Wavefold Cord Operation"))),N6*20,""))</f>
        <v/>
      </c>
      <c r="R6" s="126" t="str">
        <f>IF(D6="","",IF(OR('Tube Cutting'!D14="Streamline Hand Operation",'Tube Cutting'!D14="Streamline Cord Operation"),Assembly!I14,""))</f>
        <v/>
      </c>
      <c r="S6" s="20" t="str">
        <f>IF(D6="","",IF(VLOOKUP(CONCATENATE('Tube Cutting'!D14,'Tube Cutting'!E14),TrackManufacturing,2,FALSE)="Streamline White",'Tube Cutting'!C14/1000,""))</f>
        <v/>
      </c>
      <c r="T6" s="20" t="str">
        <f>IF(D6="","",IF(VLOOKUP(CONCATENATE('Tube Cutting'!D14,'Tube Cutting'!E14),TrackManufacturing,2,FALSE)="Streamline Matt Black Ink",'Tube Cutting'!C14/1000,""))</f>
        <v/>
      </c>
      <c r="U6" s="20" t="str">
        <f>IF(D6="","",IF(VLOOKUP(CONCATENATE('Tube Cutting'!D14,'Tube Cutting'!E14),TrackManufacturing,2,FALSE)="Streamline Birch White",'Tube Cutting'!C14/1000,""))</f>
        <v/>
      </c>
      <c r="V6" s="20" t="str">
        <f>IF(D6="","",IF(VLOOKUP(CONCATENATE('Tube Cutting'!D14,'Tube Cutting'!E14),TrackManufacturing,2,FALSE)="Streamline Matt Satin",'Tube Cutting'!C14/1000,""))</f>
        <v/>
      </c>
      <c r="W6" s="20" t="str">
        <f>IF(I6="Track from TBS","",IF(Bagging!I14="White Aluminium Flick Sticks 100cm",VALUE(Bagging!J14),""))</f>
        <v/>
      </c>
      <c r="X6" s="20" t="str">
        <f>IF(I6="Track from TBS","",IF(Bagging!I14="White Aluminium Flick Sticks 125cm",VALUE(Bagging!J14),""))</f>
        <v/>
      </c>
      <c r="Y6" s="20" t="str">
        <f>IF(I6="Track from TBS","",IF(Bagging!I14="White Aluminium Flick Sticks 150cm",VALUE(Bagging!J14),""))</f>
        <v/>
      </c>
      <c r="Z6" s="20" t="str">
        <f>IF(I6="Track from TBS","",IF(Bagging!I14="Black Aluminium Flick Sticks 100cm",VALUE(Bagging!J14),""))</f>
        <v/>
      </c>
      <c r="AA6" s="20" t="str">
        <f>IF(I6="Track from TBS","",IF(Bagging!I14="Black Aluminium Flick Sticks 125cm",VALUE(Bagging!J14),""))</f>
        <v/>
      </c>
      <c r="AB6" s="20" t="str">
        <f>IF(I6="Track from TBS","",IF(Bagging!I14="Black Aluminium Flick Sticks 150cm",VALUE(Bagging!J14),""))</f>
        <v/>
      </c>
      <c r="AC6" s="20" t="str">
        <f>IF(I6="Track from TBS","",IF(Bagging!I14="Matt Satin Aluminium Flick Sticks 100cm",VALUE(Bagging!J14),""))</f>
        <v/>
      </c>
      <c r="AD6" s="20" t="str">
        <f>IF(I6="Track from TBS","",IF(Bagging!I14="Matt Satin Aluminium Flick Sticks 125cm",VALUE(Bagging!J14),""))</f>
        <v/>
      </c>
      <c r="AE6" s="20" t="str">
        <f>IF(I6="Track from TBS","",IF(Bagging!I14="Matt Satin Aluminium Flick Sticks 150cm",VALUE(Bagging!J14),""))</f>
        <v/>
      </c>
      <c r="AF6" s="20" t="str">
        <f>IF(I6="Track from TBS","",IF(Bagging!I14="Standard Clear 75cm",VALUE(Bagging!J14),""))</f>
        <v/>
      </c>
      <c r="AG6" s="20" t="str">
        <f>IF(I6="Track from TBS","",IF(Bagging!I14="Standard Clear 100cm",VALUE(Bagging!J14),""))</f>
        <v/>
      </c>
      <c r="AH6" s="20" t="str">
        <f>IF(I6="Track from TBS","",IF(Bagging!I14="Standard Clear 125cm",VALUE(Bagging!J14),""))</f>
        <v/>
      </c>
      <c r="AI6" s="20" t="str">
        <f>IF(I6="Track from TBS","",IF(Bagging!I14="Standard Clear 150cm",VALUE(Bagging!J14),""))</f>
        <v/>
      </c>
      <c r="AJ6" s="20" t="str">
        <f>IF(I6="Track from TBS","",IF(Bagging!I14="White Fibreglass 200cm",VALUE(Bagging!J14),""))</f>
        <v/>
      </c>
      <c r="AK6" s="20" t="str">
        <f>IF(I6="Track from TBS","",IF(Bagging!I14="White Fibreglass 250cm",VALUE(Bagging!J14),""))</f>
        <v/>
      </c>
      <c r="AL6" s="20" t="str">
        <f>IF(D6="","",IF(AND(VLOOKUP(CONCATENATE('Tube Cutting'!D14,'Tube Cutting'!E14),TrackManufacturing,2,FALSE)="Wavefold White",(Bagging!E14="Top Fix Brackets")),Bagging!F14,""))</f>
        <v/>
      </c>
      <c r="AM6" s="20" t="str">
        <f>IF(D6="","",IF(AND(VLOOKUP(CONCATENATE('Tube Cutting'!D14,'Tube Cutting'!E14),TrackManufacturing,2,FALSE)="Wavefold White",(Bagging!E14="Single Face Fix Brackets")),Bagging!F14,""))</f>
        <v/>
      </c>
      <c r="AN6" s="20" t="str">
        <f>IF(D6="","",IF(AND(VLOOKUP(CONCATENATE('Tube Cutting'!D14,'Tube Cutting'!E14),TrackManufacturing,2,FALSE)="Wavefold White",(Bagging!E14="Double Face Fix Brackets")),Bagging!F14,""))</f>
        <v/>
      </c>
      <c r="AO6" s="20" t="str">
        <f>IF(D6="","",IF(AND(VLOOKUP(CONCATENATE('Tube Cutting'!D14,'Tube Cutting'!E14),TrackManufacturing,2,FALSE)="Wavefold White",(Bagging!E14="Triple Face Fix Brackets")),Bagging!F14,""))</f>
        <v/>
      </c>
      <c r="AP6" s="20" t="str">
        <f>IF(D6="","",IF(AND(VLOOKUP(CONCATENATE('Tube Cutting'!D14,'Tube Cutting'!E14),TrackManufacturing,2,FALSE)="Wavefold Black",(Bagging!E14="Top Fix Brackets")),Bagging!F14,""))</f>
        <v/>
      </c>
      <c r="AQ6" s="20" t="str">
        <f>IF(D6="","",IF(AND(VLOOKUP(CONCATENATE('Tube Cutting'!D14,'Tube Cutting'!E14),TrackManufacturing,2,FALSE)="Wavefold Black",(Bagging!E14="Single Face Fix Brackets")),Bagging!F14,""))</f>
        <v/>
      </c>
      <c r="AR6" s="20" t="str">
        <f>IF(D6="","",IF(AND(VLOOKUP(CONCATENATE('Tube Cutting'!D14,'Tube Cutting'!E14),TrackManufacturing,2,FALSE)="Wavefold Black",(Bagging!E14="Double Face Fix Brackets")),Bagging!F14,""))</f>
        <v/>
      </c>
      <c r="AS6" s="20" t="str">
        <f>IF(D6="","",IF(AND(VLOOKUP(CONCATENATE('Tube Cutting'!D14,'Tube Cutting'!E14),TrackManufacturing,2,FALSE)="Wavefold Black",(Bagging!E14="Triple Face Fix Brackets")),Bagging!F14,""))</f>
        <v/>
      </c>
      <c r="AT6" s="20" t="str">
        <f>IF(D6="","",IF(AND(OR(VLOOKUP(CONCATENATE('Tube Cutting'!D14,'Tube Cutting'!E14),TrackManufacturing,2,FALSE)="Wavefold Matt Satin",VLOOKUP(CONCATENATE('Tube Cutting'!D14,'Tube Cutting'!E14),TrackManufacturing,2,FALSE)="System 20 Matt Satin"),(Bagging!E14="Top Fix Brackets")),Bagging!F14,""))</f>
        <v/>
      </c>
      <c r="AU6" s="20" t="str">
        <f>IF(D6="","",IF(AND(OR(VLOOKUP(CONCATENATE('Tube Cutting'!D14,'Tube Cutting'!E14),TrackManufacturing,2,FALSE)="Wavefold Matt Satin",VLOOKUP(CONCATENATE('Tube Cutting'!D14,'Tube Cutting'!E14),TrackManufacturing,2,FALSE)="System 20 Matt Satin"),(Bagging!E14="Single Face Fix Brackets")),Bagging!F14,""))</f>
        <v/>
      </c>
      <c r="AV6" s="20" t="str">
        <f>IF(D6="","",IF(AND(OR(VLOOKUP(CONCATENATE('Tube Cutting'!D14,'Tube Cutting'!E14),TrackManufacturing,2,FALSE)="Wavefold Matt Satin",VLOOKUP(CONCATENATE('Tube Cutting'!D14,'Tube Cutting'!E14),TrackManufacturing,2,FALSE)="System 20 Matt Satin"),(Bagging!E14="Double Face Fix Brackets")),Bagging!F14,""))</f>
        <v/>
      </c>
      <c r="AW6" s="20" t="str">
        <f>IF(D6="","",IF(AND(OR(VLOOKUP(CONCATENATE('Tube Cutting'!D14,'Tube Cutting'!E14),TrackManufacturing,2,FALSE)="Wavefold Matt Satin",VLOOKUP(CONCATENATE('Tube Cutting'!D14,'Tube Cutting'!E14),TrackManufacturing,2,FALSE)="System 20 Matt Satin"),(Bagging!E14="Triple Face Fix Brackets")),Bagging!F14,""))</f>
        <v/>
      </c>
      <c r="AX6" s="20" t="str">
        <f>IF(D6="","",IF(AND(VLOOKUP(CONCATENATE('Tube Cutting'!D14,'Tube Cutting'!E14),TrackManufacturing,2,FALSE)="Streamline White",(Bagging!E14="Nylon Top Fix Brackets")),VLOOKUP('Job Sheet'!G14,Brackets,2,TRUE),""))</f>
        <v/>
      </c>
      <c r="AY6" s="20" t="str">
        <f>IF(D6="","",IF(AND(VLOOKUP(CONCATENATE('Tube Cutting'!D14,'Tube Cutting'!E14),TrackManufacturing,2,FALSE)="Streamline White",(Bagging!E14="Metal Fix Brackets")),VLOOKUP('Job Sheet'!G14,Brackets,2,TRUE),""))</f>
        <v/>
      </c>
      <c r="AZ6" s="20" t="str">
        <f>IF(D6="","",IF(AND(VLOOKUP(CONCATENATE('Tube Cutting'!D14,'Tube Cutting'!E14),TrackManufacturing,2,FALSE)="Streamline White",(Bagging!E14="Single Face Fix Brackets")),Bagging!F14,""))</f>
        <v/>
      </c>
      <c r="BA6" s="20" t="str">
        <f>IF(D6="","",IF(AND(VLOOKUP(CONCATENATE('Tube Cutting'!D14,'Tube Cutting'!E14),TrackManufacturing,2,FALSE)="Streamline White",(Bagging!E14="Double Face Fix Brackets")),Bagging!F14,""))</f>
        <v/>
      </c>
      <c r="BB6" s="20" t="str">
        <f>IF(D6="","",IF(AND(VLOOKUP(CONCATENATE('Tube Cutting'!D14,'Tube Cutting'!E14),TrackManufacturing,2,FALSE)="Streamline White",(Bagging!E14="Triple Face Fix Brackets")),Bagging!F14,""))</f>
        <v/>
      </c>
      <c r="BC6" s="20" t="str">
        <f>IF(D6="","",IF(AND(VLOOKUP(CONCATENATE('Tube Cutting'!D14,'Tube Cutting'!E14),TrackManufacturing,2,FALSE)="Streamline White",(Bagging!E14="32mm Face Fix Brackets")),Bagging!F14,""))</f>
        <v/>
      </c>
      <c r="BD6" s="20" t="str">
        <f>IF(J6="","",IF(AND(VLOOKUP(CONCATENATE('Tube Cutting'!D14,'Tube Cutting'!E14),TrackManufacturing,2,FALSE)="Streamline Matt Black Ink",(Bagging!M14="Nylon Top Fix Brackets")),VLOOKUP('Job Sheet'!L14,Brackets,2,TRUE),""))</f>
        <v/>
      </c>
      <c r="BE6" s="20" t="str">
        <f>IF(D6="","",IF(AND(VLOOKUP(CONCATENATE('Tube Cutting'!D14,'Tube Cutting'!E14),TrackManufacturing,2,FALSE)="Streamline Matt Black Ink",(Bagging!E14="Top Fix Brackets")),Bagging!F14,""))</f>
        <v/>
      </c>
      <c r="BF6" s="20" t="str">
        <f>IF(D6="","",IF(AND(VLOOKUP(CONCATENATE('Tube Cutting'!D14,'Tube Cutting'!E14),TrackManufacturing,2,FALSE)="Streamline Matt Black Ink",(Bagging!E14="Single Face Fix Brackets")),Bagging!F14,""))</f>
        <v/>
      </c>
      <c r="BG6" s="20" t="str">
        <f>IF(D6="","",IF(AND(VLOOKUP(CONCATENATE('Tube Cutting'!D14,'Tube Cutting'!E14),TrackManufacturing,2,FALSE)="Streamline Matt Black Ink",(Bagging!E14="Double Face Fix Brackets")),Bagging!F14,""))</f>
        <v/>
      </c>
      <c r="BH6" s="20" t="str">
        <f>IF(D6="","",IF(AND(VLOOKUP(CONCATENATE('Tube Cutting'!D14,'Tube Cutting'!E14),TrackManufacturing,2,FALSE)="Streamline Matt Black Ink",(Bagging!E14="Triple Face Fix Brackets")),Bagging!F14,""))</f>
        <v/>
      </c>
      <c r="BI6" s="20" t="str">
        <f>IF(D6="","",IF(AND(VLOOKUP(CONCATENATE('Tube Cutting'!D14,'Tube Cutting'!E14),TrackManufacturing,2,FALSE)="Streamline Matt Black Ink",(Bagging!E14="32mm Face Fix Brackets")),Bagging!F14,""))</f>
        <v/>
      </c>
      <c r="BJ6" s="20" t="str">
        <f>IF(D6="","",IF(AND(VLOOKUP(CONCATENATE('Tube Cutting'!D14,'Tube Cutting'!E14),TrackManufacturing,2,FALSE)="Streamline Birch White",(Bagging!P14="Nylon Top Fix Brackets")),VLOOKUP('Job Sheet'!Q14,Brackets,2,TRUE),""))</f>
        <v/>
      </c>
      <c r="BK6" s="20" t="str">
        <f>IF(D6="","",IF(AND(VLOOKUP(CONCATENATE('Tube Cutting'!D14,'Tube Cutting'!E14),TrackManufacturing,2,FALSE)="Streamline Birch White",(Bagging!E14="Top Fix Brackets")),Bagging!F14,""))</f>
        <v/>
      </c>
      <c r="BL6" s="20" t="str">
        <f>IF(D6="","",IF(AND(VLOOKUP(CONCATENATE('Tube Cutting'!D14,'Tube Cutting'!E14),TrackManufacturing,2,FALSE)="Streamline Birch White",(Bagging!E14="Single Face Fix Brackets")),Bagging!F14,""))</f>
        <v/>
      </c>
      <c r="BM6" s="20" t="str">
        <f>IF(D6="","",IF(AND(VLOOKUP(CONCATENATE('Tube Cutting'!D14,'Tube Cutting'!E14),TrackManufacturing,2,FALSE)="Streamline Birch White",(Bagging!E14="Double Face Fix Brackets")),Bagging!F14,""))</f>
        <v/>
      </c>
      <c r="BN6" s="20" t="str">
        <f>IF(D6="","",IF(AND(VLOOKUP(CONCATENATE('Tube Cutting'!D14,'Tube Cutting'!E14),TrackManufacturing,2,FALSE)="Streamline Birch White",(Bagging!E14="Triple Face Fix Brackets")),Bagging!F14,""))</f>
        <v/>
      </c>
      <c r="BO6" s="20" t="str">
        <f>IF(D6="","",IF(AND(VLOOKUP(CONCATENATE('Tube Cutting'!D14,'Tube Cutting'!E14),TrackManufacturing,2,FALSE)="Streamline Birch White",(Bagging!E14="32mm Face Fix Brackets")),Bagging!F14,""))</f>
        <v/>
      </c>
      <c r="BP6" s="20" t="str">
        <f>IF(D6="","",IF(AND(VLOOKUP(CONCATENATE('Tube Cutting'!D14,'Tube Cutting'!E14),TrackManufacturing,2,FALSE)="Streamline Matt Satin",(Bagging!E14="Top Fix Brackets")),Bagging!F14,""))</f>
        <v/>
      </c>
      <c r="BQ6" s="20" t="str">
        <f>IF(K6="","",IF(AND(VLOOKUP(CONCATENATE('Tube Cutting'!J14,'Tube Cutting'!K14),TrackManufacturing,2,FALSE)="Streamline Matt Satin",(Bagging!K14="Top Fix Brackets")),Bagging!L14,""))</f>
        <v/>
      </c>
      <c r="BR6" s="20" t="str">
        <f>IF(K6="","",IF(AND(VLOOKUP(CONCATENATE('Tube Cutting'!J14,'Tube Cutting'!K14),TrackManufacturing,2,FALSE)="Streamline Matt Satin",(Bagging!K14="Single Face Fix Brackets")),Bagging!L14,""))</f>
        <v/>
      </c>
      <c r="BS6" s="20" t="str">
        <f>IF(D6="","",IF(AND(VLOOKUP(CONCATENATE('Tube Cutting'!D14,'Tube Cutting'!E14),TrackManufacturing,2,FALSE)="Streamline Matt Satin",(Bagging!E14="Double Face Fix Brackets")),Bagging!F14,""))</f>
        <v/>
      </c>
      <c r="BT6" s="20" t="str">
        <f>IF(D6="","",IF(AND(VLOOKUP(CONCATENATE('Tube Cutting'!D14,'Tube Cutting'!E14),TrackManufacturing,2,FALSE)="Streamline Matt Satin",(Bagging!E14="Triple Face Fix Brackets")),Bagging!F14,""))</f>
        <v/>
      </c>
      <c r="BU6" s="20" t="str">
        <f>IF(D6="","",IF(AND(VLOOKUP(CONCATENATE('Tube Cutting'!D14,'Tube Cutting'!E14),TrackManufacturing,2,FALSE)="Streamline Matt Satin",(Bagging!E14="32mm Face Fix Brackets")),Bagging!F14,""))</f>
        <v/>
      </c>
      <c r="BV6" s="20" t="str">
        <f t="shared" si="0"/>
        <v/>
      </c>
      <c r="BW6" s="20" t="str">
        <f>IF(D6="","",IF(AND(VLOOKUP(CONCATENATE('Tube Cutting'!D14,'Tube Cutting'!E14),TrackManufacturing,2,FALSE)="White",Bagging!E14="Single Face Fix Brackets"),Bagging!F14,""))</f>
        <v/>
      </c>
      <c r="BX6" s="20" t="str">
        <f>IF(AND('Tube Cutting'!E14="White",Bagging!E14="Double Face Fix Brackets"),Bagging!F14,"")</f>
        <v/>
      </c>
      <c r="BY6" s="20" t="str">
        <f>IF(AND('Tube Cutting'!E14="White",Bagging!E14="Triple Face Fix Brackets"),Bagging!F14,"")</f>
        <v/>
      </c>
      <c r="BZ6" s="20" t="str">
        <f t="shared" si="1"/>
        <v/>
      </c>
      <c r="CA6" s="20" t="str">
        <f>IF(AND('Tube Cutting'!E14="Matt Black Ink",Bagging!E14="Single Face Fix Brackets"),Bagging!F14,"")</f>
        <v/>
      </c>
      <c r="CB6" s="20" t="str">
        <f>IF(AND('Tube Cutting'!E14="Matt Black Ink",Bagging!E14="Double Face Fix Brackets"),Bagging!F14,"")</f>
        <v/>
      </c>
      <c r="CC6" s="20" t="str">
        <f>IF(AND('Tube Cutting'!E14="Matt Black Ink",Bagging!E14="Triple Fix Brackets"),Bagging!F14,"")</f>
        <v/>
      </c>
      <c r="CD6" s="20" t="str">
        <f>IF(AND('Tube Cutting'!E14="Matt Satin",Bagging!E14="Top Fix Brackets"),Bagging!F14,"")</f>
        <v/>
      </c>
      <c r="CE6" s="20" t="str">
        <f>IF(AND('Tube Cutting'!E14="Matt Satin",Bagging!E14="Single Face Fix Brackets"),Bagging!F14,"")</f>
        <v/>
      </c>
      <c r="CF6" s="20" t="str">
        <f>IF(AND('Tube Cutting'!E14="Matt Satin",Bagging!E14="Double Face Fix Brackets"),Bagging!F14,"")</f>
        <v/>
      </c>
      <c r="CG6" s="20" t="str">
        <f>IF(AND('Tube Cutting'!E14="Matt Satin",Bagging!E14="Triple Fix Brackets"),Bagging!F14,"")</f>
        <v/>
      </c>
      <c r="CH6" s="20" t="str">
        <f>IF(D6="","",IF(AND('Tube Cutting'!E14="White",(OR(Bagging!L14="Single Left",Bagging!L14="Single Left &amp; Right"))),"1",""))</f>
        <v/>
      </c>
      <c r="CI6" s="20" t="str">
        <f>IF(D6="","",IF(AND('Tube Cutting'!E14="Matt Black Ink",(OR(Bagging!L14="Single Left",Bagging!L14="Single Left &amp; Right"))),"1",""))</f>
        <v/>
      </c>
      <c r="CJ6" s="20" t="str">
        <f>IF(D6="","",IF(AND('Tube Cutting'!E14="Matt Satin",(OR(Bagging!L14="Single Left",Bagging!L14="Single Left &amp; Right"))),"1",""))</f>
        <v/>
      </c>
      <c r="CK6" s="20" t="str">
        <f>IF(D6="","",IF(AND('Tube Cutting'!E14="White",(OR(Bagging!L14="Single Right",Bagging!L14="Single Left &amp; Right"))),"1",""))</f>
        <v/>
      </c>
      <c r="CL6" s="20" t="str">
        <f>IF(D6="","",IF(AND('Tube Cutting'!E14="Matt Black Ink",(OR(Bagging!L14="Single Right",Bagging!L14="Single Left &amp; Right"))),"1",""))</f>
        <v/>
      </c>
      <c r="CM6" s="20" t="str">
        <f>IF(D6="","",IF(AND('Tube Cutting'!E14="Matt Satin",(OR(Bagging!L14="Single Right",Bagging!L14="Single Left &amp; Right"))),"1",""))</f>
        <v/>
      </c>
      <c r="CN6" s="20" t="str">
        <f>IF(D6="","",IF(AND('Tube Cutting'!E14="White",(OR(Bagging!L14="Double Left",Bagging!L14="Double Left &amp; Right"))),"1",""))</f>
        <v/>
      </c>
      <c r="CO6" s="20" t="str">
        <f>IF(D6="","",IF(AND('Tube Cutting'!E14="Matt Black Ink",(OR(Bagging!L14="Double Left",Bagging!L14="Double Left &amp; Right"))),"1",""))</f>
        <v/>
      </c>
      <c r="CP6" s="20" t="str">
        <f>IF(D6="","",IF(AND('Tube Cutting'!E14="Matt Satin",(OR(Bagging!L14="Double Left",Bagging!L14="Double Left &amp; Right"))),"1",""))</f>
        <v/>
      </c>
      <c r="CQ6" s="20" t="str">
        <f>IF(D6="","",IF(AND('Tube Cutting'!E14="White",(OR(Bagging!L14="Double Right",Bagging!L14="Double Left &amp; Right"))),"1",""))</f>
        <v/>
      </c>
      <c r="CR6" s="20" t="str">
        <f>IF(D6="","",IF(AND('Tube Cutting'!E14="Matt Black Ink",(OR(Bagging!L14="Double Right",Bagging!L14="Double Left &amp; Right"))),"1",""))</f>
        <v/>
      </c>
      <c r="CS6" s="20" t="str">
        <f>IF(D6="","",IF(AND('Tube Cutting'!E14="Matt Satin",(OR(Bagging!L14="Double Right",Bagging!L14="Double Left &amp; Right"))),"1",""))</f>
        <v/>
      </c>
      <c r="CT6" s="20" t="str">
        <f>IF(D6="","",IF(VLOOKUP(CONCATENATE('Tube Cutting'!D14,'Tube Cutting'!E14),TrackManufacturing,2,FALSE)="Streamline White",1,""))</f>
        <v/>
      </c>
      <c r="CU6" s="20" t="str">
        <f>IF(D6="","",IF(VLOOKUP(CONCATENATE('Tube Cutting'!D14,'Tube Cutting'!E14),TrackManufacturing,2,FALSE)="Streamline Matt Black Ink",1,""))</f>
        <v/>
      </c>
      <c r="CV6" s="20" t="str">
        <f>IF(D6="","",IF(VLOOKUP(CONCATENATE('Tube Cutting'!D14,'Tube Cutting'!E14),TrackManufacturing,2,FALSE)="Streamline Birch White",1,""))</f>
        <v/>
      </c>
      <c r="CW6" s="20" t="str">
        <f>IF(D6="","",IF(VLOOKUP(CONCATENATE('Tube Cutting'!D14,'Tube Cutting'!E14),TrackManufacturing,2,FALSE)="Streamline Matt Satin",1,""))</f>
        <v/>
      </c>
      <c r="CX6" s="20" t="str">
        <f>IF(D6="","",IF(AND(VLOOKUP(CONCATENATE('Tube Cutting'!D14,'Tube Cutting'!E14),TrackManufacturing,2,FALSE)="Streamline White",(OR(Assembly!F14="Centre Opening",Assembly!F14="Centre Opening - Free Flowing",Assembly!F14="Centre Opening (Offset)",Assembly!F14="Centre Opening - Free Flowing (Offset)"))),1,""))</f>
        <v/>
      </c>
      <c r="CY6" s="20" t="str">
        <f>IF(D6="","",IF(AND(VLOOKUP(CONCATENATE('Tube Cutting'!D14,'Tube Cutting'!E14),TrackManufacturing,2,FALSE)="Streamline Matt Black Ink",(OR(Assembly!F14="Centre Opening",Assembly!F14="Centre Opening - Free Flowing",Assembly!F14="Centre Opening (Offset)",Assembly!F14="Centre Opening - Free Flowing (Offset)"))),1,""))</f>
        <v/>
      </c>
      <c r="CZ6" s="20" t="str">
        <f>IF(D6="","",IF(AND(VLOOKUP(CONCATENATE('Tube Cutting'!D14,'Tube Cutting'!E14),TrackManufacturing,2,FALSE)="Streamline Birch White",(OR(Assembly!F14="Centre Opening",Assembly!F14="Centre Opening - Free Flowing",Assembly!F14="Centre Opening (Offset)",Assembly!F14="Centre Opening - Free Flowing (Offset)"))),1,""))</f>
        <v/>
      </c>
      <c r="DA6" s="20" t="str">
        <f>IF(D6="","",IF(AND(VLOOKUP(CONCATENATE('Tube Cutting'!D14,'Tube Cutting'!E14),TrackManufacturing,2,FALSE)="Streamline Matt Satin",(OR(Assembly!F14="Centre Opening",Assembly!F14="Centre Opening - Free Flowing",Assembly!F14="Centre Opening (Offset)",Assembly!F14="Centre Opening - Free Flowing (Offset)"))),1,""))</f>
        <v/>
      </c>
      <c r="DB6" s="20" t="str">
        <f>IF(OR('Job Sheet'!H14="Conduit",'Job Sheet'!H14="Conduit x 2",I6&lt;&gt;"DBS to Make"),"",IF(VLOOKUP(CONCATENATE(Assembly!C14,Assembly!F14),PulleysEndCaps,2,FALSE)="","",IF('Tube Cutting'!E14="White",VLOOKUP(CONCATENATE(Assembly!C14,Assembly!F14),PulleysEndCaps,2,FALSE),"")))</f>
        <v/>
      </c>
      <c r="DC6" s="20" t="str">
        <f>IF(OR('Job Sheet'!H14="Conduit",'Job Sheet'!H14="Conduit x 2",I6&lt;&gt;"DBS to Make"),"",IF(VLOOKUP(CONCATENATE(Assembly!C14,Assembly!F14),PulleysEndCaps,2,FALSE)="","",IF('Tube Cutting'!E14="Matt Black Ink",VLOOKUP(CONCATENATE(Assembly!C14,Assembly!F14),PulleysEndCaps,2,FALSE),"")))</f>
        <v/>
      </c>
      <c r="DD6" s="20" t="str">
        <f>IF(OR('Job Sheet'!H14="Conduit",'Job Sheet'!H14="Conduit x 2",I6&lt;&gt;"DBS to Make"),"",IF(VLOOKUP(CONCATENATE(Assembly!C14,Assembly!F14),PulleysEndCaps,2,FALSE)="","",IF('Tube Cutting'!E14="Matt Satin",VLOOKUP(CONCATENATE(Assembly!C14,Assembly!F14),PulleysEndCaps,2,FALSE),"")))</f>
        <v/>
      </c>
      <c r="DE6" s="20" t="str">
        <f>IF(OR('Job Sheet'!H14="Conduit",'Job Sheet'!H14="Conduit x 2",I6&lt;&gt;"DBS to Make"),"",IF(VLOOKUP(CONCATENATE(Assembly!C14,Assembly!F14),PulleysEndCaps,3,FALSE)="","",IF('Tube Cutting'!E14="White",VLOOKUP(CONCATENATE(Assembly!C14,Assembly!F14),PulleysEndCaps,3,FALSE),"")))</f>
        <v/>
      </c>
      <c r="DF6" s="20" t="str">
        <f>IF(OR('Job Sheet'!H14="Conduit",'Job Sheet'!H14="Conduit x 2",I6&lt;&gt;"DBS to Make"),"",IF(VLOOKUP(CONCATENATE(Assembly!C14,Assembly!F14),PulleysEndCaps,3,FALSE)="","",IF('Tube Cutting'!E14="Matt Black Ink",VLOOKUP(CONCATENATE(Assembly!C14,Assembly!F14),PulleysEndCaps,3,FALSE),"")))</f>
        <v/>
      </c>
      <c r="DG6" s="20" t="str">
        <f>IF(OR('Job Sheet'!H14="Conduit",'Job Sheet'!H14="Conduit x 2",I6&lt;&gt;"DBS to Make"),"",IF(VLOOKUP(CONCATENATE(Assembly!C14,Assembly!F14),PulleysEndCaps,3,FALSE)="","",IF('Tube Cutting'!E14="Matt Satin",VLOOKUP(CONCATENATE(Assembly!C14,Assembly!F14),PulleysEndCaps,3,FALSE),"")))</f>
        <v/>
      </c>
      <c r="DH6" s="20" t="str">
        <f>IF(OR('Job Sheet'!H14="Conduit",'Job Sheet'!H14="Conduit x 2",I6&lt;&gt;"DBS to Make"),"",IF(VLOOKUP(CONCATENATE(Assembly!C14,Assembly!F14),PulleysEndCaps,6,FALSE)="","",IF('Tube Cutting'!E14="White",VLOOKUP(CONCATENATE(Assembly!C14,Assembly!F14),PulleysEndCaps,6,FALSE),"")))</f>
        <v/>
      </c>
      <c r="DI6" s="20" t="str">
        <f>IF(OR('Job Sheet'!H14="Conduit",'Job Sheet'!H14="Conduit x 2",I6&lt;&gt;"DBS to Make"),"",IF(VLOOKUP(CONCATENATE(Assembly!C14,Assembly!F14),PulleysEndCaps,6,FALSE)="","",IF('Tube Cutting'!E14="Matt Black Ink",VLOOKUP(CONCATENATE(Assembly!C14,Assembly!F14),PulleysEndCaps,6,FALSE),"")))</f>
        <v/>
      </c>
      <c r="DJ6" s="20" t="str">
        <f>IF(OR('Job Sheet'!H14="Conduit",'Job Sheet'!H14="Conduit x 2",I6&lt;&gt;"DBS to Make"),"",IF(VLOOKUP(CONCATENATE(Assembly!C14,Assembly!F14),PulleysEndCaps,6,FALSE)="","",IF('Tube Cutting'!E14="Birch White",VLOOKUP(CONCATENATE(Assembly!C14,Assembly!F14),PulleysEndCaps,6,FALSE),"")))</f>
        <v/>
      </c>
      <c r="DK6" s="20" t="str">
        <f>IF(OR('Job Sheet'!H14="Conduit",'Job Sheet'!H14="Conduit x 2",I6&lt;&gt;"DBS to Make"),"",IF(VLOOKUP(CONCATENATE(Assembly!C14,Assembly!F14),PulleysEndCaps,6,FALSE)="","",IF('Tube Cutting'!E14="Matt Satin",VLOOKUP(CONCATENATE(Assembly!C14,Assembly!F14),PulleysEndCaps,6,FALSE),"")))</f>
        <v/>
      </c>
      <c r="DL6" s="20" t="str">
        <f>IF(OR('Job Sheet'!H14="Conduit",'Job Sheet'!H14="Conduit x 2",I6&lt;&gt;"DBS to Make"),"",IF(VLOOKUP(CONCATENATE(Assembly!C14,Assembly!F14),PulleysEndCaps,4,FALSE)="","",VLOOKUP(CONCATENATE(Assembly!C14,Assembly!F14),PulleysEndCaps,4,FALSE)))</f>
        <v/>
      </c>
      <c r="DM6" s="20" t="str">
        <f>IF(OR('Job Sheet'!H14="Conduit",'Job Sheet'!H14="Conduit x 2",I6&lt;&gt;"DBS to Make"),"",IF(VLOOKUP(CONCATENATE(Assembly!C14,Assembly!F14),PulleysEndCaps,7,FALSE)="","",VLOOKUP(CONCATENATE(Assembly!C14,Assembly!F14),PulleysEndCaps,7,FALSE)))</f>
        <v/>
      </c>
      <c r="DN6" s="20" t="str">
        <f>IF(D6="","",IF(AND(OR(VLOOKUP(CONCATENATE('Tube Cutting'!D14,'Tube Cutting'!E14),TrackManufacturing,2,FALSE)="Wavefold White",VLOOKUP(CONCATENATE('Tube Cutting'!D14,'Tube Cutting'!E14),TrackManufacturing,2,FALSE)="Wavefold Black",VLOOKUP(CONCATENATE('Tube Cutting'!D14,'Tube Cutting'!E14),TrackManufacturing,2,FALSE)="Wavefold Matt Satin",VLOOKUP(CONCATENATE('Tube Cutting'!D14,'Tube Cutting'!E14),TrackManufacturing,2,FALSE)="System 20 White",VLOOKUP(CONCATENATE('Tube Cutting'!D14,'Tube Cutting'!E14),TrackManufacturing,2,FALSE)="System 20 Black",VLOOKUP(CONCATENATE('Tube Cutting'!D14,'Tube Cutting'!E14),TrackManufacturing,2,FALSE)="System 20 Matt Satin"),'Tube Cutting'!C14&gt;6000),1,""))</f>
        <v/>
      </c>
      <c r="DO6" s="20" t="str">
        <f>IF(D6="","",IF(AND(OR(VLOOKUP(CONCATENATE('Tube Cutting'!D14,'Tube Cutting'!E14),TrackManufacturing,2,FALSE)="Streamline White",VLOOKUP(CONCATENATE('Tube Cutting'!D14,'Tube Cutting'!E14),TrackManufacturing,2,FALSE)="Streamline Black",VLOOKUP(CONCATENATE('Tube Cutting'!D14,'Tube Cutting'!E14),TrackManufacturing,2,FALSE)="Streamline Birch White",VLOOKUP(CONCATENATE('Tube Cutting'!D14,'Tube Cutting'!E14),TrackManufacturing,2,FALSE)="Streamline Matt Satin"),'Tube Cutting'!C14&gt;6000),1,""))</f>
        <v/>
      </c>
      <c r="DP6" s="20" t="str">
        <f>IF(OR('Job Sheet'!H14="Conduit",'Job Sheet'!H14="Conduit x 2",I6&lt;&gt;"DBS to Make"),"",IF(VLOOKUP(CONCATENATE(Assembly!C14,Assembly!F14),PulleysEndCaps,5,FALSE)="","",IF('Tube Cutting'!E14="White",VLOOKUP(CONCATENATE(Assembly!C14,Assembly!F14),PulleysEndCaps,5,FALSE),"")))</f>
        <v/>
      </c>
      <c r="DQ6" s="20" t="str">
        <f>IF(OR('Job Sheet'!H14="Conduit",'Job Sheet'!H14="Conduit x 2",I6&lt;&gt;"DBS to Make"),"",IF(VLOOKUP(CONCATENATE(Assembly!C14,Assembly!F14),PulleysEndCaps,5,FALSE)="","",IF('Tube Cutting'!E14="Matt Black Ink",VLOOKUP(CONCATENATE(Assembly!C14,Assembly!F14),PulleysEndCaps,5,FALSE),"")))</f>
        <v/>
      </c>
      <c r="DR6" s="20" t="str">
        <f>IF(OR('Job Sheet'!H14="Conduit",'Job Sheet'!H14="Conduit x 2",I6&lt;&gt;"DBS to Make"),"",IF(VLOOKUP(CONCATENATE(Assembly!C14,Assembly!F14),PulleysEndCaps,5,FALSE)="","",IF('Tube Cutting'!E14="Matt Satin",VLOOKUP(CONCATENATE(Assembly!C14,Assembly!F14),PulleysEndCaps,5,FALSE),"")))</f>
        <v/>
      </c>
      <c r="DS6" s="20" t="str">
        <f>IF(OR('Job Sheet'!H14="Conduit",'Job Sheet'!H14="Conduit x 2",I6&lt;&gt;"DBS to Make"),"",IF(VLOOKUP(CONCATENATE(Assembly!C14,Assembly!F14),PulleysEndCaps,5,FALSE)="","",IF('Tube Cutting'!E14="Matt Satin",VLOOKUP(CONCATENATE(Assembly!C14,Assembly!F14),PulleysEndCaps,5,FALSE),"")))</f>
        <v/>
      </c>
      <c r="DT6" s="20" t="str">
        <f>IF(OR('Job Sheet'!H14="Conduit",'Job Sheet'!H14="Conduit x 2",I6&lt;&gt;"DBS to Make"),"",IF(VLOOKUP(CONCATENATE(Assembly!C14,Assembly!F14),PulleysEndCaps,8,FALSE)="","",IF('Tube Cutting'!E14="Matt Black Ink",VLOOKUP(CONCATENATE(Assembly!C14,Assembly!F14),PulleysEndCaps,8,FALSE),"")))</f>
        <v/>
      </c>
      <c r="DU6" s="20" t="str">
        <f>IF(OR('Job Sheet'!H14="Conduit",'Job Sheet'!H14="Conduit x 2",I6&lt;&gt;"DBS to Make"),"",IF(VLOOKUP(CONCATENATE(Assembly!C14,Assembly!F14),PulleysEndCaps,8,FALSE)="","",IF('Tube Cutting'!E14="Birch White",VLOOKUP(CONCATENATE(Assembly!C14,Assembly!F14),PulleysEndCaps,8,FALSE),"")))</f>
        <v/>
      </c>
      <c r="DV6" s="20" t="str">
        <f>IF(OR('Job Sheet'!H14="Conduit",'Job Sheet'!H14="Conduit x 2",I6&lt;&gt;"DBS to Make"),"",IF(VLOOKUP(CONCATENATE(Assembly!C14,Assembly!F14),PulleysEndCaps,8,FALSE)="","",IF('Tube Cutting'!E14="Matt Satin",VLOOKUP(CONCATENATE(Assembly!C14,Assembly!F14),PulleysEndCaps,8,FALSE),"")))</f>
        <v/>
      </c>
      <c r="DW6" s="20" t="str">
        <f>IF(D6="","",IF(AND(AND(Assembly!C14="Wavefold Cord Operation",'Tube Cutting'!E14="White",'Tube Cutting'!E14),(OR(Assembly!F14="Centre Opening",Assembly!F14="Centre Opening - Free Flowing",Assembly!F14="Centre Opening (Offset)",Assembly!F14="Centre Opening - Free Flowing (Offset)"))),2,IF(AND(AND(Assembly!C14="Wavefold Cord Operation",'Tube Cutting'!E14="White",'Tube Cutting'!E14),(OR(Assembly!F14="Single Panel - Left Stacking",Assembly!F14="Single Panel - Right Stacking",Assembly!F14="Single Panel - Free Flowing"))),1,"")))</f>
        <v/>
      </c>
      <c r="DX6" s="20" t="str">
        <f>IF(D6="","",IF(AND(AND(Assembly!C14="Wavefold Cord Operation",'Tube Cutting'!E14="Matt Black Ink",'Tube Cutting'!E14),(OR(Assembly!F14="Centre Opening",Assembly!F14="Centre Opening - Free Flowing",Assembly!F14="Centre Opening (Offset)",Assembly!F14="Centre Opening - Free Flowing (Offset)"))),2,IF(AND(AND(Assembly!C14="Wavefold Cord Operation",'Tube Cutting'!E14="Matt Black Ink",'Tube Cutting'!E14),(OR(Assembly!F14="Single Panel - Left Stacking",Assembly!F14="Single Panel - Right Stacking",Assembly!F14="Single Panel - Free Flowing"))),1,"")))</f>
        <v/>
      </c>
      <c r="DY6" s="20" t="str">
        <f>IF(D6="","",IF(AND(Assembly!C14="Wavefold Hand Operation",'Tube Cutting'!E14="White"),Bagging!J14,""))</f>
        <v/>
      </c>
      <c r="DZ6" s="20" t="str">
        <f>IF(D6="","",IF(AND(Assembly!C14="Wavefold Hand Operation",(OR('Tube Cutting'!E14="White",'Tube Cutting'!E14="White"))),Bagging!J14,""))</f>
        <v/>
      </c>
      <c r="EA6" s="20" t="str">
        <f>IF(OR(D6="",'Job Sheet'!U14="Straight"),"",VLOOKUP(CONCATENATE('Job Sheet'!U14,'Job Sheet'!L14),CornerBlocks,2,FALSE))</f>
        <v/>
      </c>
      <c r="EB6" s="20" t="str">
        <f>IF(D6="","",IF(OR('Tube Cutting'!D14="Streamline Cord Operation",'Tube Cutting'!D14="Wavefold Cord Operation"),1,""))</f>
        <v/>
      </c>
      <c r="EC6" s="20" t="str">
        <f>IF(D6="","",IF(VLOOKUP(CONCATENATE('Tube Cutting'!D14,'Tube Cutting'!E14),TrackManufacturing,2,FALSE)="System 20 White",1,""))</f>
        <v/>
      </c>
      <c r="ED6" s="20" t="str">
        <f>IF(D6="","",IF(VLOOKUP(CONCATENATE('Tube Cutting'!D14,'Tube Cutting'!E14),TrackManufacturing,2,FALSE)="System 20 Black",1,""))</f>
        <v/>
      </c>
      <c r="EE6" s="20" t="str">
        <f>IF(D6="","",IF(AND(VLOOKUP(CONCATENATE('Tube Cutting'!D14,'Tube Cutting'!E14),TrackManufacturing,2,FALSE)="System 20 White",(OR(Assembly!F14="Centre Opening",Assembly!F14="Centre Opening - Free Flowing",Assembly!F14="Centre Opening (Offset)",Assembly!F14="Centre Opening - Free Flowing (Offset)"))),1,""))</f>
        <v/>
      </c>
      <c r="EF6" s="20" t="str">
        <f>IF(D6="","",IF(AND(VLOOKUP(CONCATENATE('Tube Cutting'!D14,'Tube Cutting'!E14),TrackManufacturing,2,FALSE)="System 20 Black",(OR(Assembly!F14="Centre Opening",Assembly!F14="Centre Opening - Free Flowing",Assembly!F14="Centre Opening (Offset)",Assembly!F14="Centre Opening - Free Flowing (Offset)"))),1,""))</f>
        <v/>
      </c>
      <c r="EG6" s="126" t="str">
        <f>IF(D6="","",IF(OR(VLOOKUP(CONCATENATE('Tube Cutting'!D14,'Tube Cutting'!E14),TrackManufacturing,2,FALSE)="System 20 White",VLOOKUP(CONCATENATE('Tube Cutting'!D14,'Tube Cutting'!E14),TrackManufacturing,2,FALSE)="System 20 Black",VLOOKUP(CONCATENATE('Tube Cutting'!D14,'Tube Cutting'!E14),TrackManufacturing,2,FALSE)="System 20 Matt Black Ink"),Assembly!I14,IF('Tube Cutting'!D14="SEM Streamline Hand Operation",9,"")))</f>
        <v/>
      </c>
      <c r="EH6" s="20" t="str">
        <f>IF('Tube Cutting'!D14="Conduit",'Tube Cutting'!C14,"")</f>
        <v/>
      </c>
      <c r="EI6" s="20" t="str">
        <f>IF(Bagging!E14="Muslin Brackets",2,IF(Bagging!E14="Muslin Brackets Top and Bottom",4,""))</f>
        <v/>
      </c>
      <c r="EJ6" s="20" t="str">
        <f>IF(Bagging!E14="100mm Unstayed Brackets with Acorns",2,"")</f>
        <v/>
      </c>
      <c r="EK6" s="20" t="str">
        <f>IF(Bagging!E14="25mm Brackets with Acorns",2,"")</f>
        <v/>
      </c>
      <c r="EL6" s="20" t="str">
        <f>IF(OR(Bagging!E14="25mm Brackets with Acorns",Bagging!E14="100mm Unstayed Brackets with Acorns"),2,"")</f>
        <v/>
      </c>
      <c r="FI6" s="20"/>
      <c r="FJ6" s="20"/>
    </row>
    <row r="7" spans="4:166" ht="13.2" customHeight="1">
      <c r="D7" s="20" t="str">
        <f>IF(Data!AW15="","",CONCATENATE(Data!BC$5,".",Data!BD$5))</f>
        <v/>
      </c>
      <c r="E7" s="20" t="str">
        <f>IF(D7="","",Data!AW15)</f>
        <v/>
      </c>
      <c r="F7" s="20" t="str">
        <f>IF(D7="","",Data!AV15)</f>
        <v/>
      </c>
      <c r="G7" s="20" t="str">
        <f>IF(D7="","",Data!BF$5)</f>
        <v/>
      </c>
      <c r="H7" s="20" t="str">
        <f>IF(D7="","",Data!AX$5)</f>
        <v/>
      </c>
      <c r="I7" s="20" t="str">
        <f>IF(D7="","",'Job Sheet'!AI15)</f>
        <v/>
      </c>
      <c r="J7" s="20" t="str">
        <f>IF(D7="","",IF(OR(VLOOKUP(CONCATENATE('Tube Cutting'!D15,'Tube Cutting'!E15),TrackManufacturing,2,FALSE)="Wavefold White",VLOOKUP(CONCATENATE('Tube Cutting'!D15,'Tube Cutting'!E15),TrackManufacturing,2,FALSE)="Wavefold Black",VLOOKUP(CONCATENATE('Tube Cutting'!D15,'Tube Cutting'!E15),TrackManufacturing,2,FALSE)="Wavefold Matt Satin"),('Job Sheet'!G15*2)/1000,""))</f>
        <v/>
      </c>
      <c r="K7" s="126" t="str">
        <f>IF(D7="","",IF(OR(VLOOKUP(CONCATENATE('Tube Cutting'!D15,'Tube Cutting'!E15),TrackManufacturing,2,FALSE)="Wavefold White",VLOOKUP(CONCATENATE('Tube Cutting'!D15,'Tube Cutting'!E15),TrackManufacturing,2,FALSE)="Wavefold Matt Satin"),J7*10,""))</f>
        <v/>
      </c>
      <c r="L7" s="126" t="str">
        <f>IF(D7="","",IF(VLOOKUP(CONCATENATE('Tube Cutting'!D15,'Tube Cutting'!E15),TrackManufacturing,2,FALSE)="Wavefold Black",J7*10,""))</f>
        <v/>
      </c>
      <c r="M7" s="127" t="str">
        <f>IF(D7="","",IF(OR(VLOOKUP(CONCATENATE('Tube Cutting'!D15,'Tube Cutting'!E15),TrackManufacturing,2,FALSE)="Wavefold White",VLOOKUP(CONCATENATE('Tube Cutting'!D15,'Tube Cutting'!E15),TrackManufacturing,2,FALSE)="System 20 White"),'Tube Cutting'!C15/1000,""))</f>
        <v/>
      </c>
      <c r="N7" s="127" t="str">
        <f>IF(D7="","",IF(VLOOKUP(CONCATENATE('Tube Cutting'!D15,'Tube Cutting'!E15),TrackManufacturing,2,FALSE)="Wavefold Black",'Tube Cutting'!C15/1000,""))</f>
        <v/>
      </c>
      <c r="O7" s="127" t="str">
        <f>IF(D7="","",IF(OR(VLOOKUP(CONCATENATE('Tube Cutting'!D15,'Tube Cutting'!E15),TrackManufacturing,2,FALSE)="Wavefold Matt Satin",VLOOKUP(CONCATENATE('Tube Cutting'!D15,'Tube Cutting'!E15),TrackManufacturing,2,FALSE)="System 20 Matt Satin"),'Tube Cutting'!C15/1000,""))</f>
        <v/>
      </c>
      <c r="P7" s="126" t="str">
        <f>IF(D7="","",IF(AND((OR('Tube Cutting'!E15="White",'Tube Cutting'!E15="Matt Satin")),(OR('Tube Cutting'!D15="Wavefold Hand Operation",'Tube Cutting'!D15="Wavefold Cord Operation"))),IF(M7="",O7*20,M7*20),""))</f>
        <v/>
      </c>
      <c r="Q7" s="126" t="str">
        <f>IF(D7="","",IF(AND('Tube Cutting'!E15="Matt Black Ink",(OR('Tube Cutting'!D15="Wavefold Hand Operation",'Tube Cutting'!D15="Wavefold Cord Operation"))),N7*20,""))</f>
        <v/>
      </c>
      <c r="R7" s="126" t="str">
        <f>IF(D7="","",IF(OR('Tube Cutting'!D15="Streamline Hand Operation",'Tube Cutting'!D15="Streamline Cord Operation"),Assembly!I15,""))</f>
        <v/>
      </c>
      <c r="S7" s="20" t="str">
        <f>IF(D7="","",IF(VLOOKUP(CONCATENATE('Tube Cutting'!D15,'Tube Cutting'!E15),TrackManufacturing,2,FALSE)="Streamline White",'Tube Cutting'!C15/1000,""))</f>
        <v/>
      </c>
      <c r="T7" s="20" t="str">
        <f>IF(D7="","",IF(VLOOKUP(CONCATENATE('Tube Cutting'!D15,'Tube Cutting'!E15),TrackManufacturing,2,FALSE)="Streamline Matt Black Ink",'Tube Cutting'!C15/1000,""))</f>
        <v/>
      </c>
      <c r="U7" s="20" t="str">
        <f>IF(D7="","",IF(VLOOKUP(CONCATENATE('Tube Cutting'!D15,'Tube Cutting'!E15),TrackManufacturing,2,FALSE)="Streamline Birch White",'Tube Cutting'!C15/1000,""))</f>
        <v/>
      </c>
      <c r="V7" s="20" t="str">
        <f>IF(D7="","",IF(VLOOKUP(CONCATENATE('Tube Cutting'!D15,'Tube Cutting'!E15),TrackManufacturing,2,FALSE)="Streamline Matt Satin",'Tube Cutting'!C15/1000,""))</f>
        <v/>
      </c>
      <c r="W7" s="20" t="str">
        <f>IF(I7="Track from TBS","",IF(Bagging!I15="White Aluminium Flick Sticks 100cm",VALUE(Bagging!J15),""))</f>
        <v/>
      </c>
      <c r="X7" s="20" t="str">
        <f>IF(I7="Track from TBS","",IF(Bagging!I15="White Aluminium Flick Sticks 125cm",VALUE(Bagging!J15),""))</f>
        <v/>
      </c>
      <c r="Y7" s="20" t="str">
        <f>IF(I7="Track from TBS","",IF(Bagging!I15="White Aluminium Flick Sticks 150cm",VALUE(Bagging!J15),""))</f>
        <v/>
      </c>
      <c r="Z7" s="20" t="str">
        <f>IF(I7="Track from TBS","",IF(Bagging!I15="Black Aluminium Flick Sticks 100cm",VALUE(Bagging!J15),""))</f>
        <v/>
      </c>
      <c r="AA7" s="20" t="str">
        <f>IF(I7="Track from TBS","",IF(Bagging!I15="Black Aluminium Flick Sticks 125cm",VALUE(Bagging!J15),""))</f>
        <v/>
      </c>
      <c r="AB7" s="20" t="str">
        <f>IF(I7="Track from TBS","",IF(Bagging!I15="Black Aluminium Flick Sticks 150cm",VALUE(Bagging!J15),""))</f>
        <v/>
      </c>
      <c r="AC7" s="20" t="str">
        <f>IF(I7="Track from TBS","",IF(Bagging!I15="Matt Satin Aluminium Flick Sticks 100cm",VALUE(Bagging!J15),""))</f>
        <v/>
      </c>
      <c r="AD7" s="20" t="str">
        <f>IF(I7="Track from TBS","",IF(Bagging!I15="Matt Satin Aluminium Flick Sticks 125cm",VALUE(Bagging!J15),""))</f>
        <v/>
      </c>
      <c r="AE7" s="20" t="str">
        <f>IF(I7="Track from TBS","",IF(Bagging!I15="Matt Satin Aluminium Flick Sticks 150cm",VALUE(Bagging!J15),""))</f>
        <v/>
      </c>
      <c r="AF7" s="20" t="str">
        <f>IF(I7="Track from TBS","",IF(Bagging!I15="Standard Clear 75cm",VALUE(Bagging!J15),""))</f>
        <v/>
      </c>
      <c r="AG7" s="20" t="str">
        <f>IF(I7="Track from TBS","",IF(Bagging!I15="Standard Clear 100cm",VALUE(Bagging!J15),""))</f>
        <v/>
      </c>
      <c r="AH7" s="20" t="str">
        <f>IF(I7="Track from TBS","",IF(Bagging!I15="Standard Clear 125cm",VALUE(Bagging!J15),""))</f>
        <v/>
      </c>
      <c r="AI7" s="20" t="str">
        <f>IF(I7="Track from TBS","",IF(Bagging!I15="Standard Clear 150cm",VALUE(Bagging!J15),""))</f>
        <v/>
      </c>
      <c r="AJ7" s="20" t="str">
        <f>IF(I7="Track from TBS","",IF(Bagging!I15="White Fibreglass 200cm",VALUE(Bagging!J15),""))</f>
        <v/>
      </c>
      <c r="AK7" s="20" t="str">
        <f>IF(I7="Track from TBS","",IF(Bagging!I15="White Fibreglass 250cm",VALUE(Bagging!J15),""))</f>
        <v/>
      </c>
      <c r="AL7" s="20" t="str">
        <f>IF(D7="","",IF(AND(VLOOKUP(CONCATENATE('Tube Cutting'!D15,'Tube Cutting'!E15),TrackManufacturing,2,FALSE)="Wavefold White",(Bagging!E15="Top Fix Brackets")),Bagging!F15,""))</f>
        <v/>
      </c>
      <c r="AM7" s="20" t="str">
        <f>IF(D7="","",IF(AND(VLOOKUP(CONCATENATE('Tube Cutting'!D15,'Tube Cutting'!E15),TrackManufacturing,2,FALSE)="Wavefold White",(Bagging!E15="Single Face Fix Brackets")),Bagging!F15,""))</f>
        <v/>
      </c>
      <c r="AN7" s="20" t="str">
        <f>IF(D7="","",IF(AND(VLOOKUP(CONCATENATE('Tube Cutting'!D15,'Tube Cutting'!E15),TrackManufacturing,2,FALSE)="Wavefold White",(Bagging!E15="Double Face Fix Brackets")),Bagging!F15,""))</f>
        <v/>
      </c>
      <c r="AO7" s="20" t="str">
        <f>IF(D7="","",IF(AND(VLOOKUP(CONCATENATE('Tube Cutting'!D15,'Tube Cutting'!E15),TrackManufacturing,2,FALSE)="Wavefold White",(Bagging!E15="Triple Face Fix Brackets")),Bagging!F15,""))</f>
        <v/>
      </c>
      <c r="AP7" s="20" t="str">
        <f>IF(D7="","",IF(AND(VLOOKUP(CONCATENATE('Tube Cutting'!D15,'Tube Cutting'!E15),TrackManufacturing,2,FALSE)="Wavefold Black",(Bagging!E15="Top Fix Brackets")),Bagging!F15,""))</f>
        <v/>
      </c>
      <c r="AQ7" s="20" t="str">
        <f>IF(D7="","",IF(AND(VLOOKUP(CONCATENATE('Tube Cutting'!D15,'Tube Cutting'!E15),TrackManufacturing,2,FALSE)="Wavefold Black",(Bagging!E15="Single Face Fix Brackets")),Bagging!F15,""))</f>
        <v/>
      </c>
      <c r="AR7" s="20" t="str">
        <f>IF(D7="","",IF(AND(VLOOKUP(CONCATENATE('Tube Cutting'!D15,'Tube Cutting'!E15),TrackManufacturing,2,FALSE)="Wavefold Black",(Bagging!E15="Double Face Fix Brackets")),Bagging!F15,""))</f>
        <v/>
      </c>
      <c r="AS7" s="20" t="str">
        <f>IF(D7="","",IF(AND(VLOOKUP(CONCATENATE('Tube Cutting'!D15,'Tube Cutting'!E15),TrackManufacturing,2,FALSE)="Wavefold Black",(Bagging!E15="Triple Face Fix Brackets")),Bagging!F15,""))</f>
        <v/>
      </c>
      <c r="AT7" s="20" t="str">
        <f>IF(D7="","",IF(AND(OR(VLOOKUP(CONCATENATE('Tube Cutting'!D15,'Tube Cutting'!E15),TrackManufacturing,2,FALSE)="Wavefold Matt Satin",VLOOKUP(CONCATENATE('Tube Cutting'!D15,'Tube Cutting'!E15),TrackManufacturing,2,FALSE)="System 20 Matt Satin"),(Bagging!E15="Top Fix Brackets")),Bagging!F15,""))</f>
        <v/>
      </c>
      <c r="AU7" s="20" t="str">
        <f>IF(D7="","",IF(AND(OR(VLOOKUP(CONCATENATE('Tube Cutting'!D15,'Tube Cutting'!E15),TrackManufacturing,2,FALSE)="Wavefold Matt Satin",VLOOKUP(CONCATENATE('Tube Cutting'!D15,'Tube Cutting'!E15),TrackManufacturing,2,FALSE)="System 20 Matt Satin"),(Bagging!E15="Single Face Fix Brackets")),Bagging!F15,""))</f>
        <v/>
      </c>
      <c r="AV7" s="20" t="str">
        <f>IF(D7="","",IF(AND(OR(VLOOKUP(CONCATENATE('Tube Cutting'!D15,'Tube Cutting'!E15),TrackManufacturing,2,FALSE)="Wavefold Matt Satin",VLOOKUP(CONCATENATE('Tube Cutting'!D15,'Tube Cutting'!E15),TrackManufacturing,2,FALSE)="System 20 Matt Satin"),(Bagging!E15="Double Face Fix Brackets")),Bagging!F15,""))</f>
        <v/>
      </c>
      <c r="AW7" s="20" t="str">
        <f>IF(D7="","",IF(AND(OR(VLOOKUP(CONCATENATE('Tube Cutting'!D15,'Tube Cutting'!E15),TrackManufacturing,2,FALSE)="Wavefold Matt Satin",VLOOKUP(CONCATENATE('Tube Cutting'!D15,'Tube Cutting'!E15),TrackManufacturing,2,FALSE)="System 20 Matt Satin"),(Bagging!E15="Triple Face Fix Brackets")),Bagging!F15,""))</f>
        <v/>
      </c>
      <c r="AX7" s="20" t="str">
        <f>IF(D7="","",IF(AND(VLOOKUP(CONCATENATE('Tube Cutting'!D15,'Tube Cutting'!E15),TrackManufacturing,2,FALSE)="Streamline White",(Bagging!E15="Nylon Top Fix Brackets")),VLOOKUP('Job Sheet'!G15,Brackets,2,TRUE),""))</f>
        <v/>
      </c>
      <c r="AY7" s="20" t="str">
        <f>IF(D7="","",IF(AND(VLOOKUP(CONCATENATE('Tube Cutting'!D15,'Tube Cutting'!E15),TrackManufacturing,2,FALSE)="Streamline White",(Bagging!E15="Metal Fix Brackets")),VLOOKUP('Job Sheet'!G15,Brackets,2,TRUE),""))</f>
        <v/>
      </c>
      <c r="AZ7" s="20" t="str">
        <f>IF(D7="","",IF(AND(VLOOKUP(CONCATENATE('Tube Cutting'!D15,'Tube Cutting'!E15),TrackManufacturing,2,FALSE)="Streamline White",(Bagging!E15="Single Face Fix Brackets")),Bagging!F15,""))</f>
        <v/>
      </c>
      <c r="BA7" s="20" t="str">
        <f>IF(D7="","",IF(AND(VLOOKUP(CONCATENATE('Tube Cutting'!D15,'Tube Cutting'!E15),TrackManufacturing,2,FALSE)="Streamline White",(Bagging!E15="Double Face Fix Brackets")),Bagging!F15,""))</f>
        <v/>
      </c>
      <c r="BB7" s="20" t="str">
        <f>IF(D7="","",IF(AND(VLOOKUP(CONCATENATE('Tube Cutting'!D15,'Tube Cutting'!E15),TrackManufacturing,2,FALSE)="Streamline White",(Bagging!E15="Triple Face Fix Brackets")),Bagging!F15,""))</f>
        <v/>
      </c>
      <c r="BC7" s="20" t="str">
        <f>IF(D7="","",IF(AND(VLOOKUP(CONCATENATE('Tube Cutting'!D15,'Tube Cutting'!E15),TrackManufacturing,2,FALSE)="Streamline White",(Bagging!E15="32mm Face Fix Brackets")),Bagging!F15,""))</f>
        <v/>
      </c>
      <c r="BD7" s="20" t="str">
        <f>IF(J7="","",IF(AND(VLOOKUP(CONCATENATE('Tube Cutting'!D15,'Tube Cutting'!E15),TrackManufacturing,2,FALSE)="Streamline Matt Black Ink",(Bagging!M15="Nylon Top Fix Brackets")),VLOOKUP('Job Sheet'!L15,Brackets,2,TRUE),""))</f>
        <v/>
      </c>
      <c r="BE7" s="20" t="str">
        <f>IF(D7="","",IF(AND(VLOOKUP(CONCATENATE('Tube Cutting'!D15,'Tube Cutting'!E15),TrackManufacturing,2,FALSE)="Streamline Matt Black Ink",(Bagging!E15="Top Fix Brackets")),Bagging!F15,""))</f>
        <v/>
      </c>
      <c r="BF7" s="20" t="str">
        <f>IF(D7="","",IF(AND(VLOOKUP(CONCATENATE('Tube Cutting'!D15,'Tube Cutting'!E15),TrackManufacturing,2,FALSE)="Streamline Matt Black Ink",(Bagging!E15="Single Face Fix Brackets")),Bagging!F15,""))</f>
        <v/>
      </c>
      <c r="BG7" s="20" t="str">
        <f>IF(D7="","",IF(AND(VLOOKUP(CONCATENATE('Tube Cutting'!D15,'Tube Cutting'!E15),TrackManufacturing,2,FALSE)="Streamline Matt Black Ink",(Bagging!E15="Double Face Fix Brackets")),Bagging!F15,""))</f>
        <v/>
      </c>
      <c r="BH7" s="20" t="str">
        <f>IF(D7="","",IF(AND(VLOOKUP(CONCATENATE('Tube Cutting'!D15,'Tube Cutting'!E15),TrackManufacturing,2,FALSE)="Streamline Matt Black Ink",(Bagging!E15="Triple Face Fix Brackets")),Bagging!F15,""))</f>
        <v/>
      </c>
      <c r="BI7" s="20" t="str">
        <f>IF(D7="","",IF(AND(VLOOKUP(CONCATENATE('Tube Cutting'!D15,'Tube Cutting'!E15),TrackManufacturing,2,FALSE)="Streamline Matt Black Ink",(Bagging!E15="32mm Face Fix Brackets")),Bagging!F15,""))</f>
        <v/>
      </c>
      <c r="BJ7" s="20" t="str">
        <f>IF(D7="","",IF(AND(VLOOKUP(CONCATENATE('Tube Cutting'!D15,'Tube Cutting'!E15),TrackManufacturing,2,FALSE)="Streamline Birch White",(Bagging!P15="Nylon Top Fix Brackets")),VLOOKUP('Job Sheet'!Q15,Brackets,2,TRUE),""))</f>
        <v/>
      </c>
      <c r="BK7" s="20" t="str">
        <f>IF(D7="","",IF(AND(VLOOKUP(CONCATENATE('Tube Cutting'!D15,'Tube Cutting'!E15),TrackManufacturing,2,FALSE)="Streamline Birch White",(Bagging!E15="Top Fix Brackets")),Bagging!F15,""))</f>
        <v/>
      </c>
      <c r="BL7" s="20" t="str">
        <f>IF(D7="","",IF(AND(VLOOKUP(CONCATENATE('Tube Cutting'!D15,'Tube Cutting'!E15),TrackManufacturing,2,FALSE)="Streamline Birch White",(Bagging!E15="Single Face Fix Brackets")),Bagging!F15,""))</f>
        <v/>
      </c>
      <c r="BM7" s="20" t="str">
        <f>IF(D7="","",IF(AND(VLOOKUP(CONCATENATE('Tube Cutting'!D15,'Tube Cutting'!E15),TrackManufacturing,2,FALSE)="Streamline Birch White",(Bagging!E15="Double Face Fix Brackets")),Bagging!F15,""))</f>
        <v/>
      </c>
      <c r="BN7" s="20" t="str">
        <f>IF(D7="","",IF(AND(VLOOKUP(CONCATENATE('Tube Cutting'!D15,'Tube Cutting'!E15),TrackManufacturing,2,FALSE)="Streamline Birch White",(Bagging!E15="Triple Face Fix Brackets")),Bagging!F15,""))</f>
        <v/>
      </c>
      <c r="BO7" s="20" t="str">
        <f>IF(D7="","",IF(AND(VLOOKUP(CONCATENATE('Tube Cutting'!D15,'Tube Cutting'!E15),TrackManufacturing,2,FALSE)="Streamline Birch White",(Bagging!E15="32mm Face Fix Brackets")),Bagging!F15,""))</f>
        <v/>
      </c>
      <c r="BP7" s="20" t="str">
        <f>IF(D7="","",IF(AND(VLOOKUP(CONCATENATE('Tube Cutting'!D15,'Tube Cutting'!E15),TrackManufacturing,2,FALSE)="Streamline Matt Satin",(Bagging!E15="Top Fix Brackets")),Bagging!F15,""))</f>
        <v/>
      </c>
      <c r="BQ7" s="20" t="str">
        <f>IF(K7="","",IF(AND(VLOOKUP(CONCATENATE('Tube Cutting'!J15,'Tube Cutting'!K15),TrackManufacturing,2,FALSE)="Streamline Matt Satin",(Bagging!K15="Top Fix Brackets")),Bagging!L15,""))</f>
        <v/>
      </c>
      <c r="BR7" s="20" t="str">
        <f>IF(K7="","",IF(AND(VLOOKUP(CONCATENATE('Tube Cutting'!J15,'Tube Cutting'!K15),TrackManufacturing,2,FALSE)="Streamline Matt Satin",(Bagging!K15="Single Face Fix Brackets")),Bagging!L15,""))</f>
        <v/>
      </c>
      <c r="BS7" s="20" t="str">
        <f>IF(D7="","",IF(AND(VLOOKUP(CONCATENATE('Tube Cutting'!D15,'Tube Cutting'!E15),TrackManufacturing,2,FALSE)="Streamline Matt Satin",(Bagging!E15="Double Face Fix Brackets")),Bagging!F15,""))</f>
        <v/>
      </c>
      <c r="BT7" s="20" t="str">
        <f>IF(D7="","",IF(AND(VLOOKUP(CONCATENATE('Tube Cutting'!D15,'Tube Cutting'!E15),TrackManufacturing,2,FALSE)="Streamline Matt Satin",(Bagging!E15="Triple Face Fix Brackets")),Bagging!F15,""))</f>
        <v/>
      </c>
      <c r="BU7" s="20" t="str">
        <f>IF(D7="","",IF(AND(VLOOKUP(CONCATENATE('Tube Cutting'!D15,'Tube Cutting'!E15),TrackManufacturing,2,FALSE)="Streamline Matt Satin",(Bagging!E15="32mm Face Fix Brackets")),Bagging!F15,""))</f>
        <v/>
      </c>
      <c r="BV7" s="20" t="str">
        <f t="shared" si="0"/>
        <v/>
      </c>
      <c r="BW7" s="20" t="str">
        <f>IF(D7="","",IF(AND(VLOOKUP(CONCATENATE('Tube Cutting'!D15,'Tube Cutting'!E15),TrackManufacturing,2,FALSE)="White",Bagging!E15="Single Face Fix Brackets"),Bagging!F15,""))</f>
        <v/>
      </c>
      <c r="BX7" s="20" t="str">
        <f>IF(AND('Tube Cutting'!E15="White",Bagging!E15="Double Face Fix Brackets"),Bagging!F15,"")</f>
        <v/>
      </c>
      <c r="BY7" s="20" t="str">
        <f>IF(AND('Tube Cutting'!E15="White",Bagging!E15="Triple Face Fix Brackets"),Bagging!F15,"")</f>
        <v/>
      </c>
      <c r="BZ7" s="20" t="str">
        <f t="shared" si="1"/>
        <v/>
      </c>
      <c r="CA7" s="20" t="str">
        <f>IF(AND('Tube Cutting'!E15="Matt Black Ink",Bagging!E15="Single Face Fix Brackets"),Bagging!F15,"")</f>
        <v/>
      </c>
      <c r="CB7" s="20" t="str">
        <f>IF(AND('Tube Cutting'!E15="Matt Black Ink",Bagging!E15="Double Face Fix Brackets"),Bagging!F15,"")</f>
        <v/>
      </c>
      <c r="CC7" s="20" t="str">
        <f>IF(AND('Tube Cutting'!E15="Matt Black Ink",Bagging!E15="Triple Fix Brackets"),Bagging!F15,"")</f>
        <v/>
      </c>
      <c r="CD7" s="20" t="str">
        <f>IF(AND('Tube Cutting'!E15="Matt Satin",Bagging!E15="Top Fix Brackets"),Bagging!F15,"")</f>
        <v/>
      </c>
      <c r="CE7" s="20" t="str">
        <f>IF(AND('Tube Cutting'!E15="Matt Satin",Bagging!E15="Single Face Fix Brackets"),Bagging!F15,"")</f>
        <v/>
      </c>
      <c r="CF7" s="20" t="str">
        <f>IF(AND('Tube Cutting'!E15="Matt Satin",Bagging!E15="Double Face Fix Brackets"),Bagging!F15,"")</f>
        <v/>
      </c>
      <c r="CG7" s="20" t="str">
        <f>IF(AND('Tube Cutting'!E15="Matt Satin",Bagging!E15="Triple Fix Brackets"),Bagging!F15,"")</f>
        <v/>
      </c>
      <c r="CH7" s="20" t="str">
        <f>IF(D7="","",IF(AND('Tube Cutting'!E15="White",(OR(Bagging!L15="Single Left",Bagging!L15="Single Left &amp; Right"))),"1",""))</f>
        <v/>
      </c>
      <c r="CI7" s="20" t="str">
        <f>IF(D7="","",IF(AND('Tube Cutting'!E15="Matt Black Ink",(OR(Bagging!L15="Single Left",Bagging!L15="Single Left &amp; Right"))),"1",""))</f>
        <v/>
      </c>
      <c r="CJ7" s="20" t="str">
        <f>IF(D7="","",IF(AND('Tube Cutting'!E15="Matt Satin",(OR(Bagging!L15="Single Left",Bagging!L15="Single Left &amp; Right"))),"1",""))</f>
        <v/>
      </c>
      <c r="CK7" s="20" t="str">
        <f>IF(D7="","",IF(AND('Tube Cutting'!E15="White",(OR(Bagging!L15="Single Right",Bagging!L15="Single Left &amp; Right"))),"1",""))</f>
        <v/>
      </c>
      <c r="CL7" s="20" t="str">
        <f>IF(D7="","",IF(AND('Tube Cutting'!E15="Matt Black Ink",(OR(Bagging!L15="Single Right",Bagging!L15="Single Left &amp; Right"))),"1",""))</f>
        <v/>
      </c>
      <c r="CM7" s="20" t="str">
        <f>IF(D7="","",IF(AND('Tube Cutting'!E15="Matt Satin",(OR(Bagging!L15="Single Right",Bagging!L15="Single Left &amp; Right"))),"1",""))</f>
        <v/>
      </c>
      <c r="CN7" s="20" t="str">
        <f>IF(D7="","",IF(AND('Tube Cutting'!E15="White",(OR(Bagging!L15="Double Left",Bagging!L15="Double Left &amp; Right"))),"1",""))</f>
        <v/>
      </c>
      <c r="CO7" s="20" t="str">
        <f>IF(D7="","",IF(AND('Tube Cutting'!E15="Matt Black Ink",(OR(Bagging!L15="Double Left",Bagging!L15="Double Left &amp; Right"))),"1",""))</f>
        <v/>
      </c>
      <c r="CP7" s="20" t="str">
        <f>IF(D7="","",IF(AND('Tube Cutting'!E15="Matt Satin",(OR(Bagging!L15="Double Left",Bagging!L15="Double Left &amp; Right"))),"1",""))</f>
        <v/>
      </c>
      <c r="CQ7" s="20" t="str">
        <f>IF(D7="","",IF(AND('Tube Cutting'!E15="White",(OR(Bagging!L15="Double Right",Bagging!L15="Double Left &amp; Right"))),"1",""))</f>
        <v/>
      </c>
      <c r="CR7" s="20" t="str">
        <f>IF(D7="","",IF(AND('Tube Cutting'!E15="Matt Black Ink",(OR(Bagging!L15="Double Right",Bagging!L15="Double Left &amp; Right"))),"1",""))</f>
        <v/>
      </c>
      <c r="CS7" s="20" t="str">
        <f>IF(D7="","",IF(AND('Tube Cutting'!E15="Matt Satin",(OR(Bagging!L15="Double Right",Bagging!L15="Double Left &amp; Right"))),"1",""))</f>
        <v/>
      </c>
      <c r="CT7" s="20" t="str">
        <f>IF(D7="","",IF(VLOOKUP(CONCATENATE('Tube Cutting'!D15,'Tube Cutting'!E15),TrackManufacturing,2,FALSE)="Streamline White",1,""))</f>
        <v/>
      </c>
      <c r="CU7" s="20" t="str">
        <f>IF(D7="","",IF(VLOOKUP(CONCATENATE('Tube Cutting'!D15,'Tube Cutting'!E15),TrackManufacturing,2,FALSE)="Streamline Matt Black Ink",1,""))</f>
        <v/>
      </c>
      <c r="CV7" s="20" t="str">
        <f>IF(D7="","",IF(VLOOKUP(CONCATENATE('Tube Cutting'!D15,'Tube Cutting'!E15),TrackManufacturing,2,FALSE)="Streamline Birch White",1,""))</f>
        <v/>
      </c>
      <c r="CW7" s="20" t="str">
        <f>IF(D7="","",IF(VLOOKUP(CONCATENATE('Tube Cutting'!D15,'Tube Cutting'!E15),TrackManufacturing,2,FALSE)="Streamline Matt Satin",1,""))</f>
        <v/>
      </c>
      <c r="CX7" s="20" t="str">
        <f>IF(D7="","",IF(AND(VLOOKUP(CONCATENATE('Tube Cutting'!D15,'Tube Cutting'!E15),TrackManufacturing,2,FALSE)="Streamline White",(OR(Assembly!F15="Centre Opening",Assembly!F15="Centre Opening - Free Flowing",Assembly!F15="Centre Opening (Offset)",Assembly!F15="Centre Opening - Free Flowing (Offset)"))),1,""))</f>
        <v/>
      </c>
      <c r="CY7" s="20" t="str">
        <f>IF(D7="","",IF(AND(VLOOKUP(CONCATENATE('Tube Cutting'!D15,'Tube Cutting'!E15),TrackManufacturing,2,FALSE)="Streamline Matt Black Ink",(OR(Assembly!F15="Centre Opening",Assembly!F15="Centre Opening - Free Flowing",Assembly!F15="Centre Opening (Offset)",Assembly!F15="Centre Opening - Free Flowing (Offset)"))),1,""))</f>
        <v/>
      </c>
      <c r="CZ7" s="20" t="str">
        <f>IF(D7="","",IF(AND(VLOOKUP(CONCATENATE('Tube Cutting'!D15,'Tube Cutting'!E15),TrackManufacturing,2,FALSE)="Streamline Birch White",(OR(Assembly!F15="Centre Opening",Assembly!F15="Centre Opening - Free Flowing",Assembly!F15="Centre Opening (Offset)",Assembly!F15="Centre Opening - Free Flowing (Offset)"))),1,""))</f>
        <v/>
      </c>
      <c r="DA7" s="20" t="str">
        <f>IF(D7="","",IF(AND(VLOOKUP(CONCATENATE('Tube Cutting'!D15,'Tube Cutting'!E15),TrackManufacturing,2,FALSE)="Streamline Matt Satin",(OR(Assembly!F15="Centre Opening",Assembly!F15="Centre Opening - Free Flowing",Assembly!F15="Centre Opening (Offset)",Assembly!F15="Centre Opening - Free Flowing (Offset)"))),1,""))</f>
        <v/>
      </c>
      <c r="DB7" s="20" t="str">
        <f>IF(OR('Job Sheet'!H15="Conduit",'Job Sheet'!H15="Conduit x 2",I7&lt;&gt;"DBS to Make"),"",IF(VLOOKUP(CONCATENATE(Assembly!C15,Assembly!F15),PulleysEndCaps,2,FALSE)="","",IF('Tube Cutting'!E15="White",VLOOKUP(CONCATENATE(Assembly!C15,Assembly!F15),PulleysEndCaps,2,FALSE),"")))</f>
        <v/>
      </c>
      <c r="DC7" s="20" t="str">
        <f>IF(OR('Job Sheet'!H15="Conduit",'Job Sheet'!H15="Conduit x 2",I7&lt;&gt;"DBS to Make"),"",IF(VLOOKUP(CONCATENATE(Assembly!C15,Assembly!F15),PulleysEndCaps,2,FALSE)="","",IF('Tube Cutting'!E15="Matt Black Ink",VLOOKUP(CONCATENATE(Assembly!C15,Assembly!F15),PulleysEndCaps,2,FALSE),"")))</f>
        <v/>
      </c>
      <c r="DD7" s="20" t="str">
        <f>IF(OR('Job Sheet'!H15="Conduit",'Job Sheet'!H15="Conduit x 2",I7&lt;&gt;"DBS to Make"),"",IF(VLOOKUP(CONCATENATE(Assembly!C15,Assembly!F15),PulleysEndCaps,2,FALSE)="","",IF('Tube Cutting'!E15="Matt Satin",VLOOKUP(CONCATENATE(Assembly!C15,Assembly!F15),PulleysEndCaps,2,FALSE),"")))</f>
        <v/>
      </c>
      <c r="DE7" s="20" t="str">
        <f>IF(OR('Job Sheet'!H15="Conduit",'Job Sheet'!H15="Conduit x 2",I7&lt;&gt;"DBS to Make"),"",IF(VLOOKUP(CONCATENATE(Assembly!C15,Assembly!F15),PulleysEndCaps,3,FALSE)="","",IF('Tube Cutting'!E15="White",VLOOKUP(CONCATENATE(Assembly!C15,Assembly!F15),PulleysEndCaps,3,FALSE),"")))</f>
        <v/>
      </c>
      <c r="DF7" s="20" t="str">
        <f>IF(OR('Job Sheet'!H15="Conduit",'Job Sheet'!H15="Conduit x 2",I7&lt;&gt;"DBS to Make"),"",IF(VLOOKUP(CONCATENATE(Assembly!C15,Assembly!F15),PulleysEndCaps,3,FALSE)="","",IF('Tube Cutting'!E15="Matt Black Ink",VLOOKUP(CONCATENATE(Assembly!C15,Assembly!F15),PulleysEndCaps,3,FALSE),"")))</f>
        <v/>
      </c>
      <c r="DG7" s="20" t="str">
        <f>IF(OR('Job Sheet'!H15="Conduit",'Job Sheet'!H15="Conduit x 2",I7&lt;&gt;"DBS to Make"),"",IF(VLOOKUP(CONCATENATE(Assembly!C15,Assembly!F15),PulleysEndCaps,3,FALSE)="","",IF('Tube Cutting'!E15="Matt Satin",VLOOKUP(CONCATENATE(Assembly!C15,Assembly!F15),PulleysEndCaps,3,FALSE),"")))</f>
        <v/>
      </c>
      <c r="DH7" s="20" t="str">
        <f>IF(OR('Job Sheet'!H15="Conduit",'Job Sheet'!H15="Conduit x 2",I7&lt;&gt;"DBS to Make"),"",IF(VLOOKUP(CONCATENATE(Assembly!C15,Assembly!F15),PulleysEndCaps,6,FALSE)="","",IF('Tube Cutting'!E15="White",VLOOKUP(CONCATENATE(Assembly!C15,Assembly!F15),PulleysEndCaps,6,FALSE),"")))</f>
        <v/>
      </c>
      <c r="DI7" s="20" t="str">
        <f>IF(OR('Job Sheet'!H15="Conduit",'Job Sheet'!H15="Conduit x 2",I7&lt;&gt;"DBS to Make"),"",IF(VLOOKUP(CONCATENATE(Assembly!C15,Assembly!F15),PulleysEndCaps,6,FALSE)="","",IF('Tube Cutting'!E15="Matt Black Ink",VLOOKUP(CONCATENATE(Assembly!C15,Assembly!F15),PulleysEndCaps,6,FALSE),"")))</f>
        <v/>
      </c>
      <c r="DJ7" s="20" t="str">
        <f>IF(OR('Job Sheet'!H15="Conduit",'Job Sheet'!H15="Conduit x 2",I7&lt;&gt;"DBS to Make"),"",IF(VLOOKUP(CONCATENATE(Assembly!C15,Assembly!F15),PulleysEndCaps,6,FALSE)="","",IF('Tube Cutting'!E15="Birch White",VLOOKUP(CONCATENATE(Assembly!C15,Assembly!F15),PulleysEndCaps,6,FALSE),"")))</f>
        <v/>
      </c>
      <c r="DK7" s="20" t="str">
        <f>IF(OR('Job Sheet'!H15="Conduit",'Job Sheet'!H15="Conduit x 2",I7&lt;&gt;"DBS to Make"),"",IF(VLOOKUP(CONCATENATE(Assembly!C15,Assembly!F15),PulleysEndCaps,6,FALSE)="","",IF('Tube Cutting'!E15="Matt Satin",VLOOKUP(CONCATENATE(Assembly!C15,Assembly!F15),PulleysEndCaps,6,FALSE),"")))</f>
        <v/>
      </c>
      <c r="DL7" s="20" t="str">
        <f>IF(OR('Job Sheet'!H15="Conduit",'Job Sheet'!H15="Conduit x 2",I7&lt;&gt;"DBS to Make"),"",IF(VLOOKUP(CONCATENATE(Assembly!C15,Assembly!F15),PulleysEndCaps,4,FALSE)="","",VLOOKUP(CONCATENATE(Assembly!C15,Assembly!F15),PulleysEndCaps,4,FALSE)))</f>
        <v/>
      </c>
      <c r="DM7" s="20" t="str">
        <f>IF(OR('Job Sheet'!H15="Conduit",'Job Sheet'!H15="Conduit x 2",I7&lt;&gt;"DBS to Make"),"",IF(VLOOKUP(CONCATENATE(Assembly!C15,Assembly!F15),PulleysEndCaps,7,FALSE)="","",VLOOKUP(CONCATENATE(Assembly!C15,Assembly!F15),PulleysEndCaps,7,FALSE)))</f>
        <v/>
      </c>
      <c r="DN7" s="20" t="str">
        <f>IF(D7="","",IF(AND(OR(VLOOKUP(CONCATENATE('Tube Cutting'!D15,'Tube Cutting'!E15),TrackManufacturing,2,FALSE)="Wavefold White",VLOOKUP(CONCATENATE('Tube Cutting'!D15,'Tube Cutting'!E15),TrackManufacturing,2,FALSE)="Wavefold Black",VLOOKUP(CONCATENATE('Tube Cutting'!D15,'Tube Cutting'!E15),TrackManufacturing,2,FALSE)="Wavefold Matt Satin",VLOOKUP(CONCATENATE('Tube Cutting'!D15,'Tube Cutting'!E15),TrackManufacturing,2,FALSE)="System 20 White",VLOOKUP(CONCATENATE('Tube Cutting'!D15,'Tube Cutting'!E15),TrackManufacturing,2,FALSE)="System 20 Black",VLOOKUP(CONCATENATE('Tube Cutting'!D15,'Tube Cutting'!E15),TrackManufacturing,2,FALSE)="System 20 Matt Satin"),'Tube Cutting'!C15&gt;6000),1,""))</f>
        <v/>
      </c>
      <c r="DO7" s="20" t="str">
        <f>IF(D7="","",IF(AND(OR(VLOOKUP(CONCATENATE('Tube Cutting'!D15,'Tube Cutting'!E15),TrackManufacturing,2,FALSE)="Streamline White",VLOOKUP(CONCATENATE('Tube Cutting'!D15,'Tube Cutting'!E15),TrackManufacturing,2,FALSE)="Streamline Black",VLOOKUP(CONCATENATE('Tube Cutting'!D15,'Tube Cutting'!E15),TrackManufacturing,2,FALSE)="Streamline Birch White",VLOOKUP(CONCATENATE('Tube Cutting'!D15,'Tube Cutting'!E15),TrackManufacturing,2,FALSE)="Streamline Matt Satin"),'Tube Cutting'!C15&gt;6000),1,""))</f>
        <v/>
      </c>
      <c r="DP7" s="20" t="str">
        <f>IF(OR('Job Sheet'!H15="Conduit",'Job Sheet'!H15="Conduit x 2",I7&lt;&gt;"DBS to Make"),"",IF(VLOOKUP(CONCATENATE(Assembly!C15,Assembly!F15),PulleysEndCaps,5,FALSE)="","",IF('Tube Cutting'!E15="White",VLOOKUP(CONCATENATE(Assembly!C15,Assembly!F15),PulleysEndCaps,5,FALSE),"")))</f>
        <v/>
      </c>
      <c r="DQ7" s="20" t="str">
        <f>IF(OR('Job Sheet'!H15="Conduit",'Job Sheet'!H15="Conduit x 2",I7&lt;&gt;"DBS to Make"),"",IF(VLOOKUP(CONCATENATE(Assembly!C15,Assembly!F15),PulleysEndCaps,5,FALSE)="","",IF('Tube Cutting'!E15="Matt Black Ink",VLOOKUP(CONCATENATE(Assembly!C15,Assembly!F15),PulleysEndCaps,5,FALSE),"")))</f>
        <v/>
      </c>
      <c r="DR7" s="20" t="str">
        <f>IF(OR('Job Sheet'!H15="Conduit",'Job Sheet'!H15="Conduit x 2",I7&lt;&gt;"DBS to Make"),"",IF(VLOOKUP(CONCATENATE(Assembly!C15,Assembly!F15),PulleysEndCaps,5,FALSE)="","",IF('Tube Cutting'!E15="Matt Satin",VLOOKUP(CONCATENATE(Assembly!C15,Assembly!F15),PulleysEndCaps,5,FALSE),"")))</f>
        <v/>
      </c>
      <c r="DS7" s="20" t="str">
        <f>IF(OR('Job Sheet'!H15="Conduit",'Job Sheet'!H15="Conduit x 2",I7&lt;&gt;"DBS to Make"),"",IF(VLOOKUP(CONCATENATE(Assembly!C15,Assembly!F15),PulleysEndCaps,5,FALSE)="","",IF('Tube Cutting'!E15="Matt Satin",VLOOKUP(CONCATENATE(Assembly!C15,Assembly!F15),PulleysEndCaps,5,FALSE),"")))</f>
        <v/>
      </c>
      <c r="DT7" s="20" t="str">
        <f>IF(OR('Job Sheet'!H15="Conduit",'Job Sheet'!H15="Conduit x 2",I7&lt;&gt;"DBS to Make"),"",IF(VLOOKUP(CONCATENATE(Assembly!C15,Assembly!F15),PulleysEndCaps,8,FALSE)="","",IF('Tube Cutting'!E15="Matt Black Ink",VLOOKUP(CONCATENATE(Assembly!C15,Assembly!F15),PulleysEndCaps,8,FALSE),"")))</f>
        <v/>
      </c>
      <c r="DU7" s="20" t="str">
        <f>IF(OR('Job Sheet'!H15="Conduit",'Job Sheet'!H15="Conduit x 2",I7&lt;&gt;"DBS to Make"),"",IF(VLOOKUP(CONCATENATE(Assembly!C15,Assembly!F15),PulleysEndCaps,8,FALSE)="","",IF('Tube Cutting'!E15="Birch White",VLOOKUP(CONCATENATE(Assembly!C15,Assembly!F15),PulleysEndCaps,8,FALSE),"")))</f>
        <v/>
      </c>
      <c r="DV7" s="20" t="str">
        <f>IF(OR('Job Sheet'!H15="Conduit",'Job Sheet'!H15="Conduit x 2",I7&lt;&gt;"DBS to Make"),"",IF(VLOOKUP(CONCATENATE(Assembly!C15,Assembly!F15),PulleysEndCaps,8,FALSE)="","",IF('Tube Cutting'!E15="Matt Satin",VLOOKUP(CONCATENATE(Assembly!C15,Assembly!F15),PulleysEndCaps,8,FALSE),"")))</f>
        <v/>
      </c>
      <c r="DW7" s="20" t="str">
        <f>IF(D7="","",IF(AND(AND(Assembly!C15="Wavefold Cord Operation",'Tube Cutting'!E15="White",'Tube Cutting'!E15),(OR(Assembly!F15="Centre Opening",Assembly!F15="Centre Opening - Free Flowing",Assembly!F15="Centre Opening (Offset)",Assembly!F15="Centre Opening - Free Flowing (Offset)"))),2,IF(AND(AND(Assembly!C15="Wavefold Cord Operation",'Tube Cutting'!E15="White",'Tube Cutting'!E15),(OR(Assembly!F15="Single Panel - Left Stacking",Assembly!F15="Single Panel - Right Stacking",Assembly!F15="Single Panel - Free Flowing"))),1,"")))</f>
        <v/>
      </c>
      <c r="DX7" s="20" t="str">
        <f>IF(D7="","",IF(AND(AND(Assembly!C15="Wavefold Cord Operation",'Tube Cutting'!E15="Matt Black Ink",'Tube Cutting'!E15),(OR(Assembly!F15="Centre Opening",Assembly!F15="Centre Opening - Free Flowing",Assembly!F15="Centre Opening (Offset)",Assembly!F15="Centre Opening - Free Flowing (Offset)"))),2,IF(AND(AND(Assembly!C15="Wavefold Cord Operation",'Tube Cutting'!E15="Matt Black Ink",'Tube Cutting'!E15),(OR(Assembly!F15="Single Panel - Left Stacking",Assembly!F15="Single Panel - Right Stacking",Assembly!F15="Single Panel - Free Flowing"))),1,"")))</f>
        <v/>
      </c>
      <c r="DY7" s="20" t="str">
        <f>IF(D7="","",IF(AND(Assembly!C15="Wavefold Hand Operation",'Tube Cutting'!E15="White"),Bagging!J15,""))</f>
        <v/>
      </c>
      <c r="DZ7" s="20" t="str">
        <f>IF(D7="","",IF(AND(Assembly!C15="Wavefold Hand Operation",(OR('Tube Cutting'!E15="White",'Tube Cutting'!E15="White"))),Bagging!J15,""))</f>
        <v/>
      </c>
      <c r="EA7" s="20" t="str">
        <f>IF(OR(D7="",'Job Sheet'!U15="Straight"),"",VLOOKUP(CONCATENATE('Job Sheet'!U15,'Job Sheet'!L15),CornerBlocks,2,FALSE))</f>
        <v/>
      </c>
      <c r="EB7" s="20" t="str">
        <f>IF(D7="","",IF(OR('Tube Cutting'!D15="Streamline Cord Operation",'Tube Cutting'!D15="Wavefold Cord Operation"),1,""))</f>
        <v/>
      </c>
      <c r="EC7" s="20" t="str">
        <f>IF(D7="","",IF(VLOOKUP(CONCATENATE('Tube Cutting'!D15,'Tube Cutting'!E15),TrackManufacturing,2,FALSE)="System 20 White",1,""))</f>
        <v/>
      </c>
      <c r="ED7" s="20" t="str">
        <f>IF(D7="","",IF(VLOOKUP(CONCATENATE('Tube Cutting'!D15,'Tube Cutting'!E15),TrackManufacturing,2,FALSE)="System 20 Black",1,""))</f>
        <v/>
      </c>
      <c r="EE7" s="20" t="str">
        <f>IF(D7="","",IF(AND(VLOOKUP(CONCATENATE('Tube Cutting'!D15,'Tube Cutting'!E15),TrackManufacturing,2,FALSE)="System 20 White",(OR(Assembly!F15="Centre Opening",Assembly!F15="Centre Opening - Free Flowing",Assembly!F15="Centre Opening (Offset)",Assembly!F15="Centre Opening - Free Flowing (Offset)"))),1,""))</f>
        <v/>
      </c>
      <c r="EF7" s="20" t="str">
        <f>IF(D7="","",IF(AND(VLOOKUP(CONCATENATE('Tube Cutting'!D15,'Tube Cutting'!E15),TrackManufacturing,2,FALSE)="System 20 Black",(OR(Assembly!F15="Centre Opening",Assembly!F15="Centre Opening - Free Flowing",Assembly!F15="Centre Opening (Offset)",Assembly!F15="Centre Opening - Free Flowing (Offset)"))),1,""))</f>
        <v/>
      </c>
      <c r="EG7" s="126" t="str">
        <f>IF(D7="","",IF(OR(VLOOKUP(CONCATENATE('Tube Cutting'!D15,'Tube Cutting'!E15),TrackManufacturing,2,FALSE)="System 20 White",VLOOKUP(CONCATENATE('Tube Cutting'!D15,'Tube Cutting'!E15),TrackManufacturing,2,FALSE)="System 20 Black",VLOOKUP(CONCATENATE('Tube Cutting'!D15,'Tube Cutting'!E15),TrackManufacturing,2,FALSE)="System 20 Matt Black Ink"),Assembly!I15,IF('Tube Cutting'!D15="SEM Streamline Hand Operation",9,"")))</f>
        <v/>
      </c>
      <c r="EH7" s="20" t="str">
        <f>IF('Tube Cutting'!D15="Conduit",'Tube Cutting'!C15,"")</f>
        <v/>
      </c>
      <c r="EI7" s="20" t="str">
        <f>IF(Bagging!E15="Muslin Brackets",2,IF(Bagging!E15="Muslin Brackets Top and Bottom",4,""))</f>
        <v/>
      </c>
      <c r="EJ7" s="20" t="str">
        <f>IF(Bagging!E15="100mm Unstayed Brackets with Acorns",2,"")</f>
        <v/>
      </c>
      <c r="EK7" s="20" t="str">
        <f>IF(Bagging!E15="25mm Brackets with Acorns",2,"")</f>
        <v/>
      </c>
      <c r="EL7" s="20" t="str">
        <f>IF(OR(Bagging!E15="25mm Brackets with Acorns",Bagging!E15="100mm Unstayed Brackets with Acorns"),2,"")</f>
        <v/>
      </c>
      <c r="FI7" s="20"/>
      <c r="FJ7" s="20"/>
    </row>
    <row r="8" spans="4:166" ht="13.2" customHeight="1">
      <c r="D8" s="20" t="str">
        <f>IF(Data!AW16="","",CONCATENATE(Data!BC$5,".",Data!BD$5))</f>
        <v/>
      </c>
      <c r="E8" s="20" t="str">
        <f>IF(D8="","",Data!AW16)</f>
        <v/>
      </c>
      <c r="F8" s="20" t="str">
        <f>IF(D8="","",Data!AV16)</f>
        <v/>
      </c>
      <c r="G8" s="20" t="str">
        <f>IF(D8="","",Data!BF$5)</f>
        <v/>
      </c>
      <c r="H8" s="20" t="str">
        <f>IF(D8="","",Data!AX$5)</f>
        <v/>
      </c>
      <c r="I8" s="20" t="str">
        <f>IF(D8="","",'Job Sheet'!AI16)</f>
        <v/>
      </c>
      <c r="J8" s="20" t="str">
        <f>IF(D8="","",IF(OR(VLOOKUP(CONCATENATE('Tube Cutting'!D16,'Tube Cutting'!E16),TrackManufacturing,2,FALSE)="Wavefold White",VLOOKUP(CONCATENATE('Tube Cutting'!D16,'Tube Cutting'!E16),TrackManufacturing,2,FALSE)="Wavefold Black",VLOOKUP(CONCATENATE('Tube Cutting'!D16,'Tube Cutting'!E16),TrackManufacturing,2,FALSE)="Wavefold Matt Satin"),('Job Sheet'!G16*2)/1000,""))</f>
        <v/>
      </c>
      <c r="K8" s="126" t="str">
        <f>IF(D8="","",IF(OR(VLOOKUP(CONCATENATE('Tube Cutting'!D16,'Tube Cutting'!E16),TrackManufacturing,2,FALSE)="Wavefold White",VLOOKUP(CONCATENATE('Tube Cutting'!D16,'Tube Cutting'!E16),TrackManufacturing,2,FALSE)="Wavefold Matt Satin"),J8*10,""))</f>
        <v/>
      </c>
      <c r="L8" s="126" t="str">
        <f>IF(D8="","",IF(VLOOKUP(CONCATENATE('Tube Cutting'!D16,'Tube Cutting'!E16),TrackManufacturing,2,FALSE)="Wavefold Black",J8*10,""))</f>
        <v/>
      </c>
      <c r="M8" s="127" t="str">
        <f>IF(D8="","",IF(OR(VLOOKUP(CONCATENATE('Tube Cutting'!D16,'Tube Cutting'!E16),TrackManufacturing,2,FALSE)="Wavefold White",VLOOKUP(CONCATENATE('Tube Cutting'!D16,'Tube Cutting'!E16),TrackManufacturing,2,FALSE)="System 20 White"),'Tube Cutting'!C16/1000,""))</f>
        <v/>
      </c>
      <c r="N8" s="127" t="str">
        <f>IF(D8="","",IF(VLOOKUP(CONCATENATE('Tube Cutting'!D16,'Tube Cutting'!E16),TrackManufacturing,2,FALSE)="Wavefold Black",'Tube Cutting'!C16/1000,""))</f>
        <v/>
      </c>
      <c r="O8" s="127" t="str">
        <f>IF(D8="","",IF(OR(VLOOKUP(CONCATENATE('Tube Cutting'!D16,'Tube Cutting'!E16),TrackManufacturing,2,FALSE)="Wavefold Matt Satin",VLOOKUP(CONCATENATE('Tube Cutting'!D16,'Tube Cutting'!E16),TrackManufacturing,2,FALSE)="System 20 Matt Satin"),'Tube Cutting'!C16/1000,""))</f>
        <v/>
      </c>
      <c r="P8" s="126" t="str">
        <f>IF(D8="","",IF(AND((OR('Tube Cutting'!E16="White",'Tube Cutting'!E16="Matt Satin")),(OR('Tube Cutting'!D16="Wavefold Hand Operation",'Tube Cutting'!D16="Wavefold Cord Operation"))),IF(M8="",O8*20,M8*20),""))</f>
        <v/>
      </c>
      <c r="Q8" s="126" t="str">
        <f>IF(D8="","",IF(AND('Tube Cutting'!E16="Matt Black Ink",(OR('Tube Cutting'!D16="Wavefold Hand Operation",'Tube Cutting'!D16="Wavefold Cord Operation"))),N8*20,""))</f>
        <v/>
      </c>
      <c r="R8" s="126" t="str">
        <f>IF(D8="","",IF(OR('Tube Cutting'!D16="Streamline Hand Operation",'Tube Cutting'!D16="Streamline Cord Operation"),Assembly!I16,""))</f>
        <v/>
      </c>
      <c r="S8" s="20" t="str">
        <f>IF(D8="","",IF(VLOOKUP(CONCATENATE('Tube Cutting'!D16,'Tube Cutting'!E16),TrackManufacturing,2,FALSE)="Streamline White",'Tube Cutting'!C16/1000,""))</f>
        <v/>
      </c>
      <c r="T8" s="20" t="str">
        <f>IF(D8="","",IF(VLOOKUP(CONCATENATE('Tube Cutting'!D16,'Tube Cutting'!E16),TrackManufacturing,2,FALSE)="Streamline Matt Black Ink",'Tube Cutting'!C16/1000,""))</f>
        <v/>
      </c>
      <c r="U8" s="20" t="str">
        <f>IF(D8="","",IF(VLOOKUP(CONCATENATE('Tube Cutting'!D16,'Tube Cutting'!E16),TrackManufacturing,2,FALSE)="Streamline Birch White",'Tube Cutting'!C16/1000,""))</f>
        <v/>
      </c>
      <c r="V8" s="20" t="str">
        <f>IF(D8="","",IF(VLOOKUP(CONCATENATE('Tube Cutting'!D16,'Tube Cutting'!E16),TrackManufacturing,2,FALSE)="Streamline Matt Satin",'Tube Cutting'!C16/1000,""))</f>
        <v/>
      </c>
      <c r="W8" s="20" t="str">
        <f>IF(I8="Track from TBS","",IF(Bagging!I16="White Aluminium Flick Sticks 100cm",VALUE(Bagging!J16),""))</f>
        <v/>
      </c>
      <c r="X8" s="20" t="str">
        <f>IF(I8="Track from TBS","",IF(Bagging!I16="White Aluminium Flick Sticks 125cm",VALUE(Bagging!J16),""))</f>
        <v/>
      </c>
      <c r="Y8" s="20" t="str">
        <f>IF(I8="Track from TBS","",IF(Bagging!I16="White Aluminium Flick Sticks 150cm",VALUE(Bagging!J16),""))</f>
        <v/>
      </c>
      <c r="Z8" s="20" t="str">
        <f>IF(I8="Track from TBS","",IF(Bagging!I16="Black Aluminium Flick Sticks 100cm",VALUE(Bagging!J16),""))</f>
        <v/>
      </c>
      <c r="AA8" s="20" t="str">
        <f>IF(I8="Track from TBS","",IF(Bagging!I16="Black Aluminium Flick Sticks 125cm",VALUE(Bagging!J16),""))</f>
        <v/>
      </c>
      <c r="AB8" s="20" t="str">
        <f>IF(I8="Track from TBS","",IF(Bagging!I16="Black Aluminium Flick Sticks 150cm",VALUE(Bagging!J16),""))</f>
        <v/>
      </c>
      <c r="AC8" s="20" t="str">
        <f>IF(I8="Track from TBS","",IF(Bagging!I16="Matt Satin Aluminium Flick Sticks 100cm",VALUE(Bagging!J16),""))</f>
        <v/>
      </c>
      <c r="AD8" s="20" t="str">
        <f>IF(I8="Track from TBS","",IF(Bagging!I16="Matt Satin Aluminium Flick Sticks 125cm",VALUE(Bagging!J16),""))</f>
        <v/>
      </c>
      <c r="AE8" s="20" t="str">
        <f>IF(I8="Track from TBS","",IF(Bagging!I16="Matt Satin Aluminium Flick Sticks 150cm",VALUE(Bagging!J16),""))</f>
        <v/>
      </c>
      <c r="AF8" s="20" t="str">
        <f>IF(I8="Track from TBS","",IF(Bagging!I16="Standard Clear 75cm",VALUE(Bagging!J16),""))</f>
        <v/>
      </c>
      <c r="AG8" s="20" t="str">
        <f>IF(I8="Track from TBS","",IF(Bagging!I16="Standard Clear 100cm",VALUE(Bagging!J16),""))</f>
        <v/>
      </c>
      <c r="AH8" s="20" t="str">
        <f>IF(I8="Track from TBS","",IF(Bagging!I16="Standard Clear 125cm",VALUE(Bagging!J16),""))</f>
        <v/>
      </c>
      <c r="AI8" s="20" t="str">
        <f>IF(I8="Track from TBS","",IF(Bagging!I16="Standard Clear 150cm",VALUE(Bagging!J16),""))</f>
        <v/>
      </c>
      <c r="AJ8" s="20" t="str">
        <f>IF(I8="Track from TBS","",IF(Bagging!I16="White Fibreglass 200cm",VALUE(Bagging!J16),""))</f>
        <v/>
      </c>
      <c r="AK8" s="20" t="str">
        <f>IF(I8="Track from TBS","",IF(Bagging!I16="White Fibreglass 250cm",VALUE(Bagging!J16),""))</f>
        <v/>
      </c>
      <c r="AL8" s="20" t="str">
        <f>IF(D8="","",IF(AND(VLOOKUP(CONCATENATE('Tube Cutting'!D16,'Tube Cutting'!E16),TrackManufacturing,2,FALSE)="Wavefold White",(Bagging!E16="Top Fix Brackets")),Bagging!F16,""))</f>
        <v/>
      </c>
      <c r="AM8" s="20" t="str">
        <f>IF(D8="","",IF(AND(VLOOKUP(CONCATENATE('Tube Cutting'!D16,'Tube Cutting'!E16),TrackManufacturing,2,FALSE)="Wavefold White",(Bagging!E16="Single Face Fix Brackets")),Bagging!F16,""))</f>
        <v/>
      </c>
      <c r="AN8" s="20" t="str">
        <f>IF(D8="","",IF(AND(VLOOKUP(CONCATENATE('Tube Cutting'!D16,'Tube Cutting'!E16),TrackManufacturing,2,FALSE)="Wavefold White",(Bagging!E16="Double Face Fix Brackets")),Bagging!F16,""))</f>
        <v/>
      </c>
      <c r="AO8" s="20" t="str">
        <f>IF(D8="","",IF(AND(VLOOKUP(CONCATENATE('Tube Cutting'!D16,'Tube Cutting'!E16),TrackManufacturing,2,FALSE)="Wavefold White",(Bagging!E16="Triple Face Fix Brackets")),Bagging!F16,""))</f>
        <v/>
      </c>
      <c r="AP8" s="20" t="str">
        <f>IF(D8="","",IF(AND(VLOOKUP(CONCATENATE('Tube Cutting'!D16,'Tube Cutting'!E16),TrackManufacturing,2,FALSE)="Wavefold Black",(Bagging!E16="Top Fix Brackets")),Bagging!F16,""))</f>
        <v/>
      </c>
      <c r="AQ8" s="20" t="str">
        <f>IF(D8="","",IF(AND(VLOOKUP(CONCATENATE('Tube Cutting'!D16,'Tube Cutting'!E16),TrackManufacturing,2,FALSE)="Wavefold Black",(Bagging!E16="Single Face Fix Brackets")),Bagging!F16,""))</f>
        <v/>
      </c>
      <c r="AR8" s="20" t="str">
        <f>IF(D8="","",IF(AND(VLOOKUP(CONCATENATE('Tube Cutting'!D16,'Tube Cutting'!E16),TrackManufacturing,2,FALSE)="Wavefold Black",(Bagging!E16="Double Face Fix Brackets")),Bagging!F16,""))</f>
        <v/>
      </c>
      <c r="AS8" s="20" t="str">
        <f>IF(D8="","",IF(AND(VLOOKUP(CONCATENATE('Tube Cutting'!D16,'Tube Cutting'!E16),TrackManufacturing,2,FALSE)="Wavefold Black",(Bagging!E16="Triple Face Fix Brackets")),Bagging!F16,""))</f>
        <v/>
      </c>
      <c r="AT8" s="20" t="str">
        <f>IF(D8="","",IF(AND(OR(VLOOKUP(CONCATENATE('Tube Cutting'!D16,'Tube Cutting'!E16),TrackManufacturing,2,FALSE)="Wavefold Matt Satin",VLOOKUP(CONCATENATE('Tube Cutting'!D16,'Tube Cutting'!E16),TrackManufacturing,2,FALSE)="System 20 Matt Satin"),(Bagging!E16="Top Fix Brackets")),Bagging!F16,""))</f>
        <v/>
      </c>
      <c r="AU8" s="20" t="str">
        <f>IF(D8="","",IF(AND(OR(VLOOKUP(CONCATENATE('Tube Cutting'!D16,'Tube Cutting'!E16),TrackManufacturing,2,FALSE)="Wavefold Matt Satin",VLOOKUP(CONCATENATE('Tube Cutting'!D16,'Tube Cutting'!E16),TrackManufacturing,2,FALSE)="System 20 Matt Satin"),(Bagging!E16="Single Face Fix Brackets")),Bagging!F16,""))</f>
        <v/>
      </c>
      <c r="AV8" s="20" t="str">
        <f>IF(D8="","",IF(AND(OR(VLOOKUP(CONCATENATE('Tube Cutting'!D16,'Tube Cutting'!E16),TrackManufacturing,2,FALSE)="Wavefold Matt Satin",VLOOKUP(CONCATENATE('Tube Cutting'!D16,'Tube Cutting'!E16),TrackManufacturing,2,FALSE)="System 20 Matt Satin"),(Bagging!E16="Double Face Fix Brackets")),Bagging!F16,""))</f>
        <v/>
      </c>
      <c r="AW8" s="20" t="str">
        <f>IF(D8="","",IF(AND(OR(VLOOKUP(CONCATENATE('Tube Cutting'!D16,'Tube Cutting'!E16),TrackManufacturing,2,FALSE)="Wavefold Matt Satin",VLOOKUP(CONCATENATE('Tube Cutting'!D16,'Tube Cutting'!E16),TrackManufacturing,2,FALSE)="System 20 Matt Satin"),(Bagging!E16="Triple Face Fix Brackets")),Bagging!F16,""))</f>
        <v/>
      </c>
      <c r="AX8" s="20" t="str">
        <f>IF(D8="","",IF(AND(VLOOKUP(CONCATENATE('Tube Cutting'!D16,'Tube Cutting'!E16),TrackManufacturing,2,FALSE)="Streamline White",(Bagging!E16="Nylon Top Fix Brackets")),VLOOKUP('Job Sheet'!G16,Brackets,2,TRUE),""))</f>
        <v/>
      </c>
      <c r="AY8" s="20" t="str">
        <f>IF(D8="","",IF(AND(VLOOKUP(CONCATENATE('Tube Cutting'!D16,'Tube Cutting'!E16),TrackManufacturing,2,FALSE)="Streamline White",(Bagging!E16="Metal Fix Brackets")),VLOOKUP('Job Sheet'!G16,Brackets,2,TRUE),""))</f>
        <v/>
      </c>
      <c r="AZ8" s="20" t="str">
        <f>IF(D8="","",IF(AND(VLOOKUP(CONCATENATE('Tube Cutting'!D16,'Tube Cutting'!E16),TrackManufacturing,2,FALSE)="Streamline White",(Bagging!E16="Single Face Fix Brackets")),Bagging!F16,""))</f>
        <v/>
      </c>
      <c r="BA8" s="20" t="str">
        <f>IF(D8="","",IF(AND(VLOOKUP(CONCATENATE('Tube Cutting'!D16,'Tube Cutting'!E16),TrackManufacturing,2,FALSE)="Streamline White",(Bagging!E16="Double Face Fix Brackets")),Bagging!F16,""))</f>
        <v/>
      </c>
      <c r="BB8" s="20" t="str">
        <f>IF(D8="","",IF(AND(VLOOKUP(CONCATENATE('Tube Cutting'!D16,'Tube Cutting'!E16),TrackManufacturing,2,FALSE)="Streamline White",(Bagging!E16="Triple Face Fix Brackets")),Bagging!F16,""))</f>
        <v/>
      </c>
      <c r="BC8" s="20" t="str">
        <f>IF(D8="","",IF(AND(VLOOKUP(CONCATENATE('Tube Cutting'!D16,'Tube Cutting'!E16),TrackManufacturing,2,FALSE)="Streamline White",(Bagging!E16="32mm Face Fix Brackets")),Bagging!F16,""))</f>
        <v/>
      </c>
      <c r="BD8" s="20" t="str">
        <f>IF(J8="","",IF(AND(VLOOKUP(CONCATENATE('Tube Cutting'!D16,'Tube Cutting'!E16),TrackManufacturing,2,FALSE)="Streamline Matt Black Ink",(Bagging!M16="Nylon Top Fix Brackets")),VLOOKUP('Job Sheet'!L16,Brackets,2,TRUE),""))</f>
        <v/>
      </c>
      <c r="BE8" s="20" t="str">
        <f>IF(D8="","",IF(AND(VLOOKUP(CONCATENATE('Tube Cutting'!D16,'Tube Cutting'!E16),TrackManufacturing,2,FALSE)="Streamline Matt Black Ink",(Bagging!E16="Top Fix Brackets")),Bagging!F16,""))</f>
        <v/>
      </c>
      <c r="BF8" s="20" t="str">
        <f>IF(D8="","",IF(AND(VLOOKUP(CONCATENATE('Tube Cutting'!D16,'Tube Cutting'!E16),TrackManufacturing,2,FALSE)="Streamline Matt Black Ink",(Bagging!E16="Single Face Fix Brackets")),Bagging!F16,""))</f>
        <v/>
      </c>
      <c r="BG8" s="20" t="str">
        <f>IF(D8="","",IF(AND(VLOOKUP(CONCATENATE('Tube Cutting'!D16,'Tube Cutting'!E16),TrackManufacturing,2,FALSE)="Streamline Matt Black Ink",(Bagging!E16="Double Face Fix Brackets")),Bagging!F16,""))</f>
        <v/>
      </c>
      <c r="BH8" s="20" t="str">
        <f>IF(D8="","",IF(AND(VLOOKUP(CONCATENATE('Tube Cutting'!D16,'Tube Cutting'!E16),TrackManufacturing,2,FALSE)="Streamline Matt Black Ink",(Bagging!E16="Triple Face Fix Brackets")),Bagging!F16,""))</f>
        <v/>
      </c>
      <c r="BI8" s="20" t="str">
        <f>IF(D8="","",IF(AND(VLOOKUP(CONCATENATE('Tube Cutting'!D16,'Tube Cutting'!E16),TrackManufacturing,2,FALSE)="Streamline Matt Black Ink",(Bagging!E16="32mm Face Fix Brackets")),Bagging!F16,""))</f>
        <v/>
      </c>
      <c r="BJ8" s="20" t="str">
        <f>IF(D8="","",IF(AND(VLOOKUP(CONCATENATE('Tube Cutting'!D16,'Tube Cutting'!E16),TrackManufacturing,2,FALSE)="Streamline Birch White",(Bagging!P16="Nylon Top Fix Brackets")),VLOOKUP('Job Sheet'!Q16,Brackets,2,TRUE),""))</f>
        <v/>
      </c>
      <c r="BK8" s="20" t="str">
        <f>IF(D8="","",IF(AND(VLOOKUP(CONCATENATE('Tube Cutting'!D16,'Tube Cutting'!E16),TrackManufacturing,2,FALSE)="Streamline Birch White",(Bagging!E16="Top Fix Brackets")),Bagging!F16,""))</f>
        <v/>
      </c>
      <c r="BL8" s="20" t="str">
        <f>IF(D8="","",IF(AND(VLOOKUP(CONCATENATE('Tube Cutting'!D16,'Tube Cutting'!E16),TrackManufacturing,2,FALSE)="Streamline Birch White",(Bagging!E16="Single Face Fix Brackets")),Bagging!F16,""))</f>
        <v/>
      </c>
      <c r="BM8" s="20" t="str">
        <f>IF(D8="","",IF(AND(VLOOKUP(CONCATENATE('Tube Cutting'!D16,'Tube Cutting'!E16),TrackManufacturing,2,FALSE)="Streamline Birch White",(Bagging!E16="Double Face Fix Brackets")),Bagging!F16,""))</f>
        <v/>
      </c>
      <c r="BN8" s="20" t="str">
        <f>IF(D8="","",IF(AND(VLOOKUP(CONCATENATE('Tube Cutting'!D16,'Tube Cutting'!E16),TrackManufacturing,2,FALSE)="Streamline Birch White",(Bagging!E16="Triple Face Fix Brackets")),Bagging!F16,""))</f>
        <v/>
      </c>
      <c r="BO8" s="20" t="str">
        <f>IF(D8="","",IF(AND(VLOOKUP(CONCATENATE('Tube Cutting'!D16,'Tube Cutting'!E16),TrackManufacturing,2,FALSE)="Streamline Birch White",(Bagging!E16="32mm Face Fix Brackets")),Bagging!F16,""))</f>
        <v/>
      </c>
      <c r="BP8" s="20" t="str">
        <f>IF(D8="","",IF(AND(VLOOKUP(CONCATENATE('Tube Cutting'!D16,'Tube Cutting'!E16),TrackManufacturing,2,FALSE)="Streamline Matt Satin",(Bagging!E16="Top Fix Brackets")),Bagging!F16,""))</f>
        <v/>
      </c>
      <c r="BQ8" s="20" t="str">
        <f>IF(K8="","",IF(AND(VLOOKUP(CONCATENATE('Tube Cutting'!J16,'Tube Cutting'!K16),TrackManufacturing,2,FALSE)="Streamline Matt Satin",(Bagging!K16="Top Fix Brackets")),Bagging!L16,""))</f>
        <v/>
      </c>
      <c r="BR8" s="20" t="str">
        <f>IF(K8="","",IF(AND(VLOOKUP(CONCATENATE('Tube Cutting'!J16,'Tube Cutting'!K16),TrackManufacturing,2,FALSE)="Streamline Matt Satin",(Bagging!K16="Single Face Fix Brackets")),Bagging!L16,""))</f>
        <v/>
      </c>
      <c r="BS8" s="20" t="str">
        <f>IF(D8="","",IF(AND(VLOOKUP(CONCATENATE('Tube Cutting'!D16,'Tube Cutting'!E16),TrackManufacturing,2,FALSE)="Streamline Matt Satin",(Bagging!E16="Double Face Fix Brackets")),Bagging!F16,""))</f>
        <v/>
      </c>
      <c r="BT8" s="20" t="str">
        <f>IF(D8="","",IF(AND(VLOOKUP(CONCATENATE('Tube Cutting'!D16,'Tube Cutting'!E16),TrackManufacturing,2,FALSE)="Streamline Matt Satin",(Bagging!E16="Triple Face Fix Brackets")),Bagging!F16,""))</f>
        <v/>
      </c>
      <c r="BU8" s="20" t="str">
        <f>IF(D8="","",IF(AND(VLOOKUP(CONCATENATE('Tube Cutting'!D16,'Tube Cutting'!E16),TrackManufacturing,2,FALSE)="Streamline Matt Satin",(Bagging!E16="32mm Face Fix Brackets")),Bagging!F16,""))</f>
        <v/>
      </c>
      <c r="BV8" s="20" t="str">
        <f t="shared" si="0"/>
        <v/>
      </c>
      <c r="BW8" s="20" t="str">
        <f>IF(D8="","",IF(AND(VLOOKUP(CONCATENATE('Tube Cutting'!D16,'Tube Cutting'!E16),TrackManufacturing,2,FALSE)="White",Bagging!E16="Single Face Fix Brackets"),Bagging!F16,""))</f>
        <v/>
      </c>
      <c r="BX8" s="20" t="str">
        <f>IF(AND('Tube Cutting'!E16="White",Bagging!E16="Double Face Fix Brackets"),Bagging!F16,"")</f>
        <v/>
      </c>
      <c r="BY8" s="20" t="str">
        <f>IF(AND('Tube Cutting'!E16="White",Bagging!E16="Triple Face Fix Brackets"),Bagging!F16,"")</f>
        <v/>
      </c>
      <c r="BZ8" s="20" t="str">
        <f t="shared" si="1"/>
        <v/>
      </c>
      <c r="CA8" s="20" t="str">
        <f>IF(AND('Tube Cutting'!E16="Matt Black Ink",Bagging!E16="Single Face Fix Brackets"),Bagging!F16,"")</f>
        <v/>
      </c>
      <c r="CB8" s="20" t="str">
        <f>IF(AND('Tube Cutting'!E16="Matt Black Ink",Bagging!E16="Double Face Fix Brackets"),Bagging!F16,"")</f>
        <v/>
      </c>
      <c r="CC8" s="20" t="str">
        <f>IF(AND('Tube Cutting'!E16="Matt Black Ink",Bagging!E16="Triple Fix Brackets"),Bagging!F16,"")</f>
        <v/>
      </c>
      <c r="CD8" s="20" t="str">
        <f>IF(AND('Tube Cutting'!E16="Matt Satin",Bagging!E16="Top Fix Brackets"),Bagging!F16,"")</f>
        <v/>
      </c>
      <c r="CE8" s="20" t="str">
        <f>IF(AND('Tube Cutting'!E16="Matt Satin",Bagging!E16="Single Face Fix Brackets"),Bagging!F16,"")</f>
        <v/>
      </c>
      <c r="CF8" s="20" t="str">
        <f>IF(AND('Tube Cutting'!E16="Matt Satin",Bagging!E16="Double Face Fix Brackets"),Bagging!F16,"")</f>
        <v/>
      </c>
      <c r="CG8" s="20" t="str">
        <f>IF(AND('Tube Cutting'!E16="Matt Satin",Bagging!E16="Triple Fix Brackets"),Bagging!F16,"")</f>
        <v/>
      </c>
      <c r="CH8" s="20" t="str">
        <f>IF(D8="","",IF(AND('Tube Cutting'!E16="White",(OR(Bagging!L16="Single Left",Bagging!L16="Single Left &amp; Right"))),"1",""))</f>
        <v/>
      </c>
      <c r="CI8" s="20" t="str">
        <f>IF(D8="","",IF(AND('Tube Cutting'!E16="Matt Black Ink",(OR(Bagging!L16="Single Left",Bagging!L16="Single Left &amp; Right"))),"1",""))</f>
        <v/>
      </c>
      <c r="CJ8" s="20" t="str">
        <f>IF(D8="","",IF(AND('Tube Cutting'!E16="Matt Satin",(OR(Bagging!L16="Single Left",Bagging!L16="Single Left &amp; Right"))),"1",""))</f>
        <v/>
      </c>
      <c r="CK8" s="20" t="str">
        <f>IF(D8="","",IF(AND('Tube Cutting'!E16="White",(OR(Bagging!L16="Single Right",Bagging!L16="Single Left &amp; Right"))),"1",""))</f>
        <v/>
      </c>
      <c r="CL8" s="20" t="str">
        <f>IF(D8="","",IF(AND('Tube Cutting'!E16="Matt Black Ink",(OR(Bagging!L16="Single Right",Bagging!L16="Single Left &amp; Right"))),"1",""))</f>
        <v/>
      </c>
      <c r="CM8" s="20" t="str">
        <f>IF(D8="","",IF(AND('Tube Cutting'!E16="Matt Satin",(OR(Bagging!L16="Single Right",Bagging!L16="Single Left &amp; Right"))),"1",""))</f>
        <v/>
      </c>
      <c r="CN8" s="20" t="str">
        <f>IF(D8="","",IF(AND('Tube Cutting'!E16="White",(OR(Bagging!L16="Double Left",Bagging!L16="Double Left &amp; Right"))),"1",""))</f>
        <v/>
      </c>
      <c r="CO8" s="20" t="str">
        <f>IF(D8="","",IF(AND('Tube Cutting'!E16="Matt Black Ink",(OR(Bagging!L16="Double Left",Bagging!L16="Double Left &amp; Right"))),"1",""))</f>
        <v/>
      </c>
      <c r="CP8" s="20" t="str">
        <f>IF(D8="","",IF(AND('Tube Cutting'!E16="Matt Satin",(OR(Bagging!L16="Double Left",Bagging!L16="Double Left &amp; Right"))),"1",""))</f>
        <v/>
      </c>
      <c r="CQ8" s="20" t="str">
        <f>IF(D8="","",IF(AND('Tube Cutting'!E16="White",(OR(Bagging!L16="Double Right",Bagging!L16="Double Left &amp; Right"))),"1",""))</f>
        <v/>
      </c>
      <c r="CR8" s="20" t="str">
        <f>IF(D8="","",IF(AND('Tube Cutting'!E16="Matt Black Ink",(OR(Bagging!L16="Double Right",Bagging!L16="Double Left &amp; Right"))),"1",""))</f>
        <v/>
      </c>
      <c r="CS8" s="20" t="str">
        <f>IF(D8="","",IF(AND('Tube Cutting'!E16="Matt Satin",(OR(Bagging!L16="Double Right",Bagging!L16="Double Left &amp; Right"))),"1",""))</f>
        <v/>
      </c>
      <c r="CT8" s="20" t="str">
        <f>IF(D8="","",IF(VLOOKUP(CONCATENATE('Tube Cutting'!D16,'Tube Cutting'!E16),TrackManufacturing,2,FALSE)="Streamline White",1,""))</f>
        <v/>
      </c>
      <c r="CU8" s="20" t="str">
        <f>IF(D8="","",IF(VLOOKUP(CONCATENATE('Tube Cutting'!D16,'Tube Cutting'!E16),TrackManufacturing,2,FALSE)="Streamline Matt Black Ink",1,""))</f>
        <v/>
      </c>
      <c r="CV8" s="20" t="str">
        <f>IF(D8="","",IF(VLOOKUP(CONCATENATE('Tube Cutting'!D16,'Tube Cutting'!E16),TrackManufacturing,2,FALSE)="Streamline Birch White",1,""))</f>
        <v/>
      </c>
      <c r="CW8" s="20" t="str">
        <f>IF(D8="","",IF(VLOOKUP(CONCATENATE('Tube Cutting'!D16,'Tube Cutting'!E16),TrackManufacturing,2,FALSE)="Streamline Matt Satin",1,""))</f>
        <v/>
      </c>
      <c r="CX8" s="20" t="str">
        <f>IF(D8="","",IF(AND(VLOOKUP(CONCATENATE('Tube Cutting'!D16,'Tube Cutting'!E16),TrackManufacturing,2,FALSE)="Streamline White",(OR(Assembly!F16="Centre Opening",Assembly!F16="Centre Opening - Free Flowing",Assembly!F16="Centre Opening (Offset)",Assembly!F16="Centre Opening - Free Flowing (Offset)"))),1,""))</f>
        <v/>
      </c>
      <c r="CY8" s="20" t="str">
        <f>IF(D8="","",IF(AND(VLOOKUP(CONCATENATE('Tube Cutting'!D16,'Tube Cutting'!E16),TrackManufacturing,2,FALSE)="Streamline Matt Black Ink",(OR(Assembly!F16="Centre Opening",Assembly!F16="Centre Opening - Free Flowing",Assembly!F16="Centre Opening (Offset)",Assembly!F16="Centre Opening - Free Flowing (Offset)"))),1,""))</f>
        <v/>
      </c>
      <c r="CZ8" s="20" t="str">
        <f>IF(D8="","",IF(AND(VLOOKUP(CONCATENATE('Tube Cutting'!D16,'Tube Cutting'!E16),TrackManufacturing,2,FALSE)="Streamline Birch White",(OR(Assembly!F16="Centre Opening",Assembly!F16="Centre Opening - Free Flowing",Assembly!F16="Centre Opening (Offset)",Assembly!F16="Centre Opening - Free Flowing (Offset)"))),1,""))</f>
        <v/>
      </c>
      <c r="DA8" s="20" t="str">
        <f>IF(D8="","",IF(AND(VLOOKUP(CONCATENATE('Tube Cutting'!D16,'Tube Cutting'!E16),TrackManufacturing,2,FALSE)="Streamline Matt Satin",(OR(Assembly!F16="Centre Opening",Assembly!F16="Centre Opening - Free Flowing",Assembly!F16="Centre Opening (Offset)",Assembly!F16="Centre Opening - Free Flowing (Offset)"))),1,""))</f>
        <v/>
      </c>
      <c r="DB8" s="20" t="str">
        <f>IF(OR('Job Sheet'!H16="Conduit",'Job Sheet'!H16="Conduit x 2",I8&lt;&gt;"DBS to Make"),"",IF(VLOOKUP(CONCATENATE(Assembly!C16,Assembly!F16),PulleysEndCaps,2,FALSE)="","",IF('Tube Cutting'!E16="White",VLOOKUP(CONCATENATE(Assembly!C16,Assembly!F16),PulleysEndCaps,2,FALSE),"")))</f>
        <v/>
      </c>
      <c r="DC8" s="20" t="str">
        <f>IF(OR('Job Sheet'!H16="Conduit",'Job Sheet'!H16="Conduit x 2",I8&lt;&gt;"DBS to Make"),"",IF(VLOOKUP(CONCATENATE(Assembly!C16,Assembly!F16),PulleysEndCaps,2,FALSE)="","",IF('Tube Cutting'!E16="Matt Black Ink",VLOOKUP(CONCATENATE(Assembly!C16,Assembly!F16),PulleysEndCaps,2,FALSE),"")))</f>
        <v/>
      </c>
      <c r="DD8" s="20" t="str">
        <f>IF(OR('Job Sheet'!H16="Conduit",'Job Sheet'!H16="Conduit x 2",I8&lt;&gt;"DBS to Make"),"",IF(VLOOKUP(CONCATENATE(Assembly!C16,Assembly!F16),PulleysEndCaps,2,FALSE)="","",IF('Tube Cutting'!E16="Matt Satin",VLOOKUP(CONCATENATE(Assembly!C16,Assembly!F16),PulleysEndCaps,2,FALSE),"")))</f>
        <v/>
      </c>
      <c r="DE8" s="20" t="str">
        <f>IF(OR('Job Sheet'!H16="Conduit",'Job Sheet'!H16="Conduit x 2",I8&lt;&gt;"DBS to Make"),"",IF(VLOOKUP(CONCATENATE(Assembly!C16,Assembly!F16),PulleysEndCaps,3,FALSE)="","",IF('Tube Cutting'!E16="White",VLOOKUP(CONCATENATE(Assembly!C16,Assembly!F16),PulleysEndCaps,3,FALSE),"")))</f>
        <v/>
      </c>
      <c r="DF8" s="20" t="str">
        <f>IF(OR('Job Sheet'!H16="Conduit",'Job Sheet'!H16="Conduit x 2",I8&lt;&gt;"DBS to Make"),"",IF(VLOOKUP(CONCATENATE(Assembly!C16,Assembly!F16),PulleysEndCaps,3,FALSE)="","",IF('Tube Cutting'!E16="Matt Black Ink",VLOOKUP(CONCATENATE(Assembly!C16,Assembly!F16),PulleysEndCaps,3,FALSE),"")))</f>
        <v/>
      </c>
      <c r="DG8" s="20" t="str">
        <f>IF(OR('Job Sheet'!H16="Conduit",'Job Sheet'!H16="Conduit x 2",I8&lt;&gt;"DBS to Make"),"",IF(VLOOKUP(CONCATENATE(Assembly!C16,Assembly!F16),PulleysEndCaps,3,FALSE)="","",IF('Tube Cutting'!E16="Matt Satin",VLOOKUP(CONCATENATE(Assembly!C16,Assembly!F16),PulleysEndCaps,3,FALSE),"")))</f>
        <v/>
      </c>
      <c r="DH8" s="20" t="str">
        <f>IF(OR('Job Sheet'!H16="Conduit",'Job Sheet'!H16="Conduit x 2",I8&lt;&gt;"DBS to Make"),"",IF(VLOOKUP(CONCATENATE(Assembly!C16,Assembly!F16),PulleysEndCaps,6,FALSE)="","",IF('Tube Cutting'!E16="White",VLOOKUP(CONCATENATE(Assembly!C16,Assembly!F16),PulleysEndCaps,6,FALSE),"")))</f>
        <v/>
      </c>
      <c r="DI8" s="20" t="str">
        <f>IF(OR('Job Sheet'!H16="Conduit",'Job Sheet'!H16="Conduit x 2",I8&lt;&gt;"DBS to Make"),"",IF(VLOOKUP(CONCATENATE(Assembly!C16,Assembly!F16),PulleysEndCaps,6,FALSE)="","",IF('Tube Cutting'!E16="Matt Black Ink",VLOOKUP(CONCATENATE(Assembly!C16,Assembly!F16),PulleysEndCaps,6,FALSE),"")))</f>
        <v/>
      </c>
      <c r="DJ8" s="20" t="str">
        <f>IF(OR('Job Sheet'!H16="Conduit",'Job Sheet'!H16="Conduit x 2",I8&lt;&gt;"DBS to Make"),"",IF(VLOOKUP(CONCATENATE(Assembly!C16,Assembly!F16),PulleysEndCaps,6,FALSE)="","",IF('Tube Cutting'!E16="Birch White",VLOOKUP(CONCATENATE(Assembly!C16,Assembly!F16),PulleysEndCaps,6,FALSE),"")))</f>
        <v/>
      </c>
      <c r="DK8" s="20" t="str">
        <f>IF(OR('Job Sheet'!H16="Conduit",'Job Sheet'!H16="Conduit x 2",I8&lt;&gt;"DBS to Make"),"",IF(VLOOKUP(CONCATENATE(Assembly!C16,Assembly!F16),PulleysEndCaps,6,FALSE)="","",IF('Tube Cutting'!E16="Matt Satin",VLOOKUP(CONCATENATE(Assembly!C16,Assembly!F16),PulleysEndCaps,6,FALSE),"")))</f>
        <v/>
      </c>
      <c r="DL8" s="20" t="str">
        <f>IF(OR('Job Sheet'!H16="Conduit",'Job Sheet'!H16="Conduit x 2",I8&lt;&gt;"DBS to Make"),"",IF(VLOOKUP(CONCATENATE(Assembly!C16,Assembly!F16),PulleysEndCaps,4,FALSE)="","",VLOOKUP(CONCATENATE(Assembly!C16,Assembly!F16),PulleysEndCaps,4,FALSE)))</f>
        <v/>
      </c>
      <c r="DM8" s="20" t="str">
        <f>IF(OR('Job Sheet'!H16="Conduit",'Job Sheet'!H16="Conduit x 2",I8&lt;&gt;"DBS to Make"),"",IF(VLOOKUP(CONCATENATE(Assembly!C16,Assembly!F16),PulleysEndCaps,7,FALSE)="","",VLOOKUP(CONCATENATE(Assembly!C16,Assembly!F16),PulleysEndCaps,7,FALSE)))</f>
        <v/>
      </c>
      <c r="DN8" s="20" t="str">
        <f>IF(D8="","",IF(AND(OR(VLOOKUP(CONCATENATE('Tube Cutting'!D16,'Tube Cutting'!E16),TrackManufacturing,2,FALSE)="Wavefold White",VLOOKUP(CONCATENATE('Tube Cutting'!D16,'Tube Cutting'!E16),TrackManufacturing,2,FALSE)="Wavefold Black",VLOOKUP(CONCATENATE('Tube Cutting'!D16,'Tube Cutting'!E16),TrackManufacturing,2,FALSE)="Wavefold Matt Satin",VLOOKUP(CONCATENATE('Tube Cutting'!D16,'Tube Cutting'!E16),TrackManufacturing,2,FALSE)="System 20 White",VLOOKUP(CONCATENATE('Tube Cutting'!D16,'Tube Cutting'!E16),TrackManufacturing,2,FALSE)="System 20 Black",VLOOKUP(CONCATENATE('Tube Cutting'!D16,'Tube Cutting'!E16),TrackManufacturing,2,FALSE)="System 20 Matt Satin"),'Tube Cutting'!C16&gt;6000),1,""))</f>
        <v/>
      </c>
      <c r="DO8" s="20" t="str">
        <f>IF(D8="","",IF(AND(OR(VLOOKUP(CONCATENATE('Tube Cutting'!D16,'Tube Cutting'!E16),TrackManufacturing,2,FALSE)="Streamline White",VLOOKUP(CONCATENATE('Tube Cutting'!D16,'Tube Cutting'!E16),TrackManufacturing,2,FALSE)="Streamline Black",VLOOKUP(CONCATENATE('Tube Cutting'!D16,'Tube Cutting'!E16),TrackManufacturing,2,FALSE)="Streamline Birch White",VLOOKUP(CONCATENATE('Tube Cutting'!D16,'Tube Cutting'!E16),TrackManufacturing,2,FALSE)="Streamline Matt Satin"),'Tube Cutting'!C16&gt;6000),1,""))</f>
        <v/>
      </c>
      <c r="DP8" s="20" t="str">
        <f>IF(OR('Job Sheet'!H16="Conduit",'Job Sheet'!H16="Conduit x 2",I8&lt;&gt;"DBS to Make"),"",IF(VLOOKUP(CONCATENATE(Assembly!C16,Assembly!F16),PulleysEndCaps,5,FALSE)="","",IF('Tube Cutting'!E16="White",VLOOKUP(CONCATENATE(Assembly!C16,Assembly!F16),PulleysEndCaps,5,FALSE),"")))</f>
        <v/>
      </c>
      <c r="DQ8" s="20" t="str">
        <f>IF(OR('Job Sheet'!H16="Conduit",'Job Sheet'!H16="Conduit x 2",I8&lt;&gt;"DBS to Make"),"",IF(VLOOKUP(CONCATENATE(Assembly!C16,Assembly!F16),PulleysEndCaps,5,FALSE)="","",IF('Tube Cutting'!E16="Matt Black Ink",VLOOKUP(CONCATENATE(Assembly!C16,Assembly!F16),PulleysEndCaps,5,FALSE),"")))</f>
        <v/>
      </c>
      <c r="DR8" s="20" t="str">
        <f>IF(OR('Job Sheet'!H16="Conduit",'Job Sheet'!H16="Conduit x 2",I8&lt;&gt;"DBS to Make"),"",IF(VLOOKUP(CONCATENATE(Assembly!C16,Assembly!F16),PulleysEndCaps,5,FALSE)="","",IF('Tube Cutting'!E16="Matt Satin",VLOOKUP(CONCATENATE(Assembly!C16,Assembly!F16),PulleysEndCaps,5,FALSE),"")))</f>
        <v/>
      </c>
      <c r="DS8" s="20" t="str">
        <f>IF(OR('Job Sheet'!H16="Conduit",'Job Sheet'!H16="Conduit x 2",I8&lt;&gt;"DBS to Make"),"",IF(VLOOKUP(CONCATENATE(Assembly!C16,Assembly!F16),PulleysEndCaps,5,FALSE)="","",IF('Tube Cutting'!E16="Matt Satin",VLOOKUP(CONCATENATE(Assembly!C16,Assembly!F16),PulleysEndCaps,5,FALSE),"")))</f>
        <v/>
      </c>
      <c r="DT8" s="20" t="str">
        <f>IF(OR('Job Sheet'!H16="Conduit",'Job Sheet'!H16="Conduit x 2",I8&lt;&gt;"DBS to Make"),"",IF(VLOOKUP(CONCATENATE(Assembly!C16,Assembly!F16),PulleysEndCaps,8,FALSE)="","",IF('Tube Cutting'!E16="Matt Black Ink",VLOOKUP(CONCATENATE(Assembly!C16,Assembly!F16),PulleysEndCaps,8,FALSE),"")))</f>
        <v/>
      </c>
      <c r="DU8" s="20" t="str">
        <f>IF(OR('Job Sheet'!H16="Conduit",'Job Sheet'!H16="Conduit x 2",I8&lt;&gt;"DBS to Make"),"",IF(VLOOKUP(CONCATENATE(Assembly!C16,Assembly!F16),PulleysEndCaps,8,FALSE)="","",IF('Tube Cutting'!E16="Birch White",VLOOKUP(CONCATENATE(Assembly!C16,Assembly!F16),PulleysEndCaps,8,FALSE),"")))</f>
        <v/>
      </c>
      <c r="DV8" s="20" t="str">
        <f>IF(OR('Job Sheet'!H16="Conduit",'Job Sheet'!H16="Conduit x 2",I8&lt;&gt;"DBS to Make"),"",IF(VLOOKUP(CONCATENATE(Assembly!C16,Assembly!F16),PulleysEndCaps,8,FALSE)="","",IF('Tube Cutting'!E16="Matt Satin",VLOOKUP(CONCATENATE(Assembly!C16,Assembly!F16),PulleysEndCaps,8,FALSE),"")))</f>
        <v/>
      </c>
      <c r="DW8" s="20" t="str">
        <f>IF(D8="","",IF(AND(AND(Assembly!C16="Wavefold Cord Operation",'Tube Cutting'!E16="White",'Tube Cutting'!E16),(OR(Assembly!F16="Centre Opening",Assembly!F16="Centre Opening - Free Flowing",Assembly!F16="Centre Opening (Offset)",Assembly!F16="Centre Opening - Free Flowing (Offset)"))),2,IF(AND(AND(Assembly!C16="Wavefold Cord Operation",'Tube Cutting'!E16="White",'Tube Cutting'!E16),(OR(Assembly!F16="Single Panel - Left Stacking",Assembly!F16="Single Panel - Right Stacking",Assembly!F16="Single Panel - Free Flowing"))),1,"")))</f>
        <v/>
      </c>
      <c r="DX8" s="20" t="str">
        <f>IF(D8="","",IF(AND(AND(Assembly!C16="Wavefold Cord Operation",'Tube Cutting'!E16="Matt Black Ink",'Tube Cutting'!E16),(OR(Assembly!F16="Centre Opening",Assembly!F16="Centre Opening - Free Flowing",Assembly!F16="Centre Opening (Offset)",Assembly!F16="Centre Opening - Free Flowing (Offset)"))),2,IF(AND(AND(Assembly!C16="Wavefold Cord Operation",'Tube Cutting'!E16="Matt Black Ink",'Tube Cutting'!E16),(OR(Assembly!F16="Single Panel - Left Stacking",Assembly!F16="Single Panel - Right Stacking",Assembly!F16="Single Panel - Free Flowing"))),1,"")))</f>
        <v/>
      </c>
      <c r="DY8" s="20" t="str">
        <f>IF(D8="","",IF(AND(Assembly!C16="Wavefold Hand Operation",'Tube Cutting'!E16="White"),Bagging!J16,""))</f>
        <v/>
      </c>
      <c r="DZ8" s="20" t="str">
        <f>IF(D8="","",IF(AND(Assembly!C16="Wavefold Hand Operation",(OR('Tube Cutting'!E16="White",'Tube Cutting'!E16="White"))),Bagging!J16,""))</f>
        <v/>
      </c>
      <c r="EA8" s="20" t="str">
        <f>IF(OR(D8="",'Job Sheet'!U16="Straight"),"",VLOOKUP(CONCATENATE('Job Sheet'!U16,'Job Sheet'!L16),CornerBlocks,2,FALSE))</f>
        <v/>
      </c>
      <c r="EB8" s="20" t="str">
        <f>IF(D8="","",IF(OR('Tube Cutting'!D16="Streamline Cord Operation",'Tube Cutting'!D16="Wavefold Cord Operation"),1,""))</f>
        <v/>
      </c>
      <c r="EC8" s="20" t="str">
        <f>IF(D8="","",IF(VLOOKUP(CONCATENATE('Tube Cutting'!D16,'Tube Cutting'!E16),TrackManufacturing,2,FALSE)="System 20 White",1,""))</f>
        <v/>
      </c>
      <c r="ED8" s="20" t="str">
        <f>IF(D8="","",IF(VLOOKUP(CONCATENATE('Tube Cutting'!D16,'Tube Cutting'!E16),TrackManufacturing,2,FALSE)="System 20 Black",1,""))</f>
        <v/>
      </c>
      <c r="EE8" s="20" t="str">
        <f>IF(D8="","",IF(AND(VLOOKUP(CONCATENATE('Tube Cutting'!D16,'Tube Cutting'!E16),TrackManufacturing,2,FALSE)="System 20 White",(OR(Assembly!F16="Centre Opening",Assembly!F16="Centre Opening - Free Flowing",Assembly!F16="Centre Opening (Offset)",Assembly!F16="Centre Opening - Free Flowing (Offset)"))),1,""))</f>
        <v/>
      </c>
      <c r="EF8" s="20" t="str">
        <f>IF(D8="","",IF(AND(VLOOKUP(CONCATENATE('Tube Cutting'!D16,'Tube Cutting'!E16),TrackManufacturing,2,FALSE)="System 20 Black",(OR(Assembly!F16="Centre Opening",Assembly!F16="Centre Opening - Free Flowing",Assembly!F16="Centre Opening (Offset)",Assembly!F16="Centre Opening - Free Flowing (Offset)"))),1,""))</f>
        <v/>
      </c>
      <c r="EG8" s="126" t="str">
        <f>IF(D8="","",IF(OR(VLOOKUP(CONCATENATE('Tube Cutting'!D16,'Tube Cutting'!E16),TrackManufacturing,2,FALSE)="System 20 White",VLOOKUP(CONCATENATE('Tube Cutting'!D16,'Tube Cutting'!E16),TrackManufacturing,2,FALSE)="System 20 Black",VLOOKUP(CONCATENATE('Tube Cutting'!D16,'Tube Cutting'!E16),TrackManufacturing,2,FALSE)="System 20 Matt Black Ink"),Assembly!I16,IF('Tube Cutting'!D16="SEM Streamline Hand Operation",9,"")))</f>
        <v/>
      </c>
      <c r="EH8" s="20" t="str">
        <f>IF('Tube Cutting'!D16="Conduit",'Tube Cutting'!C16,"")</f>
        <v/>
      </c>
      <c r="EI8" s="20" t="str">
        <f>IF(Bagging!E16="Muslin Brackets",2,IF(Bagging!E16="Muslin Brackets Top and Bottom",4,""))</f>
        <v/>
      </c>
      <c r="EJ8" s="20" t="str">
        <f>IF(Bagging!E16="100mm Unstayed Brackets with Acorns",2,"")</f>
        <v/>
      </c>
      <c r="EK8" s="20" t="str">
        <f>IF(Bagging!E16="25mm Brackets with Acorns",2,"")</f>
        <v/>
      </c>
      <c r="EL8" s="20" t="str">
        <f>IF(OR(Bagging!E16="25mm Brackets with Acorns",Bagging!E16="100mm Unstayed Brackets with Acorns"),2,"")</f>
        <v/>
      </c>
      <c r="FI8" s="20"/>
      <c r="FJ8" s="20"/>
    </row>
    <row r="9" spans="4:166" ht="13.2" customHeight="1">
      <c r="D9" s="20" t="str">
        <f>IF(Data!AW17="","",CONCATENATE(Data!BC$5,".",Data!BD$5))</f>
        <v/>
      </c>
      <c r="E9" s="20" t="str">
        <f>IF(D9="","",Data!AW17)</f>
        <v/>
      </c>
      <c r="F9" s="20" t="str">
        <f>IF(D9="","",Data!AV17)</f>
        <v/>
      </c>
      <c r="G9" s="20" t="str">
        <f>IF(D9="","",Data!BF$5)</f>
        <v/>
      </c>
      <c r="H9" s="20" t="str">
        <f>IF(D9="","",Data!AX$5)</f>
        <v/>
      </c>
      <c r="I9" s="20" t="str">
        <f>IF(D9="","",'Job Sheet'!AI17)</f>
        <v/>
      </c>
      <c r="J9" s="20" t="str">
        <f>IF(D9="","",IF(OR(VLOOKUP(CONCATENATE('Tube Cutting'!D17,'Tube Cutting'!E17),TrackManufacturing,2,FALSE)="Wavefold White",VLOOKUP(CONCATENATE('Tube Cutting'!D17,'Tube Cutting'!E17),TrackManufacturing,2,FALSE)="Wavefold Black",VLOOKUP(CONCATENATE('Tube Cutting'!D17,'Tube Cutting'!E17),TrackManufacturing,2,FALSE)="Wavefold Matt Satin"),('Job Sheet'!G17*2)/1000,""))</f>
        <v/>
      </c>
      <c r="K9" s="126" t="str">
        <f>IF(D9="","",IF(OR(VLOOKUP(CONCATENATE('Tube Cutting'!D17,'Tube Cutting'!E17),TrackManufacturing,2,FALSE)="Wavefold White",VLOOKUP(CONCATENATE('Tube Cutting'!D17,'Tube Cutting'!E17),TrackManufacturing,2,FALSE)="Wavefold Matt Satin"),J9*10,""))</f>
        <v/>
      </c>
      <c r="L9" s="126" t="str">
        <f>IF(D9="","",IF(VLOOKUP(CONCATENATE('Tube Cutting'!D17,'Tube Cutting'!E17),TrackManufacturing,2,FALSE)="Wavefold Black",J9*10,""))</f>
        <v/>
      </c>
      <c r="M9" s="127" t="str">
        <f>IF(D9="","",IF(OR(VLOOKUP(CONCATENATE('Tube Cutting'!D17,'Tube Cutting'!E17),TrackManufacturing,2,FALSE)="Wavefold White",VLOOKUP(CONCATENATE('Tube Cutting'!D17,'Tube Cutting'!E17),TrackManufacturing,2,FALSE)="System 20 White"),'Tube Cutting'!C17/1000,""))</f>
        <v/>
      </c>
      <c r="N9" s="127" t="str">
        <f>IF(D9="","",IF(VLOOKUP(CONCATENATE('Tube Cutting'!D17,'Tube Cutting'!E17),TrackManufacturing,2,FALSE)="Wavefold Black",'Tube Cutting'!C17/1000,""))</f>
        <v/>
      </c>
      <c r="O9" s="127" t="str">
        <f>IF(D9="","",IF(OR(VLOOKUP(CONCATENATE('Tube Cutting'!D17,'Tube Cutting'!E17),TrackManufacturing,2,FALSE)="Wavefold Matt Satin",VLOOKUP(CONCATENATE('Tube Cutting'!D17,'Tube Cutting'!E17),TrackManufacturing,2,FALSE)="System 20 Matt Satin"),'Tube Cutting'!C17/1000,""))</f>
        <v/>
      </c>
      <c r="P9" s="126" t="str">
        <f>IF(D9="","",IF(AND((OR('Tube Cutting'!E17="White",'Tube Cutting'!E17="Matt Satin")),(OR('Tube Cutting'!D17="Wavefold Hand Operation",'Tube Cutting'!D17="Wavefold Cord Operation"))),IF(M9="",O9*20,M9*20),""))</f>
        <v/>
      </c>
      <c r="Q9" s="126" t="str">
        <f>IF(D9="","",IF(AND('Tube Cutting'!E17="Matt Black Ink",(OR('Tube Cutting'!D17="Wavefold Hand Operation",'Tube Cutting'!D17="Wavefold Cord Operation"))),N9*20,""))</f>
        <v/>
      </c>
      <c r="R9" s="126" t="str">
        <f>IF(D9="","",IF(OR('Tube Cutting'!D17="Streamline Hand Operation",'Tube Cutting'!D17="Streamline Cord Operation"),Assembly!I17,""))</f>
        <v/>
      </c>
      <c r="S9" s="20" t="str">
        <f>IF(D9="","",IF(VLOOKUP(CONCATENATE('Tube Cutting'!D17,'Tube Cutting'!E17),TrackManufacturing,2,FALSE)="Streamline White",'Tube Cutting'!C17/1000,""))</f>
        <v/>
      </c>
      <c r="T9" s="20" t="str">
        <f>IF(D9="","",IF(VLOOKUP(CONCATENATE('Tube Cutting'!D17,'Tube Cutting'!E17),TrackManufacturing,2,FALSE)="Streamline Matt Black Ink",'Tube Cutting'!C17/1000,""))</f>
        <v/>
      </c>
      <c r="U9" s="20" t="str">
        <f>IF(D9="","",IF(VLOOKUP(CONCATENATE('Tube Cutting'!D17,'Tube Cutting'!E17),TrackManufacturing,2,FALSE)="Streamline Birch White",'Tube Cutting'!C17/1000,""))</f>
        <v/>
      </c>
      <c r="V9" s="20" t="str">
        <f>IF(D9="","",IF(VLOOKUP(CONCATENATE('Tube Cutting'!D17,'Tube Cutting'!E17),TrackManufacturing,2,FALSE)="Streamline Matt Satin",'Tube Cutting'!C17/1000,""))</f>
        <v/>
      </c>
      <c r="W9" s="20" t="str">
        <f>IF(I9="Track from TBS","",IF(Bagging!I17="White Aluminium Flick Sticks 100cm",VALUE(Bagging!J17),""))</f>
        <v/>
      </c>
      <c r="X9" s="20" t="str">
        <f>IF(I9="Track from TBS","",IF(Bagging!I17="White Aluminium Flick Sticks 125cm",VALUE(Bagging!J17),""))</f>
        <v/>
      </c>
      <c r="Y9" s="20" t="str">
        <f>IF(I9="Track from TBS","",IF(Bagging!I17="White Aluminium Flick Sticks 150cm",VALUE(Bagging!J17),""))</f>
        <v/>
      </c>
      <c r="Z9" s="20" t="str">
        <f>IF(I9="Track from TBS","",IF(Bagging!I17="Black Aluminium Flick Sticks 100cm",VALUE(Bagging!J17),""))</f>
        <v/>
      </c>
      <c r="AA9" s="20" t="str">
        <f>IF(I9="Track from TBS","",IF(Bagging!I17="Black Aluminium Flick Sticks 125cm",VALUE(Bagging!J17),""))</f>
        <v/>
      </c>
      <c r="AB9" s="20" t="str">
        <f>IF(I9="Track from TBS","",IF(Bagging!I17="Black Aluminium Flick Sticks 150cm",VALUE(Bagging!J17),""))</f>
        <v/>
      </c>
      <c r="AC9" s="20" t="str">
        <f>IF(I9="Track from TBS","",IF(Bagging!I17="Matt Satin Aluminium Flick Sticks 100cm",VALUE(Bagging!J17),""))</f>
        <v/>
      </c>
      <c r="AD9" s="20" t="str">
        <f>IF(I9="Track from TBS","",IF(Bagging!I17="Matt Satin Aluminium Flick Sticks 125cm",VALUE(Bagging!J17),""))</f>
        <v/>
      </c>
      <c r="AE9" s="20" t="str">
        <f>IF(I9="Track from TBS","",IF(Bagging!I17="Matt Satin Aluminium Flick Sticks 150cm",VALUE(Bagging!J17),""))</f>
        <v/>
      </c>
      <c r="AF9" s="20" t="str">
        <f>IF(I9="Track from TBS","",IF(Bagging!I17="Standard Clear 75cm",VALUE(Bagging!J17),""))</f>
        <v/>
      </c>
      <c r="AG9" s="20" t="str">
        <f>IF(I9="Track from TBS","",IF(Bagging!I17="Standard Clear 100cm",VALUE(Bagging!J17),""))</f>
        <v/>
      </c>
      <c r="AH9" s="20" t="str">
        <f>IF(I9="Track from TBS","",IF(Bagging!I17="Standard Clear 125cm",VALUE(Bagging!J17),""))</f>
        <v/>
      </c>
      <c r="AI9" s="20" t="str">
        <f>IF(I9="Track from TBS","",IF(Bagging!I17="Standard Clear 150cm",VALUE(Bagging!J17),""))</f>
        <v/>
      </c>
      <c r="AJ9" s="20" t="str">
        <f>IF(I9="Track from TBS","",IF(Bagging!I17="White Fibreglass 200cm",VALUE(Bagging!J17),""))</f>
        <v/>
      </c>
      <c r="AK9" s="20" t="str">
        <f>IF(I9="Track from TBS","",IF(Bagging!I17="White Fibreglass 250cm",VALUE(Bagging!J17),""))</f>
        <v/>
      </c>
      <c r="AL9" s="20" t="str">
        <f>IF(D9="","",IF(AND(VLOOKUP(CONCATENATE('Tube Cutting'!D17,'Tube Cutting'!E17),TrackManufacturing,2,FALSE)="Wavefold White",(Bagging!E17="Top Fix Brackets")),Bagging!F17,""))</f>
        <v/>
      </c>
      <c r="AM9" s="20" t="str">
        <f>IF(D9="","",IF(AND(VLOOKUP(CONCATENATE('Tube Cutting'!D17,'Tube Cutting'!E17),TrackManufacturing,2,FALSE)="Wavefold White",(Bagging!E17="Single Face Fix Brackets")),Bagging!F17,""))</f>
        <v/>
      </c>
      <c r="AN9" s="20" t="str">
        <f>IF(D9="","",IF(AND(VLOOKUP(CONCATENATE('Tube Cutting'!D17,'Tube Cutting'!E17),TrackManufacturing,2,FALSE)="Wavefold White",(Bagging!E17="Double Face Fix Brackets")),Bagging!F17,""))</f>
        <v/>
      </c>
      <c r="AO9" s="20" t="str">
        <f>IF(D9="","",IF(AND(VLOOKUP(CONCATENATE('Tube Cutting'!D17,'Tube Cutting'!E17),TrackManufacturing,2,FALSE)="Wavefold White",(Bagging!E17="Triple Face Fix Brackets")),Bagging!F17,""))</f>
        <v/>
      </c>
      <c r="AP9" s="20" t="str">
        <f>IF(D9="","",IF(AND(VLOOKUP(CONCATENATE('Tube Cutting'!D17,'Tube Cutting'!E17),TrackManufacturing,2,FALSE)="Wavefold Black",(Bagging!E17="Top Fix Brackets")),Bagging!F17,""))</f>
        <v/>
      </c>
      <c r="AQ9" s="20" t="str">
        <f>IF(D9="","",IF(AND(VLOOKUP(CONCATENATE('Tube Cutting'!D17,'Tube Cutting'!E17),TrackManufacturing,2,FALSE)="Wavefold Black",(Bagging!E17="Single Face Fix Brackets")),Bagging!F17,""))</f>
        <v/>
      </c>
      <c r="AR9" s="20" t="str">
        <f>IF(D9="","",IF(AND(VLOOKUP(CONCATENATE('Tube Cutting'!D17,'Tube Cutting'!E17),TrackManufacturing,2,FALSE)="Wavefold Black",(Bagging!E17="Double Face Fix Brackets")),Bagging!F17,""))</f>
        <v/>
      </c>
      <c r="AS9" s="20" t="str">
        <f>IF(D9="","",IF(AND(VLOOKUP(CONCATENATE('Tube Cutting'!D17,'Tube Cutting'!E17),TrackManufacturing,2,FALSE)="Wavefold Black",(Bagging!E17="Triple Face Fix Brackets")),Bagging!F17,""))</f>
        <v/>
      </c>
      <c r="AT9" s="20" t="str">
        <f>IF(D9="","",IF(AND(OR(VLOOKUP(CONCATENATE('Tube Cutting'!D17,'Tube Cutting'!E17),TrackManufacturing,2,FALSE)="Wavefold Matt Satin",VLOOKUP(CONCATENATE('Tube Cutting'!D17,'Tube Cutting'!E17),TrackManufacturing,2,FALSE)="System 20 Matt Satin"),(Bagging!E17="Top Fix Brackets")),Bagging!F17,""))</f>
        <v/>
      </c>
      <c r="AU9" s="20" t="str">
        <f>IF(D9="","",IF(AND(OR(VLOOKUP(CONCATENATE('Tube Cutting'!D17,'Tube Cutting'!E17),TrackManufacturing,2,FALSE)="Wavefold Matt Satin",VLOOKUP(CONCATENATE('Tube Cutting'!D17,'Tube Cutting'!E17),TrackManufacturing,2,FALSE)="System 20 Matt Satin"),(Bagging!E17="Single Face Fix Brackets")),Bagging!F17,""))</f>
        <v/>
      </c>
      <c r="AV9" s="20" t="str">
        <f>IF(D9="","",IF(AND(OR(VLOOKUP(CONCATENATE('Tube Cutting'!D17,'Tube Cutting'!E17),TrackManufacturing,2,FALSE)="Wavefold Matt Satin",VLOOKUP(CONCATENATE('Tube Cutting'!D17,'Tube Cutting'!E17),TrackManufacturing,2,FALSE)="System 20 Matt Satin"),(Bagging!E17="Double Face Fix Brackets")),Bagging!F17,""))</f>
        <v/>
      </c>
      <c r="AW9" s="20" t="str">
        <f>IF(D9="","",IF(AND(OR(VLOOKUP(CONCATENATE('Tube Cutting'!D17,'Tube Cutting'!E17),TrackManufacturing,2,FALSE)="Wavefold Matt Satin",VLOOKUP(CONCATENATE('Tube Cutting'!D17,'Tube Cutting'!E17),TrackManufacturing,2,FALSE)="System 20 Matt Satin"),(Bagging!E17="Triple Face Fix Brackets")),Bagging!F17,""))</f>
        <v/>
      </c>
      <c r="AX9" s="20" t="str">
        <f>IF(D9="","",IF(AND(VLOOKUP(CONCATENATE('Tube Cutting'!D17,'Tube Cutting'!E17),TrackManufacturing,2,FALSE)="Streamline White",(Bagging!E17="Nylon Top Fix Brackets")),VLOOKUP('Job Sheet'!G17,Brackets,2,TRUE),""))</f>
        <v/>
      </c>
      <c r="AY9" s="20" t="str">
        <f>IF(D9="","",IF(AND(VLOOKUP(CONCATENATE('Tube Cutting'!D17,'Tube Cutting'!E17),TrackManufacturing,2,FALSE)="Streamline White",(Bagging!E17="Metal Fix Brackets")),VLOOKUP('Job Sheet'!G17,Brackets,2,TRUE),""))</f>
        <v/>
      </c>
      <c r="AZ9" s="20" t="str">
        <f>IF(D9="","",IF(AND(VLOOKUP(CONCATENATE('Tube Cutting'!D17,'Tube Cutting'!E17),TrackManufacturing,2,FALSE)="Streamline White",(Bagging!E17="Single Face Fix Brackets")),Bagging!F17,""))</f>
        <v/>
      </c>
      <c r="BA9" s="20" t="str">
        <f>IF(D9="","",IF(AND(VLOOKUP(CONCATENATE('Tube Cutting'!D17,'Tube Cutting'!E17),TrackManufacturing,2,FALSE)="Streamline White",(Bagging!E17="Double Face Fix Brackets")),Bagging!F17,""))</f>
        <v/>
      </c>
      <c r="BB9" s="20" t="str">
        <f>IF(D9="","",IF(AND(VLOOKUP(CONCATENATE('Tube Cutting'!D17,'Tube Cutting'!E17),TrackManufacturing,2,FALSE)="Streamline White",(Bagging!E17="Triple Face Fix Brackets")),Bagging!F17,""))</f>
        <v/>
      </c>
      <c r="BC9" s="20" t="str">
        <f>IF(D9="","",IF(AND(VLOOKUP(CONCATENATE('Tube Cutting'!D17,'Tube Cutting'!E17),TrackManufacturing,2,FALSE)="Streamline White",(Bagging!E17="32mm Face Fix Brackets")),Bagging!F17,""))</f>
        <v/>
      </c>
      <c r="BD9" s="20" t="str">
        <f>IF(J9="","",IF(AND(VLOOKUP(CONCATENATE('Tube Cutting'!D17,'Tube Cutting'!E17),TrackManufacturing,2,FALSE)="Streamline Matt Black Ink",(Bagging!M17="Nylon Top Fix Brackets")),VLOOKUP('Job Sheet'!L17,Brackets,2,TRUE),""))</f>
        <v/>
      </c>
      <c r="BE9" s="20" t="str">
        <f>IF(D9="","",IF(AND(VLOOKUP(CONCATENATE('Tube Cutting'!D17,'Tube Cutting'!E17),TrackManufacturing,2,FALSE)="Streamline Matt Black Ink",(Bagging!E17="Top Fix Brackets")),Bagging!F17,""))</f>
        <v/>
      </c>
      <c r="BF9" s="20" t="str">
        <f>IF(D9="","",IF(AND(VLOOKUP(CONCATENATE('Tube Cutting'!D17,'Tube Cutting'!E17),TrackManufacturing,2,FALSE)="Streamline Matt Black Ink",(Bagging!E17="Single Face Fix Brackets")),Bagging!F17,""))</f>
        <v/>
      </c>
      <c r="BG9" s="20" t="str">
        <f>IF(D9="","",IF(AND(VLOOKUP(CONCATENATE('Tube Cutting'!D17,'Tube Cutting'!E17),TrackManufacturing,2,FALSE)="Streamline Matt Black Ink",(Bagging!E17="Double Face Fix Brackets")),Bagging!F17,""))</f>
        <v/>
      </c>
      <c r="BH9" s="20" t="str">
        <f>IF(D9="","",IF(AND(VLOOKUP(CONCATENATE('Tube Cutting'!D17,'Tube Cutting'!E17),TrackManufacturing,2,FALSE)="Streamline Matt Black Ink",(Bagging!E17="Triple Face Fix Brackets")),Bagging!F17,""))</f>
        <v/>
      </c>
      <c r="BI9" s="20" t="str">
        <f>IF(D9="","",IF(AND(VLOOKUP(CONCATENATE('Tube Cutting'!D17,'Tube Cutting'!E17),TrackManufacturing,2,FALSE)="Streamline Matt Black Ink",(Bagging!E17="32mm Face Fix Brackets")),Bagging!F17,""))</f>
        <v/>
      </c>
      <c r="BJ9" s="20" t="str">
        <f>IF(D9="","",IF(AND(VLOOKUP(CONCATENATE('Tube Cutting'!D17,'Tube Cutting'!E17),TrackManufacturing,2,FALSE)="Streamline Birch White",(Bagging!P17="Nylon Top Fix Brackets")),VLOOKUP('Job Sheet'!Q17,Brackets,2,TRUE),""))</f>
        <v/>
      </c>
      <c r="BK9" s="20" t="str">
        <f>IF(D9="","",IF(AND(VLOOKUP(CONCATENATE('Tube Cutting'!D17,'Tube Cutting'!E17),TrackManufacturing,2,FALSE)="Streamline Birch White",(Bagging!E17="Top Fix Brackets")),Bagging!F17,""))</f>
        <v/>
      </c>
      <c r="BL9" s="20" t="str">
        <f>IF(D9="","",IF(AND(VLOOKUP(CONCATENATE('Tube Cutting'!D17,'Tube Cutting'!E17),TrackManufacturing,2,FALSE)="Streamline Birch White",(Bagging!E17="Single Face Fix Brackets")),Bagging!F17,""))</f>
        <v/>
      </c>
      <c r="BM9" s="20" t="str">
        <f>IF(D9="","",IF(AND(VLOOKUP(CONCATENATE('Tube Cutting'!D17,'Tube Cutting'!E17),TrackManufacturing,2,FALSE)="Streamline Birch White",(Bagging!E17="Double Face Fix Brackets")),Bagging!F17,""))</f>
        <v/>
      </c>
      <c r="BN9" s="20" t="str">
        <f>IF(D9="","",IF(AND(VLOOKUP(CONCATENATE('Tube Cutting'!D17,'Tube Cutting'!E17),TrackManufacturing,2,FALSE)="Streamline Birch White",(Bagging!E17="Triple Face Fix Brackets")),Bagging!F17,""))</f>
        <v/>
      </c>
      <c r="BO9" s="20" t="str">
        <f>IF(D9="","",IF(AND(VLOOKUP(CONCATENATE('Tube Cutting'!D17,'Tube Cutting'!E17),TrackManufacturing,2,FALSE)="Streamline Birch White",(Bagging!E17="32mm Face Fix Brackets")),Bagging!F17,""))</f>
        <v/>
      </c>
      <c r="BP9" s="20" t="str">
        <f>IF(D9="","",IF(AND(VLOOKUP(CONCATENATE('Tube Cutting'!D17,'Tube Cutting'!E17),TrackManufacturing,2,FALSE)="Streamline Matt Satin",(Bagging!E17="Top Fix Brackets")),Bagging!F17,""))</f>
        <v/>
      </c>
      <c r="BQ9" s="20" t="str">
        <f>IF(K9="","",IF(AND(VLOOKUP(CONCATENATE('Tube Cutting'!J17,'Tube Cutting'!K17),TrackManufacturing,2,FALSE)="Streamline Matt Satin",(Bagging!K17="Top Fix Brackets")),Bagging!L17,""))</f>
        <v/>
      </c>
      <c r="BR9" s="20" t="str">
        <f>IF(K9="","",IF(AND(VLOOKUP(CONCATENATE('Tube Cutting'!J17,'Tube Cutting'!K17),TrackManufacturing,2,FALSE)="Streamline Matt Satin",(Bagging!K17="Single Face Fix Brackets")),Bagging!L17,""))</f>
        <v/>
      </c>
      <c r="BS9" s="20" t="str">
        <f>IF(D9="","",IF(AND(VLOOKUP(CONCATENATE('Tube Cutting'!D17,'Tube Cutting'!E17),TrackManufacturing,2,FALSE)="Streamline Matt Satin",(Bagging!E17="Double Face Fix Brackets")),Bagging!F17,""))</f>
        <v/>
      </c>
      <c r="BT9" s="20" t="str">
        <f>IF(D9="","",IF(AND(VLOOKUP(CONCATENATE('Tube Cutting'!D17,'Tube Cutting'!E17),TrackManufacturing,2,FALSE)="Streamline Matt Satin",(Bagging!E17="Triple Face Fix Brackets")),Bagging!F17,""))</f>
        <v/>
      </c>
      <c r="BU9" s="20" t="str">
        <f>IF(D9="","",IF(AND(VLOOKUP(CONCATENATE('Tube Cutting'!D17,'Tube Cutting'!E17),TrackManufacturing,2,FALSE)="Streamline Matt Satin",(Bagging!E17="32mm Face Fix Brackets")),Bagging!F17,""))</f>
        <v/>
      </c>
      <c r="BV9" s="20" t="str">
        <f t="shared" si="0"/>
        <v/>
      </c>
      <c r="BW9" s="20" t="str">
        <f>IF(D9="","",IF(AND(VLOOKUP(CONCATENATE('Tube Cutting'!D17,'Tube Cutting'!E17),TrackManufacturing,2,FALSE)="White",Bagging!E17="Single Face Fix Brackets"),Bagging!F17,""))</f>
        <v/>
      </c>
      <c r="BX9" s="20" t="str">
        <f>IF(AND('Tube Cutting'!E17="White",Bagging!E17="Double Face Fix Brackets"),Bagging!F17,"")</f>
        <v/>
      </c>
      <c r="BY9" s="20" t="str">
        <f>IF(AND('Tube Cutting'!E17="White",Bagging!E17="Triple Face Fix Brackets"),Bagging!F17,"")</f>
        <v/>
      </c>
      <c r="BZ9" s="20" t="str">
        <f t="shared" si="1"/>
        <v/>
      </c>
      <c r="CA9" s="20" t="str">
        <f>IF(AND('Tube Cutting'!E17="Matt Black Ink",Bagging!E17="Single Face Fix Brackets"),Bagging!F17,"")</f>
        <v/>
      </c>
      <c r="CB9" s="20" t="str">
        <f>IF(AND('Tube Cutting'!E17="Matt Black Ink",Bagging!E17="Double Face Fix Brackets"),Bagging!F17,"")</f>
        <v/>
      </c>
      <c r="CC9" s="20" t="str">
        <f>IF(AND('Tube Cutting'!E17="Matt Black Ink",Bagging!E17="Triple Fix Brackets"),Bagging!F17,"")</f>
        <v/>
      </c>
      <c r="CD9" s="20" t="str">
        <f>IF(AND('Tube Cutting'!E17="Matt Satin",Bagging!E17="Top Fix Brackets"),Bagging!F17,"")</f>
        <v/>
      </c>
      <c r="CE9" s="20" t="str">
        <f>IF(AND('Tube Cutting'!E17="Matt Satin",Bagging!E17="Single Face Fix Brackets"),Bagging!F17,"")</f>
        <v/>
      </c>
      <c r="CF9" s="20" t="str">
        <f>IF(AND('Tube Cutting'!E17="Matt Satin",Bagging!E17="Double Face Fix Brackets"),Bagging!F17,"")</f>
        <v/>
      </c>
      <c r="CG9" s="20" t="str">
        <f>IF(AND('Tube Cutting'!E17="Matt Satin",Bagging!E17="Triple Fix Brackets"),Bagging!F17,"")</f>
        <v/>
      </c>
      <c r="CH9" s="20" t="str">
        <f>IF(D9="","",IF(AND('Tube Cutting'!E17="White",(OR(Bagging!L17="Single Left",Bagging!L17="Single Left &amp; Right"))),"1",""))</f>
        <v/>
      </c>
      <c r="CI9" s="20" t="str">
        <f>IF(D9="","",IF(AND('Tube Cutting'!E17="Matt Black Ink",(OR(Bagging!L17="Single Left",Bagging!L17="Single Left &amp; Right"))),"1",""))</f>
        <v/>
      </c>
      <c r="CJ9" s="20" t="str">
        <f>IF(D9="","",IF(AND('Tube Cutting'!E17="Matt Satin",(OR(Bagging!L17="Single Left",Bagging!L17="Single Left &amp; Right"))),"1",""))</f>
        <v/>
      </c>
      <c r="CK9" s="20" t="str">
        <f>IF(D9="","",IF(AND('Tube Cutting'!E17="White",(OR(Bagging!L17="Single Right",Bagging!L17="Single Left &amp; Right"))),"1",""))</f>
        <v/>
      </c>
      <c r="CL9" s="20" t="str">
        <f>IF(D9="","",IF(AND('Tube Cutting'!E17="Matt Black Ink",(OR(Bagging!L17="Single Right",Bagging!L17="Single Left &amp; Right"))),"1",""))</f>
        <v/>
      </c>
      <c r="CM9" s="20" t="str">
        <f>IF(D9="","",IF(AND('Tube Cutting'!E17="Matt Satin",(OR(Bagging!L17="Single Right",Bagging!L17="Single Left &amp; Right"))),"1",""))</f>
        <v/>
      </c>
      <c r="CN9" s="20" t="str">
        <f>IF(D9="","",IF(AND('Tube Cutting'!E17="White",(OR(Bagging!L17="Double Left",Bagging!L17="Double Left &amp; Right"))),"1",""))</f>
        <v/>
      </c>
      <c r="CO9" s="20" t="str">
        <f>IF(D9="","",IF(AND('Tube Cutting'!E17="Matt Black Ink",(OR(Bagging!L17="Double Left",Bagging!L17="Double Left &amp; Right"))),"1",""))</f>
        <v/>
      </c>
      <c r="CP9" s="20" t="str">
        <f>IF(D9="","",IF(AND('Tube Cutting'!E17="Matt Satin",(OR(Bagging!L17="Double Left",Bagging!L17="Double Left &amp; Right"))),"1",""))</f>
        <v/>
      </c>
      <c r="CQ9" s="20" t="str">
        <f>IF(D9="","",IF(AND('Tube Cutting'!E17="White",(OR(Bagging!L17="Double Right",Bagging!L17="Double Left &amp; Right"))),"1",""))</f>
        <v/>
      </c>
      <c r="CR9" s="20" t="str">
        <f>IF(D9="","",IF(AND('Tube Cutting'!E17="Matt Black Ink",(OR(Bagging!L17="Double Right",Bagging!L17="Double Left &amp; Right"))),"1",""))</f>
        <v/>
      </c>
      <c r="CS9" s="20" t="str">
        <f>IF(D9="","",IF(AND('Tube Cutting'!E17="Matt Satin",(OR(Bagging!L17="Double Right",Bagging!L17="Double Left &amp; Right"))),"1",""))</f>
        <v/>
      </c>
      <c r="CT9" s="20" t="str">
        <f>IF(D9="","",IF(VLOOKUP(CONCATENATE('Tube Cutting'!D17,'Tube Cutting'!E17),TrackManufacturing,2,FALSE)="Streamline White",1,""))</f>
        <v/>
      </c>
      <c r="CU9" s="20" t="str">
        <f>IF(D9="","",IF(VLOOKUP(CONCATENATE('Tube Cutting'!D17,'Tube Cutting'!E17),TrackManufacturing,2,FALSE)="Streamline Matt Black Ink",1,""))</f>
        <v/>
      </c>
      <c r="CV9" s="20" t="str">
        <f>IF(D9="","",IF(VLOOKUP(CONCATENATE('Tube Cutting'!D17,'Tube Cutting'!E17),TrackManufacturing,2,FALSE)="Streamline Birch White",1,""))</f>
        <v/>
      </c>
      <c r="CW9" s="20" t="str">
        <f>IF(D9="","",IF(VLOOKUP(CONCATENATE('Tube Cutting'!D17,'Tube Cutting'!E17),TrackManufacturing,2,FALSE)="Streamline Matt Satin",1,""))</f>
        <v/>
      </c>
      <c r="CX9" s="20" t="str">
        <f>IF(D9="","",IF(AND(VLOOKUP(CONCATENATE('Tube Cutting'!D17,'Tube Cutting'!E17),TrackManufacturing,2,FALSE)="Streamline White",(OR(Assembly!F17="Centre Opening",Assembly!F17="Centre Opening - Free Flowing",Assembly!F17="Centre Opening (Offset)",Assembly!F17="Centre Opening - Free Flowing (Offset)"))),1,""))</f>
        <v/>
      </c>
      <c r="CY9" s="20" t="str">
        <f>IF(D9="","",IF(AND(VLOOKUP(CONCATENATE('Tube Cutting'!D17,'Tube Cutting'!E17),TrackManufacturing,2,FALSE)="Streamline Matt Black Ink",(OR(Assembly!F17="Centre Opening",Assembly!F17="Centre Opening - Free Flowing",Assembly!F17="Centre Opening (Offset)",Assembly!F17="Centre Opening - Free Flowing (Offset)"))),1,""))</f>
        <v/>
      </c>
      <c r="CZ9" s="20" t="str">
        <f>IF(D9="","",IF(AND(VLOOKUP(CONCATENATE('Tube Cutting'!D17,'Tube Cutting'!E17),TrackManufacturing,2,FALSE)="Streamline Birch White",(OR(Assembly!F17="Centre Opening",Assembly!F17="Centre Opening - Free Flowing",Assembly!F17="Centre Opening (Offset)",Assembly!F17="Centre Opening - Free Flowing (Offset)"))),1,""))</f>
        <v/>
      </c>
      <c r="DA9" s="20" t="str">
        <f>IF(D9="","",IF(AND(VLOOKUP(CONCATENATE('Tube Cutting'!D17,'Tube Cutting'!E17),TrackManufacturing,2,FALSE)="Streamline Matt Satin",(OR(Assembly!F17="Centre Opening",Assembly!F17="Centre Opening - Free Flowing",Assembly!F17="Centre Opening (Offset)",Assembly!F17="Centre Opening - Free Flowing (Offset)"))),1,""))</f>
        <v/>
      </c>
      <c r="DB9" s="20" t="str">
        <f>IF(OR('Job Sheet'!H17="Conduit",'Job Sheet'!H17="Conduit x 2",I9&lt;&gt;"DBS to Make"),"",IF(VLOOKUP(CONCATENATE(Assembly!C17,Assembly!F17),PulleysEndCaps,2,FALSE)="","",IF('Tube Cutting'!E17="White",VLOOKUP(CONCATENATE(Assembly!C17,Assembly!F17),PulleysEndCaps,2,FALSE),"")))</f>
        <v/>
      </c>
      <c r="DC9" s="20" t="str">
        <f>IF(OR('Job Sheet'!H17="Conduit",'Job Sheet'!H17="Conduit x 2",I9&lt;&gt;"DBS to Make"),"",IF(VLOOKUP(CONCATENATE(Assembly!C17,Assembly!F17),PulleysEndCaps,2,FALSE)="","",IF('Tube Cutting'!E17="Matt Black Ink",VLOOKUP(CONCATENATE(Assembly!C17,Assembly!F17),PulleysEndCaps,2,FALSE),"")))</f>
        <v/>
      </c>
      <c r="DD9" s="20" t="str">
        <f>IF(OR('Job Sheet'!H17="Conduit",'Job Sheet'!H17="Conduit x 2",I9&lt;&gt;"DBS to Make"),"",IF(VLOOKUP(CONCATENATE(Assembly!C17,Assembly!F17),PulleysEndCaps,2,FALSE)="","",IF('Tube Cutting'!E17="Matt Satin",VLOOKUP(CONCATENATE(Assembly!C17,Assembly!F17),PulleysEndCaps,2,FALSE),"")))</f>
        <v/>
      </c>
      <c r="DE9" s="20" t="str">
        <f>IF(OR('Job Sheet'!H17="Conduit",'Job Sheet'!H17="Conduit x 2",I9&lt;&gt;"DBS to Make"),"",IF(VLOOKUP(CONCATENATE(Assembly!C17,Assembly!F17),PulleysEndCaps,3,FALSE)="","",IF('Tube Cutting'!E17="White",VLOOKUP(CONCATENATE(Assembly!C17,Assembly!F17),PulleysEndCaps,3,FALSE),"")))</f>
        <v/>
      </c>
      <c r="DF9" s="20" t="str">
        <f>IF(OR('Job Sheet'!H17="Conduit",'Job Sheet'!H17="Conduit x 2",I9&lt;&gt;"DBS to Make"),"",IF(VLOOKUP(CONCATENATE(Assembly!C17,Assembly!F17),PulleysEndCaps,3,FALSE)="","",IF('Tube Cutting'!E17="Matt Black Ink",VLOOKUP(CONCATENATE(Assembly!C17,Assembly!F17),PulleysEndCaps,3,FALSE),"")))</f>
        <v/>
      </c>
      <c r="DG9" s="20" t="str">
        <f>IF(OR('Job Sheet'!H17="Conduit",'Job Sheet'!H17="Conduit x 2",I9&lt;&gt;"DBS to Make"),"",IF(VLOOKUP(CONCATENATE(Assembly!C17,Assembly!F17),PulleysEndCaps,3,FALSE)="","",IF('Tube Cutting'!E17="Matt Satin",VLOOKUP(CONCATENATE(Assembly!C17,Assembly!F17),PulleysEndCaps,3,FALSE),"")))</f>
        <v/>
      </c>
      <c r="DH9" s="20" t="str">
        <f>IF(OR('Job Sheet'!H17="Conduit",'Job Sheet'!H17="Conduit x 2",I9&lt;&gt;"DBS to Make"),"",IF(VLOOKUP(CONCATENATE(Assembly!C17,Assembly!F17),PulleysEndCaps,6,FALSE)="","",IF('Tube Cutting'!E17="White",VLOOKUP(CONCATENATE(Assembly!C17,Assembly!F17),PulleysEndCaps,6,FALSE),"")))</f>
        <v/>
      </c>
      <c r="DI9" s="20" t="str">
        <f>IF(OR('Job Sheet'!H17="Conduit",'Job Sheet'!H17="Conduit x 2",I9&lt;&gt;"DBS to Make"),"",IF(VLOOKUP(CONCATENATE(Assembly!C17,Assembly!F17),PulleysEndCaps,6,FALSE)="","",IF('Tube Cutting'!E17="Matt Black Ink",VLOOKUP(CONCATENATE(Assembly!C17,Assembly!F17),PulleysEndCaps,6,FALSE),"")))</f>
        <v/>
      </c>
      <c r="DJ9" s="20" t="str">
        <f>IF(OR('Job Sheet'!H17="Conduit",'Job Sheet'!H17="Conduit x 2",I9&lt;&gt;"DBS to Make"),"",IF(VLOOKUP(CONCATENATE(Assembly!C17,Assembly!F17),PulleysEndCaps,6,FALSE)="","",IF('Tube Cutting'!E17="Birch White",VLOOKUP(CONCATENATE(Assembly!C17,Assembly!F17),PulleysEndCaps,6,FALSE),"")))</f>
        <v/>
      </c>
      <c r="DK9" s="20" t="str">
        <f>IF(OR('Job Sheet'!H17="Conduit",'Job Sheet'!H17="Conduit x 2",I9&lt;&gt;"DBS to Make"),"",IF(VLOOKUP(CONCATENATE(Assembly!C17,Assembly!F17),PulleysEndCaps,6,FALSE)="","",IF('Tube Cutting'!E17="Matt Satin",VLOOKUP(CONCATENATE(Assembly!C17,Assembly!F17),PulleysEndCaps,6,FALSE),"")))</f>
        <v/>
      </c>
      <c r="DL9" s="20" t="str">
        <f>IF(OR('Job Sheet'!H17="Conduit",'Job Sheet'!H17="Conduit x 2",I9&lt;&gt;"DBS to Make"),"",IF(VLOOKUP(CONCATENATE(Assembly!C17,Assembly!F17),PulleysEndCaps,4,FALSE)="","",VLOOKUP(CONCATENATE(Assembly!C17,Assembly!F17),PulleysEndCaps,4,FALSE)))</f>
        <v/>
      </c>
      <c r="DM9" s="20" t="str">
        <f>IF(OR('Job Sheet'!H17="Conduit",'Job Sheet'!H17="Conduit x 2",I9&lt;&gt;"DBS to Make"),"",IF(VLOOKUP(CONCATENATE(Assembly!C17,Assembly!F17),PulleysEndCaps,7,FALSE)="","",VLOOKUP(CONCATENATE(Assembly!C17,Assembly!F17),PulleysEndCaps,7,FALSE)))</f>
        <v/>
      </c>
      <c r="DN9" s="20" t="str">
        <f>IF(D9="","",IF(AND(OR(VLOOKUP(CONCATENATE('Tube Cutting'!D17,'Tube Cutting'!E17),TrackManufacturing,2,FALSE)="Wavefold White",VLOOKUP(CONCATENATE('Tube Cutting'!D17,'Tube Cutting'!E17),TrackManufacturing,2,FALSE)="Wavefold Black",VLOOKUP(CONCATENATE('Tube Cutting'!D17,'Tube Cutting'!E17),TrackManufacturing,2,FALSE)="Wavefold Matt Satin",VLOOKUP(CONCATENATE('Tube Cutting'!D17,'Tube Cutting'!E17),TrackManufacturing,2,FALSE)="System 20 White",VLOOKUP(CONCATENATE('Tube Cutting'!D17,'Tube Cutting'!E17),TrackManufacturing,2,FALSE)="System 20 Black",VLOOKUP(CONCATENATE('Tube Cutting'!D17,'Tube Cutting'!E17),TrackManufacturing,2,FALSE)="System 20 Matt Satin"),'Tube Cutting'!C17&gt;6000),1,""))</f>
        <v/>
      </c>
      <c r="DO9" s="20" t="str">
        <f>IF(D9="","",IF(AND(OR(VLOOKUP(CONCATENATE('Tube Cutting'!D17,'Tube Cutting'!E17),TrackManufacturing,2,FALSE)="Streamline White",VLOOKUP(CONCATENATE('Tube Cutting'!D17,'Tube Cutting'!E17),TrackManufacturing,2,FALSE)="Streamline Black",VLOOKUP(CONCATENATE('Tube Cutting'!D17,'Tube Cutting'!E17),TrackManufacturing,2,FALSE)="Streamline Birch White",VLOOKUP(CONCATENATE('Tube Cutting'!D17,'Tube Cutting'!E17),TrackManufacturing,2,FALSE)="Streamline Matt Satin"),'Tube Cutting'!C17&gt;6000),1,""))</f>
        <v/>
      </c>
      <c r="DP9" s="20" t="str">
        <f>IF(OR('Job Sheet'!H17="Conduit",'Job Sheet'!H17="Conduit x 2",I9&lt;&gt;"DBS to Make"),"",IF(VLOOKUP(CONCATENATE(Assembly!C17,Assembly!F17),PulleysEndCaps,5,FALSE)="","",IF('Tube Cutting'!E17="White",VLOOKUP(CONCATENATE(Assembly!C17,Assembly!F17),PulleysEndCaps,5,FALSE),"")))</f>
        <v/>
      </c>
      <c r="DQ9" s="20" t="str">
        <f>IF(OR('Job Sheet'!H17="Conduit",'Job Sheet'!H17="Conduit x 2",I9&lt;&gt;"DBS to Make"),"",IF(VLOOKUP(CONCATENATE(Assembly!C17,Assembly!F17),PulleysEndCaps,5,FALSE)="","",IF('Tube Cutting'!E17="Matt Black Ink",VLOOKUP(CONCATENATE(Assembly!C17,Assembly!F17),PulleysEndCaps,5,FALSE),"")))</f>
        <v/>
      </c>
      <c r="DR9" s="20" t="str">
        <f>IF(OR('Job Sheet'!H17="Conduit",'Job Sheet'!H17="Conduit x 2",I9&lt;&gt;"DBS to Make"),"",IF(VLOOKUP(CONCATENATE(Assembly!C17,Assembly!F17),PulleysEndCaps,5,FALSE)="","",IF('Tube Cutting'!E17="Matt Satin",VLOOKUP(CONCATENATE(Assembly!C17,Assembly!F17),PulleysEndCaps,5,FALSE),"")))</f>
        <v/>
      </c>
      <c r="DS9" s="20" t="str">
        <f>IF(OR('Job Sheet'!H17="Conduit",'Job Sheet'!H17="Conduit x 2",I9&lt;&gt;"DBS to Make"),"",IF(VLOOKUP(CONCATENATE(Assembly!C17,Assembly!F17),PulleysEndCaps,5,FALSE)="","",IF('Tube Cutting'!E17="Matt Satin",VLOOKUP(CONCATENATE(Assembly!C17,Assembly!F17),PulleysEndCaps,5,FALSE),"")))</f>
        <v/>
      </c>
      <c r="DT9" s="20" t="str">
        <f>IF(OR('Job Sheet'!H17="Conduit",'Job Sheet'!H17="Conduit x 2",I9&lt;&gt;"DBS to Make"),"",IF(VLOOKUP(CONCATENATE(Assembly!C17,Assembly!F17),PulleysEndCaps,8,FALSE)="","",IF('Tube Cutting'!E17="Matt Black Ink",VLOOKUP(CONCATENATE(Assembly!C17,Assembly!F17),PulleysEndCaps,8,FALSE),"")))</f>
        <v/>
      </c>
      <c r="DU9" s="20" t="str">
        <f>IF(OR('Job Sheet'!H17="Conduit",'Job Sheet'!H17="Conduit x 2",I9&lt;&gt;"DBS to Make"),"",IF(VLOOKUP(CONCATENATE(Assembly!C17,Assembly!F17),PulleysEndCaps,8,FALSE)="","",IF('Tube Cutting'!E17="Birch White",VLOOKUP(CONCATENATE(Assembly!C17,Assembly!F17),PulleysEndCaps,8,FALSE),"")))</f>
        <v/>
      </c>
      <c r="DV9" s="20" t="str">
        <f>IF(OR('Job Sheet'!H17="Conduit",'Job Sheet'!H17="Conduit x 2",I9&lt;&gt;"DBS to Make"),"",IF(VLOOKUP(CONCATENATE(Assembly!C17,Assembly!F17),PulleysEndCaps,8,FALSE)="","",IF('Tube Cutting'!E17="Matt Satin",VLOOKUP(CONCATENATE(Assembly!C17,Assembly!F17),PulleysEndCaps,8,FALSE),"")))</f>
        <v/>
      </c>
      <c r="DW9" s="20" t="str">
        <f>IF(D9="","",IF(AND(AND(Assembly!C17="Wavefold Cord Operation",'Tube Cutting'!E17="White",'Tube Cutting'!E17),(OR(Assembly!F17="Centre Opening",Assembly!F17="Centre Opening - Free Flowing",Assembly!F17="Centre Opening (Offset)",Assembly!F17="Centre Opening - Free Flowing (Offset)"))),2,IF(AND(AND(Assembly!C17="Wavefold Cord Operation",'Tube Cutting'!E17="White",'Tube Cutting'!E17),(OR(Assembly!F17="Single Panel - Left Stacking",Assembly!F17="Single Panel - Right Stacking",Assembly!F17="Single Panel - Free Flowing"))),1,"")))</f>
        <v/>
      </c>
      <c r="DX9" s="20" t="str">
        <f>IF(D9="","",IF(AND(AND(Assembly!C17="Wavefold Cord Operation",'Tube Cutting'!E17="Matt Black Ink",'Tube Cutting'!E17),(OR(Assembly!F17="Centre Opening",Assembly!F17="Centre Opening - Free Flowing",Assembly!F17="Centre Opening (Offset)",Assembly!F17="Centre Opening - Free Flowing (Offset)"))),2,IF(AND(AND(Assembly!C17="Wavefold Cord Operation",'Tube Cutting'!E17="Matt Black Ink",'Tube Cutting'!E17),(OR(Assembly!F17="Single Panel - Left Stacking",Assembly!F17="Single Panel - Right Stacking",Assembly!F17="Single Panel - Free Flowing"))),1,"")))</f>
        <v/>
      </c>
      <c r="DY9" s="20" t="str">
        <f>IF(D9="","",IF(AND(Assembly!C17="Wavefold Hand Operation",'Tube Cutting'!E17="White"),Bagging!J17,""))</f>
        <v/>
      </c>
      <c r="DZ9" s="20" t="str">
        <f>IF(D9="","",IF(AND(Assembly!C17="Wavefold Hand Operation",(OR('Tube Cutting'!E17="White",'Tube Cutting'!E17="White"))),Bagging!J17,""))</f>
        <v/>
      </c>
      <c r="EA9" s="20" t="str">
        <f>IF(OR(D9="",'Job Sheet'!U17="Straight"),"",VLOOKUP(CONCATENATE('Job Sheet'!U17,'Job Sheet'!L17),CornerBlocks,2,FALSE))</f>
        <v/>
      </c>
      <c r="EB9" s="20" t="str">
        <f>IF(D9="","",IF(OR('Tube Cutting'!D17="Streamline Cord Operation",'Tube Cutting'!D17="Wavefold Cord Operation"),1,""))</f>
        <v/>
      </c>
      <c r="EC9" s="20" t="str">
        <f>IF(D9="","",IF(VLOOKUP(CONCATENATE('Tube Cutting'!D17,'Tube Cutting'!E17),TrackManufacturing,2,FALSE)="System 20 White",1,""))</f>
        <v/>
      </c>
      <c r="ED9" s="20" t="str">
        <f>IF(D9="","",IF(VLOOKUP(CONCATENATE('Tube Cutting'!D17,'Tube Cutting'!E17),TrackManufacturing,2,FALSE)="System 20 Black",1,""))</f>
        <v/>
      </c>
      <c r="EE9" s="20" t="str">
        <f>IF(D9="","",IF(AND(VLOOKUP(CONCATENATE('Tube Cutting'!D17,'Tube Cutting'!E17),TrackManufacturing,2,FALSE)="System 20 White",(OR(Assembly!F17="Centre Opening",Assembly!F17="Centre Opening - Free Flowing",Assembly!F17="Centre Opening (Offset)",Assembly!F17="Centre Opening - Free Flowing (Offset)"))),1,""))</f>
        <v/>
      </c>
      <c r="EF9" s="20" t="str">
        <f>IF(D9="","",IF(AND(VLOOKUP(CONCATENATE('Tube Cutting'!D17,'Tube Cutting'!E17),TrackManufacturing,2,FALSE)="System 20 Black",(OR(Assembly!F17="Centre Opening",Assembly!F17="Centre Opening - Free Flowing",Assembly!F17="Centre Opening (Offset)",Assembly!F17="Centre Opening - Free Flowing (Offset)"))),1,""))</f>
        <v/>
      </c>
      <c r="EG9" s="126" t="str">
        <f>IF(D9="","",IF(OR(VLOOKUP(CONCATENATE('Tube Cutting'!D17,'Tube Cutting'!E17),TrackManufacturing,2,FALSE)="System 20 White",VLOOKUP(CONCATENATE('Tube Cutting'!D17,'Tube Cutting'!E17),TrackManufacturing,2,FALSE)="System 20 Black",VLOOKUP(CONCATENATE('Tube Cutting'!D17,'Tube Cutting'!E17),TrackManufacturing,2,FALSE)="System 20 Matt Black Ink"),Assembly!I17,IF('Tube Cutting'!D17="SEM Streamline Hand Operation",9,"")))</f>
        <v/>
      </c>
      <c r="EH9" s="20" t="str">
        <f>IF('Tube Cutting'!D17="Conduit",'Tube Cutting'!C17,"")</f>
        <v/>
      </c>
      <c r="EI9" s="20" t="str">
        <f>IF(Bagging!E17="Muslin Brackets",2,IF(Bagging!E17="Muslin Brackets Top and Bottom",4,""))</f>
        <v/>
      </c>
      <c r="EJ9" s="20" t="str">
        <f>IF(Bagging!E17="100mm Unstayed Brackets with Acorns",2,"")</f>
        <v/>
      </c>
      <c r="EK9" s="20" t="str">
        <f>IF(Bagging!E17="25mm Brackets with Acorns",2,"")</f>
        <v/>
      </c>
      <c r="EL9" s="20" t="str">
        <f>IF(OR(Bagging!E17="25mm Brackets with Acorns",Bagging!E17="100mm Unstayed Brackets with Acorns"),2,"")</f>
        <v/>
      </c>
      <c r="FI9" s="20"/>
      <c r="FJ9" s="20"/>
    </row>
    <row r="10" spans="4:166" ht="13.2" customHeight="1">
      <c r="D10" s="20" t="str">
        <f>IF(Data!AW18="","",CONCATENATE(Data!BC$5,".",Data!BD$5))</f>
        <v/>
      </c>
      <c r="E10" s="20" t="str">
        <f>IF(D10="","",Data!AW18)</f>
        <v/>
      </c>
      <c r="F10" s="20" t="str">
        <f>IF(D10="","",Data!AV18)</f>
        <v/>
      </c>
      <c r="G10" s="20" t="str">
        <f>IF(D10="","",Data!BF$5)</f>
        <v/>
      </c>
      <c r="H10" s="20" t="str">
        <f>IF(D10="","",Data!AX$5)</f>
        <v/>
      </c>
      <c r="I10" s="20" t="str">
        <f>IF(D10="","",'Job Sheet'!AI18)</f>
        <v/>
      </c>
      <c r="J10" s="20" t="str">
        <f>IF(D10="","",IF(OR(VLOOKUP(CONCATENATE('Tube Cutting'!D18,'Tube Cutting'!E18),TrackManufacturing,2,FALSE)="Wavefold White",VLOOKUP(CONCATENATE('Tube Cutting'!D18,'Tube Cutting'!E18),TrackManufacturing,2,FALSE)="Wavefold Black",VLOOKUP(CONCATENATE('Tube Cutting'!D18,'Tube Cutting'!E18),TrackManufacturing,2,FALSE)="Wavefold Matt Satin"),('Job Sheet'!G18*2)/1000,""))</f>
        <v/>
      </c>
      <c r="K10" s="126" t="str">
        <f>IF(D10="","",IF(OR(VLOOKUP(CONCATENATE('Tube Cutting'!D18,'Tube Cutting'!E18),TrackManufacturing,2,FALSE)="Wavefold White",VLOOKUP(CONCATENATE('Tube Cutting'!D18,'Tube Cutting'!E18),TrackManufacturing,2,FALSE)="Wavefold Matt Satin"),J10*10,""))</f>
        <v/>
      </c>
      <c r="L10" s="126" t="str">
        <f>IF(D10="","",IF(VLOOKUP(CONCATENATE('Tube Cutting'!D18,'Tube Cutting'!E18),TrackManufacturing,2,FALSE)="Wavefold Black",J10*10,""))</f>
        <v/>
      </c>
      <c r="M10" s="127" t="str">
        <f>IF(D10="","",IF(OR(VLOOKUP(CONCATENATE('Tube Cutting'!D18,'Tube Cutting'!E18),TrackManufacturing,2,FALSE)="Wavefold White",VLOOKUP(CONCATENATE('Tube Cutting'!D18,'Tube Cutting'!E18),TrackManufacturing,2,FALSE)="System 20 White"),'Tube Cutting'!C18/1000,""))</f>
        <v/>
      </c>
      <c r="N10" s="127" t="str">
        <f>IF(D10="","",IF(VLOOKUP(CONCATENATE('Tube Cutting'!D18,'Tube Cutting'!E18),TrackManufacturing,2,FALSE)="Wavefold Black",'Tube Cutting'!C18/1000,""))</f>
        <v/>
      </c>
      <c r="O10" s="127" t="str">
        <f>IF(D10="","",IF(OR(VLOOKUP(CONCATENATE('Tube Cutting'!D18,'Tube Cutting'!E18),TrackManufacturing,2,FALSE)="Wavefold Matt Satin",VLOOKUP(CONCATENATE('Tube Cutting'!D18,'Tube Cutting'!E18),TrackManufacturing,2,FALSE)="System 20 Matt Satin"),'Tube Cutting'!C18/1000,""))</f>
        <v/>
      </c>
      <c r="P10" s="126" t="str">
        <f>IF(D10="","",IF(AND((OR('Tube Cutting'!E18="White",'Tube Cutting'!E18="Matt Satin")),(OR('Tube Cutting'!D18="Wavefold Hand Operation",'Tube Cutting'!D18="Wavefold Cord Operation"))),IF(M10="",O10*20,M10*20),""))</f>
        <v/>
      </c>
      <c r="Q10" s="126" t="str">
        <f>IF(D10="","",IF(AND('Tube Cutting'!E18="Matt Black Ink",(OR('Tube Cutting'!D18="Wavefold Hand Operation",'Tube Cutting'!D18="Wavefold Cord Operation"))),N10*20,""))</f>
        <v/>
      </c>
      <c r="R10" s="126" t="str">
        <f>IF(D10="","",IF(OR('Tube Cutting'!D18="Streamline Hand Operation",'Tube Cutting'!D18="Streamline Cord Operation"),Assembly!I18,""))</f>
        <v/>
      </c>
      <c r="S10" s="20" t="str">
        <f>IF(D10="","",IF(VLOOKUP(CONCATENATE('Tube Cutting'!D18,'Tube Cutting'!E18),TrackManufacturing,2,FALSE)="Streamline White",'Tube Cutting'!C18/1000,""))</f>
        <v/>
      </c>
      <c r="T10" s="20" t="str">
        <f>IF(D10="","",IF(VLOOKUP(CONCATENATE('Tube Cutting'!D18,'Tube Cutting'!E18),TrackManufacturing,2,FALSE)="Streamline Matt Black Ink",'Tube Cutting'!C18/1000,""))</f>
        <v/>
      </c>
      <c r="U10" s="20" t="str">
        <f>IF(D10="","",IF(VLOOKUP(CONCATENATE('Tube Cutting'!D18,'Tube Cutting'!E18),TrackManufacturing,2,FALSE)="Streamline Birch White",'Tube Cutting'!C18/1000,""))</f>
        <v/>
      </c>
      <c r="V10" s="20" t="str">
        <f>IF(D10="","",IF(VLOOKUP(CONCATENATE('Tube Cutting'!D18,'Tube Cutting'!E18),TrackManufacturing,2,FALSE)="Streamline Matt Satin",'Tube Cutting'!C18/1000,""))</f>
        <v/>
      </c>
      <c r="W10" s="20" t="str">
        <f>IF(I10="Track from TBS","",IF(Bagging!I18="White Aluminium Flick Sticks 100cm",VALUE(Bagging!J18),""))</f>
        <v/>
      </c>
      <c r="X10" s="20" t="str">
        <f>IF(I10="Track from TBS","",IF(Bagging!I18="White Aluminium Flick Sticks 125cm",VALUE(Bagging!J18),""))</f>
        <v/>
      </c>
      <c r="Y10" s="20" t="str">
        <f>IF(I10="Track from TBS","",IF(Bagging!I18="White Aluminium Flick Sticks 150cm",VALUE(Bagging!J18),""))</f>
        <v/>
      </c>
      <c r="Z10" s="20" t="str">
        <f>IF(I10="Track from TBS","",IF(Bagging!I18="Black Aluminium Flick Sticks 100cm",VALUE(Bagging!J18),""))</f>
        <v/>
      </c>
      <c r="AA10" s="20" t="str">
        <f>IF(I10="Track from TBS","",IF(Bagging!I18="Black Aluminium Flick Sticks 125cm",VALUE(Bagging!J18),""))</f>
        <v/>
      </c>
      <c r="AB10" s="20" t="str">
        <f>IF(I10="Track from TBS","",IF(Bagging!I18="Black Aluminium Flick Sticks 150cm",VALUE(Bagging!J18),""))</f>
        <v/>
      </c>
      <c r="AC10" s="20" t="str">
        <f>IF(I10="Track from TBS","",IF(Bagging!I18="Matt Satin Aluminium Flick Sticks 100cm",VALUE(Bagging!J18),""))</f>
        <v/>
      </c>
      <c r="AD10" s="20" t="str">
        <f>IF(I10="Track from TBS","",IF(Bagging!I18="Matt Satin Aluminium Flick Sticks 125cm",VALUE(Bagging!J18),""))</f>
        <v/>
      </c>
      <c r="AE10" s="20" t="str">
        <f>IF(I10="Track from TBS","",IF(Bagging!I18="Matt Satin Aluminium Flick Sticks 150cm",VALUE(Bagging!J18),""))</f>
        <v/>
      </c>
      <c r="AF10" s="20" t="str">
        <f>IF(I10="Track from TBS","",IF(Bagging!I18="Standard Clear 75cm",VALUE(Bagging!J18),""))</f>
        <v/>
      </c>
      <c r="AG10" s="20" t="str">
        <f>IF(I10="Track from TBS","",IF(Bagging!I18="Standard Clear 100cm",VALUE(Bagging!J18),""))</f>
        <v/>
      </c>
      <c r="AH10" s="20" t="str">
        <f>IF(I10="Track from TBS","",IF(Bagging!I18="Standard Clear 125cm",VALUE(Bagging!J18),""))</f>
        <v/>
      </c>
      <c r="AI10" s="20" t="str">
        <f>IF(I10="Track from TBS","",IF(Bagging!I18="Standard Clear 150cm",VALUE(Bagging!J18),""))</f>
        <v/>
      </c>
      <c r="AJ10" s="20" t="str">
        <f>IF(I10="Track from TBS","",IF(Bagging!I18="White Fibreglass 200cm",VALUE(Bagging!J18),""))</f>
        <v/>
      </c>
      <c r="AK10" s="20" t="str">
        <f>IF(I10="Track from TBS","",IF(Bagging!I18="White Fibreglass 250cm",VALUE(Bagging!J18),""))</f>
        <v/>
      </c>
      <c r="AL10" s="20" t="str">
        <f>IF(D10="","",IF(AND(VLOOKUP(CONCATENATE('Tube Cutting'!D18,'Tube Cutting'!E18),TrackManufacturing,2,FALSE)="Wavefold White",(Bagging!E18="Top Fix Brackets")),Bagging!F18,""))</f>
        <v/>
      </c>
      <c r="AM10" s="20" t="str">
        <f>IF(D10="","",IF(AND(VLOOKUP(CONCATENATE('Tube Cutting'!D18,'Tube Cutting'!E18),TrackManufacturing,2,FALSE)="Wavefold White",(Bagging!E18="Single Face Fix Brackets")),Bagging!F18,""))</f>
        <v/>
      </c>
      <c r="AN10" s="20" t="str">
        <f>IF(D10="","",IF(AND(VLOOKUP(CONCATENATE('Tube Cutting'!D18,'Tube Cutting'!E18),TrackManufacturing,2,FALSE)="Wavefold White",(Bagging!E18="Double Face Fix Brackets")),Bagging!F18,""))</f>
        <v/>
      </c>
      <c r="AO10" s="20" t="str">
        <f>IF(D10="","",IF(AND(VLOOKUP(CONCATENATE('Tube Cutting'!D18,'Tube Cutting'!E18),TrackManufacturing,2,FALSE)="Wavefold White",(Bagging!E18="Triple Face Fix Brackets")),Bagging!F18,""))</f>
        <v/>
      </c>
      <c r="AP10" s="20" t="str">
        <f>IF(D10="","",IF(AND(VLOOKUP(CONCATENATE('Tube Cutting'!D18,'Tube Cutting'!E18),TrackManufacturing,2,FALSE)="Wavefold Black",(Bagging!E18="Top Fix Brackets")),Bagging!F18,""))</f>
        <v/>
      </c>
      <c r="AQ10" s="20" t="str">
        <f>IF(D10="","",IF(AND(VLOOKUP(CONCATENATE('Tube Cutting'!D18,'Tube Cutting'!E18),TrackManufacturing,2,FALSE)="Wavefold Black",(Bagging!E18="Single Face Fix Brackets")),Bagging!F18,""))</f>
        <v/>
      </c>
      <c r="AR10" s="20" t="str">
        <f>IF(D10="","",IF(AND(VLOOKUP(CONCATENATE('Tube Cutting'!D18,'Tube Cutting'!E18),TrackManufacturing,2,FALSE)="Wavefold Black",(Bagging!E18="Double Face Fix Brackets")),Bagging!F18,""))</f>
        <v/>
      </c>
      <c r="AS10" s="20" t="str">
        <f>IF(D10="","",IF(AND(VLOOKUP(CONCATENATE('Tube Cutting'!D18,'Tube Cutting'!E18),TrackManufacturing,2,FALSE)="Wavefold Black",(Bagging!E18="Triple Face Fix Brackets")),Bagging!F18,""))</f>
        <v/>
      </c>
      <c r="AT10" s="20" t="str">
        <f>IF(D10="","",IF(AND(OR(VLOOKUP(CONCATENATE('Tube Cutting'!D18,'Tube Cutting'!E18),TrackManufacturing,2,FALSE)="Wavefold Matt Satin",VLOOKUP(CONCATENATE('Tube Cutting'!D18,'Tube Cutting'!E18),TrackManufacturing,2,FALSE)="System 20 Matt Satin"),(Bagging!E18="Top Fix Brackets")),Bagging!F18,""))</f>
        <v/>
      </c>
      <c r="AU10" s="20" t="str">
        <f>IF(D10="","",IF(AND(OR(VLOOKUP(CONCATENATE('Tube Cutting'!D18,'Tube Cutting'!E18),TrackManufacturing,2,FALSE)="Wavefold Matt Satin",VLOOKUP(CONCATENATE('Tube Cutting'!D18,'Tube Cutting'!E18),TrackManufacturing,2,FALSE)="System 20 Matt Satin"),(Bagging!E18="Single Face Fix Brackets")),Bagging!F18,""))</f>
        <v/>
      </c>
      <c r="AV10" s="20" t="str">
        <f>IF(D10="","",IF(AND(OR(VLOOKUP(CONCATENATE('Tube Cutting'!D18,'Tube Cutting'!E18),TrackManufacturing,2,FALSE)="Wavefold Matt Satin",VLOOKUP(CONCATENATE('Tube Cutting'!D18,'Tube Cutting'!E18),TrackManufacturing,2,FALSE)="System 20 Matt Satin"),(Bagging!E18="Double Face Fix Brackets")),Bagging!F18,""))</f>
        <v/>
      </c>
      <c r="AW10" s="20" t="str">
        <f>IF(D10="","",IF(AND(OR(VLOOKUP(CONCATENATE('Tube Cutting'!D18,'Tube Cutting'!E18),TrackManufacturing,2,FALSE)="Wavefold Matt Satin",VLOOKUP(CONCATENATE('Tube Cutting'!D18,'Tube Cutting'!E18),TrackManufacturing,2,FALSE)="System 20 Matt Satin"),(Bagging!E18="Triple Face Fix Brackets")),Bagging!F18,""))</f>
        <v/>
      </c>
      <c r="AX10" s="20" t="str">
        <f>IF(D10="","",IF(AND(VLOOKUP(CONCATENATE('Tube Cutting'!D18,'Tube Cutting'!E18),TrackManufacturing,2,FALSE)="Streamline White",(Bagging!E18="Nylon Top Fix Brackets")),VLOOKUP('Job Sheet'!G18,Brackets,2,TRUE),""))</f>
        <v/>
      </c>
      <c r="AY10" s="20" t="str">
        <f>IF(D10="","",IF(AND(VLOOKUP(CONCATENATE('Tube Cutting'!D18,'Tube Cutting'!E18),TrackManufacturing,2,FALSE)="Streamline White",(Bagging!E18="Metal Fix Brackets")),VLOOKUP('Job Sheet'!G18,Brackets,2,TRUE),""))</f>
        <v/>
      </c>
      <c r="AZ10" s="20" t="str">
        <f>IF(D10="","",IF(AND(VLOOKUP(CONCATENATE('Tube Cutting'!D18,'Tube Cutting'!E18),TrackManufacturing,2,FALSE)="Streamline White",(Bagging!E18="Single Face Fix Brackets")),Bagging!F18,""))</f>
        <v/>
      </c>
      <c r="BA10" s="20" t="str">
        <f>IF(D10="","",IF(AND(VLOOKUP(CONCATENATE('Tube Cutting'!D18,'Tube Cutting'!E18),TrackManufacturing,2,FALSE)="Streamline White",(Bagging!E18="Double Face Fix Brackets")),Bagging!F18,""))</f>
        <v/>
      </c>
      <c r="BB10" s="20" t="str">
        <f>IF(D10="","",IF(AND(VLOOKUP(CONCATENATE('Tube Cutting'!D18,'Tube Cutting'!E18),TrackManufacturing,2,FALSE)="Streamline White",(Bagging!E18="Triple Face Fix Brackets")),Bagging!F18,""))</f>
        <v/>
      </c>
      <c r="BC10" s="20" t="str">
        <f>IF(D10="","",IF(AND(VLOOKUP(CONCATENATE('Tube Cutting'!D18,'Tube Cutting'!E18),TrackManufacturing,2,FALSE)="Streamline White",(Bagging!E18="32mm Face Fix Brackets")),Bagging!F18,""))</f>
        <v/>
      </c>
      <c r="BD10" s="20" t="str">
        <f>IF(J10="","",IF(AND(VLOOKUP(CONCATENATE('Tube Cutting'!D18,'Tube Cutting'!E18),TrackManufacturing,2,FALSE)="Streamline Matt Black Ink",(Bagging!M18="Nylon Top Fix Brackets")),VLOOKUP('Job Sheet'!L18,Brackets,2,TRUE),""))</f>
        <v/>
      </c>
      <c r="BE10" s="20" t="str">
        <f>IF(D10="","",IF(AND(VLOOKUP(CONCATENATE('Tube Cutting'!D18,'Tube Cutting'!E18),TrackManufacturing,2,FALSE)="Streamline Matt Black Ink",(Bagging!E18="Top Fix Brackets")),Bagging!F18,""))</f>
        <v/>
      </c>
      <c r="BF10" s="20" t="str">
        <f>IF(D10="","",IF(AND(VLOOKUP(CONCATENATE('Tube Cutting'!D18,'Tube Cutting'!E18),TrackManufacturing,2,FALSE)="Streamline Matt Black Ink",(Bagging!E18="Single Face Fix Brackets")),Bagging!F18,""))</f>
        <v/>
      </c>
      <c r="BG10" s="20" t="str">
        <f>IF(D10="","",IF(AND(VLOOKUP(CONCATENATE('Tube Cutting'!D18,'Tube Cutting'!E18),TrackManufacturing,2,FALSE)="Streamline Matt Black Ink",(Bagging!E18="Double Face Fix Brackets")),Bagging!F18,""))</f>
        <v/>
      </c>
      <c r="BH10" s="20" t="str">
        <f>IF(D10="","",IF(AND(VLOOKUP(CONCATENATE('Tube Cutting'!D18,'Tube Cutting'!E18),TrackManufacturing,2,FALSE)="Streamline Matt Black Ink",(Bagging!E18="Triple Face Fix Brackets")),Bagging!F18,""))</f>
        <v/>
      </c>
      <c r="BI10" s="20" t="str">
        <f>IF(D10="","",IF(AND(VLOOKUP(CONCATENATE('Tube Cutting'!D18,'Tube Cutting'!E18),TrackManufacturing,2,FALSE)="Streamline Matt Black Ink",(Bagging!E18="32mm Face Fix Brackets")),Bagging!F18,""))</f>
        <v/>
      </c>
      <c r="BJ10" s="20" t="str">
        <f>IF(D10="","",IF(AND(VLOOKUP(CONCATENATE('Tube Cutting'!D18,'Tube Cutting'!E18),TrackManufacturing,2,FALSE)="Streamline Birch White",(Bagging!P18="Nylon Top Fix Brackets")),VLOOKUP('Job Sheet'!Q18,Brackets,2,TRUE),""))</f>
        <v/>
      </c>
      <c r="BK10" s="20" t="str">
        <f>IF(D10="","",IF(AND(VLOOKUP(CONCATENATE('Tube Cutting'!D18,'Tube Cutting'!E18),TrackManufacturing,2,FALSE)="Streamline Birch White",(Bagging!E18="Top Fix Brackets")),Bagging!F18,""))</f>
        <v/>
      </c>
      <c r="BL10" s="20" t="str">
        <f>IF(D10="","",IF(AND(VLOOKUP(CONCATENATE('Tube Cutting'!D18,'Tube Cutting'!E18),TrackManufacturing,2,FALSE)="Streamline Birch White",(Bagging!E18="Single Face Fix Brackets")),Bagging!F18,""))</f>
        <v/>
      </c>
      <c r="BM10" s="20" t="str">
        <f>IF(D10="","",IF(AND(VLOOKUP(CONCATENATE('Tube Cutting'!D18,'Tube Cutting'!E18),TrackManufacturing,2,FALSE)="Streamline Birch White",(Bagging!E18="Double Face Fix Brackets")),Bagging!F18,""))</f>
        <v/>
      </c>
      <c r="BN10" s="20" t="str">
        <f>IF(D10="","",IF(AND(VLOOKUP(CONCATENATE('Tube Cutting'!D18,'Tube Cutting'!E18),TrackManufacturing,2,FALSE)="Streamline Birch White",(Bagging!E18="Triple Face Fix Brackets")),Bagging!F18,""))</f>
        <v/>
      </c>
      <c r="BO10" s="20" t="str">
        <f>IF(D10="","",IF(AND(VLOOKUP(CONCATENATE('Tube Cutting'!D18,'Tube Cutting'!E18),TrackManufacturing,2,FALSE)="Streamline Birch White",(Bagging!E18="32mm Face Fix Brackets")),Bagging!F18,""))</f>
        <v/>
      </c>
      <c r="BP10" s="20" t="str">
        <f>IF(D10="","",IF(AND(VLOOKUP(CONCATENATE('Tube Cutting'!D18,'Tube Cutting'!E18),TrackManufacturing,2,FALSE)="Streamline Matt Satin",(Bagging!E18="Top Fix Brackets")),Bagging!F18,""))</f>
        <v/>
      </c>
      <c r="BQ10" s="20" t="str">
        <f>IF(K10="","",IF(AND(VLOOKUP(CONCATENATE('Tube Cutting'!J18,'Tube Cutting'!K18),TrackManufacturing,2,FALSE)="Streamline Matt Satin",(Bagging!K18="Top Fix Brackets")),Bagging!L18,""))</f>
        <v/>
      </c>
      <c r="BR10" s="20" t="str">
        <f>IF(K10="","",IF(AND(VLOOKUP(CONCATENATE('Tube Cutting'!J18,'Tube Cutting'!K18),TrackManufacturing,2,FALSE)="Streamline Matt Satin",(Bagging!K18="Single Face Fix Brackets")),Bagging!L18,""))</f>
        <v/>
      </c>
      <c r="BS10" s="20" t="str">
        <f>IF(D10="","",IF(AND(VLOOKUP(CONCATENATE('Tube Cutting'!D18,'Tube Cutting'!E18),TrackManufacturing,2,FALSE)="Streamline Matt Satin",(Bagging!E18="Double Face Fix Brackets")),Bagging!F18,""))</f>
        <v/>
      </c>
      <c r="BT10" s="20" t="str">
        <f>IF(D10="","",IF(AND(VLOOKUP(CONCATENATE('Tube Cutting'!D18,'Tube Cutting'!E18),TrackManufacturing,2,FALSE)="Streamline Matt Satin",(Bagging!E18="Triple Face Fix Brackets")),Bagging!F18,""))</f>
        <v/>
      </c>
      <c r="BU10" s="20" t="str">
        <f>IF(D10="","",IF(AND(VLOOKUP(CONCATENATE('Tube Cutting'!D18,'Tube Cutting'!E18),TrackManufacturing,2,FALSE)="Streamline Matt Satin",(Bagging!E18="32mm Face Fix Brackets")),Bagging!F18,""))</f>
        <v/>
      </c>
      <c r="BV10" s="20" t="str">
        <f t="shared" si="0"/>
        <v/>
      </c>
      <c r="BW10" s="20" t="str">
        <f>IF(D10="","",IF(AND(VLOOKUP(CONCATENATE('Tube Cutting'!D18,'Tube Cutting'!E18),TrackManufacturing,2,FALSE)="White",Bagging!E18="Single Face Fix Brackets"),Bagging!F18,""))</f>
        <v/>
      </c>
      <c r="BX10" s="20" t="str">
        <f>IF(AND('Tube Cutting'!E18="White",Bagging!E18="Double Face Fix Brackets"),Bagging!F18,"")</f>
        <v/>
      </c>
      <c r="BY10" s="20" t="str">
        <f>IF(AND('Tube Cutting'!E18="White",Bagging!E18="Triple Face Fix Brackets"),Bagging!F18,"")</f>
        <v/>
      </c>
      <c r="BZ10" s="20" t="str">
        <f t="shared" si="1"/>
        <v/>
      </c>
      <c r="CA10" s="20" t="str">
        <f>IF(AND('Tube Cutting'!E18="Matt Black Ink",Bagging!E18="Single Face Fix Brackets"),Bagging!F18,"")</f>
        <v/>
      </c>
      <c r="CB10" s="20" t="str">
        <f>IF(AND('Tube Cutting'!E18="Matt Black Ink",Bagging!E18="Double Face Fix Brackets"),Bagging!F18,"")</f>
        <v/>
      </c>
      <c r="CC10" s="20" t="str">
        <f>IF(AND('Tube Cutting'!E18="Matt Black Ink",Bagging!E18="Triple Fix Brackets"),Bagging!F18,"")</f>
        <v/>
      </c>
      <c r="CD10" s="20" t="str">
        <f>IF(AND('Tube Cutting'!E18="Matt Satin",Bagging!E18="Top Fix Brackets"),Bagging!F18,"")</f>
        <v/>
      </c>
      <c r="CE10" s="20" t="str">
        <f>IF(AND('Tube Cutting'!E18="Matt Satin",Bagging!E18="Single Face Fix Brackets"),Bagging!F18,"")</f>
        <v/>
      </c>
      <c r="CF10" s="20" t="str">
        <f>IF(AND('Tube Cutting'!E18="Matt Satin",Bagging!E18="Double Face Fix Brackets"),Bagging!F18,"")</f>
        <v/>
      </c>
      <c r="CG10" s="20" t="str">
        <f>IF(AND('Tube Cutting'!E18="Matt Satin",Bagging!E18="Triple Fix Brackets"),Bagging!F18,"")</f>
        <v/>
      </c>
      <c r="CH10" s="20" t="str">
        <f>IF(D10="","",IF(AND('Tube Cutting'!E18="White",(OR(Bagging!L18="Single Left",Bagging!L18="Single Left &amp; Right"))),"1",""))</f>
        <v/>
      </c>
      <c r="CI10" s="20" t="str">
        <f>IF(D10="","",IF(AND('Tube Cutting'!E18="Matt Black Ink",(OR(Bagging!L18="Single Left",Bagging!L18="Single Left &amp; Right"))),"1",""))</f>
        <v/>
      </c>
      <c r="CJ10" s="20" t="str">
        <f>IF(D10="","",IF(AND('Tube Cutting'!E18="Matt Satin",(OR(Bagging!L18="Single Left",Bagging!L18="Single Left &amp; Right"))),"1",""))</f>
        <v/>
      </c>
      <c r="CK10" s="20" t="str">
        <f>IF(D10="","",IF(AND('Tube Cutting'!E18="White",(OR(Bagging!L18="Single Right",Bagging!L18="Single Left &amp; Right"))),"1",""))</f>
        <v/>
      </c>
      <c r="CL10" s="20" t="str">
        <f>IF(D10="","",IF(AND('Tube Cutting'!E18="Matt Black Ink",(OR(Bagging!L18="Single Right",Bagging!L18="Single Left &amp; Right"))),"1",""))</f>
        <v/>
      </c>
      <c r="CM10" s="20" t="str">
        <f>IF(D10="","",IF(AND('Tube Cutting'!E18="Matt Satin",(OR(Bagging!L18="Single Right",Bagging!L18="Single Left &amp; Right"))),"1",""))</f>
        <v/>
      </c>
      <c r="CN10" s="20" t="str">
        <f>IF(D10="","",IF(AND('Tube Cutting'!E18="White",(OR(Bagging!L18="Double Left",Bagging!L18="Double Left &amp; Right"))),"1",""))</f>
        <v/>
      </c>
      <c r="CO10" s="20" t="str">
        <f>IF(D10="","",IF(AND('Tube Cutting'!E18="Matt Black Ink",(OR(Bagging!L18="Double Left",Bagging!L18="Double Left &amp; Right"))),"1",""))</f>
        <v/>
      </c>
      <c r="CP10" s="20" t="str">
        <f>IF(D10="","",IF(AND('Tube Cutting'!E18="Matt Satin",(OR(Bagging!L18="Double Left",Bagging!L18="Double Left &amp; Right"))),"1",""))</f>
        <v/>
      </c>
      <c r="CQ10" s="20" t="str">
        <f>IF(D10="","",IF(AND('Tube Cutting'!E18="White",(OR(Bagging!L18="Double Right",Bagging!L18="Double Left &amp; Right"))),"1",""))</f>
        <v/>
      </c>
      <c r="CR10" s="20" t="str">
        <f>IF(D10="","",IF(AND('Tube Cutting'!E18="Matt Black Ink",(OR(Bagging!L18="Double Right",Bagging!L18="Double Left &amp; Right"))),"1",""))</f>
        <v/>
      </c>
      <c r="CS10" s="20" t="str">
        <f>IF(D10="","",IF(AND('Tube Cutting'!E18="Matt Satin",(OR(Bagging!L18="Double Right",Bagging!L18="Double Left &amp; Right"))),"1",""))</f>
        <v/>
      </c>
      <c r="CT10" s="20" t="str">
        <f>IF(D10="","",IF(VLOOKUP(CONCATENATE('Tube Cutting'!D18,'Tube Cutting'!E18),TrackManufacturing,2,FALSE)="Streamline White",1,""))</f>
        <v/>
      </c>
      <c r="CU10" s="20" t="str">
        <f>IF(D10="","",IF(VLOOKUP(CONCATENATE('Tube Cutting'!D18,'Tube Cutting'!E18),TrackManufacturing,2,FALSE)="Streamline Matt Black Ink",1,""))</f>
        <v/>
      </c>
      <c r="CV10" s="20" t="str">
        <f>IF(D10="","",IF(VLOOKUP(CONCATENATE('Tube Cutting'!D18,'Tube Cutting'!E18),TrackManufacturing,2,FALSE)="Streamline Birch White",1,""))</f>
        <v/>
      </c>
      <c r="CW10" s="20" t="str">
        <f>IF(D10="","",IF(VLOOKUP(CONCATENATE('Tube Cutting'!D18,'Tube Cutting'!E18),TrackManufacturing,2,FALSE)="Streamline Matt Satin",1,""))</f>
        <v/>
      </c>
      <c r="CX10" s="20" t="str">
        <f>IF(D10="","",IF(AND(VLOOKUP(CONCATENATE('Tube Cutting'!D18,'Tube Cutting'!E18),TrackManufacturing,2,FALSE)="Streamline White",(OR(Assembly!F18="Centre Opening",Assembly!F18="Centre Opening - Free Flowing",Assembly!F18="Centre Opening (Offset)",Assembly!F18="Centre Opening - Free Flowing (Offset)"))),1,""))</f>
        <v/>
      </c>
      <c r="CY10" s="20" t="str">
        <f>IF(D10="","",IF(AND(VLOOKUP(CONCATENATE('Tube Cutting'!D18,'Tube Cutting'!E18),TrackManufacturing,2,FALSE)="Streamline Matt Black Ink",(OR(Assembly!F18="Centre Opening",Assembly!F18="Centre Opening - Free Flowing",Assembly!F18="Centre Opening (Offset)",Assembly!F18="Centre Opening - Free Flowing (Offset)"))),1,""))</f>
        <v/>
      </c>
      <c r="CZ10" s="20" t="str">
        <f>IF(D10="","",IF(AND(VLOOKUP(CONCATENATE('Tube Cutting'!D18,'Tube Cutting'!E18),TrackManufacturing,2,FALSE)="Streamline Birch White",(OR(Assembly!F18="Centre Opening",Assembly!F18="Centre Opening - Free Flowing",Assembly!F18="Centre Opening (Offset)",Assembly!F18="Centre Opening - Free Flowing (Offset)"))),1,""))</f>
        <v/>
      </c>
      <c r="DA10" s="20" t="str">
        <f>IF(D10="","",IF(AND(VLOOKUP(CONCATENATE('Tube Cutting'!D18,'Tube Cutting'!E18),TrackManufacturing,2,FALSE)="Streamline Matt Satin",(OR(Assembly!F18="Centre Opening",Assembly!F18="Centre Opening - Free Flowing",Assembly!F18="Centre Opening (Offset)",Assembly!F18="Centre Opening - Free Flowing (Offset)"))),1,""))</f>
        <v/>
      </c>
      <c r="DB10" s="20" t="str">
        <f>IF(OR('Job Sheet'!H18="Conduit",'Job Sheet'!H18="Conduit x 2",I10&lt;&gt;"DBS to Make"),"",IF(VLOOKUP(CONCATENATE(Assembly!C18,Assembly!F18),PulleysEndCaps,2,FALSE)="","",IF('Tube Cutting'!E18="White",VLOOKUP(CONCATENATE(Assembly!C18,Assembly!F18),PulleysEndCaps,2,FALSE),"")))</f>
        <v/>
      </c>
      <c r="DC10" s="20" t="str">
        <f>IF(OR('Job Sheet'!H18="Conduit",'Job Sheet'!H18="Conduit x 2",I10&lt;&gt;"DBS to Make"),"",IF(VLOOKUP(CONCATENATE(Assembly!C18,Assembly!F18),PulleysEndCaps,2,FALSE)="","",IF('Tube Cutting'!E18="Matt Black Ink",VLOOKUP(CONCATENATE(Assembly!C18,Assembly!F18),PulleysEndCaps,2,FALSE),"")))</f>
        <v/>
      </c>
      <c r="DD10" s="20" t="str">
        <f>IF(OR('Job Sheet'!H18="Conduit",'Job Sheet'!H18="Conduit x 2",I10&lt;&gt;"DBS to Make"),"",IF(VLOOKUP(CONCATENATE(Assembly!C18,Assembly!F18),PulleysEndCaps,2,FALSE)="","",IF('Tube Cutting'!E18="Matt Satin",VLOOKUP(CONCATENATE(Assembly!C18,Assembly!F18),PulleysEndCaps,2,FALSE),"")))</f>
        <v/>
      </c>
      <c r="DE10" s="20" t="str">
        <f>IF(OR('Job Sheet'!H18="Conduit",'Job Sheet'!H18="Conduit x 2",I10&lt;&gt;"DBS to Make"),"",IF(VLOOKUP(CONCATENATE(Assembly!C18,Assembly!F18),PulleysEndCaps,3,FALSE)="","",IF('Tube Cutting'!E18="White",VLOOKUP(CONCATENATE(Assembly!C18,Assembly!F18),PulleysEndCaps,3,FALSE),"")))</f>
        <v/>
      </c>
      <c r="DF10" s="20" t="str">
        <f>IF(OR('Job Sheet'!H18="Conduit",'Job Sheet'!H18="Conduit x 2",I10&lt;&gt;"DBS to Make"),"",IF(VLOOKUP(CONCATENATE(Assembly!C18,Assembly!F18),PulleysEndCaps,3,FALSE)="","",IF('Tube Cutting'!E18="Matt Black Ink",VLOOKUP(CONCATENATE(Assembly!C18,Assembly!F18),PulleysEndCaps,3,FALSE),"")))</f>
        <v/>
      </c>
      <c r="DG10" s="20" t="str">
        <f>IF(OR('Job Sheet'!H18="Conduit",'Job Sheet'!H18="Conduit x 2",I10&lt;&gt;"DBS to Make"),"",IF(VLOOKUP(CONCATENATE(Assembly!C18,Assembly!F18),PulleysEndCaps,3,FALSE)="","",IF('Tube Cutting'!E18="Matt Satin",VLOOKUP(CONCATENATE(Assembly!C18,Assembly!F18),PulleysEndCaps,3,FALSE),"")))</f>
        <v/>
      </c>
      <c r="DH10" s="20" t="str">
        <f>IF(OR('Job Sheet'!H18="Conduit",'Job Sheet'!H18="Conduit x 2",I10&lt;&gt;"DBS to Make"),"",IF(VLOOKUP(CONCATENATE(Assembly!C18,Assembly!F18),PulleysEndCaps,6,FALSE)="","",IF('Tube Cutting'!E18="White",VLOOKUP(CONCATENATE(Assembly!C18,Assembly!F18),PulleysEndCaps,6,FALSE),"")))</f>
        <v/>
      </c>
      <c r="DI10" s="20" t="str">
        <f>IF(OR('Job Sheet'!H18="Conduit",'Job Sheet'!H18="Conduit x 2",I10&lt;&gt;"DBS to Make"),"",IF(VLOOKUP(CONCATENATE(Assembly!C18,Assembly!F18),PulleysEndCaps,6,FALSE)="","",IF('Tube Cutting'!E18="Matt Black Ink",VLOOKUP(CONCATENATE(Assembly!C18,Assembly!F18),PulleysEndCaps,6,FALSE),"")))</f>
        <v/>
      </c>
      <c r="DJ10" s="20" t="str">
        <f>IF(OR('Job Sheet'!H18="Conduit",'Job Sheet'!H18="Conduit x 2",I10&lt;&gt;"DBS to Make"),"",IF(VLOOKUP(CONCATENATE(Assembly!C18,Assembly!F18),PulleysEndCaps,6,FALSE)="","",IF('Tube Cutting'!E18="Birch White",VLOOKUP(CONCATENATE(Assembly!C18,Assembly!F18),PulleysEndCaps,6,FALSE),"")))</f>
        <v/>
      </c>
      <c r="DK10" s="20" t="str">
        <f>IF(OR('Job Sheet'!H18="Conduit",'Job Sheet'!H18="Conduit x 2",I10&lt;&gt;"DBS to Make"),"",IF(VLOOKUP(CONCATENATE(Assembly!C18,Assembly!F18),PulleysEndCaps,6,FALSE)="","",IF('Tube Cutting'!E18="Matt Satin",VLOOKUP(CONCATENATE(Assembly!C18,Assembly!F18),PulleysEndCaps,6,FALSE),"")))</f>
        <v/>
      </c>
      <c r="DL10" s="20" t="str">
        <f>IF(OR('Job Sheet'!H18="Conduit",'Job Sheet'!H18="Conduit x 2",I10&lt;&gt;"DBS to Make"),"",IF(VLOOKUP(CONCATENATE(Assembly!C18,Assembly!F18),PulleysEndCaps,4,FALSE)="","",VLOOKUP(CONCATENATE(Assembly!C18,Assembly!F18),PulleysEndCaps,4,FALSE)))</f>
        <v/>
      </c>
      <c r="DM10" s="20" t="str">
        <f>IF(OR('Job Sheet'!H18="Conduit",'Job Sheet'!H18="Conduit x 2",I10&lt;&gt;"DBS to Make"),"",IF(VLOOKUP(CONCATENATE(Assembly!C18,Assembly!F18),PulleysEndCaps,7,FALSE)="","",VLOOKUP(CONCATENATE(Assembly!C18,Assembly!F18),PulleysEndCaps,7,FALSE)))</f>
        <v/>
      </c>
      <c r="DN10" s="20" t="str">
        <f>IF(D10="","",IF(AND(OR(VLOOKUP(CONCATENATE('Tube Cutting'!D18,'Tube Cutting'!E18),TrackManufacturing,2,FALSE)="Wavefold White",VLOOKUP(CONCATENATE('Tube Cutting'!D18,'Tube Cutting'!E18),TrackManufacturing,2,FALSE)="Wavefold Black",VLOOKUP(CONCATENATE('Tube Cutting'!D18,'Tube Cutting'!E18),TrackManufacturing,2,FALSE)="Wavefold Matt Satin",VLOOKUP(CONCATENATE('Tube Cutting'!D18,'Tube Cutting'!E18),TrackManufacturing,2,FALSE)="System 20 White",VLOOKUP(CONCATENATE('Tube Cutting'!D18,'Tube Cutting'!E18),TrackManufacturing,2,FALSE)="System 20 Black",VLOOKUP(CONCATENATE('Tube Cutting'!D18,'Tube Cutting'!E18),TrackManufacturing,2,FALSE)="System 20 Matt Satin"),'Tube Cutting'!C18&gt;6000),1,""))</f>
        <v/>
      </c>
      <c r="DO10" s="20" t="str">
        <f>IF(D10="","",IF(AND(OR(VLOOKUP(CONCATENATE('Tube Cutting'!D18,'Tube Cutting'!E18),TrackManufacturing,2,FALSE)="Streamline White",VLOOKUP(CONCATENATE('Tube Cutting'!D18,'Tube Cutting'!E18),TrackManufacturing,2,FALSE)="Streamline Black",VLOOKUP(CONCATENATE('Tube Cutting'!D18,'Tube Cutting'!E18),TrackManufacturing,2,FALSE)="Streamline Birch White",VLOOKUP(CONCATENATE('Tube Cutting'!D18,'Tube Cutting'!E18),TrackManufacturing,2,FALSE)="Streamline Matt Satin"),'Tube Cutting'!C18&gt;6000),1,""))</f>
        <v/>
      </c>
      <c r="DP10" s="20" t="str">
        <f>IF(OR('Job Sheet'!H18="Conduit",'Job Sheet'!H18="Conduit x 2",I10&lt;&gt;"DBS to Make"),"",IF(VLOOKUP(CONCATENATE(Assembly!C18,Assembly!F18),PulleysEndCaps,5,FALSE)="","",IF('Tube Cutting'!E18="White",VLOOKUP(CONCATENATE(Assembly!C18,Assembly!F18),PulleysEndCaps,5,FALSE),"")))</f>
        <v/>
      </c>
      <c r="DQ10" s="20" t="str">
        <f>IF(OR('Job Sheet'!H18="Conduit",'Job Sheet'!H18="Conduit x 2",I10&lt;&gt;"DBS to Make"),"",IF(VLOOKUP(CONCATENATE(Assembly!C18,Assembly!F18),PulleysEndCaps,5,FALSE)="","",IF('Tube Cutting'!E18="Matt Black Ink",VLOOKUP(CONCATENATE(Assembly!C18,Assembly!F18),PulleysEndCaps,5,FALSE),"")))</f>
        <v/>
      </c>
      <c r="DR10" s="20" t="str">
        <f>IF(OR('Job Sheet'!H18="Conduit",'Job Sheet'!H18="Conduit x 2",I10&lt;&gt;"DBS to Make"),"",IF(VLOOKUP(CONCATENATE(Assembly!C18,Assembly!F18),PulleysEndCaps,5,FALSE)="","",IF('Tube Cutting'!E18="Matt Satin",VLOOKUP(CONCATENATE(Assembly!C18,Assembly!F18),PulleysEndCaps,5,FALSE),"")))</f>
        <v/>
      </c>
      <c r="DS10" s="20" t="str">
        <f>IF(OR('Job Sheet'!H18="Conduit",'Job Sheet'!H18="Conduit x 2",I10&lt;&gt;"DBS to Make"),"",IF(VLOOKUP(CONCATENATE(Assembly!C18,Assembly!F18),PulleysEndCaps,5,FALSE)="","",IF('Tube Cutting'!E18="Matt Satin",VLOOKUP(CONCATENATE(Assembly!C18,Assembly!F18),PulleysEndCaps,5,FALSE),"")))</f>
        <v/>
      </c>
      <c r="DT10" s="20" t="str">
        <f>IF(OR('Job Sheet'!H18="Conduit",'Job Sheet'!H18="Conduit x 2",I10&lt;&gt;"DBS to Make"),"",IF(VLOOKUP(CONCATENATE(Assembly!C18,Assembly!F18),PulleysEndCaps,8,FALSE)="","",IF('Tube Cutting'!E18="Matt Black Ink",VLOOKUP(CONCATENATE(Assembly!C18,Assembly!F18),PulleysEndCaps,8,FALSE),"")))</f>
        <v/>
      </c>
      <c r="DU10" s="20" t="str">
        <f>IF(OR('Job Sheet'!H18="Conduit",'Job Sheet'!H18="Conduit x 2",I10&lt;&gt;"DBS to Make"),"",IF(VLOOKUP(CONCATENATE(Assembly!C18,Assembly!F18),PulleysEndCaps,8,FALSE)="","",IF('Tube Cutting'!E18="Birch White",VLOOKUP(CONCATENATE(Assembly!C18,Assembly!F18),PulleysEndCaps,8,FALSE),"")))</f>
        <v/>
      </c>
      <c r="DV10" s="20" t="str">
        <f>IF(OR('Job Sheet'!H18="Conduit",'Job Sheet'!H18="Conduit x 2",I10&lt;&gt;"DBS to Make"),"",IF(VLOOKUP(CONCATENATE(Assembly!C18,Assembly!F18),PulleysEndCaps,8,FALSE)="","",IF('Tube Cutting'!E18="Matt Satin",VLOOKUP(CONCATENATE(Assembly!C18,Assembly!F18),PulleysEndCaps,8,FALSE),"")))</f>
        <v/>
      </c>
      <c r="DW10" s="20" t="str">
        <f>IF(D10="","",IF(AND(AND(Assembly!C18="Wavefold Cord Operation",'Tube Cutting'!E18="White",'Tube Cutting'!E18),(OR(Assembly!F18="Centre Opening",Assembly!F18="Centre Opening - Free Flowing",Assembly!F18="Centre Opening (Offset)",Assembly!F18="Centre Opening - Free Flowing (Offset)"))),2,IF(AND(AND(Assembly!C18="Wavefold Cord Operation",'Tube Cutting'!E18="White",'Tube Cutting'!E18),(OR(Assembly!F18="Single Panel - Left Stacking",Assembly!F18="Single Panel - Right Stacking",Assembly!F18="Single Panel - Free Flowing"))),1,"")))</f>
        <v/>
      </c>
      <c r="DX10" s="20" t="str">
        <f>IF(D10="","",IF(AND(AND(Assembly!C18="Wavefold Cord Operation",'Tube Cutting'!E18="Matt Black Ink",'Tube Cutting'!E18),(OR(Assembly!F18="Centre Opening",Assembly!F18="Centre Opening - Free Flowing",Assembly!F18="Centre Opening (Offset)",Assembly!F18="Centre Opening - Free Flowing (Offset)"))),2,IF(AND(AND(Assembly!C18="Wavefold Cord Operation",'Tube Cutting'!E18="Matt Black Ink",'Tube Cutting'!E18),(OR(Assembly!F18="Single Panel - Left Stacking",Assembly!F18="Single Panel - Right Stacking",Assembly!F18="Single Panel - Free Flowing"))),1,"")))</f>
        <v/>
      </c>
      <c r="DY10" s="20" t="str">
        <f>IF(D10="","",IF(AND(Assembly!C18="Wavefold Hand Operation",'Tube Cutting'!E18="White"),Bagging!J18,""))</f>
        <v/>
      </c>
      <c r="DZ10" s="20" t="str">
        <f>IF(D10="","",IF(AND(Assembly!C18="Wavefold Hand Operation",(OR('Tube Cutting'!E18="White",'Tube Cutting'!E18="White"))),Bagging!J18,""))</f>
        <v/>
      </c>
      <c r="EA10" s="20" t="str">
        <f>IF(OR(D10="",'Job Sheet'!U18="Straight"),"",VLOOKUP(CONCATENATE('Job Sheet'!U18,'Job Sheet'!L18),CornerBlocks,2,FALSE))</f>
        <v/>
      </c>
      <c r="EB10" s="20" t="str">
        <f>IF(D10="","",IF(OR('Tube Cutting'!D18="Streamline Cord Operation",'Tube Cutting'!D18="Wavefold Cord Operation"),1,""))</f>
        <v/>
      </c>
      <c r="EC10" s="20" t="str">
        <f>IF(D10="","",IF(VLOOKUP(CONCATENATE('Tube Cutting'!D18,'Tube Cutting'!E18),TrackManufacturing,2,FALSE)="System 20 White",1,""))</f>
        <v/>
      </c>
      <c r="ED10" s="20" t="str">
        <f>IF(D10="","",IF(VLOOKUP(CONCATENATE('Tube Cutting'!D18,'Tube Cutting'!E18),TrackManufacturing,2,FALSE)="System 20 Black",1,""))</f>
        <v/>
      </c>
      <c r="EE10" s="20" t="str">
        <f>IF(D10="","",IF(AND(VLOOKUP(CONCATENATE('Tube Cutting'!D18,'Tube Cutting'!E18),TrackManufacturing,2,FALSE)="System 20 White",(OR(Assembly!F18="Centre Opening",Assembly!F18="Centre Opening - Free Flowing",Assembly!F18="Centre Opening (Offset)",Assembly!F18="Centre Opening - Free Flowing (Offset)"))),1,""))</f>
        <v/>
      </c>
      <c r="EF10" s="20" t="str">
        <f>IF(D10="","",IF(AND(VLOOKUP(CONCATENATE('Tube Cutting'!D18,'Tube Cutting'!E18),TrackManufacturing,2,FALSE)="System 20 Black",(OR(Assembly!F18="Centre Opening",Assembly!F18="Centre Opening - Free Flowing",Assembly!F18="Centre Opening (Offset)",Assembly!F18="Centre Opening - Free Flowing (Offset)"))),1,""))</f>
        <v/>
      </c>
      <c r="EG10" s="126" t="str">
        <f>IF(D10="","",IF(OR(VLOOKUP(CONCATENATE('Tube Cutting'!D18,'Tube Cutting'!E18),TrackManufacturing,2,FALSE)="System 20 White",VLOOKUP(CONCATENATE('Tube Cutting'!D18,'Tube Cutting'!E18),TrackManufacturing,2,FALSE)="System 20 Black",VLOOKUP(CONCATENATE('Tube Cutting'!D18,'Tube Cutting'!E18),TrackManufacturing,2,FALSE)="System 20 Matt Black Ink"),Assembly!I18,IF('Tube Cutting'!D18="SEM Streamline Hand Operation",9,"")))</f>
        <v/>
      </c>
      <c r="EH10" s="20" t="str">
        <f>IF('Tube Cutting'!D18="Conduit",'Tube Cutting'!C18,"")</f>
        <v/>
      </c>
      <c r="EI10" s="20" t="str">
        <f>IF(Bagging!E18="Muslin Brackets",2,IF(Bagging!E18="Muslin Brackets Top and Bottom",4,""))</f>
        <v/>
      </c>
      <c r="EJ10" s="20" t="str">
        <f>IF(Bagging!E18="100mm Unstayed Brackets with Acorns",2,"")</f>
        <v/>
      </c>
      <c r="EK10" s="20" t="str">
        <f>IF(Bagging!E18="25mm Brackets with Acorns",2,"")</f>
        <v/>
      </c>
      <c r="EL10" s="20" t="str">
        <f>IF(OR(Bagging!E18="25mm Brackets with Acorns",Bagging!E18="100mm Unstayed Brackets with Acorns"),2,"")</f>
        <v/>
      </c>
      <c r="FI10" s="20"/>
      <c r="FJ10" s="20"/>
    </row>
    <row r="11" spans="4:166" ht="13.2" customHeight="1">
      <c r="D11" s="20" t="str">
        <f>IF(Data!AW19="","",CONCATENATE(Data!BC$5,".",Data!BD$5))</f>
        <v/>
      </c>
      <c r="E11" s="20" t="str">
        <f>IF(D11="","",Data!AW19)</f>
        <v/>
      </c>
      <c r="F11" s="20" t="str">
        <f>IF(D11="","",Data!AV19)</f>
        <v/>
      </c>
      <c r="G11" s="20" t="str">
        <f>IF(D11="","",Data!BF$5)</f>
        <v/>
      </c>
      <c r="H11" s="20" t="str">
        <f>IF(D11="","",Data!AX$5)</f>
        <v/>
      </c>
      <c r="I11" s="20" t="str">
        <f>IF(D11="","",'Job Sheet'!AI19)</f>
        <v/>
      </c>
      <c r="J11" s="20" t="str">
        <f>IF(D11="","",IF(OR(VLOOKUP(CONCATENATE('Tube Cutting'!D19,'Tube Cutting'!E19),TrackManufacturing,2,FALSE)="Wavefold White",VLOOKUP(CONCATENATE('Tube Cutting'!D19,'Tube Cutting'!E19),TrackManufacturing,2,FALSE)="Wavefold Black",VLOOKUP(CONCATENATE('Tube Cutting'!D19,'Tube Cutting'!E19),TrackManufacturing,2,FALSE)="Wavefold Matt Satin"),('Job Sheet'!G19*2)/1000,""))</f>
        <v/>
      </c>
      <c r="K11" s="126" t="str">
        <f>IF(D11="","",IF(OR(VLOOKUP(CONCATENATE('Tube Cutting'!D19,'Tube Cutting'!E19),TrackManufacturing,2,FALSE)="Wavefold White",VLOOKUP(CONCATENATE('Tube Cutting'!D19,'Tube Cutting'!E19),TrackManufacturing,2,FALSE)="Wavefold Matt Satin"),J11*10,""))</f>
        <v/>
      </c>
      <c r="L11" s="126" t="str">
        <f>IF(D11="","",IF(VLOOKUP(CONCATENATE('Tube Cutting'!D19,'Tube Cutting'!E19),TrackManufacturing,2,FALSE)="Wavefold Black",J11*10,""))</f>
        <v/>
      </c>
      <c r="M11" s="127" t="str">
        <f>IF(D11="","",IF(OR(VLOOKUP(CONCATENATE('Tube Cutting'!D19,'Tube Cutting'!E19),TrackManufacturing,2,FALSE)="Wavefold White",VLOOKUP(CONCATENATE('Tube Cutting'!D19,'Tube Cutting'!E19),TrackManufacturing,2,FALSE)="System 20 White"),'Tube Cutting'!C19/1000,""))</f>
        <v/>
      </c>
      <c r="N11" s="127" t="str">
        <f>IF(D11="","",IF(VLOOKUP(CONCATENATE('Tube Cutting'!D19,'Tube Cutting'!E19),TrackManufacturing,2,FALSE)="Wavefold Black",'Tube Cutting'!C19/1000,""))</f>
        <v/>
      </c>
      <c r="O11" s="127" t="str">
        <f>IF(D11="","",IF(OR(VLOOKUP(CONCATENATE('Tube Cutting'!D19,'Tube Cutting'!E19),TrackManufacturing,2,FALSE)="Wavefold Matt Satin",VLOOKUP(CONCATENATE('Tube Cutting'!D19,'Tube Cutting'!E19),TrackManufacturing,2,FALSE)="System 20 Matt Satin"),'Tube Cutting'!C19/1000,""))</f>
        <v/>
      </c>
      <c r="P11" s="126" t="str">
        <f>IF(D11="","",IF(AND((OR('Tube Cutting'!E19="White",'Tube Cutting'!E19="Matt Satin")),(OR('Tube Cutting'!D19="Wavefold Hand Operation",'Tube Cutting'!D19="Wavefold Cord Operation"))),IF(M11="",O11*20,M11*20),""))</f>
        <v/>
      </c>
      <c r="Q11" s="126" t="str">
        <f>IF(D11="","",IF(AND('Tube Cutting'!E19="Matt Black Ink",(OR('Tube Cutting'!D19="Wavefold Hand Operation",'Tube Cutting'!D19="Wavefold Cord Operation"))),N11*20,""))</f>
        <v/>
      </c>
      <c r="R11" s="126" t="str">
        <f>IF(D11="","",IF(OR('Tube Cutting'!D19="Streamline Hand Operation",'Tube Cutting'!D19="Streamline Cord Operation"),Assembly!I19,""))</f>
        <v/>
      </c>
      <c r="S11" s="20" t="str">
        <f>IF(D11="","",IF(VLOOKUP(CONCATENATE('Tube Cutting'!D19,'Tube Cutting'!E19),TrackManufacturing,2,FALSE)="Streamline White",'Tube Cutting'!C19/1000,""))</f>
        <v/>
      </c>
      <c r="T11" s="20" t="str">
        <f>IF(D11="","",IF(VLOOKUP(CONCATENATE('Tube Cutting'!D19,'Tube Cutting'!E19),TrackManufacturing,2,FALSE)="Streamline Matt Black Ink",'Tube Cutting'!C19/1000,""))</f>
        <v/>
      </c>
      <c r="U11" s="20" t="str">
        <f>IF(D11="","",IF(VLOOKUP(CONCATENATE('Tube Cutting'!D19,'Tube Cutting'!E19),TrackManufacturing,2,FALSE)="Streamline Birch White",'Tube Cutting'!C19/1000,""))</f>
        <v/>
      </c>
      <c r="V11" s="20" t="str">
        <f>IF(D11="","",IF(VLOOKUP(CONCATENATE('Tube Cutting'!D19,'Tube Cutting'!E19),TrackManufacturing,2,FALSE)="Streamline Matt Satin",'Tube Cutting'!C19/1000,""))</f>
        <v/>
      </c>
      <c r="W11" s="20" t="str">
        <f>IF(I11="Track from TBS","",IF(Bagging!I19="White Aluminium Flick Sticks 100cm",VALUE(Bagging!J19),""))</f>
        <v/>
      </c>
      <c r="X11" s="20" t="str">
        <f>IF(I11="Track from TBS","",IF(Bagging!I19="White Aluminium Flick Sticks 125cm",VALUE(Bagging!J19),""))</f>
        <v/>
      </c>
      <c r="Y11" s="20" t="str">
        <f>IF(I11="Track from TBS","",IF(Bagging!I19="White Aluminium Flick Sticks 150cm",VALUE(Bagging!J19),""))</f>
        <v/>
      </c>
      <c r="Z11" s="20" t="str">
        <f>IF(I11="Track from TBS","",IF(Bagging!I19="Black Aluminium Flick Sticks 100cm",VALUE(Bagging!J19),""))</f>
        <v/>
      </c>
      <c r="AA11" s="20" t="str">
        <f>IF(I11="Track from TBS","",IF(Bagging!I19="Black Aluminium Flick Sticks 125cm",VALUE(Bagging!J19),""))</f>
        <v/>
      </c>
      <c r="AB11" s="20" t="str">
        <f>IF(I11="Track from TBS","",IF(Bagging!I19="Black Aluminium Flick Sticks 150cm",VALUE(Bagging!J19),""))</f>
        <v/>
      </c>
      <c r="AC11" s="20" t="str">
        <f>IF(I11="Track from TBS","",IF(Bagging!I19="Matt Satin Aluminium Flick Sticks 100cm",VALUE(Bagging!J19),""))</f>
        <v/>
      </c>
      <c r="AD11" s="20" t="str">
        <f>IF(I11="Track from TBS","",IF(Bagging!I19="Matt Satin Aluminium Flick Sticks 125cm",VALUE(Bagging!J19),""))</f>
        <v/>
      </c>
      <c r="AE11" s="20" t="str">
        <f>IF(I11="Track from TBS","",IF(Bagging!I19="Matt Satin Aluminium Flick Sticks 150cm",VALUE(Bagging!J19),""))</f>
        <v/>
      </c>
      <c r="AF11" s="20" t="str">
        <f>IF(I11="Track from TBS","",IF(Bagging!I19="Standard Clear 75cm",VALUE(Bagging!J19),""))</f>
        <v/>
      </c>
      <c r="AG11" s="20" t="str">
        <f>IF(I11="Track from TBS","",IF(Bagging!I19="Standard Clear 100cm",VALUE(Bagging!J19),""))</f>
        <v/>
      </c>
      <c r="AH11" s="20" t="str">
        <f>IF(I11="Track from TBS","",IF(Bagging!I19="Standard Clear 125cm",VALUE(Bagging!J19),""))</f>
        <v/>
      </c>
      <c r="AI11" s="20" t="str">
        <f>IF(I11="Track from TBS","",IF(Bagging!I19="Standard Clear 150cm",VALUE(Bagging!J19),""))</f>
        <v/>
      </c>
      <c r="AJ11" s="20" t="str">
        <f>IF(I11="Track from TBS","",IF(Bagging!I19="White Fibreglass 200cm",VALUE(Bagging!J19),""))</f>
        <v/>
      </c>
      <c r="AK11" s="20" t="str">
        <f>IF(I11="Track from TBS","",IF(Bagging!I19="White Fibreglass 250cm",VALUE(Bagging!J19),""))</f>
        <v/>
      </c>
      <c r="AL11" s="20" t="str">
        <f>IF(D11="","",IF(AND(VLOOKUP(CONCATENATE('Tube Cutting'!D19,'Tube Cutting'!E19),TrackManufacturing,2,FALSE)="Wavefold White",(Bagging!E19="Top Fix Brackets")),Bagging!F19,""))</f>
        <v/>
      </c>
      <c r="AM11" s="20" t="str">
        <f>IF(D11="","",IF(AND(VLOOKUP(CONCATENATE('Tube Cutting'!D19,'Tube Cutting'!E19),TrackManufacturing,2,FALSE)="Wavefold White",(Bagging!E19="Single Face Fix Brackets")),Bagging!F19,""))</f>
        <v/>
      </c>
      <c r="AN11" s="20" t="str">
        <f>IF(D11="","",IF(AND(VLOOKUP(CONCATENATE('Tube Cutting'!D19,'Tube Cutting'!E19),TrackManufacturing,2,FALSE)="Wavefold White",(Bagging!E19="Double Face Fix Brackets")),Bagging!F19,""))</f>
        <v/>
      </c>
      <c r="AO11" s="20" t="str">
        <f>IF(D11="","",IF(AND(VLOOKUP(CONCATENATE('Tube Cutting'!D19,'Tube Cutting'!E19),TrackManufacturing,2,FALSE)="Wavefold White",(Bagging!E19="Triple Face Fix Brackets")),Bagging!F19,""))</f>
        <v/>
      </c>
      <c r="AP11" s="20" t="str">
        <f>IF(D11="","",IF(AND(VLOOKUP(CONCATENATE('Tube Cutting'!D19,'Tube Cutting'!E19),TrackManufacturing,2,FALSE)="Wavefold Black",(Bagging!E19="Top Fix Brackets")),Bagging!F19,""))</f>
        <v/>
      </c>
      <c r="AQ11" s="20" t="str">
        <f>IF(D11="","",IF(AND(VLOOKUP(CONCATENATE('Tube Cutting'!D19,'Tube Cutting'!E19),TrackManufacturing,2,FALSE)="Wavefold Black",(Bagging!E19="Single Face Fix Brackets")),Bagging!F19,""))</f>
        <v/>
      </c>
      <c r="AR11" s="20" t="str">
        <f>IF(D11="","",IF(AND(VLOOKUP(CONCATENATE('Tube Cutting'!D19,'Tube Cutting'!E19),TrackManufacturing,2,FALSE)="Wavefold Black",(Bagging!E19="Double Face Fix Brackets")),Bagging!F19,""))</f>
        <v/>
      </c>
      <c r="AS11" s="20" t="str">
        <f>IF(D11="","",IF(AND(VLOOKUP(CONCATENATE('Tube Cutting'!D19,'Tube Cutting'!E19),TrackManufacturing,2,FALSE)="Wavefold Black",(Bagging!E19="Triple Face Fix Brackets")),Bagging!F19,""))</f>
        <v/>
      </c>
      <c r="AT11" s="20" t="str">
        <f>IF(D11="","",IF(AND(OR(VLOOKUP(CONCATENATE('Tube Cutting'!D19,'Tube Cutting'!E19),TrackManufacturing,2,FALSE)="Wavefold Matt Satin",VLOOKUP(CONCATENATE('Tube Cutting'!D19,'Tube Cutting'!E19),TrackManufacturing,2,FALSE)="System 20 Matt Satin"),(Bagging!E19="Top Fix Brackets")),Bagging!F19,""))</f>
        <v/>
      </c>
      <c r="AU11" s="20" t="str">
        <f>IF(D11="","",IF(AND(OR(VLOOKUP(CONCATENATE('Tube Cutting'!D19,'Tube Cutting'!E19),TrackManufacturing,2,FALSE)="Wavefold Matt Satin",VLOOKUP(CONCATENATE('Tube Cutting'!D19,'Tube Cutting'!E19),TrackManufacturing,2,FALSE)="System 20 Matt Satin"),(Bagging!E19="Single Face Fix Brackets")),Bagging!F19,""))</f>
        <v/>
      </c>
      <c r="AV11" s="20" t="str">
        <f>IF(D11="","",IF(AND(OR(VLOOKUP(CONCATENATE('Tube Cutting'!D19,'Tube Cutting'!E19),TrackManufacturing,2,FALSE)="Wavefold Matt Satin",VLOOKUP(CONCATENATE('Tube Cutting'!D19,'Tube Cutting'!E19),TrackManufacturing,2,FALSE)="System 20 Matt Satin"),(Bagging!E19="Double Face Fix Brackets")),Bagging!F19,""))</f>
        <v/>
      </c>
      <c r="AW11" s="20" t="str">
        <f>IF(D11="","",IF(AND(OR(VLOOKUP(CONCATENATE('Tube Cutting'!D19,'Tube Cutting'!E19),TrackManufacturing,2,FALSE)="Wavefold Matt Satin",VLOOKUP(CONCATENATE('Tube Cutting'!D19,'Tube Cutting'!E19),TrackManufacturing,2,FALSE)="System 20 Matt Satin"),(Bagging!E19="Triple Face Fix Brackets")),Bagging!F19,""))</f>
        <v/>
      </c>
      <c r="AX11" s="20" t="str">
        <f>IF(D11="","",IF(AND(VLOOKUP(CONCATENATE('Tube Cutting'!D19,'Tube Cutting'!E19),TrackManufacturing,2,FALSE)="Streamline White",(Bagging!E19="Nylon Top Fix Brackets")),VLOOKUP('Job Sheet'!G19,Brackets,2,TRUE),""))</f>
        <v/>
      </c>
      <c r="AY11" s="20" t="str">
        <f>IF(D11="","",IF(AND(VLOOKUP(CONCATENATE('Tube Cutting'!D19,'Tube Cutting'!E19),TrackManufacturing,2,FALSE)="Streamline White",(Bagging!E19="Metal Fix Brackets")),VLOOKUP('Job Sheet'!G19,Brackets,2,TRUE),""))</f>
        <v/>
      </c>
      <c r="AZ11" s="20" t="str">
        <f>IF(D11="","",IF(AND(VLOOKUP(CONCATENATE('Tube Cutting'!D19,'Tube Cutting'!E19),TrackManufacturing,2,FALSE)="Streamline White",(Bagging!E19="Single Face Fix Brackets")),Bagging!F19,""))</f>
        <v/>
      </c>
      <c r="BA11" s="20" t="str">
        <f>IF(D11="","",IF(AND(VLOOKUP(CONCATENATE('Tube Cutting'!D19,'Tube Cutting'!E19),TrackManufacturing,2,FALSE)="Streamline White",(Bagging!E19="Double Face Fix Brackets")),Bagging!F19,""))</f>
        <v/>
      </c>
      <c r="BB11" s="20" t="str">
        <f>IF(D11="","",IF(AND(VLOOKUP(CONCATENATE('Tube Cutting'!D19,'Tube Cutting'!E19),TrackManufacturing,2,FALSE)="Streamline White",(Bagging!E19="Triple Face Fix Brackets")),Bagging!F19,""))</f>
        <v/>
      </c>
      <c r="BC11" s="20" t="str">
        <f>IF(D11="","",IF(AND(VLOOKUP(CONCATENATE('Tube Cutting'!D19,'Tube Cutting'!E19),TrackManufacturing,2,FALSE)="Streamline White",(Bagging!E19="32mm Face Fix Brackets")),Bagging!F19,""))</f>
        <v/>
      </c>
      <c r="BD11" s="20" t="str">
        <f>IF(J11="","",IF(AND(VLOOKUP(CONCATENATE('Tube Cutting'!D19,'Tube Cutting'!E19),TrackManufacturing,2,FALSE)="Streamline Matt Black Ink",(Bagging!M19="Nylon Top Fix Brackets")),VLOOKUP('Job Sheet'!L19,Brackets,2,TRUE),""))</f>
        <v/>
      </c>
      <c r="BE11" s="20" t="str">
        <f>IF(D11="","",IF(AND(VLOOKUP(CONCATENATE('Tube Cutting'!D19,'Tube Cutting'!E19),TrackManufacturing,2,FALSE)="Streamline Matt Black Ink",(Bagging!E19="Top Fix Brackets")),Bagging!F19,""))</f>
        <v/>
      </c>
      <c r="BF11" s="20" t="str">
        <f>IF(D11="","",IF(AND(VLOOKUP(CONCATENATE('Tube Cutting'!D19,'Tube Cutting'!E19),TrackManufacturing,2,FALSE)="Streamline Matt Black Ink",(Bagging!E19="Single Face Fix Brackets")),Bagging!F19,""))</f>
        <v/>
      </c>
      <c r="BG11" s="20" t="str">
        <f>IF(D11="","",IF(AND(VLOOKUP(CONCATENATE('Tube Cutting'!D19,'Tube Cutting'!E19),TrackManufacturing,2,FALSE)="Streamline Matt Black Ink",(Bagging!E19="Double Face Fix Brackets")),Bagging!F19,""))</f>
        <v/>
      </c>
      <c r="BH11" s="20" t="str">
        <f>IF(D11="","",IF(AND(VLOOKUP(CONCATENATE('Tube Cutting'!D19,'Tube Cutting'!E19),TrackManufacturing,2,FALSE)="Streamline Matt Black Ink",(Bagging!E19="Triple Face Fix Brackets")),Bagging!F19,""))</f>
        <v/>
      </c>
      <c r="BI11" s="20" t="str">
        <f>IF(D11="","",IF(AND(VLOOKUP(CONCATENATE('Tube Cutting'!D19,'Tube Cutting'!E19),TrackManufacturing,2,FALSE)="Streamline Matt Black Ink",(Bagging!E19="32mm Face Fix Brackets")),Bagging!F19,""))</f>
        <v/>
      </c>
      <c r="BJ11" s="20" t="str">
        <f>IF(D11="","",IF(AND(VLOOKUP(CONCATENATE('Tube Cutting'!D19,'Tube Cutting'!E19),TrackManufacturing,2,FALSE)="Streamline Birch White",(Bagging!P19="Nylon Top Fix Brackets")),VLOOKUP('Job Sheet'!Q19,Brackets,2,TRUE),""))</f>
        <v/>
      </c>
      <c r="BK11" s="20" t="str">
        <f>IF(D11="","",IF(AND(VLOOKUP(CONCATENATE('Tube Cutting'!D19,'Tube Cutting'!E19),TrackManufacturing,2,FALSE)="Streamline Birch White",(Bagging!E19="Top Fix Brackets")),Bagging!F19,""))</f>
        <v/>
      </c>
      <c r="BL11" s="20" t="str">
        <f>IF(D11="","",IF(AND(VLOOKUP(CONCATENATE('Tube Cutting'!D19,'Tube Cutting'!E19),TrackManufacturing,2,FALSE)="Streamline Birch White",(Bagging!E19="Single Face Fix Brackets")),Bagging!F19,""))</f>
        <v/>
      </c>
      <c r="BM11" s="20" t="str">
        <f>IF(D11="","",IF(AND(VLOOKUP(CONCATENATE('Tube Cutting'!D19,'Tube Cutting'!E19),TrackManufacturing,2,FALSE)="Streamline Birch White",(Bagging!E19="Double Face Fix Brackets")),Bagging!F19,""))</f>
        <v/>
      </c>
      <c r="BN11" s="20" t="str">
        <f>IF(D11="","",IF(AND(VLOOKUP(CONCATENATE('Tube Cutting'!D19,'Tube Cutting'!E19),TrackManufacturing,2,FALSE)="Streamline Birch White",(Bagging!E19="Triple Face Fix Brackets")),Bagging!F19,""))</f>
        <v/>
      </c>
      <c r="BO11" s="20" t="str">
        <f>IF(D11="","",IF(AND(VLOOKUP(CONCATENATE('Tube Cutting'!D19,'Tube Cutting'!E19),TrackManufacturing,2,FALSE)="Streamline Birch White",(Bagging!E19="32mm Face Fix Brackets")),Bagging!F19,""))</f>
        <v/>
      </c>
      <c r="BP11" s="20" t="str">
        <f>IF(D11="","",IF(AND(VLOOKUP(CONCATENATE('Tube Cutting'!D19,'Tube Cutting'!E19),TrackManufacturing,2,FALSE)="Streamline Matt Satin",(Bagging!E19="Top Fix Brackets")),Bagging!F19,""))</f>
        <v/>
      </c>
      <c r="BQ11" s="20" t="str">
        <f>IF(K11="","",IF(AND(VLOOKUP(CONCATENATE('Tube Cutting'!J19,'Tube Cutting'!K19),TrackManufacturing,2,FALSE)="Streamline Matt Satin",(Bagging!K19="Top Fix Brackets")),Bagging!L19,""))</f>
        <v/>
      </c>
      <c r="BR11" s="20" t="str">
        <f>IF(K11="","",IF(AND(VLOOKUP(CONCATENATE('Tube Cutting'!J19,'Tube Cutting'!K19),TrackManufacturing,2,FALSE)="Streamline Matt Satin",(Bagging!K19="Single Face Fix Brackets")),Bagging!L19,""))</f>
        <v/>
      </c>
      <c r="BS11" s="20" t="str">
        <f>IF(D11="","",IF(AND(VLOOKUP(CONCATENATE('Tube Cutting'!D19,'Tube Cutting'!E19),TrackManufacturing,2,FALSE)="Streamline Matt Satin",(Bagging!E19="Double Face Fix Brackets")),Bagging!F19,""))</f>
        <v/>
      </c>
      <c r="BT11" s="20" t="str">
        <f>IF(D11="","",IF(AND(VLOOKUP(CONCATENATE('Tube Cutting'!D19,'Tube Cutting'!E19),TrackManufacturing,2,FALSE)="Streamline Matt Satin",(Bagging!E19="Triple Face Fix Brackets")),Bagging!F19,""))</f>
        <v/>
      </c>
      <c r="BU11" s="20" t="str">
        <f>IF(D11="","",IF(AND(VLOOKUP(CONCATENATE('Tube Cutting'!D19,'Tube Cutting'!E19),TrackManufacturing,2,FALSE)="Streamline Matt Satin",(Bagging!E19="32mm Face Fix Brackets")),Bagging!F19,""))</f>
        <v/>
      </c>
      <c r="BV11" s="20" t="str">
        <f t="shared" si="0"/>
        <v/>
      </c>
      <c r="BW11" s="20" t="str">
        <f>IF(D11="","",IF(AND(VLOOKUP(CONCATENATE('Tube Cutting'!D19,'Tube Cutting'!E19),TrackManufacturing,2,FALSE)="White",Bagging!E19="Single Face Fix Brackets"),Bagging!F19,""))</f>
        <v/>
      </c>
      <c r="BX11" s="20" t="str">
        <f>IF(AND('Tube Cutting'!E19="White",Bagging!E19="Double Face Fix Brackets"),Bagging!F19,"")</f>
        <v/>
      </c>
      <c r="BY11" s="20" t="str">
        <f>IF(AND('Tube Cutting'!E19="White",Bagging!E19="Triple Face Fix Brackets"),Bagging!F19,"")</f>
        <v/>
      </c>
      <c r="BZ11" s="20" t="str">
        <f t="shared" si="1"/>
        <v/>
      </c>
      <c r="CA11" s="20" t="str">
        <f>IF(AND('Tube Cutting'!E19="Matt Black Ink",Bagging!E19="Single Face Fix Brackets"),Bagging!F19,"")</f>
        <v/>
      </c>
      <c r="CB11" s="20" t="str">
        <f>IF(AND('Tube Cutting'!E19="Matt Black Ink",Bagging!E19="Double Face Fix Brackets"),Bagging!F19,"")</f>
        <v/>
      </c>
      <c r="CC11" s="20" t="str">
        <f>IF(AND('Tube Cutting'!E19="Matt Black Ink",Bagging!E19="Triple Fix Brackets"),Bagging!F19,"")</f>
        <v/>
      </c>
      <c r="CD11" s="20" t="str">
        <f>IF(AND('Tube Cutting'!E19="Matt Satin",Bagging!E19="Top Fix Brackets"),Bagging!F19,"")</f>
        <v/>
      </c>
      <c r="CE11" s="20" t="str">
        <f>IF(AND('Tube Cutting'!E19="Matt Satin",Bagging!E19="Single Face Fix Brackets"),Bagging!F19,"")</f>
        <v/>
      </c>
      <c r="CF11" s="20" t="str">
        <f>IF(AND('Tube Cutting'!E19="Matt Satin",Bagging!E19="Double Face Fix Brackets"),Bagging!F19,"")</f>
        <v/>
      </c>
      <c r="CG11" s="20" t="str">
        <f>IF(AND('Tube Cutting'!E19="Matt Satin",Bagging!E19="Triple Fix Brackets"),Bagging!F19,"")</f>
        <v/>
      </c>
      <c r="CH11" s="20" t="str">
        <f>IF(D11="","",IF(AND('Tube Cutting'!E19="White",(OR(Bagging!L19="Single Left",Bagging!L19="Single Left &amp; Right"))),"1",""))</f>
        <v/>
      </c>
      <c r="CI11" s="20" t="str">
        <f>IF(D11="","",IF(AND('Tube Cutting'!E19="Matt Black Ink",(OR(Bagging!L19="Single Left",Bagging!L19="Single Left &amp; Right"))),"1",""))</f>
        <v/>
      </c>
      <c r="CJ11" s="20" t="str">
        <f>IF(D11="","",IF(AND('Tube Cutting'!E19="Matt Satin",(OR(Bagging!L19="Single Left",Bagging!L19="Single Left &amp; Right"))),"1",""))</f>
        <v/>
      </c>
      <c r="CK11" s="20" t="str">
        <f>IF(D11="","",IF(AND('Tube Cutting'!E19="White",(OR(Bagging!L19="Single Right",Bagging!L19="Single Left &amp; Right"))),"1",""))</f>
        <v/>
      </c>
      <c r="CL11" s="20" t="str">
        <f>IF(D11="","",IF(AND('Tube Cutting'!E19="Matt Black Ink",(OR(Bagging!L19="Single Right",Bagging!L19="Single Left &amp; Right"))),"1",""))</f>
        <v/>
      </c>
      <c r="CM11" s="20" t="str">
        <f>IF(D11="","",IF(AND('Tube Cutting'!E19="Matt Satin",(OR(Bagging!L19="Single Right",Bagging!L19="Single Left &amp; Right"))),"1",""))</f>
        <v/>
      </c>
      <c r="CN11" s="20" t="str">
        <f>IF(D11="","",IF(AND('Tube Cutting'!E19="White",(OR(Bagging!L19="Double Left",Bagging!L19="Double Left &amp; Right"))),"1",""))</f>
        <v/>
      </c>
      <c r="CO11" s="20" t="str">
        <f>IF(D11="","",IF(AND('Tube Cutting'!E19="Matt Black Ink",(OR(Bagging!L19="Double Left",Bagging!L19="Double Left &amp; Right"))),"1",""))</f>
        <v/>
      </c>
      <c r="CP11" s="20" t="str">
        <f>IF(D11="","",IF(AND('Tube Cutting'!E19="Matt Satin",(OR(Bagging!L19="Double Left",Bagging!L19="Double Left &amp; Right"))),"1",""))</f>
        <v/>
      </c>
      <c r="CQ11" s="20" t="str">
        <f>IF(D11="","",IF(AND('Tube Cutting'!E19="White",(OR(Bagging!L19="Double Right",Bagging!L19="Double Left &amp; Right"))),"1",""))</f>
        <v/>
      </c>
      <c r="CR11" s="20" t="str">
        <f>IF(D11="","",IF(AND('Tube Cutting'!E19="Matt Black Ink",(OR(Bagging!L19="Double Right",Bagging!L19="Double Left &amp; Right"))),"1",""))</f>
        <v/>
      </c>
      <c r="CS11" s="20" t="str">
        <f>IF(D11="","",IF(AND('Tube Cutting'!E19="Matt Satin",(OR(Bagging!L19="Double Right",Bagging!L19="Double Left &amp; Right"))),"1",""))</f>
        <v/>
      </c>
      <c r="CT11" s="20" t="str">
        <f>IF(D11="","",IF(VLOOKUP(CONCATENATE('Tube Cutting'!D19,'Tube Cutting'!E19),TrackManufacturing,2,FALSE)="Streamline White",1,""))</f>
        <v/>
      </c>
      <c r="CU11" s="20" t="str">
        <f>IF(D11="","",IF(VLOOKUP(CONCATENATE('Tube Cutting'!D19,'Tube Cutting'!E19),TrackManufacturing,2,FALSE)="Streamline Matt Black Ink",1,""))</f>
        <v/>
      </c>
      <c r="CV11" s="20" t="str">
        <f>IF(D11="","",IF(VLOOKUP(CONCATENATE('Tube Cutting'!D19,'Tube Cutting'!E19),TrackManufacturing,2,FALSE)="Streamline Birch White",1,""))</f>
        <v/>
      </c>
      <c r="CW11" s="20" t="str">
        <f>IF(D11="","",IF(VLOOKUP(CONCATENATE('Tube Cutting'!D19,'Tube Cutting'!E19),TrackManufacturing,2,FALSE)="Streamline Matt Satin",1,""))</f>
        <v/>
      </c>
      <c r="CX11" s="20" t="str">
        <f>IF(D11="","",IF(AND(VLOOKUP(CONCATENATE('Tube Cutting'!D19,'Tube Cutting'!E19),TrackManufacturing,2,FALSE)="Streamline White",(OR(Assembly!F19="Centre Opening",Assembly!F19="Centre Opening - Free Flowing",Assembly!F19="Centre Opening (Offset)",Assembly!F19="Centre Opening - Free Flowing (Offset)"))),1,""))</f>
        <v/>
      </c>
      <c r="CY11" s="20" t="str">
        <f>IF(D11="","",IF(AND(VLOOKUP(CONCATENATE('Tube Cutting'!D19,'Tube Cutting'!E19),TrackManufacturing,2,FALSE)="Streamline Matt Black Ink",(OR(Assembly!F19="Centre Opening",Assembly!F19="Centre Opening - Free Flowing",Assembly!F19="Centre Opening (Offset)",Assembly!F19="Centre Opening - Free Flowing (Offset)"))),1,""))</f>
        <v/>
      </c>
      <c r="CZ11" s="20" t="str">
        <f>IF(D11="","",IF(AND(VLOOKUP(CONCATENATE('Tube Cutting'!D19,'Tube Cutting'!E19),TrackManufacturing,2,FALSE)="Streamline Birch White",(OR(Assembly!F19="Centre Opening",Assembly!F19="Centre Opening - Free Flowing",Assembly!F19="Centre Opening (Offset)",Assembly!F19="Centre Opening - Free Flowing (Offset)"))),1,""))</f>
        <v/>
      </c>
      <c r="DA11" s="20" t="str">
        <f>IF(D11="","",IF(AND(VLOOKUP(CONCATENATE('Tube Cutting'!D19,'Tube Cutting'!E19),TrackManufacturing,2,FALSE)="Streamline Matt Satin",(OR(Assembly!F19="Centre Opening",Assembly!F19="Centre Opening - Free Flowing",Assembly!F19="Centre Opening (Offset)",Assembly!F19="Centre Opening - Free Flowing (Offset)"))),1,""))</f>
        <v/>
      </c>
      <c r="DB11" s="20" t="str">
        <f>IF(OR('Job Sheet'!H19="Conduit",'Job Sheet'!H19="Conduit x 2",I11&lt;&gt;"DBS to Make"),"",IF(VLOOKUP(CONCATENATE(Assembly!C19,Assembly!F19),PulleysEndCaps,2,FALSE)="","",IF('Tube Cutting'!E19="White",VLOOKUP(CONCATENATE(Assembly!C19,Assembly!F19),PulleysEndCaps,2,FALSE),"")))</f>
        <v/>
      </c>
      <c r="DC11" s="20" t="str">
        <f>IF(OR('Job Sheet'!H19="Conduit",'Job Sheet'!H19="Conduit x 2",I11&lt;&gt;"DBS to Make"),"",IF(VLOOKUP(CONCATENATE(Assembly!C19,Assembly!F19),PulleysEndCaps,2,FALSE)="","",IF('Tube Cutting'!E19="Matt Black Ink",VLOOKUP(CONCATENATE(Assembly!C19,Assembly!F19),PulleysEndCaps,2,FALSE),"")))</f>
        <v/>
      </c>
      <c r="DD11" s="20" t="str">
        <f>IF(OR('Job Sheet'!H19="Conduit",'Job Sheet'!H19="Conduit x 2",I11&lt;&gt;"DBS to Make"),"",IF(VLOOKUP(CONCATENATE(Assembly!C19,Assembly!F19),PulleysEndCaps,2,FALSE)="","",IF('Tube Cutting'!E19="Matt Satin",VLOOKUP(CONCATENATE(Assembly!C19,Assembly!F19),PulleysEndCaps,2,FALSE),"")))</f>
        <v/>
      </c>
      <c r="DE11" s="20" t="str">
        <f>IF(OR('Job Sheet'!H19="Conduit",'Job Sheet'!H19="Conduit x 2",I11&lt;&gt;"DBS to Make"),"",IF(VLOOKUP(CONCATENATE(Assembly!C19,Assembly!F19),PulleysEndCaps,3,FALSE)="","",IF('Tube Cutting'!E19="White",VLOOKUP(CONCATENATE(Assembly!C19,Assembly!F19),PulleysEndCaps,3,FALSE),"")))</f>
        <v/>
      </c>
      <c r="DF11" s="20" t="str">
        <f>IF(OR('Job Sheet'!H19="Conduit",'Job Sheet'!H19="Conduit x 2",I11&lt;&gt;"DBS to Make"),"",IF(VLOOKUP(CONCATENATE(Assembly!C19,Assembly!F19),PulleysEndCaps,3,FALSE)="","",IF('Tube Cutting'!E19="Matt Black Ink",VLOOKUP(CONCATENATE(Assembly!C19,Assembly!F19),PulleysEndCaps,3,FALSE),"")))</f>
        <v/>
      </c>
      <c r="DG11" s="20" t="str">
        <f>IF(OR('Job Sheet'!H19="Conduit",'Job Sheet'!H19="Conduit x 2",I11&lt;&gt;"DBS to Make"),"",IF(VLOOKUP(CONCATENATE(Assembly!C19,Assembly!F19),PulleysEndCaps,3,FALSE)="","",IF('Tube Cutting'!E19="Matt Satin",VLOOKUP(CONCATENATE(Assembly!C19,Assembly!F19),PulleysEndCaps,3,FALSE),"")))</f>
        <v/>
      </c>
      <c r="DH11" s="20" t="str">
        <f>IF(OR('Job Sheet'!H19="Conduit",'Job Sheet'!H19="Conduit x 2",I11&lt;&gt;"DBS to Make"),"",IF(VLOOKUP(CONCATENATE(Assembly!C19,Assembly!F19),PulleysEndCaps,6,FALSE)="","",IF('Tube Cutting'!E19="White",VLOOKUP(CONCATENATE(Assembly!C19,Assembly!F19),PulleysEndCaps,6,FALSE),"")))</f>
        <v/>
      </c>
      <c r="DI11" s="20" t="str">
        <f>IF(OR('Job Sheet'!H19="Conduit",'Job Sheet'!H19="Conduit x 2",I11&lt;&gt;"DBS to Make"),"",IF(VLOOKUP(CONCATENATE(Assembly!C19,Assembly!F19),PulleysEndCaps,6,FALSE)="","",IF('Tube Cutting'!E19="Matt Black Ink",VLOOKUP(CONCATENATE(Assembly!C19,Assembly!F19),PulleysEndCaps,6,FALSE),"")))</f>
        <v/>
      </c>
      <c r="DJ11" s="20" t="str">
        <f>IF(OR('Job Sheet'!H19="Conduit",'Job Sheet'!H19="Conduit x 2",I11&lt;&gt;"DBS to Make"),"",IF(VLOOKUP(CONCATENATE(Assembly!C19,Assembly!F19),PulleysEndCaps,6,FALSE)="","",IF('Tube Cutting'!E19="Birch White",VLOOKUP(CONCATENATE(Assembly!C19,Assembly!F19),PulleysEndCaps,6,FALSE),"")))</f>
        <v/>
      </c>
      <c r="DK11" s="20" t="str">
        <f>IF(OR('Job Sheet'!H19="Conduit",'Job Sheet'!H19="Conduit x 2",I11&lt;&gt;"DBS to Make"),"",IF(VLOOKUP(CONCATENATE(Assembly!C19,Assembly!F19),PulleysEndCaps,6,FALSE)="","",IF('Tube Cutting'!E19="Matt Satin",VLOOKUP(CONCATENATE(Assembly!C19,Assembly!F19),PulleysEndCaps,6,FALSE),"")))</f>
        <v/>
      </c>
      <c r="DL11" s="20" t="str">
        <f>IF(OR('Job Sheet'!H19="Conduit",'Job Sheet'!H19="Conduit x 2",I11&lt;&gt;"DBS to Make"),"",IF(VLOOKUP(CONCATENATE(Assembly!C19,Assembly!F19),PulleysEndCaps,4,FALSE)="","",VLOOKUP(CONCATENATE(Assembly!C19,Assembly!F19),PulleysEndCaps,4,FALSE)))</f>
        <v/>
      </c>
      <c r="DM11" s="20" t="str">
        <f>IF(OR('Job Sheet'!H19="Conduit",'Job Sheet'!H19="Conduit x 2",I11&lt;&gt;"DBS to Make"),"",IF(VLOOKUP(CONCATENATE(Assembly!C19,Assembly!F19),PulleysEndCaps,7,FALSE)="","",VLOOKUP(CONCATENATE(Assembly!C19,Assembly!F19),PulleysEndCaps,7,FALSE)))</f>
        <v/>
      </c>
      <c r="DN11" s="20" t="str">
        <f>IF(D11="","",IF(AND(OR(VLOOKUP(CONCATENATE('Tube Cutting'!D19,'Tube Cutting'!E19),TrackManufacturing,2,FALSE)="Wavefold White",VLOOKUP(CONCATENATE('Tube Cutting'!D19,'Tube Cutting'!E19),TrackManufacturing,2,FALSE)="Wavefold Black",VLOOKUP(CONCATENATE('Tube Cutting'!D19,'Tube Cutting'!E19),TrackManufacturing,2,FALSE)="Wavefold Matt Satin",VLOOKUP(CONCATENATE('Tube Cutting'!D19,'Tube Cutting'!E19),TrackManufacturing,2,FALSE)="System 20 White",VLOOKUP(CONCATENATE('Tube Cutting'!D19,'Tube Cutting'!E19),TrackManufacturing,2,FALSE)="System 20 Black",VLOOKUP(CONCATENATE('Tube Cutting'!D19,'Tube Cutting'!E19),TrackManufacturing,2,FALSE)="System 20 Matt Satin"),'Tube Cutting'!C19&gt;6000),1,""))</f>
        <v/>
      </c>
      <c r="DO11" s="20" t="str">
        <f>IF(D11="","",IF(AND(OR(VLOOKUP(CONCATENATE('Tube Cutting'!D19,'Tube Cutting'!E19),TrackManufacturing,2,FALSE)="Streamline White",VLOOKUP(CONCATENATE('Tube Cutting'!D19,'Tube Cutting'!E19),TrackManufacturing,2,FALSE)="Streamline Black",VLOOKUP(CONCATENATE('Tube Cutting'!D19,'Tube Cutting'!E19),TrackManufacturing,2,FALSE)="Streamline Birch White",VLOOKUP(CONCATENATE('Tube Cutting'!D19,'Tube Cutting'!E19),TrackManufacturing,2,FALSE)="Streamline Matt Satin"),'Tube Cutting'!C19&gt;6000),1,""))</f>
        <v/>
      </c>
      <c r="DP11" s="20" t="str">
        <f>IF(OR('Job Sheet'!H19="Conduit",'Job Sheet'!H19="Conduit x 2",I11&lt;&gt;"DBS to Make"),"",IF(VLOOKUP(CONCATENATE(Assembly!C19,Assembly!F19),PulleysEndCaps,5,FALSE)="","",IF('Tube Cutting'!E19="White",VLOOKUP(CONCATENATE(Assembly!C19,Assembly!F19),PulleysEndCaps,5,FALSE),"")))</f>
        <v/>
      </c>
      <c r="DQ11" s="20" t="str">
        <f>IF(OR('Job Sheet'!H19="Conduit",'Job Sheet'!H19="Conduit x 2",I11&lt;&gt;"DBS to Make"),"",IF(VLOOKUP(CONCATENATE(Assembly!C19,Assembly!F19),PulleysEndCaps,5,FALSE)="","",IF('Tube Cutting'!E19="Matt Black Ink",VLOOKUP(CONCATENATE(Assembly!C19,Assembly!F19),PulleysEndCaps,5,FALSE),"")))</f>
        <v/>
      </c>
      <c r="DR11" s="20" t="str">
        <f>IF(OR('Job Sheet'!H19="Conduit",'Job Sheet'!H19="Conduit x 2",I11&lt;&gt;"DBS to Make"),"",IF(VLOOKUP(CONCATENATE(Assembly!C19,Assembly!F19),PulleysEndCaps,5,FALSE)="","",IF('Tube Cutting'!E19="Matt Satin",VLOOKUP(CONCATENATE(Assembly!C19,Assembly!F19),PulleysEndCaps,5,FALSE),"")))</f>
        <v/>
      </c>
      <c r="DS11" s="20" t="str">
        <f>IF(OR('Job Sheet'!H19="Conduit",'Job Sheet'!H19="Conduit x 2",I11&lt;&gt;"DBS to Make"),"",IF(VLOOKUP(CONCATENATE(Assembly!C19,Assembly!F19),PulleysEndCaps,5,FALSE)="","",IF('Tube Cutting'!E19="Matt Satin",VLOOKUP(CONCATENATE(Assembly!C19,Assembly!F19),PulleysEndCaps,5,FALSE),"")))</f>
        <v/>
      </c>
      <c r="DT11" s="20" t="str">
        <f>IF(OR('Job Sheet'!H19="Conduit",'Job Sheet'!H19="Conduit x 2",I11&lt;&gt;"DBS to Make"),"",IF(VLOOKUP(CONCATENATE(Assembly!C19,Assembly!F19),PulleysEndCaps,8,FALSE)="","",IF('Tube Cutting'!E19="Matt Black Ink",VLOOKUP(CONCATENATE(Assembly!C19,Assembly!F19),PulleysEndCaps,8,FALSE),"")))</f>
        <v/>
      </c>
      <c r="DU11" s="20" t="str">
        <f>IF(OR('Job Sheet'!H19="Conduit",'Job Sheet'!H19="Conduit x 2",I11&lt;&gt;"DBS to Make"),"",IF(VLOOKUP(CONCATENATE(Assembly!C19,Assembly!F19),PulleysEndCaps,8,FALSE)="","",IF('Tube Cutting'!E19="Birch White",VLOOKUP(CONCATENATE(Assembly!C19,Assembly!F19),PulleysEndCaps,8,FALSE),"")))</f>
        <v/>
      </c>
      <c r="DV11" s="20" t="str">
        <f>IF(OR('Job Sheet'!H19="Conduit",'Job Sheet'!H19="Conduit x 2",I11&lt;&gt;"DBS to Make"),"",IF(VLOOKUP(CONCATENATE(Assembly!C19,Assembly!F19),PulleysEndCaps,8,FALSE)="","",IF('Tube Cutting'!E19="Matt Satin",VLOOKUP(CONCATENATE(Assembly!C19,Assembly!F19),PulleysEndCaps,8,FALSE),"")))</f>
        <v/>
      </c>
      <c r="DW11" s="20" t="str">
        <f>IF(D11="","",IF(AND(AND(Assembly!C19="Wavefold Cord Operation",'Tube Cutting'!E19="White",'Tube Cutting'!E19),(OR(Assembly!F19="Centre Opening",Assembly!F19="Centre Opening - Free Flowing",Assembly!F19="Centre Opening (Offset)",Assembly!F19="Centre Opening - Free Flowing (Offset)"))),2,IF(AND(AND(Assembly!C19="Wavefold Cord Operation",'Tube Cutting'!E19="White",'Tube Cutting'!E19),(OR(Assembly!F19="Single Panel - Left Stacking",Assembly!F19="Single Panel - Right Stacking",Assembly!F19="Single Panel - Free Flowing"))),1,"")))</f>
        <v/>
      </c>
      <c r="DX11" s="20" t="str">
        <f>IF(D11="","",IF(AND(AND(Assembly!C19="Wavefold Cord Operation",'Tube Cutting'!E19="Matt Black Ink",'Tube Cutting'!E19),(OR(Assembly!F19="Centre Opening",Assembly!F19="Centre Opening - Free Flowing",Assembly!F19="Centre Opening (Offset)",Assembly!F19="Centre Opening - Free Flowing (Offset)"))),2,IF(AND(AND(Assembly!C19="Wavefold Cord Operation",'Tube Cutting'!E19="Matt Black Ink",'Tube Cutting'!E19),(OR(Assembly!F19="Single Panel - Left Stacking",Assembly!F19="Single Panel - Right Stacking",Assembly!F19="Single Panel - Free Flowing"))),1,"")))</f>
        <v/>
      </c>
      <c r="DY11" s="20" t="str">
        <f>IF(D11="","",IF(AND(Assembly!C19="Wavefold Hand Operation",'Tube Cutting'!E19="White"),Bagging!J19,""))</f>
        <v/>
      </c>
      <c r="DZ11" s="20" t="str">
        <f>IF(D11="","",IF(AND(Assembly!C19="Wavefold Hand Operation",(OR('Tube Cutting'!E19="White",'Tube Cutting'!E19="White"))),Bagging!J19,""))</f>
        <v/>
      </c>
      <c r="EA11" s="20" t="str">
        <f>IF(OR(D11="",'Job Sheet'!U19="Straight"),"",VLOOKUP(CONCATENATE('Job Sheet'!U19,'Job Sheet'!L19),CornerBlocks,2,FALSE))</f>
        <v/>
      </c>
      <c r="EB11" s="20" t="str">
        <f>IF(D11="","",IF(OR('Tube Cutting'!D19="Streamline Cord Operation",'Tube Cutting'!D19="Wavefold Cord Operation"),1,""))</f>
        <v/>
      </c>
      <c r="EC11" s="20" t="str">
        <f>IF(D11="","",IF(VLOOKUP(CONCATENATE('Tube Cutting'!D19,'Tube Cutting'!E19),TrackManufacturing,2,FALSE)="System 20 White",1,""))</f>
        <v/>
      </c>
      <c r="ED11" s="20" t="str">
        <f>IF(D11="","",IF(VLOOKUP(CONCATENATE('Tube Cutting'!D19,'Tube Cutting'!E19),TrackManufacturing,2,FALSE)="System 20 Black",1,""))</f>
        <v/>
      </c>
      <c r="EE11" s="20" t="str">
        <f>IF(D11="","",IF(AND(VLOOKUP(CONCATENATE('Tube Cutting'!D19,'Tube Cutting'!E19),TrackManufacturing,2,FALSE)="System 20 White",(OR(Assembly!F19="Centre Opening",Assembly!F19="Centre Opening - Free Flowing",Assembly!F19="Centre Opening (Offset)",Assembly!F19="Centre Opening - Free Flowing (Offset)"))),1,""))</f>
        <v/>
      </c>
      <c r="EF11" s="20" t="str">
        <f>IF(D11="","",IF(AND(VLOOKUP(CONCATENATE('Tube Cutting'!D19,'Tube Cutting'!E19),TrackManufacturing,2,FALSE)="System 20 Black",(OR(Assembly!F19="Centre Opening",Assembly!F19="Centre Opening - Free Flowing",Assembly!F19="Centre Opening (Offset)",Assembly!F19="Centre Opening - Free Flowing (Offset)"))),1,""))</f>
        <v/>
      </c>
      <c r="EG11" s="126" t="str">
        <f>IF(D11="","",IF(OR(VLOOKUP(CONCATENATE('Tube Cutting'!D19,'Tube Cutting'!E19),TrackManufacturing,2,FALSE)="System 20 White",VLOOKUP(CONCATENATE('Tube Cutting'!D19,'Tube Cutting'!E19),TrackManufacturing,2,FALSE)="System 20 Black",VLOOKUP(CONCATENATE('Tube Cutting'!D19,'Tube Cutting'!E19),TrackManufacturing,2,FALSE)="System 20 Matt Black Ink"),Assembly!I19,IF('Tube Cutting'!D19="SEM Streamline Hand Operation",9,"")))</f>
        <v/>
      </c>
      <c r="EH11" s="20" t="str">
        <f>IF('Tube Cutting'!D19="Conduit",'Tube Cutting'!C19,"")</f>
        <v/>
      </c>
      <c r="EI11" s="20" t="str">
        <f>IF(Bagging!E19="Muslin Brackets",2,IF(Bagging!E19="Muslin Brackets Top and Bottom",4,""))</f>
        <v/>
      </c>
      <c r="EJ11" s="20" t="str">
        <f>IF(Bagging!E19="100mm Unstayed Brackets with Acorns",2,"")</f>
        <v/>
      </c>
      <c r="EK11" s="20" t="str">
        <f>IF(Bagging!E19="25mm Brackets with Acorns",2,"")</f>
        <v/>
      </c>
      <c r="EL11" s="20" t="str">
        <f>IF(OR(Bagging!E19="25mm Brackets with Acorns",Bagging!E19="100mm Unstayed Brackets with Acorns"),2,"")</f>
        <v/>
      </c>
      <c r="FI11" s="20"/>
      <c r="FJ11" s="20"/>
    </row>
    <row r="12" spans="4:166" s="150" customFormat="1" ht="13.2" customHeight="1">
      <c r="D12" s="147" t="str">
        <f>IF(Data!AW20="","",CONCATENATE(Data!BC$5,".",Data!BD$5))</f>
        <v/>
      </c>
      <c r="E12" s="147" t="str">
        <f>IF(D12="","",Data!AW20)</f>
        <v/>
      </c>
      <c r="F12" s="147" t="str">
        <f>IF(D12="","",Data!AV20)</f>
        <v/>
      </c>
      <c r="G12" s="147" t="str">
        <f>IF(D12="","",Data!BF$5)</f>
        <v/>
      </c>
      <c r="H12" s="147" t="str">
        <f>IF(D12="","",Data!AX$5)</f>
        <v/>
      </c>
      <c r="I12" s="147" t="str">
        <f>IF(D12="","",'Job Sheet'!AI20)</f>
        <v/>
      </c>
      <c r="J12" s="147" t="str">
        <f>IF(D12="","",IF(OR(VLOOKUP(CONCATENATE('Tube Cutting'!D20,'Tube Cutting'!E20),TrackManufacturing,2,FALSE)="Wavefold White",VLOOKUP(CONCATENATE('Tube Cutting'!D20,'Tube Cutting'!E20),TrackManufacturing,2,FALSE)="Wavefold Black",VLOOKUP(CONCATENATE('Tube Cutting'!D20,'Tube Cutting'!E20),TrackManufacturing,2,FALSE)="Wavefold Matt Satin"),('Job Sheet'!G20*2)/1000,""))</f>
        <v/>
      </c>
      <c r="K12" s="148" t="str">
        <f>IF(D12="","",IF(OR(VLOOKUP(CONCATENATE('Tube Cutting'!D20,'Tube Cutting'!E20),TrackManufacturing,2,FALSE)="Wavefold White",VLOOKUP(CONCATENATE('Tube Cutting'!D20,'Tube Cutting'!E20),TrackManufacturing,2,FALSE)="Wavefold Matt Satin"),J12*10,""))</f>
        <v/>
      </c>
      <c r="L12" s="148" t="str">
        <f>IF(D12="","",IF(VLOOKUP(CONCATENATE('Tube Cutting'!D20,'Tube Cutting'!E20),TrackManufacturing,2,FALSE)="Wavefold Black",J12*10,""))</f>
        <v/>
      </c>
      <c r="M12" s="149" t="str">
        <f>IF(D12="","",IF(OR(VLOOKUP(CONCATENATE('Tube Cutting'!D20,'Tube Cutting'!E20),TrackManufacturing,2,FALSE)="Wavefold White",VLOOKUP(CONCATENATE('Tube Cutting'!D20,'Tube Cutting'!E20),TrackManufacturing,2,FALSE)="System 20 White"),'Tube Cutting'!C20/1000,""))</f>
        <v/>
      </c>
      <c r="N12" s="149" t="str">
        <f>IF(D12="","",IF(VLOOKUP(CONCATENATE('Tube Cutting'!D20,'Tube Cutting'!E20),TrackManufacturing,2,FALSE)="Wavefold Black",'Tube Cutting'!C20/1000,""))</f>
        <v/>
      </c>
      <c r="O12" s="149" t="str">
        <f>IF(D12="","",IF(OR(VLOOKUP(CONCATENATE('Tube Cutting'!D20,'Tube Cutting'!E20),TrackManufacturing,2,FALSE)="Wavefold Matt Satin",VLOOKUP(CONCATENATE('Tube Cutting'!D20,'Tube Cutting'!E20),TrackManufacturing,2,FALSE)="System 20 Matt Satin"),'Tube Cutting'!C20/1000,""))</f>
        <v/>
      </c>
      <c r="P12" s="148" t="str">
        <f>IF(D12="","",IF(AND((OR('Tube Cutting'!E20="White",'Tube Cutting'!E20="Matt Satin")),(OR('Tube Cutting'!D20="Wavefold Hand Operation",'Tube Cutting'!D20="Wavefold Cord Operation"))),IF(M12="",O12*20,M12*20),""))</f>
        <v/>
      </c>
      <c r="Q12" s="148" t="str">
        <f>IF(D12="","",IF(AND('Tube Cutting'!E20="Matt Black Ink",(OR('Tube Cutting'!D20="Wavefold Hand Operation",'Tube Cutting'!D20="Wavefold Cord Operation"))),N12*20,""))</f>
        <v/>
      </c>
      <c r="R12" s="148" t="str">
        <f>IF(D12="","",IF(OR('Tube Cutting'!D20="Streamline Hand Operation",'Tube Cutting'!D20="Streamline Cord Operation"),Assembly!I20,""))</f>
        <v/>
      </c>
      <c r="S12" s="147" t="str">
        <f>IF(D12="","",IF(VLOOKUP(CONCATENATE('Tube Cutting'!D20,'Tube Cutting'!E20),TrackManufacturing,2,FALSE)="Streamline White",'Tube Cutting'!C20/1000,""))</f>
        <v/>
      </c>
      <c r="T12" s="147" t="str">
        <f>IF(D12="","",IF(VLOOKUP(CONCATENATE('Tube Cutting'!D20,'Tube Cutting'!E20),TrackManufacturing,2,FALSE)="Streamline Matt Black Ink",'Tube Cutting'!C20/1000,""))</f>
        <v/>
      </c>
      <c r="U12" s="147" t="str">
        <f>IF(D12="","",IF(VLOOKUP(CONCATENATE('Tube Cutting'!D20,'Tube Cutting'!E20),TrackManufacturing,2,FALSE)="Streamline Birch White",'Tube Cutting'!C20/1000,""))</f>
        <v/>
      </c>
      <c r="V12" s="147" t="str">
        <f>IF(D12="","",IF(VLOOKUP(CONCATENATE('Tube Cutting'!D20,'Tube Cutting'!E20),TrackManufacturing,2,FALSE)="Streamline Matt Satin",'Tube Cutting'!C20/1000,""))</f>
        <v/>
      </c>
      <c r="W12" s="147" t="str">
        <f>IF(I12="Track from TBS","",IF(Bagging!I20="White Aluminium Flick Sticks 100cm",VALUE(Bagging!J20),""))</f>
        <v/>
      </c>
      <c r="X12" s="147" t="str">
        <f>IF(I12="Track from TBS","",IF(Bagging!I20="White Aluminium Flick Sticks 125cm",VALUE(Bagging!J20),""))</f>
        <v/>
      </c>
      <c r="Y12" s="147" t="str">
        <f>IF(I12="Track from TBS","",IF(Bagging!I20="White Aluminium Flick Sticks 150cm",VALUE(Bagging!J20),""))</f>
        <v/>
      </c>
      <c r="Z12" s="147" t="str">
        <f>IF(I12="Track from TBS","",IF(Bagging!I20="Black Aluminium Flick Sticks 100cm",VALUE(Bagging!J20),""))</f>
        <v/>
      </c>
      <c r="AA12" s="147" t="str">
        <f>IF(I12="Track from TBS","",IF(Bagging!I20="Black Aluminium Flick Sticks 125cm",VALUE(Bagging!J20),""))</f>
        <v/>
      </c>
      <c r="AB12" s="147" t="str">
        <f>IF(I12="Track from TBS","",IF(Bagging!I20="Black Aluminium Flick Sticks 150cm",VALUE(Bagging!J20),""))</f>
        <v/>
      </c>
      <c r="AC12" s="147" t="str">
        <f>IF(I12="Track from TBS","",IF(Bagging!I20="Matt Satin Aluminium Flick Sticks 100cm",VALUE(Bagging!J20),""))</f>
        <v/>
      </c>
      <c r="AD12" s="147" t="str">
        <f>IF(I12="Track from TBS","",IF(Bagging!I20="Matt Satin Aluminium Flick Sticks 125cm",VALUE(Bagging!J20),""))</f>
        <v/>
      </c>
      <c r="AE12" s="147" t="str">
        <f>IF(I12="Track from TBS","",IF(Bagging!I20="Matt Satin Aluminium Flick Sticks 150cm",VALUE(Bagging!J20),""))</f>
        <v/>
      </c>
      <c r="AF12" s="147" t="str">
        <f>IF(I12="Track from TBS","",IF(Bagging!I20="Standard Clear 75cm",VALUE(Bagging!J20),""))</f>
        <v/>
      </c>
      <c r="AG12" s="147" t="str">
        <f>IF(I12="Track from TBS","",IF(Bagging!I20="Standard Clear 100cm",VALUE(Bagging!J20),""))</f>
        <v/>
      </c>
      <c r="AH12" s="147" t="str">
        <f>IF(I12="Track from TBS","",IF(Bagging!I20="Standard Clear 125cm",VALUE(Bagging!J20),""))</f>
        <v/>
      </c>
      <c r="AI12" s="147" t="str">
        <f>IF(I12="Track from TBS","",IF(Bagging!I20="Standard Clear 150cm",VALUE(Bagging!J20),""))</f>
        <v/>
      </c>
      <c r="AJ12" s="147" t="str">
        <f>IF(I12="Track from TBS","",IF(Bagging!I20="White Fibreglass 200cm",VALUE(Bagging!J20),""))</f>
        <v/>
      </c>
      <c r="AK12" s="147" t="str">
        <f>IF(I12="Track from TBS","",IF(Bagging!I20="White Fibreglass 250cm",VALUE(Bagging!J20),""))</f>
        <v/>
      </c>
      <c r="AL12" s="147" t="str">
        <f>IF(D12="","",IF(AND(VLOOKUP(CONCATENATE('Tube Cutting'!D20,'Tube Cutting'!E20),TrackManufacturing,2,FALSE)="Wavefold White",(Bagging!E20="Top Fix Brackets")),Bagging!F20,""))</f>
        <v/>
      </c>
      <c r="AM12" s="147" t="str">
        <f>IF(D12="","",IF(AND(VLOOKUP(CONCATENATE('Tube Cutting'!D20,'Tube Cutting'!E20),TrackManufacturing,2,FALSE)="Wavefold White",(Bagging!E20="Single Face Fix Brackets")),Bagging!F20,""))</f>
        <v/>
      </c>
      <c r="AN12" s="147" t="str">
        <f>IF(D12="","",IF(AND(VLOOKUP(CONCATENATE('Tube Cutting'!D20,'Tube Cutting'!E20),TrackManufacturing,2,FALSE)="Wavefold White",(Bagging!E20="Double Face Fix Brackets")),Bagging!F20,""))</f>
        <v/>
      </c>
      <c r="AO12" s="147" t="str">
        <f>IF(D12="","",IF(AND(VLOOKUP(CONCATENATE('Tube Cutting'!D20,'Tube Cutting'!E20),TrackManufacturing,2,FALSE)="Wavefold White",(Bagging!E20="Triple Face Fix Brackets")),Bagging!F20,""))</f>
        <v/>
      </c>
      <c r="AP12" s="147" t="str">
        <f>IF(D12="","",IF(AND(VLOOKUP(CONCATENATE('Tube Cutting'!D20,'Tube Cutting'!E20),TrackManufacturing,2,FALSE)="Wavefold Black",(Bagging!E20="Top Fix Brackets")),Bagging!F20,""))</f>
        <v/>
      </c>
      <c r="AQ12" s="147" t="str">
        <f>IF(D12="","",IF(AND(VLOOKUP(CONCATENATE('Tube Cutting'!D20,'Tube Cutting'!E20),TrackManufacturing,2,FALSE)="Wavefold Black",(Bagging!E20="Single Face Fix Brackets")),Bagging!F20,""))</f>
        <v/>
      </c>
      <c r="AR12" s="147" t="str">
        <f>IF(D12="","",IF(AND(VLOOKUP(CONCATENATE('Tube Cutting'!D20,'Tube Cutting'!E20),TrackManufacturing,2,FALSE)="Wavefold Black",(Bagging!E20="Double Face Fix Brackets")),Bagging!F20,""))</f>
        <v/>
      </c>
      <c r="AS12" s="147" t="str">
        <f>IF(D12="","",IF(AND(VLOOKUP(CONCATENATE('Tube Cutting'!D20,'Tube Cutting'!E20),TrackManufacturing,2,FALSE)="Wavefold Black",(Bagging!E20="Triple Face Fix Brackets")),Bagging!F20,""))</f>
        <v/>
      </c>
      <c r="AT12" s="147" t="str">
        <f>IF(D12="","",IF(AND(OR(VLOOKUP(CONCATENATE('Tube Cutting'!D20,'Tube Cutting'!E20),TrackManufacturing,2,FALSE)="Wavefold Matt Satin",VLOOKUP(CONCATENATE('Tube Cutting'!D20,'Tube Cutting'!E20),TrackManufacturing,2,FALSE)="System 20 Matt Satin"),(Bagging!E20="Top Fix Brackets")),Bagging!F20,""))</f>
        <v/>
      </c>
      <c r="AU12" s="147" t="str">
        <f>IF(D12="","",IF(AND(OR(VLOOKUP(CONCATENATE('Tube Cutting'!D20,'Tube Cutting'!E20),TrackManufacturing,2,FALSE)="Wavefold Matt Satin",VLOOKUP(CONCATENATE('Tube Cutting'!D20,'Tube Cutting'!E20),TrackManufacturing,2,FALSE)="System 20 Matt Satin"),(Bagging!E20="Single Face Fix Brackets")),Bagging!F20,""))</f>
        <v/>
      </c>
      <c r="AV12" s="147" t="str">
        <f>IF(D12="","",IF(AND(OR(VLOOKUP(CONCATENATE('Tube Cutting'!D20,'Tube Cutting'!E20),TrackManufacturing,2,FALSE)="Wavefold Matt Satin",VLOOKUP(CONCATENATE('Tube Cutting'!D20,'Tube Cutting'!E20),TrackManufacturing,2,FALSE)="System 20 Matt Satin"),(Bagging!E20="Double Face Fix Brackets")),Bagging!F20,""))</f>
        <v/>
      </c>
      <c r="AW12" s="147" t="str">
        <f>IF(D12="","",IF(AND(OR(VLOOKUP(CONCATENATE('Tube Cutting'!D20,'Tube Cutting'!E20),TrackManufacturing,2,FALSE)="Wavefold Matt Satin",VLOOKUP(CONCATENATE('Tube Cutting'!D20,'Tube Cutting'!E20),TrackManufacturing,2,FALSE)="System 20 Matt Satin"),(Bagging!E20="Triple Face Fix Brackets")),Bagging!F20,""))</f>
        <v/>
      </c>
      <c r="AX12" s="147" t="str">
        <f>IF(D12="","",IF(AND(VLOOKUP(CONCATENATE('Tube Cutting'!D20,'Tube Cutting'!E20),TrackManufacturing,2,FALSE)="Streamline White",(Bagging!E20="Nylon Top Fix Brackets")),VLOOKUP('Job Sheet'!G20,Brackets,2,TRUE),""))</f>
        <v/>
      </c>
      <c r="AY12" s="147" t="str">
        <f>IF(D12="","",IF(AND(VLOOKUP(CONCATENATE('Tube Cutting'!D20,'Tube Cutting'!E20),TrackManufacturing,2,FALSE)="Streamline White",(Bagging!E20="Metal Fix Brackets")),VLOOKUP('Job Sheet'!G20,Brackets,2,TRUE),""))</f>
        <v/>
      </c>
      <c r="AZ12" s="147" t="str">
        <f>IF(D12="","",IF(AND(VLOOKUP(CONCATENATE('Tube Cutting'!D20,'Tube Cutting'!E20),TrackManufacturing,2,FALSE)="Streamline White",(Bagging!E20="Single Face Fix Brackets")),Bagging!F20,""))</f>
        <v/>
      </c>
      <c r="BA12" s="147" t="str">
        <f>IF(D12="","",IF(AND(VLOOKUP(CONCATENATE('Tube Cutting'!D20,'Tube Cutting'!E20),TrackManufacturing,2,FALSE)="Streamline White",(Bagging!E20="Double Face Fix Brackets")),Bagging!F20,""))</f>
        <v/>
      </c>
      <c r="BB12" s="147" t="str">
        <f>IF(D12="","",IF(AND(VLOOKUP(CONCATENATE('Tube Cutting'!D20,'Tube Cutting'!E20),TrackManufacturing,2,FALSE)="Streamline White",(Bagging!E20="Triple Face Fix Brackets")),Bagging!F20,""))</f>
        <v/>
      </c>
      <c r="BC12" s="147" t="str">
        <f>IF(D12="","",IF(AND(VLOOKUP(CONCATENATE('Tube Cutting'!D20,'Tube Cutting'!E20),TrackManufacturing,2,FALSE)="Streamline White",(Bagging!E20="32mm Face Fix Brackets")),Bagging!F20,""))</f>
        <v/>
      </c>
      <c r="BD12" s="147" t="str">
        <f>IF(J12="","",IF(AND(VLOOKUP(CONCATENATE('Tube Cutting'!D20,'Tube Cutting'!E20),TrackManufacturing,2,FALSE)="Streamline Matt Black Ink",(Bagging!M20="Nylon Top Fix Brackets")),VLOOKUP('Job Sheet'!L20,Brackets,2,TRUE),""))</f>
        <v/>
      </c>
      <c r="BE12" s="147" t="str">
        <f>IF(D12="","",IF(AND(VLOOKUP(CONCATENATE('Tube Cutting'!D20,'Tube Cutting'!E20),TrackManufacturing,2,FALSE)="Streamline Matt Black Ink",(Bagging!E20="Top Fix Brackets")),Bagging!F20,""))</f>
        <v/>
      </c>
      <c r="BF12" s="147" t="str">
        <f>IF(D12="","",IF(AND(VLOOKUP(CONCATENATE('Tube Cutting'!D20,'Tube Cutting'!E20),TrackManufacturing,2,FALSE)="Streamline Matt Black Ink",(Bagging!E20="Single Face Fix Brackets")),Bagging!F20,""))</f>
        <v/>
      </c>
      <c r="BG12" s="147" t="str">
        <f>IF(D12="","",IF(AND(VLOOKUP(CONCATENATE('Tube Cutting'!D20,'Tube Cutting'!E20),TrackManufacturing,2,FALSE)="Streamline Matt Black Ink",(Bagging!E20="Double Face Fix Brackets")),Bagging!F20,""))</f>
        <v/>
      </c>
      <c r="BH12" s="147" t="str">
        <f>IF(D12="","",IF(AND(VLOOKUP(CONCATENATE('Tube Cutting'!D20,'Tube Cutting'!E20),TrackManufacturing,2,FALSE)="Streamline Matt Black Ink",(Bagging!E20="Triple Face Fix Brackets")),Bagging!F20,""))</f>
        <v/>
      </c>
      <c r="BI12" s="147" t="str">
        <f>IF(D12="","",IF(AND(VLOOKUP(CONCATENATE('Tube Cutting'!D20,'Tube Cutting'!E20),TrackManufacturing,2,FALSE)="Streamline Matt Black Ink",(Bagging!E20="32mm Face Fix Brackets")),Bagging!F20,""))</f>
        <v/>
      </c>
      <c r="BJ12" s="147" t="str">
        <f>IF(D12="","",IF(AND(VLOOKUP(CONCATENATE('Tube Cutting'!D20,'Tube Cutting'!E20),TrackManufacturing,2,FALSE)="Streamline Birch White",(Bagging!P20="Nylon Top Fix Brackets")),VLOOKUP('Job Sheet'!Q20,Brackets,2,TRUE),""))</f>
        <v/>
      </c>
      <c r="BK12" s="147" t="str">
        <f>IF(D12="","",IF(AND(VLOOKUP(CONCATENATE('Tube Cutting'!D20,'Tube Cutting'!E20),TrackManufacturing,2,FALSE)="Streamline Birch White",(Bagging!E20="Top Fix Brackets")),Bagging!F20,""))</f>
        <v/>
      </c>
      <c r="BL12" s="147" t="str">
        <f>IF(D12="","",IF(AND(VLOOKUP(CONCATENATE('Tube Cutting'!D20,'Tube Cutting'!E20),TrackManufacturing,2,FALSE)="Streamline Birch White",(Bagging!E20="Single Face Fix Brackets")),Bagging!F20,""))</f>
        <v/>
      </c>
      <c r="BM12" s="147" t="str">
        <f>IF(D12="","",IF(AND(VLOOKUP(CONCATENATE('Tube Cutting'!D20,'Tube Cutting'!E20),TrackManufacturing,2,FALSE)="Streamline Birch White",(Bagging!E20="Double Face Fix Brackets")),Bagging!F20,""))</f>
        <v/>
      </c>
      <c r="BN12" s="147" t="str">
        <f>IF(D12="","",IF(AND(VLOOKUP(CONCATENATE('Tube Cutting'!D20,'Tube Cutting'!E20),TrackManufacturing,2,FALSE)="Streamline Birch White",(Bagging!E20="Triple Face Fix Brackets")),Bagging!F20,""))</f>
        <v/>
      </c>
      <c r="BO12" s="147" t="str">
        <f>IF(D12="","",IF(AND(VLOOKUP(CONCATENATE('Tube Cutting'!D20,'Tube Cutting'!E20),TrackManufacturing,2,FALSE)="Streamline Birch White",(Bagging!E20="32mm Face Fix Brackets")),Bagging!F20,""))</f>
        <v/>
      </c>
      <c r="BP12" s="147" t="str">
        <f>IF(D12="","",IF(AND(VLOOKUP(CONCATENATE('Tube Cutting'!D20,'Tube Cutting'!E20),TrackManufacturing,2,FALSE)="Streamline Matt Satin",(Bagging!E20="Top Fix Brackets")),Bagging!F20,""))</f>
        <v/>
      </c>
      <c r="BQ12" s="147" t="str">
        <f>IF(K12="","",IF(AND(VLOOKUP(CONCATENATE('Tube Cutting'!J20,'Tube Cutting'!K20),TrackManufacturing,2,FALSE)="Streamline Matt Satin",(Bagging!K20="Top Fix Brackets")),Bagging!L20,""))</f>
        <v/>
      </c>
      <c r="BR12" s="147" t="str">
        <f>IF(K12="","",IF(AND(VLOOKUP(CONCATENATE('Tube Cutting'!J20,'Tube Cutting'!K20),TrackManufacturing,2,FALSE)="Streamline Matt Satin",(Bagging!K20="Single Face Fix Brackets")),Bagging!L20,""))</f>
        <v/>
      </c>
      <c r="BS12" s="147" t="str">
        <f>IF(D12="","",IF(AND(VLOOKUP(CONCATENATE('Tube Cutting'!D20,'Tube Cutting'!E20),TrackManufacturing,2,FALSE)="Streamline Matt Satin",(Bagging!E20="Double Face Fix Brackets")),Bagging!F20,""))</f>
        <v/>
      </c>
      <c r="BT12" s="147" t="str">
        <f>IF(D12="","",IF(AND(VLOOKUP(CONCATENATE('Tube Cutting'!D20,'Tube Cutting'!E20),TrackManufacturing,2,FALSE)="Streamline Matt Satin",(Bagging!E20="Triple Face Fix Brackets")),Bagging!F20,""))</f>
        <v/>
      </c>
      <c r="BU12" s="147" t="str">
        <f>IF(D12="","",IF(AND(VLOOKUP(CONCATENATE('Tube Cutting'!D20,'Tube Cutting'!E20),TrackManufacturing,2,FALSE)="Streamline Matt Satin",(Bagging!E20="32mm Face Fix Brackets")),Bagging!F20,""))</f>
        <v/>
      </c>
      <c r="BV12" s="147" t="str">
        <f t="shared" si="0"/>
        <v/>
      </c>
      <c r="BW12" s="147" t="str">
        <f>IF(D12="","",IF(AND(VLOOKUP(CONCATENATE('Tube Cutting'!D20,'Tube Cutting'!E20),TrackManufacturing,2,FALSE)="White",Bagging!E20="Single Face Fix Brackets"),Bagging!F20,""))</f>
        <v/>
      </c>
      <c r="BX12" s="147" t="str">
        <f>IF(AND('Tube Cutting'!E20="White",Bagging!E20="Double Face Fix Brackets"),Bagging!F20,"")</f>
        <v/>
      </c>
      <c r="BY12" s="147" t="str">
        <f>IF(AND('Tube Cutting'!E20="White",Bagging!E20="Triple Face Fix Brackets"),Bagging!F20,"")</f>
        <v/>
      </c>
      <c r="BZ12" s="147" t="str">
        <f t="shared" si="1"/>
        <v/>
      </c>
      <c r="CA12" s="147" t="str">
        <f>IF(AND('Tube Cutting'!E20="Matt Black Ink",Bagging!E20="Single Face Fix Brackets"),Bagging!F20,"")</f>
        <v/>
      </c>
      <c r="CB12" s="147" t="str">
        <f>IF(AND('Tube Cutting'!E20="Matt Black Ink",Bagging!E20="Double Face Fix Brackets"),Bagging!F20,"")</f>
        <v/>
      </c>
      <c r="CC12" s="147" t="str">
        <f>IF(AND('Tube Cutting'!E20="Matt Black Ink",Bagging!E20="Triple Fix Brackets"),Bagging!F20,"")</f>
        <v/>
      </c>
      <c r="CD12" s="147" t="str">
        <f>IF(AND('Tube Cutting'!E20="Matt Satin",Bagging!E20="Top Fix Brackets"),Bagging!F20,"")</f>
        <v/>
      </c>
      <c r="CE12" s="147" t="str">
        <f>IF(AND('Tube Cutting'!E20="Matt Satin",Bagging!E20="Single Face Fix Brackets"),Bagging!F20,"")</f>
        <v/>
      </c>
      <c r="CF12" s="147" t="str">
        <f>IF(AND('Tube Cutting'!E20="Matt Satin",Bagging!E20="Double Face Fix Brackets"),Bagging!F20,"")</f>
        <v/>
      </c>
      <c r="CG12" s="147" t="str">
        <f>IF(AND('Tube Cutting'!E20="Matt Satin",Bagging!E20="Triple Fix Brackets"),Bagging!F20,"")</f>
        <v/>
      </c>
      <c r="CH12" s="147" t="str">
        <f>IF(D12="","",IF(AND('Tube Cutting'!E20="White",(OR(Bagging!L20="Single Left",Bagging!L20="Single Left &amp; Right"))),"1",""))</f>
        <v/>
      </c>
      <c r="CI12" s="147" t="str">
        <f>IF(D12="","",IF(AND('Tube Cutting'!E20="Matt Black Ink",(OR(Bagging!L20="Single Left",Bagging!L20="Single Left &amp; Right"))),"1",""))</f>
        <v/>
      </c>
      <c r="CJ12" s="147" t="str">
        <f>IF(D12="","",IF(AND('Tube Cutting'!E20="Matt Satin",(OR(Bagging!L20="Single Left",Bagging!L20="Single Left &amp; Right"))),"1",""))</f>
        <v/>
      </c>
      <c r="CK12" s="147" t="str">
        <f>IF(D12="","",IF(AND('Tube Cutting'!E20="White",(OR(Bagging!L20="Single Right",Bagging!L20="Single Left &amp; Right"))),"1",""))</f>
        <v/>
      </c>
      <c r="CL12" s="147" t="str">
        <f>IF(D12="","",IF(AND('Tube Cutting'!E20="Matt Black Ink",(OR(Bagging!L20="Single Right",Bagging!L20="Single Left &amp; Right"))),"1",""))</f>
        <v/>
      </c>
      <c r="CM12" s="147" t="str">
        <f>IF(D12="","",IF(AND('Tube Cutting'!E20="Matt Satin",(OR(Bagging!L20="Single Right",Bagging!L20="Single Left &amp; Right"))),"1",""))</f>
        <v/>
      </c>
      <c r="CN12" s="147" t="str">
        <f>IF(D12="","",IF(AND('Tube Cutting'!E20="White",(OR(Bagging!L20="Double Left",Bagging!L20="Double Left &amp; Right"))),"1",""))</f>
        <v/>
      </c>
      <c r="CO12" s="147" t="str">
        <f>IF(D12="","",IF(AND('Tube Cutting'!E20="Matt Black Ink",(OR(Bagging!L20="Double Left",Bagging!L20="Double Left &amp; Right"))),"1",""))</f>
        <v/>
      </c>
      <c r="CP12" s="147" t="str">
        <f>IF(D12="","",IF(AND('Tube Cutting'!E20="Matt Satin",(OR(Bagging!L20="Double Left",Bagging!L20="Double Left &amp; Right"))),"1",""))</f>
        <v/>
      </c>
      <c r="CQ12" s="147" t="str">
        <f>IF(D12="","",IF(AND('Tube Cutting'!E20="White",(OR(Bagging!L20="Double Right",Bagging!L20="Double Left &amp; Right"))),"1",""))</f>
        <v/>
      </c>
      <c r="CR12" s="147" t="str">
        <f>IF(D12="","",IF(AND('Tube Cutting'!E20="Matt Black Ink",(OR(Bagging!L20="Double Right",Bagging!L20="Double Left &amp; Right"))),"1",""))</f>
        <v/>
      </c>
      <c r="CS12" s="147" t="str">
        <f>IF(D12="","",IF(AND('Tube Cutting'!E20="Matt Satin",(OR(Bagging!L20="Double Right",Bagging!L20="Double Left &amp; Right"))),"1",""))</f>
        <v/>
      </c>
      <c r="CT12" s="147" t="str">
        <f>IF(D12="","",IF(VLOOKUP(CONCATENATE('Tube Cutting'!D20,'Tube Cutting'!E20),TrackManufacturing,2,FALSE)="Streamline White",1,""))</f>
        <v/>
      </c>
      <c r="CU12" s="147" t="str">
        <f>IF(D12="","",IF(VLOOKUP(CONCATENATE('Tube Cutting'!D20,'Tube Cutting'!E20),TrackManufacturing,2,FALSE)="Streamline Matt Black Ink",1,""))</f>
        <v/>
      </c>
      <c r="CV12" s="147" t="str">
        <f>IF(D12="","",IF(VLOOKUP(CONCATENATE('Tube Cutting'!D20,'Tube Cutting'!E20),TrackManufacturing,2,FALSE)="Streamline Birch White",1,""))</f>
        <v/>
      </c>
      <c r="CW12" s="147" t="str">
        <f>IF(D12="","",IF(VLOOKUP(CONCATENATE('Tube Cutting'!D20,'Tube Cutting'!E20),TrackManufacturing,2,FALSE)="Streamline Matt Satin",1,""))</f>
        <v/>
      </c>
      <c r="CX12" s="147" t="str">
        <f>IF(D12="","",IF(AND(VLOOKUP(CONCATENATE('Tube Cutting'!D20,'Tube Cutting'!E20),TrackManufacturing,2,FALSE)="Streamline White",(OR(Assembly!F20="Centre Opening",Assembly!F20="Centre Opening - Free Flowing",Assembly!F20="Centre Opening (Offset)",Assembly!F20="Centre Opening - Free Flowing (Offset)"))),1,""))</f>
        <v/>
      </c>
      <c r="CY12" s="147" t="str">
        <f>IF(D12="","",IF(AND(VLOOKUP(CONCATENATE('Tube Cutting'!D20,'Tube Cutting'!E20),TrackManufacturing,2,FALSE)="Streamline Matt Black Ink",(OR(Assembly!F20="Centre Opening",Assembly!F20="Centre Opening - Free Flowing",Assembly!F20="Centre Opening (Offset)",Assembly!F20="Centre Opening - Free Flowing (Offset)"))),1,""))</f>
        <v/>
      </c>
      <c r="CZ12" s="147" t="str">
        <f>IF(D12="","",IF(AND(VLOOKUP(CONCATENATE('Tube Cutting'!D20,'Tube Cutting'!E20),TrackManufacturing,2,FALSE)="Streamline Birch White",(OR(Assembly!F20="Centre Opening",Assembly!F20="Centre Opening - Free Flowing",Assembly!F20="Centre Opening (Offset)",Assembly!F20="Centre Opening - Free Flowing (Offset)"))),1,""))</f>
        <v/>
      </c>
      <c r="DA12" s="147" t="str">
        <f>IF(D12="","",IF(AND(VLOOKUP(CONCATENATE('Tube Cutting'!D20,'Tube Cutting'!E20),TrackManufacturing,2,FALSE)="Streamline Matt Satin",(OR(Assembly!F20="Centre Opening",Assembly!F20="Centre Opening - Free Flowing",Assembly!F20="Centre Opening (Offset)",Assembly!F20="Centre Opening - Free Flowing (Offset)"))),1,""))</f>
        <v/>
      </c>
      <c r="DB12" s="147" t="str">
        <f>IF(OR('Job Sheet'!H20="Conduit",'Job Sheet'!H20="Conduit x 2",I12&lt;&gt;"DBS to Make"),"",IF(VLOOKUP(CONCATENATE(Assembly!C20,Assembly!F20),PulleysEndCaps,2,FALSE)="","",IF('Tube Cutting'!E20="White",VLOOKUP(CONCATENATE(Assembly!C20,Assembly!F20),PulleysEndCaps,2,FALSE),"")))</f>
        <v/>
      </c>
      <c r="DC12" s="147" t="str">
        <f>IF(OR('Job Sheet'!H20="Conduit",'Job Sheet'!H20="Conduit x 2",I12&lt;&gt;"DBS to Make"),"",IF(VLOOKUP(CONCATENATE(Assembly!C20,Assembly!F20),PulleysEndCaps,2,FALSE)="","",IF('Tube Cutting'!E20="Matt Black Ink",VLOOKUP(CONCATENATE(Assembly!C20,Assembly!F20),PulleysEndCaps,2,FALSE),"")))</f>
        <v/>
      </c>
      <c r="DD12" s="147" t="str">
        <f>IF(OR('Job Sheet'!H20="Conduit",'Job Sheet'!H20="Conduit x 2",I12&lt;&gt;"DBS to Make"),"",IF(VLOOKUP(CONCATENATE(Assembly!C20,Assembly!F20),PulleysEndCaps,2,FALSE)="","",IF('Tube Cutting'!E20="Matt Satin",VLOOKUP(CONCATENATE(Assembly!C20,Assembly!F20),PulleysEndCaps,2,FALSE),"")))</f>
        <v/>
      </c>
      <c r="DE12" s="147" t="str">
        <f>IF(OR('Job Sheet'!H20="Conduit",'Job Sheet'!H20="Conduit x 2",I12&lt;&gt;"DBS to Make"),"",IF(VLOOKUP(CONCATENATE(Assembly!C20,Assembly!F20),PulleysEndCaps,3,FALSE)="","",IF('Tube Cutting'!E20="White",VLOOKUP(CONCATENATE(Assembly!C20,Assembly!F20),PulleysEndCaps,3,FALSE),"")))</f>
        <v/>
      </c>
      <c r="DF12" s="147" t="str">
        <f>IF(OR('Job Sheet'!H20="Conduit",'Job Sheet'!H20="Conduit x 2",I12&lt;&gt;"DBS to Make"),"",IF(VLOOKUP(CONCATENATE(Assembly!C20,Assembly!F20),PulleysEndCaps,3,FALSE)="","",IF('Tube Cutting'!E20="Matt Black Ink",VLOOKUP(CONCATENATE(Assembly!C20,Assembly!F20),PulleysEndCaps,3,FALSE),"")))</f>
        <v/>
      </c>
      <c r="DG12" s="147" t="str">
        <f>IF(OR('Job Sheet'!H20="Conduit",'Job Sheet'!H20="Conduit x 2",I12&lt;&gt;"DBS to Make"),"",IF(VLOOKUP(CONCATENATE(Assembly!C20,Assembly!F20),PulleysEndCaps,3,FALSE)="","",IF('Tube Cutting'!E20="Matt Satin",VLOOKUP(CONCATENATE(Assembly!C20,Assembly!F20),PulleysEndCaps,3,FALSE),"")))</f>
        <v/>
      </c>
      <c r="DH12" s="147" t="str">
        <f>IF(OR('Job Sheet'!H20="Conduit",'Job Sheet'!H20="Conduit x 2",I12&lt;&gt;"DBS to Make"),"",IF(VLOOKUP(CONCATENATE(Assembly!C20,Assembly!F20),PulleysEndCaps,6,FALSE)="","",IF('Tube Cutting'!E20="White",VLOOKUP(CONCATENATE(Assembly!C20,Assembly!F20),PulleysEndCaps,6,FALSE),"")))</f>
        <v/>
      </c>
      <c r="DI12" s="147" t="str">
        <f>IF(OR('Job Sheet'!H20="Conduit",'Job Sheet'!H20="Conduit x 2",I12&lt;&gt;"DBS to Make"),"",IF(VLOOKUP(CONCATENATE(Assembly!C20,Assembly!F20),PulleysEndCaps,6,FALSE)="","",IF('Tube Cutting'!E20="Matt Black Ink",VLOOKUP(CONCATENATE(Assembly!C20,Assembly!F20),PulleysEndCaps,6,FALSE),"")))</f>
        <v/>
      </c>
      <c r="DJ12" s="147" t="str">
        <f>IF(OR('Job Sheet'!H20="Conduit",'Job Sheet'!H20="Conduit x 2",I12&lt;&gt;"DBS to Make"),"",IF(VLOOKUP(CONCATENATE(Assembly!C20,Assembly!F20),PulleysEndCaps,6,FALSE)="","",IF('Tube Cutting'!E20="Birch White",VLOOKUP(CONCATENATE(Assembly!C20,Assembly!F20),PulleysEndCaps,6,FALSE),"")))</f>
        <v/>
      </c>
      <c r="DK12" s="147" t="str">
        <f>IF(OR('Job Sheet'!H20="Conduit",'Job Sheet'!H20="Conduit x 2",I12&lt;&gt;"DBS to Make"),"",IF(VLOOKUP(CONCATENATE(Assembly!C20,Assembly!F20),PulleysEndCaps,6,FALSE)="","",IF('Tube Cutting'!E20="Matt Satin",VLOOKUP(CONCATENATE(Assembly!C20,Assembly!F20),PulleysEndCaps,6,FALSE),"")))</f>
        <v/>
      </c>
      <c r="DL12" s="147" t="str">
        <f>IF(OR('Job Sheet'!H20="Conduit",'Job Sheet'!H20="Conduit x 2",I12&lt;&gt;"DBS to Make"),"",IF(VLOOKUP(CONCATENATE(Assembly!C20,Assembly!F20),PulleysEndCaps,4,FALSE)="","",VLOOKUP(CONCATENATE(Assembly!C20,Assembly!F20),PulleysEndCaps,4,FALSE)))</f>
        <v/>
      </c>
      <c r="DM12" s="147" t="str">
        <f>IF(OR('Job Sheet'!H20="Conduit",'Job Sheet'!H20="Conduit x 2",I12&lt;&gt;"DBS to Make"),"",IF(VLOOKUP(CONCATENATE(Assembly!C20,Assembly!F20),PulleysEndCaps,7,FALSE)="","",VLOOKUP(CONCATENATE(Assembly!C20,Assembly!F20),PulleysEndCaps,7,FALSE)))</f>
        <v/>
      </c>
      <c r="DN12" s="147" t="str">
        <f>IF(D12="","",IF(AND(OR(VLOOKUP(CONCATENATE('Tube Cutting'!D20,'Tube Cutting'!E20),TrackManufacturing,2,FALSE)="Wavefold White",VLOOKUP(CONCATENATE('Tube Cutting'!D20,'Tube Cutting'!E20),TrackManufacturing,2,FALSE)="Wavefold Black",VLOOKUP(CONCATENATE('Tube Cutting'!D20,'Tube Cutting'!E20),TrackManufacturing,2,FALSE)="Wavefold Matt Satin",VLOOKUP(CONCATENATE('Tube Cutting'!D20,'Tube Cutting'!E20),TrackManufacturing,2,FALSE)="System 20 White",VLOOKUP(CONCATENATE('Tube Cutting'!D20,'Tube Cutting'!E20),TrackManufacturing,2,FALSE)="System 20 Black",VLOOKUP(CONCATENATE('Tube Cutting'!D20,'Tube Cutting'!E20),TrackManufacturing,2,FALSE)="System 20 Matt Satin"),'Tube Cutting'!C20&gt;6000),1,""))</f>
        <v/>
      </c>
      <c r="DO12" s="147" t="str">
        <f>IF(D12="","",IF(AND(OR(VLOOKUP(CONCATENATE('Tube Cutting'!D20,'Tube Cutting'!E20),TrackManufacturing,2,FALSE)="Streamline White",VLOOKUP(CONCATENATE('Tube Cutting'!D20,'Tube Cutting'!E20),TrackManufacturing,2,FALSE)="Streamline Black",VLOOKUP(CONCATENATE('Tube Cutting'!D20,'Tube Cutting'!E20),TrackManufacturing,2,FALSE)="Streamline Birch White",VLOOKUP(CONCATENATE('Tube Cutting'!D20,'Tube Cutting'!E20),TrackManufacturing,2,FALSE)="Streamline Matt Satin"),'Tube Cutting'!C20&gt;6000),1,""))</f>
        <v/>
      </c>
      <c r="DP12" s="147" t="str">
        <f>IF(OR('Job Sheet'!H20="Conduit",'Job Sheet'!H20="Conduit x 2",I12&lt;&gt;"DBS to Make"),"",IF(VLOOKUP(CONCATENATE(Assembly!C20,Assembly!F20),PulleysEndCaps,5,FALSE)="","",IF('Tube Cutting'!E20="White",VLOOKUP(CONCATENATE(Assembly!C20,Assembly!F20),PulleysEndCaps,5,FALSE),"")))</f>
        <v/>
      </c>
      <c r="DQ12" s="147" t="str">
        <f>IF(OR('Job Sheet'!H20="Conduit",'Job Sheet'!H20="Conduit x 2",I12&lt;&gt;"DBS to Make"),"",IF(VLOOKUP(CONCATENATE(Assembly!C20,Assembly!F20),PulleysEndCaps,5,FALSE)="","",IF('Tube Cutting'!E20="Matt Black Ink",VLOOKUP(CONCATENATE(Assembly!C20,Assembly!F20),PulleysEndCaps,5,FALSE),"")))</f>
        <v/>
      </c>
      <c r="DR12" s="147" t="str">
        <f>IF(OR('Job Sheet'!H20="Conduit",'Job Sheet'!H20="Conduit x 2",I12&lt;&gt;"DBS to Make"),"",IF(VLOOKUP(CONCATENATE(Assembly!C20,Assembly!F20),PulleysEndCaps,5,FALSE)="","",IF('Tube Cutting'!E20="Matt Satin",VLOOKUP(CONCATENATE(Assembly!C20,Assembly!F20),PulleysEndCaps,5,FALSE),"")))</f>
        <v/>
      </c>
      <c r="DS12" s="147" t="str">
        <f>IF(OR('Job Sheet'!H20="Conduit",'Job Sheet'!H20="Conduit x 2",I12&lt;&gt;"DBS to Make"),"",IF(VLOOKUP(CONCATENATE(Assembly!C20,Assembly!F20),PulleysEndCaps,5,FALSE)="","",IF('Tube Cutting'!E20="Matt Satin",VLOOKUP(CONCATENATE(Assembly!C20,Assembly!F20),PulleysEndCaps,5,FALSE),"")))</f>
        <v/>
      </c>
      <c r="DT12" s="147" t="str">
        <f>IF(OR('Job Sheet'!H20="Conduit",'Job Sheet'!H20="Conduit x 2",I12&lt;&gt;"DBS to Make"),"",IF(VLOOKUP(CONCATENATE(Assembly!C20,Assembly!F20),PulleysEndCaps,8,FALSE)="","",IF('Tube Cutting'!E20="Matt Black Ink",VLOOKUP(CONCATENATE(Assembly!C20,Assembly!F20),PulleysEndCaps,8,FALSE),"")))</f>
        <v/>
      </c>
      <c r="DU12" s="147" t="str">
        <f>IF(OR('Job Sheet'!H20="Conduit",'Job Sheet'!H20="Conduit x 2",I12&lt;&gt;"DBS to Make"),"",IF(VLOOKUP(CONCATENATE(Assembly!C20,Assembly!F20),PulleysEndCaps,8,FALSE)="","",IF('Tube Cutting'!E20="Birch White",VLOOKUP(CONCATENATE(Assembly!C20,Assembly!F20),PulleysEndCaps,8,FALSE),"")))</f>
        <v/>
      </c>
      <c r="DV12" s="147" t="str">
        <f>IF(OR('Job Sheet'!H20="Conduit",'Job Sheet'!H20="Conduit x 2",I12&lt;&gt;"DBS to Make"),"",IF(VLOOKUP(CONCATENATE(Assembly!C20,Assembly!F20),PulleysEndCaps,8,FALSE)="","",IF('Tube Cutting'!E20="Matt Satin",VLOOKUP(CONCATENATE(Assembly!C20,Assembly!F20),PulleysEndCaps,8,FALSE),"")))</f>
        <v/>
      </c>
      <c r="DW12" s="147" t="str">
        <f>IF(D12="","",IF(AND(AND(Assembly!C20="Wavefold Cord Operation",'Tube Cutting'!E20="White",'Tube Cutting'!E20),(OR(Assembly!F20="Centre Opening",Assembly!F20="Centre Opening - Free Flowing",Assembly!F20="Centre Opening (Offset)",Assembly!F20="Centre Opening - Free Flowing (Offset)"))),2,IF(AND(AND(Assembly!C20="Wavefold Cord Operation",'Tube Cutting'!E20="White",'Tube Cutting'!E20),(OR(Assembly!F20="Single Panel - Left Stacking",Assembly!F20="Single Panel - Right Stacking",Assembly!F20="Single Panel - Free Flowing"))),1,"")))</f>
        <v/>
      </c>
      <c r="DX12" s="147" t="str">
        <f>IF(D12="","",IF(AND(AND(Assembly!C20="Wavefold Cord Operation",'Tube Cutting'!E20="Matt Black Ink",'Tube Cutting'!E20),(OR(Assembly!F20="Centre Opening",Assembly!F20="Centre Opening - Free Flowing",Assembly!F20="Centre Opening (Offset)",Assembly!F20="Centre Opening - Free Flowing (Offset)"))),2,IF(AND(AND(Assembly!C20="Wavefold Cord Operation",'Tube Cutting'!E20="Matt Black Ink",'Tube Cutting'!E20),(OR(Assembly!F20="Single Panel - Left Stacking",Assembly!F20="Single Panel - Right Stacking",Assembly!F20="Single Panel - Free Flowing"))),1,"")))</f>
        <v/>
      </c>
      <c r="DY12" s="147" t="str">
        <f>IF(D12="","",IF(AND(Assembly!C20="Wavefold Hand Operation",'Tube Cutting'!E20="White"),Bagging!J20,""))</f>
        <v/>
      </c>
      <c r="DZ12" s="147" t="str">
        <f>IF(D12="","",IF(AND(Assembly!C20="Wavefold Hand Operation",(OR('Tube Cutting'!E20="White",'Tube Cutting'!E20="White"))),Bagging!J20,""))</f>
        <v/>
      </c>
      <c r="EA12" s="147" t="str">
        <f>IF(OR(D12="",'Job Sheet'!U20="Straight"),"",VLOOKUP(CONCATENATE('Job Sheet'!U20,'Job Sheet'!L20),CornerBlocks,2,FALSE))</f>
        <v/>
      </c>
      <c r="EB12" s="147" t="str">
        <f>IF(D12="","",IF(OR('Tube Cutting'!D20="Streamline Cord Operation",'Tube Cutting'!D20="Wavefold Cord Operation"),1,""))</f>
        <v/>
      </c>
      <c r="EC12" s="147" t="str">
        <f>IF(D12="","",IF(VLOOKUP(CONCATENATE('Tube Cutting'!D20,'Tube Cutting'!E20),TrackManufacturing,2,FALSE)="System 20 White",1,""))</f>
        <v/>
      </c>
      <c r="ED12" s="147" t="str">
        <f>IF(D12="","",IF(VLOOKUP(CONCATENATE('Tube Cutting'!D20,'Tube Cutting'!E20),TrackManufacturing,2,FALSE)="System 20 Black",1,""))</f>
        <v/>
      </c>
      <c r="EE12" s="147" t="str">
        <f>IF(D12="","",IF(AND(VLOOKUP(CONCATENATE('Tube Cutting'!D20,'Tube Cutting'!E20),TrackManufacturing,2,FALSE)="System 20 White",(OR(Assembly!F20="Centre Opening",Assembly!F20="Centre Opening - Free Flowing",Assembly!F20="Centre Opening (Offset)",Assembly!F20="Centre Opening - Free Flowing (Offset)"))),1,""))</f>
        <v/>
      </c>
      <c r="EF12" s="147" t="str">
        <f>IF(D12="","",IF(AND(VLOOKUP(CONCATENATE('Tube Cutting'!D20,'Tube Cutting'!E20),TrackManufacturing,2,FALSE)="System 20 Black",(OR(Assembly!F20="Centre Opening",Assembly!F20="Centre Opening - Free Flowing",Assembly!F20="Centre Opening (Offset)",Assembly!F20="Centre Opening - Free Flowing (Offset)"))),1,""))</f>
        <v/>
      </c>
      <c r="EG12" s="148" t="str">
        <f>IF(D12="","",IF(OR(VLOOKUP(CONCATENATE('Tube Cutting'!D20,'Tube Cutting'!E20),TrackManufacturing,2,FALSE)="System 20 White",VLOOKUP(CONCATENATE('Tube Cutting'!D20,'Tube Cutting'!E20),TrackManufacturing,2,FALSE)="System 20 Black",VLOOKUP(CONCATENATE('Tube Cutting'!D20,'Tube Cutting'!E20),TrackManufacturing,2,FALSE)="System 20 Matt Black Ink"),Assembly!I20,IF('Tube Cutting'!D20="SEM Streamline Hand Operation",9,"")))</f>
        <v/>
      </c>
      <c r="EH12" s="147" t="str">
        <f>IF('Tube Cutting'!D20="Conduit",'Tube Cutting'!C20,"")</f>
        <v/>
      </c>
      <c r="EI12" s="147" t="str">
        <f>IF(Bagging!E20="Muslin Brackets",2,IF(Bagging!E20="Muslin Brackets Top and Bottom",4,""))</f>
        <v/>
      </c>
      <c r="EJ12" s="147" t="str">
        <f>IF(Bagging!E20="100mm Unstayed Brackets with Acorns",2,"")</f>
        <v/>
      </c>
      <c r="EK12" s="147" t="str">
        <f>IF(Bagging!E20="25mm Brackets with Acorns",2,"")</f>
        <v/>
      </c>
      <c r="EL12" s="147" t="str">
        <f>IF(OR(Bagging!E20="25mm Brackets with Acorns",Bagging!E20="100mm Unstayed Brackets with Acorns"),2,"")</f>
        <v/>
      </c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147"/>
      <c r="FG12" s="147"/>
      <c r="FH12" s="147"/>
      <c r="FI12" s="147"/>
      <c r="FJ12" s="147"/>
    </row>
    <row r="13" spans="12:15" ht="13.2">
      <c r="L13" s="126"/>
      <c r="N13" s="127"/>
      <c r="O13" s="127"/>
    </row>
    <row r="14" spans="12:15" ht="13.2">
      <c r="L14" s="126"/>
      <c r="N14" s="127"/>
      <c r="O14" s="127"/>
    </row>
  </sheetData>
  <pageMargins left="0.87716535433072" right="0.87716535433072" top="0.75" bottom="0.75" header="0.3" footer="0.3"/>
  <pageSetup horizontalDpi="300" verticalDpi="30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bels"/>
  <dimension ref="A1:K20"/>
  <sheetViews>
    <sheetView zoomScale="90" zoomScaleNormal="90" zoomScaleSheetLayoutView="100" workbookViewId="0" topLeftCell="A2">
      <selection pane="topLeft" activeCell="A21" sqref="A21"/>
    </sheetView>
  </sheetViews>
  <sheetFormatPr defaultColWidth="9.44140625" defaultRowHeight="13.5"/>
  <cols>
    <col min="1" max="1" width="30.5714285714286" bestFit="1" customWidth="1"/>
    <col min="2" max="2" width="64.4285714285714" bestFit="1" customWidth="1"/>
    <col min="3" max="3" width="41" bestFit="1" customWidth="1"/>
    <col min="4" max="4" width="45.5714285714286" bestFit="1" customWidth="1"/>
    <col min="5" max="5" width="42.5714285714286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4285714285714" bestFit="1" customWidth="1"/>
  </cols>
  <sheetData>
    <row r="1" spans="1:6" ht="13.2">
      <c r="A1">
        <v>1</v>
      </c>
      <c r="C1" s="29"/>
      <c r="D1" s="33"/>
      <c r="E1" s="29"/>
      <c r="F1" s="29"/>
    </row>
    <row r="2" spans="1:4" ht="13.2">
      <c r="A2">
        <v>2</v>
      </c>
      <c r="B2" s="34"/>
      <c r="C2" s="29"/>
      <c r="D2" s="33"/>
    </row>
    <row r="3" spans="1:4" ht="13.2">
      <c r="A3">
        <v>3</v>
      </c>
      <c r="C3" s="29"/>
      <c r="D3" s="29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134</v>
      </c>
    </row>
    <row r="10" spans="1:11" ht="13.2">
      <c r="A10" t="s">
        <v>114</v>
      </c>
      <c r="B10" t="s">
        <v>115</v>
      </c>
      <c r="C10" t="s">
        <v>116</v>
      </c>
      <c r="D10" t="s">
        <v>117</v>
      </c>
      <c r="E10" t="s">
        <v>118</v>
      </c>
      <c r="F10" t="s">
        <v>135</v>
      </c>
      <c r="G10" t="s">
        <v>119</v>
      </c>
      <c r="H10" t="s">
        <v>120</v>
      </c>
      <c r="I10" t="s">
        <v>121</v>
      </c>
      <c r="J10" t="s">
        <v>122</v>
      </c>
      <c r="K10" t="s">
        <v>123</v>
      </c>
    </row>
    <row r="11" spans="1:11" ht="13.35" customHeight="1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^BY2,2.7,13^FO506,20^B2N,132,Y,N,N^SN0012027670050000,N,Y^FS</v>
      </c>
      <c r="C11" t="str">
        <f>IF(A11&lt;&gt;"","^FO20,20^A0N,28,37^CI13^FD"&amp;TEXT(Data!AY$5,"d/m/yyyy")&amp;"^FS","")</f>
        <v>^FO20,20^A0N,28,37^CI13^FD26/8/2026^FS</v>
      </c>
      <c r="D11" t="str">
        <f>IF(A11&lt;&gt;"","^FO220,20^A0N,41,48^CI13^FD"&amp;Data!$BC$5&amp;Data!$BD$5&amp;"/"&amp;RIGHT("000"&amp;Data!AW11,3)&amp;"^FS","")</f>
        <v>^FO220,20^A0N,41,48^CI13^FD12027C/005^FS</v>
      </c>
      <c r="E11" t="str">
        <f>IF(A11&lt;&gt;"","^FO20,55^A0N,30,30^CI13^FD"&amp;Data!$BF$5&amp;"^FS","")</f>
        <v>^FO20,55^A0N,30,30^CI13^FDSymons, Dianne^FS</v>
      </c>
      <c r="F11" t="str">
        <f>IF(A11&lt;&gt;"","^FO20,95^A0N,30,30^CI13^FD"&amp;Data!AX$5&amp;"^FS","")</f>
        <v>^FO20,95^A0N,30,30^CI13^FDCurtains^FS</v>
      </c>
      <c r="G11" t="str">
        <f>IF(A11&lt;&gt;"","^FO20,135^A0N,30,30^CI13^FD"&amp;Data!BE11&amp;"^FS","")</f>
        <v>^FO20,135^A0N,30,30^CI13^FDCTRA Streamline Cord Operation Birch White^FS</v>
      </c>
      <c r="H11" t="str">
        <f>IF(A11&lt;&gt;"","^FO20,175^A0N,30,30^CI13^FD"&amp;Data!AY11&amp;"^FS","")</f>
        <v>^FO20,175^A0N,30,30^CI13^FDBed 1^FS</v>
      </c>
      <c r="I11" t="str">
        <f>IF(A11&lt;&gt;"","^FO300,175^A0N,30,30^CI13^FD"&amp;"W:"&amp;Data!BA11&amp;" H:"&amp;Data!BB11,"")</f>
        <v>^FO300,175^A0N,30,30^CI13^FDW:1880 H:0</v>
      </c>
      <c r="J11" t="str">
        <f>IF(A11&lt;&gt;"","^PQ"&amp;Data!$F$16&amp;",0,"&amp;Data!$F$16&amp;",Y","")</f>
        <v>^PQ0,0,0,Y</v>
      </c>
      <c r="K11" t="str">
        <f t="shared" si="0" ref="K11:K20">IF(A11&lt;&gt;"","^XZ","")</f>
        <v>^XZ</v>
      </c>
    </row>
    <row r="12" spans="1:11" ht="13.35" customHeight="1">
      <c r="A12" t="str">
        <f>IF(OR(Data!$AV12="",Data!$AW12&gt;999),"","^XA^LH0,0^PRB,D^MD20^JMA^FS")</f>
        <v/>
      </c>
      <c r="B12" t="str">
        <f t="array" ref="B12">IF(A12&lt;&gt;"","^BY2,2.7,13^FO506,20^B2N,132,Y,N,N^SN"&amp;BarcodeValue(Data!BC$5,Data!BD$5,Data!AW12,0)&amp;",N,Y^FS","")</f>
        <v/>
      </c>
      <c r="C12" t="str">
        <f>IF(A12&lt;&gt;"","^FO20,20^A0N,28,37^CI13^FD"&amp;TEXT(Data!AY$5,"d/m/yyyy")&amp;"^FS","")</f>
        <v/>
      </c>
      <c r="D12" t="str">
        <f>IF(A12&lt;&gt;"","^FO220,20^A0N,41,48^CI13^FD"&amp;Data!$BC$5&amp;Data!$BD$5&amp;"/"&amp;RIGHT("000"&amp;Data!AW12,3)&amp;"^FS","")</f>
        <v/>
      </c>
      <c r="E12" t="str">
        <f>IF(A12&lt;&gt;"","^FO20,55^A0N,30,30^CI13^FD"&amp;Data!$BF$5&amp;"^FS","")</f>
        <v/>
      </c>
      <c r="F12" t="str">
        <f>IF(A12&lt;&gt;"","^FO20,95^A0N,30,30^CI13^FD"&amp;Data!AX$5&amp;"^FS","")</f>
        <v/>
      </c>
      <c r="G12" t="str">
        <f>IF(A12&lt;&gt;"","^FO20,135^A0N,30,30^CI13^FD"&amp;Data!BE12&amp;"^FS","")</f>
        <v/>
      </c>
      <c r="H12" t="str">
        <f>IF(A12&lt;&gt;"","^FO20,175^A0N,30,30^CI13^FD"&amp;Data!AY12&amp;"^FS","")</f>
        <v/>
      </c>
      <c r="I12" t="str">
        <f>IF(A12&lt;&gt;"","^FO300,175^A0N,30,30^CI13^FD"&amp;"W:"&amp;Data!BA12&amp;" H:"&amp;Data!BB12,"")</f>
        <v/>
      </c>
      <c r="J12" t="str">
        <f>IF(A12&lt;&gt;"","^PQ"&amp;Data!$F$16&amp;",0,"&amp;Data!$F$16&amp;",Y","")</f>
        <v/>
      </c>
      <c r="K12" t="str">
        <f t="shared" si="0"/>
        <v/>
      </c>
    </row>
    <row r="13" spans="1:11" ht="13.35" customHeight="1">
      <c r="A13" t="str">
        <f>IF(OR(Data!$AV13="",Data!$AW13&gt;999),"","^XA^LH0,0^PRB,D^MD20^JMA^FS")</f>
        <v/>
      </c>
      <c r="B13" t="str">
        <f t="array" ref="B13">IF(A13&lt;&gt;"","^BY2,2.7,13^FO506,20^B2N,132,Y,N,N^SN"&amp;BarcodeValue(Data!BC$5,Data!BD$5,Data!AW13,0)&amp;",N,Y^FS","")</f>
        <v/>
      </c>
      <c r="C13" t="str">
        <f>IF(A13&lt;&gt;"","^FO20,20^A0N,28,37^CI13^FD"&amp;TEXT(Data!AY$5,"d/m/yyyy")&amp;"^FS","")</f>
        <v/>
      </c>
      <c r="D13" t="str">
        <f>IF(A13&lt;&gt;"","^FO220,20^A0N,41,48^CI13^FD"&amp;Data!$BC$5&amp;Data!$BD$5&amp;"/"&amp;RIGHT("000"&amp;Data!AW13,3)&amp;"^FS","")</f>
        <v/>
      </c>
      <c r="E13" t="str">
        <f>IF(A13&lt;&gt;"","^FO20,55^A0N,30,30^CI13^FD"&amp;Data!$BF$5&amp;"^FS","")</f>
        <v/>
      </c>
      <c r="F13" t="str">
        <f>IF(A13&lt;&gt;"","^FO20,95^A0N,30,30^CI13^FD"&amp;Data!AX$5&amp;"^FS","")</f>
        <v/>
      </c>
      <c r="G13" t="str">
        <f>IF(A13&lt;&gt;"","^FO20,135^A0N,30,30^CI13^FD"&amp;Data!BE13&amp;"^FS","")</f>
        <v/>
      </c>
      <c r="H13" t="str">
        <f>IF(A13&lt;&gt;"","^FO20,175^A0N,30,30^CI13^FD"&amp;Data!AY13&amp;"^FS","")</f>
        <v/>
      </c>
      <c r="I13" t="str">
        <f>IF(A13&lt;&gt;"","^FO300,175^A0N,30,30^CI13^FD"&amp;"W:"&amp;Data!BA13&amp;" H:"&amp;Data!BB13,"")</f>
        <v/>
      </c>
      <c r="J13" t="str">
        <f>IF(A13&lt;&gt;"","^PQ"&amp;Data!$F$16&amp;",0,"&amp;Data!$F$16&amp;",Y","")</f>
        <v/>
      </c>
      <c r="K13" t="str">
        <f t="shared" si="0"/>
        <v/>
      </c>
    </row>
    <row r="14" spans="1:11" ht="13.35" customHeight="1">
      <c r="A14" t="str">
        <f>IF(OR(Data!$AV14="",Data!$AW14&gt;999),"","^XA^LH0,0^PRB,D^MD20^JMA^FS")</f>
        <v/>
      </c>
      <c r="B14" t="str">
        <f t="array" ref="B14">IF(A14&lt;&gt;"","^BY2,2.7,13^FO506,20^B2N,132,Y,N,N^SN"&amp;BarcodeValue(Data!BC$5,Data!BD$5,Data!AW14,0)&amp;",N,Y^FS","")</f>
        <v/>
      </c>
      <c r="C14" t="str">
        <f>IF(A14&lt;&gt;"","^FO20,20^A0N,28,37^CI13^FD"&amp;TEXT(Data!AY$5,"d/m/yyyy")&amp;"^FS","")</f>
        <v/>
      </c>
      <c r="D14" t="str">
        <f>IF(A14&lt;&gt;"","^FO220,20^A0N,41,48^CI13^FD"&amp;Data!$BC$5&amp;Data!$BD$5&amp;"/"&amp;RIGHT("000"&amp;Data!AW14,3)&amp;"^FS","")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IF(A14&lt;&gt;"","^PQ"&amp;Data!$F$16&amp;",0,"&amp;Data!$F$16&amp;",Y","")</f>
        <v/>
      </c>
      <c r="K14" t="str">
        <f t="shared" si="0"/>
        <v/>
      </c>
    </row>
    <row r="15" spans="1:11" ht="13.35" customHeight="1">
      <c r="A15" t="str">
        <f>IF(OR(Data!$AV15="",Data!$AW15&gt;999),"","^XA^LH0,0^PRB,D^MD20^JMA^FS")</f>
        <v/>
      </c>
      <c r="B15" t="str">
        <f t="array" ref="B15"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IF(A15&lt;&gt;"","^PQ"&amp;Data!$F$16&amp;",0,"&amp;Data!$F$16&amp;",Y","")</f>
        <v/>
      </c>
      <c r="K15" t="str">
        <f t="shared" si="0"/>
        <v/>
      </c>
    </row>
    <row r="16" spans="1:11" ht="13.35" customHeight="1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IF(A16&lt;&gt;"","^PQ"&amp;Data!$F$16&amp;",0,"&amp;Data!$F$16&amp;",Y","")</f>
        <v/>
      </c>
      <c r="K16" t="str">
        <f t="shared" si="0"/>
        <v/>
      </c>
    </row>
    <row r="17" spans="1:11" ht="13.35" customHeight="1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IF(A17&lt;&gt;"","^PQ"&amp;Data!$F$16&amp;",0,"&amp;Data!$F$16&amp;",Y","")</f>
        <v/>
      </c>
      <c r="K17" t="str">
        <f t="shared" si="0"/>
        <v/>
      </c>
    </row>
    <row r="18" spans="1:11" ht="13.35" customHeight="1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IF(A18&lt;&gt;"","^PQ"&amp;Data!$F$16&amp;",0,"&amp;Data!$F$16&amp;",Y","")</f>
        <v/>
      </c>
      <c r="K18" t="str">
        <f t="shared" si="0"/>
        <v/>
      </c>
    </row>
    <row r="19" spans="1:11" ht="13.35" customHeight="1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IF(A19&lt;&gt;"","^PQ"&amp;Data!$F$16&amp;",0,"&amp;Data!$F$16&amp;",Y","")</f>
        <v/>
      </c>
      <c r="K19" t="str">
        <f t="shared" si="0"/>
        <v/>
      </c>
    </row>
    <row r="20" spans="1:11" ht="13.35" customHeight="1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IF(A20&lt;&gt;"","^PQ"&amp;Data!$F$16&amp;",0,"&amp;Data!$F$16&amp;",Y","")</f>
        <v/>
      </c>
      <c r="K20" t="str">
        <f t="shared" si="0"/>
        <v/>
      </c>
    </row>
  </sheetData>
  <pageMargins left="1.35354330708701" right="1.35354330708701" top="0.75" bottom="0.75" header="0.3" footer="0.3"/>
  <pageSetup orientation="portrait" paperSize="9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eductions"/>
  <dimension ref="A1:BL3565"/>
  <sheetViews>
    <sheetView zoomScale="70" zoomScaleNormal="70" workbookViewId="0" topLeftCell="L1">
      <selection pane="topLeft" activeCell="BG2" sqref="BG2:BH128"/>
    </sheetView>
  </sheetViews>
  <sheetFormatPr defaultColWidth="8.88671875" defaultRowHeight="15"/>
  <cols>
    <col min="1" max="1" width="9.71428571428571" style="38" bestFit="1" customWidth="1"/>
    <col min="2" max="2" width="10.1428571428571" style="38" customWidth="1"/>
    <col min="3" max="3" width="50.1428571428571" style="38" bestFit="1" customWidth="1"/>
    <col min="4" max="4" width="10.1428571428571" style="38" customWidth="1"/>
    <col min="5" max="5" width="39.4285714285714" style="38" bestFit="1" customWidth="1"/>
    <col min="6" max="6" width="10.1428571428571" style="38" customWidth="1"/>
    <col min="7" max="7" width="39.4285714285714" style="38" bestFit="1" customWidth="1"/>
    <col min="8" max="8" width="10.1428571428571" style="38" customWidth="1"/>
    <col min="9" max="9" width="2.85714285714286" style="38" customWidth="1"/>
    <col min="10" max="10" width="28.5714285714286" style="38" bestFit="1" customWidth="1"/>
    <col min="11" max="11" width="38" style="38" bestFit="1" customWidth="1"/>
    <col min="12" max="12" width="51.2857142857143" style="38" bestFit="1" customWidth="1"/>
    <col min="13" max="13" width="10.1428571428571" style="38" bestFit="1" customWidth="1"/>
    <col min="14" max="14" width="3.85714285714286" style="38" customWidth="1"/>
    <col min="15" max="15" width="52.5714285714286" style="112" bestFit="1" customWidth="1"/>
    <col min="16" max="16" width="19.2857142857143" style="112" bestFit="1" customWidth="1"/>
    <col min="17" max="17" width="61.4285714285714" style="112" bestFit="1" customWidth="1"/>
    <col min="18" max="18" width="117" style="73" bestFit="1" customWidth="1"/>
    <col min="19" max="19" width="24.2857142857143" style="73" bestFit="1" customWidth="1"/>
    <col min="20" max="20" width="9.42857142857143" style="73" customWidth="1"/>
    <col min="21" max="21" width="7.71428571428571" style="73" bestFit="1" customWidth="1"/>
    <col min="22" max="22" width="7.42857142857143" style="73" customWidth="1"/>
    <col min="23" max="23" width="5.42857142857143" style="38" customWidth="1"/>
    <col min="24" max="24" width="22.2857142857143" style="73" bestFit="1" customWidth="1"/>
    <col min="25" max="25" width="23" style="73" bestFit="1" customWidth="1"/>
    <col min="26" max="26" width="16.5714285714286" style="73" bestFit="1" customWidth="1"/>
    <col min="27" max="27" width="60.5714285714286" style="73" bestFit="1" customWidth="1"/>
    <col min="28" max="28" width="17.2857142857143" style="73" bestFit="1" customWidth="1"/>
    <col min="29" max="29" width="8.85714285714286" style="38"/>
    <col min="30" max="30" width="22.2857142857143" style="73" bestFit="1" customWidth="1"/>
    <col min="31" max="31" width="23" style="73" bestFit="1" customWidth="1"/>
    <col min="32" max="32" width="16.5714285714286" style="73" bestFit="1" customWidth="1"/>
    <col min="33" max="33" width="60.5714285714286" style="73" bestFit="1" customWidth="1"/>
    <col min="34" max="34" width="17.2857142857143" style="73" bestFit="1" customWidth="1"/>
    <col min="35" max="35" width="2.71428571428571" style="73" customWidth="1"/>
    <col min="36" max="36" width="45.5714285714286" style="38" bestFit="1" customWidth="1"/>
    <col min="37" max="37" width="13.8571428571429" style="38" bestFit="1" customWidth="1"/>
    <col min="38" max="38" width="55.5714285714286" style="38" bestFit="1" customWidth="1"/>
    <col min="39" max="39" width="25.4285714285714" style="38" bestFit="1" customWidth="1"/>
    <col min="40" max="40" width="2.57142857142857" style="38" customWidth="1"/>
    <col min="41" max="41" width="42.8571428571429" style="73" bestFit="1" customWidth="1"/>
    <col min="42" max="42" width="38" style="73" bestFit="1" customWidth="1"/>
    <col min="43" max="43" width="79" style="73" bestFit="1" customWidth="1"/>
    <col min="44" max="45" width="10.8571428571429" style="73" customWidth="1"/>
    <col min="46" max="47" width="11" style="73" customWidth="1"/>
    <col min="48" max="48" width="12.1428571428571" style="73" customWidth="1"/>
    <col min="49" max="49" width="12.4285714285714" style="73" customWidth="1"/>
    <col min="50" max="50" width="13.4285714285714" style="73" customWidth="1"/>
    <col min="51" max="51" width="4.57142857142857" style="38" customWidth="1"/>
    <col min="52" max="52" width="66.4285714285714" style="38" bestFit="1" customWidth="1"/>
    <col min="53" max="53" width="38.8571428571429" style="38" bestFit="1" customWidth="1"/>
    <col min="54" max="54" width="108.857142857143" style="38" bestFit="1" customWidth="1"/>
    <col min="55" max="55" width="8.85714285714286" style="38"/>
    <col min="56" max="56" width="2.28571428571429" style="38" customWidth="1"/>
    <col min="57" max="57" width="12.1428571428571" style="73" bestFit="1" customWidth="1"/>
    <col min="58" max="58" width="56.8571428571429" style="73" bestFit="1" customWidth="1"/>
    <col min="59" max="59" width="67.5714285714286" style="73" bestFit="1" customWidth="1"/>
    <col min="60" max="60" width="15.2857142857143" style="73" bestFit="1" customWidth="1"/>
    <col min="61" max="61" width="3.42857142857143" style="73" customWidth="1"/>
    <col min="62" max="62" width="48.7142857142857" style="73" bestFit="1" customWidth="1"/>
    <col min="63" max="63" width="51.7142857142857" style="73" bestFit="1" customWidth="1"/>
    <col min="64" max="64" width="13.5714285714286" style="73" customWidth="1"/>
    <col min="65" max="16384" width="8.85714285714286" style="38"/>
  </cols>
  <sheetData>
    <row r="1" spans="1:64" ht="51.75" customHeight="1">
      <c r="A1" s="37" t="s">
        <v>11</v>
      </c>
      <c r="B1" s="37" t="s">
        <v>147</v>
      </c>
      <c r="C1" s="37" t="s">
        <v>136</v>
      </c>
      <c r="D1" s="37" t="s">
        <v>147</v>
      </c>
      <c r="E1" s="37" t="s">
        <v>182</v>
      </c>
      <c r="F1" s="37" t="s">
        <v>147</v>
      </c>
      <c r="G1" s="62" t="s">
        <v>247</v>
      </c>
      <c r="H1" s="62" t="s">
        <v>248</v>
      </c>
      <c r="J1" s="57" t="s">
        <v>199</v>
      </c>
      <c r="K1" s="57" t="s">
        <v>197</v>
      </c>
      <c r="L1" s="57" t="s">
        <v>170</v>
      </c>
      <c r="M1" s="57" t="s">
        <v>147</v>
      </c>
      <c r="O1" s="114" t="s">
        <v>199</v>
      </c>
      <c r="P1" s="114" t="s">
        <v>216</v>
      </c>
      <c r="Q1" s="114"/>
      <c r="R1" s="114" t="s">
        <v>217</v>
      </c>
      <c r="S1" s="114" t="s">
        <v>218</v>
      </c>
      <c r="T1" s="114" t="s">
        <v>381</v>
      </c>
      <c r="U1" s="114" t="s">
        <v>382</v>
      </c>
      <c r="V1" s="114" t="s">
        <v>300</v>
      </c>
      <c r="X1" s="125" t="s">
        <v>600</v>
      </c>
      <c r="Y1" s="125" t="s">
        <v>179</v>
      </c>
      <c r="Z1" s="125" t="s">
        <v>436</v>
      </c>
      <c r="AA1" s="125"/>
      <c r="AB1" s="125"/>
      <c r="AD1" s="125" t="s">
        <v>600</v>
      </c>
      <c r="AE1" s="125" t="s">
        <v>179</v>
      </c>
      <c r="AF1" s="125" t="s">
        <v>436</v>
      </c>
      <c r="AG1" s="125"/>
      <c r="AH1" s="125"/>
      <c r="AI1" s="132"/>
      <c r="AJ1" s="125"/>
      <c r="AK1" s="125"/>
      <c r="AL1" s="125"/>
      <c r="AM1" s="125" t="s">
        <v>700</v>
      </c>
      <c r="AO1" s="114"/>
      <c r="AP1" s="114"/>
      <c r="AQ1" s="114"/>
      <c r="AR1" s="114" t="s">
        <v>705</v>
      </c>
      <c r="AS1" s="114" t="s">
        <v>706</v>
      </c>
      <c r="AT1" s="114" t="s">
        <v>684</v>
      </c>
      <c r="AU1" s="114" t="s">
        <v>707</v>
      </c>
      <c r="AV1" s="114" t="s">
        <v>708</v>
      </c>
      <c r="AW1" s="114" t="s">
        <v>685</v>
      </c>
      <c r="AX1" s="114" t="s">
        <v>709</v>
      </c>
      <c r="AZ1" s="114"/>
      <c r="BA1" s="114"/>
      <c r="BB1" s="114"/>
      <c r="BC1" s="114" t="s">
        <v>791</v>
      </c>
      <c r="BE1" s="152" t="s">
        <v>837</v>
      </c>
      <c r="BF1" s="153" t="s">
        <v>838</v>
      </c>
      <c r="BG1" s="153"/>
      <c r="BH1" s="153" t="s">
        <v>839</v>
      </c>
      <c r="BI1" s="132"/>
      <c r="BJ1" s="154" t="s">
        <v>875</v>
      </c>
      <c r="BK1" s="154" t="s">
        <v>876</v>
      </c>
      <c r="BL1" s="114" t="s">
        <v>877</v>
      </c>
    </row>
    <row r="2" spans="1:64" ht="14.4" customHeight="1">
      <c r="A2" s="38" t="s">
        <v>148</v>
      </c>
      <c r="B2" s="38">
        <v>0</v>
      </c>
      <c r="C2" t="s">
        <v>153</v>
      </c>
      <c r="D2" s="38">
        <v>100</v>
      </c>
      <c r="E2" s="38" t="s">
        <v>189</v>
      </c>
      <c r="F2" s="38">
        <v>0</v>
      </c>
      <c r="G2" s="38" t="s">
        <v>187</v>
      </c>
      <c r="H2" s="38">
        <v>2</v>
      </c>
      <c r="J2" t="s">
        <v>161</v>
      </c>
      <c r="K2" t="s">
        <v>167</v>
      </c>
      <c r="L2" s="73" t="str">
        <f>CONCATENATE(J2,K2)</f>
        <v>Streamline Cord OperationCentre Opening</v>
      </c>
      <c r="M2" s="73">
        <v>100</v>
      </c>
      <c r="N2"/>
      <c r="O2" s="112" t="s">
        <v>176</v>
      </c>
      <c r="P2" s="23" t="s">
        <v>759</v>
      </c>
      <c r="Q2" s="23" t="s">
        <v>198</v>
      </c>
      <c r="R2" s="73" t="str">
        <f>O2&amp;P2&amp;Q2</f>
        <v>29mm RodSilverStraight</v>
      </c>
      <c r="S2" s="73" t="s">
        <v>223</v>
      </c>
      <c r="T2" s="73" t="s">
        <v>149</v>
      </c>
      <c r="U2" s="73">
        <v>0</v>
      </c>
      <c r="V2" s="73" t="s">
        <v>149</v>
      </c>
      <c r="X2" s="73" t="s">
        <v>275</v>
      </c>
      <c r="Y2" s="73" t="s">
        <v>191</v>
      </c>
      <c r="Z2" s="73" t="s">
        <v>439</v>
      </c>
      <c r="AA2" s="73" t="str">
        <f>CONCATENATE(X2,Y2,Z2)</f>
        <v>Wavefold Cord OperationDouble Face Fix BracketsBoth Sides</v>
      </c>
      <c r="AB2" s="73" t="s">
        <v>601</v>
      </c>
      <c r="AD2" s="73" t="s">
        <v>275</v>
      </c>
      <c r="AE2" s="73" t="s">
        <v>191</v>
      </c>
      <c r="AF2" s="73" t="s">
        <v>439</v>
      </c>
      <c r="AG2" s="73" t="str">
        <f>CONCATENATE(AD2,AE2,AF2)</f>
        <v>Wavefold Cord OperationDouble Face Fix BracketsBoth Sides</v>
      </c>
      <c r="AH2" s="73" t="s">
        <v>601</v>
      </c>
      <c r="AJ2" s="73" t="s">
        <v>296</v>
      </c>
      <c r="AK2" s="73" t="s">
        <v>219</v>
      </c>
      <c r="AL2" s="73" t="str">
        <f>CONCATENATE(AJ2,AK2)</f>
        <v>Wavefold Hand OperationWhite</v>
      </c>
      <c r="AM2" s="73" t="s">
        <v>701</v>
      </c>
      <c r="AO2" s="73" t="s">
        <v>296</v>
      </c>
      <c r="AP2" t="s">
        <v>167</v>
      </c>
      <c r="AQ2" t="str">
        <f t="shared" si="0" ref="AQ2:AQ38">CONCATENATE(AO2,AP2)</f>
        <v>Wavefold Hand OperationCentre Opening</v>
      </c>
      <c r="AU2" s="73">
        <v>2</v>
      </c>
      <c r="AZ2" t="s">
        <v>198</v>
      </c>
      <c r="BA2" t="s">
        <v>167</v>
      </c>
      <c r="BB2" s="38" t="str">
        <f>CONCATENATE(AZ2,BA2)</f>
        <v>StraightCentre Opening</v>
      </c>
      <c r="BC2" s="38">
        <v>4</v>
      </c>
      <c r="BE2" t="s">
        <v>840</v>
      </c>
      <c r="BF2" t="s">
        <v>212</v>
      </c>
      <c r="BG2" s="73" t="str">
        <f>(BE2&amp;BF2)</f>
        <v>Single1 Wall Socket &amp; 1 L Bracket</v>
      </c>
      <c r="BH2" s="73">
        <v>70</v>
      </c>
      <c r="BJ2" s="73" t="s">
        <v>727</v>
      </c>
      <c r="BK2" s="73" t="s">
        <v>878</v>
      </c>
      <c r="BL2" s="73">
        <v>250</v>
      </c>
    </row>
    <row r="3" spans="1:64" ht="14.4" customHeight="1">
      <c r="A3" s="38" t="s">
        <v>150</v>
      </c>
      <c r="B3" s="38">
        <v>5</v>
      </c>
      <c r="C3" t="s">
        <v>305</v>
      </c>
      <c r="D3" s="38">
        <v>110</v>
      </c>
      <c r="E3" s="38" t="s">
        <v>798</v>
      </c>
      <c r="F3" s="38">
        <v>0</v>
      </c>
      <c r="G3" s="38" t="s">
        <v>249</v>
      </c>
      <c r="H3" s="38">
        <v>4</v>
      </c>
      <c r="J3" t="s">
        <v>161</v>
      </c>
      <c r="K3" s="73" t="s">
        <v>306</v>
      </c>
      <c r="L3" s="73" t="str">
        <f t="shared" si="1" ref="L3:L56">CONCATENATE(J3,K3)</f>
        <v>Streamline Cord OperationCentre Opening - Free Flowing</v>
      </c>
      <c r="M3" s="73">
        <v>6</v>
      </c>
      <c r="N3"/>
      <c r="O3" s="112" t="s">
        <v>175</v>
      </c>
      <c r="P3" s="23" t="s">
        <v>228</v>
      </c>
      <c r="Q3" s="23" t="s">
        <v>198</v>
      </c>
      <c r="R3" s="73" t="str">
        <f t="shared" si="2" ref="R3:R66">O3&amp;P3&amp;Q3</f>
        <v>ConduitIvoryStraight</v>
      </c>
      <c r="S3" s="73" t="s">
        <v>220</v>
      </c>
      <c r="T3" s="73" t="s">
        <v>149</v>
      </c>
      <c r="U3" s="73">
        <v>0</v>
      </c>
      <c r="V3" s="73" t="s">
        <v>149</v>
      </c>
      <c r="X3" s="73" t="s">
        <v>275</v>
      </c>
      <c r="Y3" s="73" t="s">
        <v>189</v>
      </c>
      <c r="Z3" s="73" t="s">
        <v>439</v>
      </c>
      <c r="AA3" s="73" t="str">
        <f t="shared" si="3" ref="AA3:AA49">CONCATENATE(X3,Y3,Z3)</f>
        <v>Wavefold Cord OperationSingle Face Fix BracketsBoth Sides</v>
      </c>
      <c r="AB3" s="73" t="s">
        <v>601</v>
      </c>
      <c r="AD3" s="73" t="s">
        <v>275</v>
      </c>
      <c r="AE3" s="73" t="s">
        <v>189</v>
      </c>
      <c r="AF3" s="73" t="s">
        <v>439</v>
      </c>
      <c r="AG3" s="73" t="str">
        <f t="shared" si="4" ref="AG3:AG49">CONCATENATE(AD3,AE3,AF3)</f>
        <v>Wavefold Cord OperationSingle Face Fix BracketsBoth Sides</v>
      </c>
      <c r="AH3" s="73" t="s">
        <v>601</v>
      </c>
      <c r="AJ3" s="73" t="s">
        <v>296</v>
      </c>
      <c r="AK3" s="73" t="s">
        <v>371</v>
      </c>
      <c r="AL3" s="73" t="str">
        <f t="shared" si="5" ref="AL3:AL22">CONCATENATE(AJ3,AK3)</f>
        <v>Wavefold Hand OperationMatt Black Ink</v>
      </c>
      <c r="AM3" s="73" t="s">
        <v>702</v>
      </c>
      <c r="AO3" s="73" t="s">
        <v>275</v>
      </c>
      <c r="AP3" t="s">
        <v>167</v>
      </c>
      <c r="AQ3" t="str">
        <f t="shared" si="0"/>
        <v>Wavefold Cord OperationCentre Opening</v>
      </c>
      <c r="AR3" s="73">
        <v>1</v>
      </c>
      <c r="AS3" s="73">
        <v>1</v>
      </c>
      <c r="AZ3" t="s">
        <v>817</v>
      </c>
      <c r="BA3" t="s">
        <v>167</v>
      </c>
      <c r="BB3" s="38" t="str">
        <f t="shared" si="6" ref="BB3:BB13">CONCATENATE(AZ3,BA3)</f>
        <v>BentCentre Opening</v>
      </c>
      <c r="BC3" s="38">
        <v>4</v>
      </c>
      <c r="BE3" t="s">
        <v>840</v>
      </c>
      <c r="BF3" t="s">
        <v>265</v>
      </c>
      <c r="BG3" s="73" t="str">
        <f t="shared" si="7" ref="BG3:BG66">(BE3&amp;BF3)</f>
        <v>Single100mm Brackets</v>
      </c>
      <c r="BH3" s="73">
        <v>90</v>
      </c>
      <c r="BJ3" s="73" t="s">
        <v>728</v>
      </c>
      <c r="BK3" s="73" t="s">
        <v>879</v>
      </c>
      <c r="BL3" s="73">
        <v>250</v>
      </c>
    </row>
    <row r="4" spans="1:64" ht="14.4">
      <c r="A4" s="38" t="s">
        <v>181</v>
      </c>
      <c r="B4" s="38">
        <v>0</v>
      </c>
      <c r="C4" t="s">
        <v>210</v>
      </c>
      <c r="D4" s="38">
        <v>170</v>
      </c>
      <c r="E4" s="38" t="s">
        <v>190</v>
      </c>
      <c r="F4" s="38">
        <v>0</v>
      </c>
      <c r="G4" s="38" t="s">
        <v>188</v>
      </c>
      <c r="H4" s="38">
        <v>3</v>
      </c>
      <c r="J4" t="s">
        <v>161</v>
      </c>
      <c r="K4" t="s">
        <v>171</v>
      </c>
      <c r="L4" s="73" t="str">
        <f t="shared" si="1"/>
        <v>Streamline Cord OperationSingle Panel - Left Stacking</v>
      </c>
      <c r="M4" s="73">
        <v>55</v>
      </c>
      <c r="N4"/>
      <c r="O4" s="112" t="s">
        <v>246</v>
      </c>
      <c r="P4" s="112" t="s">
        <v>228</v>
      </c>
      <c r="Q4" s="23" t="s">
        <v>198</v>
      </c>
      <c r="R4" s="73" t="str">
        <f t="shared" si="2"/>
        <v>Conduit x 2IvoryStraight</v>
      </c>
      <c r="S4" s="73" t="s">
        <v>220</v>
      </c>
      <c r="T4" s="73" t="s">
        <v>149</v>
      </c>
      <c r="U4" s="73">
        <v>0</v>
      </c>
      <c r="V4" s="73" t="s">
        <v>149</v>
      </c>
      <c r="X4" s="73" t="s">
        <v>275</v>
      </c>
      <c r="Y4" s="73" t="s">
        <v>190</v>
      </c>
      <c r="Z4" s="73" t="s">
        <v>439</v>
      </c>
      <c r="AA4" s="73" t="str">
        <f t="shared" si="3"/>
        <v>Wavefold Cord OperationTop Fix BracketsBoth Sides</v>
      </c>
      <c r="AB4" s="73" t="s">
        <v>601</v>
      </c>
      <c r="AD4" s="73" t="s">
        <v>275</v>
      </c>
      <c r="AE4" s="73" t="s">
        <v>190</v>
      </c>
      <c r="AF4" s="73" t="s">
        <v>439</v>
      </c>
      <c r="AG4" s="73" t="str">
        <f t="shared" si="4"/>
        <v>Wavefold Cord OperationTop Fix BracketsBoth Sides</v>
      </c>
      <c r="AH4" s="73" t="s">
        <v>601</v>
      </c>
      <c r="AJ4" s="73" t="s">
        <v>296</v>
      </c>
      <c r="AK4" s="73" t="s">
        <v>238</v>
      </c>
      <c r="AL4" s="73" t="str">
        <f t="shared" si="5"/>
        <v>Wavefold Hand OperationMatt Satin</v>
      </c>
      <c r="AM4" s="73" t="s">
        <v>772</v>
      </c>
      <c r="AO4" s="73" t="s">
        <v>174</v>
      </c>
      <c r="AP4" t="s">
        <v>167</v>
      </c>
      <c r="AQ4" t="str">
        <f t="shared" si="0"/>
        <v>Streamline Hand OperationCentre Opening</v>
      </c>
      <c r="AX4" s="73">
        <v>2</v>
      </c>
      <c r="AZ4" t="s">
        <v>198</v>
      </c>
      <c r="BA4" t="s">
        <v>599</v>
      </c>
      <c r="BB4" s="38" t="str">
        <f t="shared" si="6"/>
        <v>StraightCentre Opening (Offset Split)</v>
      </c>
      <c r="BC4" s="38">
        <v>4</v>
      </c>
      <c r="BE4" t="s">
        <v>840</v>
      </c>
      <c r="BF4" t="s">
        <v>193</v>
      </c>
      <c r="BG4" s="73" t="str">
        <f t="shared" si="7"/>
        <v>Single100mm Unstayed Brackets with Acorns</v>
      </c>
      <c r="BH4" s="73">
        <v>90</v>
      </c>
      <c r="BJ4" s="73" t="s">
        <v>729</v>
      </c>
      <c r="BK4" s="73" t="s">
        <v>880</v>
      </c>
      <c r="BL4" s="73">
        <v>250</v>
      </c>
    </row>
    <row r="5" spans="3:64" ht="14.4">
      <c r="C5" t="s">
        <v>209</v>
      </c>
      <c r="D5" s="38">
        <v>50</v>
      </c>
      <c r="E5" s="38" t="s">
        <v>191</v>
      </c>
      <c r="F5" s="38">
        <v>0</v>
      </c>
      <c r="G5" s="38" t="s">
        <v>192</v>
      </c>
      <c r="H5" s="38">
        <v>3</v>
      </c>
      <c r="J5" t="s">
        <v>161</v>
      </c>
      <c r="K5" t="s">
        <v>172</v>
      </c>
      <c r="L5" s="73" t="str">
        <f t="shared" si="1"/>
        <v>Streamline Cord OperationSingle Panel - Right Stacking</v>
      </c>
      <c r="M5" s="73">
        <v>55</v>
      </c>
      <c r="N5"/>
      <c r="O5" s="112" t="s">
        <v>760</v>
      </c>
      <c r="P5" s="112" t="s">
        <v>222</v>
      </c>
      <c r="Q5" s="112" t="s">
        <v>198</v>
      </c>
      <c r="R5" s="73" t="str">
        <f t="shared" si="2"/>
        <v>Designer 15 Cord DrawnBlackStraight</v>
      </c>
      <c r="S5" s="73" t="s">
        <v>223</v>
      </c>
      <c r="T5" s="73" t="s">
        <v>149</v>
      </c>
      <c r="U5" s="73">
        <v>0</v>
      </c>
      <c r="V5" s="73" t="s">
        <v>149</v>
      </c>
      <c r="X5" s="73" t="s">
        <v>275</v>
      </c>
      <c r="Y5" s="73" t="s">
        <v>264</v>
      </c>
      <c r="Z5" s="73" t="s">
        <v>439</v>
      </c>
      <c r="AA5" s="73" t="str">
        <f t="shared" si="3"/>
        <v>Wavefold Cord OperationTriple Face Fix BracketsBoth Sides</v>
      </c>
      <c r="AB5" s="73" t="s">
        <v>601</v>
      </c>
      <c r="AD5" s="73" t="s">
        <v>275</v>
      </c>
      <c r="AE5" s="73" t="s">
        <v>264</v>
      </c>
      <c r="AF5" s="73" t="s">
        <v>439</v>
      </c>
      <c r="AG5" s="73" t="str">
        <f t="shared" si="4"/>
        <v>Wavefold Cord OperationTriple Face Fix BracketsBoth Sides</v>
      </c>
      <c r="AH5" s="73" t="s">
        <v>601</v>
      </c>
      <c r="AJ5" s="73" t="s">
        <v>275</v>
      </c>
      <c r="AK5" s="73" t="s">
        <v>219</v>
      </c>
      <c r="AL5" s="73" t="str">
        <f t="shared" si="5"/>
        <v>Wavefold Cord OperationWhite</v>
      </c>
      <c r="AM5" s="73" t="s">
        <v>701</v>
      </c>
      <c r="AO5" s="73" t="s">
        <v>161</v>
      </c>
      <c r="AP5" t="s">
        <v>167</v>
      </c>
      <c r="AQ5" t="str">
        <f t="shared" si="0"/>
        <v>Streamline Cord OperationCentre Opening</v>
      </c>
      <c r="AV5" s="73">
        <v>2</v>
      </c>
      <c r="AZ5" t="s">
        <v>817</v>
      </c>
      <c r="BA5" t="s">
        <v>599</v>
      </c>
      <c r="BB5" s="38" t="str">
        <f t="shared" si="6"/>
        <v>BentCentre Opening (Offset Split)</v>
      </c>
      <c r="BC5" s="38">
        <v>4</v>
      </c>
      <c r="BE5" t="s">
        <v>840</v>
      </c>
      <c r="BF5" t="s">
        <v>266</v>
      </c>
      <c r="BG5" s="73" t="str">
        <f t="shared" si="7"/>
        <v>Single170mm Brackets</v>
      </c>
      <c r="BH5" s="73">
        <v>160</v>
      </c>
      <c r="BJ5" s="73" t="s">
        <v>743</v>
      </c>
      <c r="BK5" s="73" t="s">
        <v>881</v>
      </c>
      <c r="BL5" s="73">
        <v>250</v>
      </c>
    </row>
    <row r="6" spans="3:64" ht="14.4">
      <c r="C6" t="s">
        <v>319</v>
      </c>
      <c r="D6" s="38">
        <v>70</v>
      </c>
      <c r="E6" s="38" t="s">
        <v>264</v>
      </c>
      <c r="F6" s="38">
        <v>0</v>
      </c>
      <c r="G6" s="38" t="s">
        <v>193</v>
      </c>
      <c r="H6" s="38">
        <v>3</v>
      </c>
      <c r="J6" t="s">
        <v>161</v>
      </c>
      <c r="K6" t="s">
        <v>173</v>
      </c>
      <c r="L6" s="73" t="str">
        <f t="shared" si="1"/>
        <v>Streamline Cord OperationSingle Panel - Free Flowing</v>
      </c>
      <c r="M6" s="73">
        <v>100</v>
      </c>
      <c r="N6"/>
      <c r="O6" s="112" t="s">
        <v>760</v>
      </c>
      <c r="P6" s="112" t="s">
        <v>219</v>
      </c>
      <c r="Q6" s="23" t="s">
        <v>198</v>
      </c>
      <c r="R6" s="73" t="str">
        <f t="shared" si="2"/>
        <v>Designer 15 Cord DrawnWhiteStraight</v>
      </c>
      <c r="S6" s="73" t="s">
        <v>223</v>
      </c>
      <c r="T6" s="73" t="s">
        <v>149</v>
      </c>
      <c r="U6" s="73">
        <v>0</v>
      </c>
      <c r="V6" s="73" t="s">
        <v>149</v>
      </c>
      <c r="X6" s="73" t="s">
        <v>296</v>
      </c>
      <c r="Y6" s="73" t="s">
        <v>191</v>
      </c>
      <c r="Z6" s="73" t="s">
        <v>439</v>
      </c>
      <c r="AA6" s="73" t="str">
        <f t="shared" si="3"/>
        <v>Wavefold Hand OperationDouble Face Fix BracketsBoth Sides</v>
      </c>
      <c r="AB6" s="73" t="s">
        <v>601</v>
      </c>
      <c r="AD6" s="73" t="s">
        <v>296</v>
      </c>
      <c r="AE6" s="73" t="s">
        <v>191</v>
      </c>
      <c r="AF6" s="73" t="s">
        <v>439</v>
      </c>
      <c r="AG6" s="73" t="str">
        <f t="shared" si="4"/>
        <v>Wavefold Hand OperationDouble Face Fix BracketsBoth Sides</v>
      </c>
      <c r="AH6" s="73" t="s">
        <v>601</v>
      </c>
      <c r="AJ6" s="73" t="s">
        <v>275</v>
      </c>
      <c r="AK6" s="73" t="s">
        <v>371</v>
      </c>
      <c r="AL6" s="73" t="str">
        <f t="shared" si="5"/>
        <v>Wavefold Cord OperationMatt Black Ink</v>
      </c>
      <c r="AM6" s="73" t="s">
        <v>702</v>
      </c>
      <c r="AO6" s="73" t="s">
        <v>296</v>
      </c>
      <c r="AP6" t="s">
        <v>599</v>
      </c>
      <c r="AQ6" t="str">
        <f t="shared" si="0"/>
        <v>Wavefold Hand OperationCentre Opening (Offset Split)</v>
      </c>
      <c r="AU6" s="73">
        <v>2</v>
      </c>
      <c r="AZ6" t="s">
        <v>198</v>
      </c>
      <c r="BA6" t="s">
        <v>171</v>
      </c>
      <c r="BB6" s="38" t="str">
        <f t="shared" si="6"/>
        <v>StraightSingle Panel - Left Stacking</v>
      </c>
      <c r="BC6" s="38">
        <v>2</v>
      </c>
      <c r="BE6" t="s">
        <v>840</v>
      </c>
      <c r="BF6" t="s">
        <v>211</v>
      </c>
      <c r="BG6" s="73" t="str">
        <f t="shared" si="7"/>
        <v>Single2 Wall Sockets</v>
      </c>
      <c r="BH6" s="73">
        <v>70</v>
      </c>
      <c r="BJ6" s="73" t="s">
        <v>744</v>
      </c>
      <c r="BK6" s="73" t="s">
        <v>882</v>
      </c>
      <c r="BL6" s="73">
        <v>250</v>
      </c>
    </row>
    <row r="7" spans="3:64" ht="14.4">
      <c r="C7" t="s">
        <v>320</v>
      </c>
      <c r="D7" s="38">
        <v>80</v>
      </c>
      <c r="E7" s="38" t="s">
        <v>790</v>
      </c>
      <c r="F7" s="38">
        <v>0</v>
      </c>
      <c r="G7" s="38" t="s">
        <v>229</v>
      </c>
      <c r="H7" s="38">
        <v>3</v>
      </c>
      <c r="J7" t="s">
        <v>161</v>
      </c>
      <c r="K7" t="s">
        <v>599</v>
      </c>
      <c r="L7" s="73" t="str">
        <f>CONCATENATE(J7,K7)</f>
        <v>Streamline Cord OperationCentre Opening (Offset Split)</v>
      </c>
      <c r="M7" s="73">
        <v>100</v>
      </c>
      <c r="N7"/>
      <c r="O7" s="112" t="s">
        <v>761</v>
      </c>
      <c r="P7" s="112" t="s">
        <v>222</v>
      </c>
      <c r="Q7" s="23" t="s">
        <v>198</v>
      </c>
      <c r="R7" s="73" t="str">
        <f t="shared" si="2"/>
        <v>Designer 15 Hand DrawnBlackStraight</v>
      </c>
      <c r="S7" s="73" t="s">
        <v>223</v>
      </c>
      <c r="T7" s="73" t="s">
        <v>149</v>
      </c>
      <c r="U7" s="73">
        <v>0</v>
      </c>
      <c r="V7" s="73" t="s">
        <v>149</v>
      </c>
      <c r="X7" s="73" t="s">
        <v>296</v>
      </c>
      <c r="Y7" s="73" t="s">
        <v>189</v>
      </c>
      <c r="Z7" s="73" t="s">
        <v>439</v>
      </c>
      <c r="AA7" s="73" t="str">
        <f t="shared" si="3"/>
        <v>Wavefold Hand OperationSingle Face Fix BracketsBoth Sides</v>
      </c>
      <c r="AB7" s="73" t="s">
        <v>601</v>
      </c>
      <c r="AD7" s="73" t="s">
        <v>296</v>
      </c>
      <c r="AE7" s="73" t="s">
        <v>189</v>
      </c>
      <c r="AF7" s="73" t="s">
        <v>439</v>
      </c>
      <c r="AG7" s="73" t="str">
        <f t="shared" si="4"/>
        <v>Wavefold Hand OperationSingle Face Fix BracketsBoth Sides</v>
      </c>
      <c r="AH7" s="73" t="s">
        <v>601</v>
      </c>
      <c r="AJ7" s="73" t="s">
        <v>275</v>
      </c>
      <c r="AK7" s="73" t="s">
        <v>238</v>
      </c>
      <c r="AL7" s="73" t="str">
        <f t="shared" si="5"/>
        <v>Wavefold Cord OperationMatt Satin</v>
      </c>
      <c r="AM7" s="73" t="s">
        <v>772</v>
      </c>
      <c r="AO7" s="73" t="s">
        <v>275</v>
      </c>
      <c r="AP7" t="s">
        <v>599</v>
      </c>
      <c r="AQ7" t="str">
        <f t="shared" si="0"/>
        <v>Wavefold Cord OperationCentre Opening (Offset Split)</v>
      </c>
      <c r="AR7" s="73">
        <v>2</v>
      </c>
      <c r="AT7" s="73">
        <v>2</v>
      </c>
      <c r="AZ7" t="s">
        <v>817</v>
      </c>
      <c r="BA7" t="s">
        <v>171</v>
      </c>
      <c r="BB7" s="38" t="str">
        <f t="shared" si="6"/>
        <v>BentSingle Panel - Left Stacking</v>
      </c>
      <c r="BC7" s="38">
        <v>2</v>
      </c>
      <c r="BE7" t="s">
        <v>840</v>
      </c>
      <c r="BF7" t="s">
        <v>841</v>
      </c>
      <c r="BG7" s="73" t="str">
        <f t="shared" si="7"/>
        <v>Single2 x L Brackets</v>
      </c>
      <c r="BH7" s="73">
        <v>70</v>
      </c>
      <c r="BJ7" s="73" t="s">
        <v>745</v>
      </c>
      <c r="BK7" s="73" t="s">
        <v>883</v>
      </c>
      <c r="BL7" s="73">
        <v>250</v>
      </c>
    </row>
    <row r="8" spans="3:64" ht="14.4">
      <c r="C8" t="s">
        <v>321</v>
      </c>
      <c r="D8" s="38">
        <v>160</v>
      </c>
      <c r="E8" s="38" t="s">
        <v>258</v>
      </c>
      <c r="F8" s="38">
        <v>0</v>
      </c>
      <c r="G8" s="38" t="s">
        <v>230</v>
      </c>
      <c r="H8" s="38">
        <v>3</v>
      </c>
      <c r="J8" t="s">
        <v>161</v>
      </c>
      <c r="K8" s="73" t="s">
        <v>598</v>
      </c>
      <c r="L8" s="73" t="str">
        <f t="shared" si="8" ref="L8">CONCATENATE(J8,K8)</f>
        <v>Streamline Cord OperationCentre Opening - Free Flowing (Offset Split)</v>
      </c>
      <c r="M8" s="73">
        <v>6</v>
      </c>
      <c r="N8"/>
      <c r="O8" s="112" t="s">
        <v>761</v>
      </c>
      <c r="P8" s="112" t="s">
        <v>219</v>
      </c>
      <c r="Q8" s="23" t="s">
        <v>198</v>
      </c>
      <c r="R8" s="73" t="str">
        <f t="shared" si="2"/>
        <v>Designer 15 Hand DrawnWhiteStraight</v>
      </c>
      <c r="S8" s="73" t="s">
        <v>223</v>
      </c>
      <c r="T8" s="73" t="s">
        <v>149</v>
      </c>
      <c r="U8" s="73">
        <v>0</v>
      </c>
      <c r="V8" s="73" t="s">
        <v>149</v>
      </c>
      <c r="X8" s="73" t="s">
        <v>296</v>
      </c>
      <c r="Y8" s="73" t="s">
        <v>190</v>
      </c>
      <c r="Z8" s="73" t="s">
        <v>439</v>
      </c>
      <c r="AA8" s="73" t="str">
        <f t="shared" si="3"/>
        <v>Wavefold Hand OperationTop Fix BracketsBoth Sides</v>
      </c>
      <c r="AB8" s="73" t="s">
        <v>601</v>
      </c>
      <c r="AD8" s="73" t="s">
        <v>296</v>
      </c>
      <c r="AE8" s="73" t="s">
        <v>190</v>
      </c>
      <c r="AF8" s="73" t="s">
        <v>439</v>
      </c>
      <c r="AG8" s="73" t="str">
        <f t="shared" si="4"/>
        <v>Wavefold Hand OperationTop Fix BracketsBoth Sides</v>
      </c>
      <c r="AH8" s="73" t="s">
        <v>601</v>
      </c>
      <c r="AJ8" s="73" t="s">
        <v>174</v>
      </c>
      <c r="AK8" s="73" t="s">
        <v>219</v>
      </c>
      <c r="AL8" s="73" t="str">
        <f t="shared" si="5"/>
        <v>Streamline Hand OperationWhite</v>
      </c>
      <c r="AM8" s="73" t="s">
        <v>703</v>
      </c>
      <c r="AO8" s="73" t="s">
        <v>174</v>
      </c>
      <c r="AP8" t="s">
        <v>599</v>
      </c>
      <c r="AQ8" t="str">
        <f t="shared" si="0"/>
        <v>Streamline Hand OperationCentre Opening (Offset Split)</v>
      </c>
      <c r="AX8" s="73">
        <v>2</v>
      </c>
      <c r="AZ8" t="s">
        <v>198</v>
      </c>
      <c r="BA8" t="s">
        <v>172</v>
      </c>
      <c r="BB8" s="38" t="str">
        <f t="shared" si="6"/>
        <v>StraightSingle Panel - Right Stacking</v>
      </c>
      <c r="BC8" s="38">
        <v>2</v>
      </c>
      <c r="BE8" t="s">
        <v>840</v>
      </c>
      <c r="BF8" t="s">
        <v>192</v>
      </c>
      <c r="BG8" s="73" t="str">
        <f t="shared" si="7"/>
        <v>Single25mm Brackets with Acorns</v>
      </c>
      <c r="BH8" s="73">
        <v>20</v>
      </c>
      <c r="BJ8" s="73" t="s">
        <v>746</v>
      </c>
      <c r="BK8" s="73" t="s">
        <v>884</v>
      </c>
      <c r="BL8" s="73">
        <v>250</v>
      </c>
    </row>
    <row r="9" spans="3:64" ht="14.4">
      <c r="C9" t="s">
        <v>322</v>
      </c>
      <c r="D9" s="38">
        <v>170</v>
      </c>
      <c r="E9" s="38" t="s">
        <v>187</v>
      </c>
      <c r="F9" s="38">
        <v>6</v>
      </c>
      <c r="G9" s="38" t="s">
        <v>231</v>
      </c>
      <c r="H9" s="38">
        <v>3</v>
      </c>
      <c r="J9" t="s">
        <v>174</v>
      </c>
      <c r="K9" t="s">
        <v>167</v>
      </c>
      <c r="L9" s="73" t="str">
        <f t="shared" si="1"/>
        <v>Streamline Hand OperationCentre Opening</v>
      </c>
      <c r="M9" s="73">
        <v>6</v>
      </c>
      <c r="N9"/>
      <c r="O9" s="112" t="s">
        <v>762</v>
      </c>
      <c r="P9" s="112" t="s">
        <v>222</v>
      </c>
      <c r="Q9" s="23" t="s">
        <v>198</v>
      </c>
      <c r="R9" s="73" t="str">
        <f t="shared" si="2"/>
        <v>Designer 15 S-Fold Cord DrawnBlackStraight</v>
      </c>
      <c r="S9" s="73" t="s">
        <v>223</v>
      </c>
      <c r="T9" s="73" t="s">
        <v>149</v>
      </c>
      <c r="U9" s="73">
        <v>0</v>
      </c>
      <c r="V9" s="73" t="s">
        <v>276</v>
      </c>
      <c r="X9" s="73" t="s">
        <v>296</v>
      </c>
      <c r="Y9" s="73" t="s">
        <v>264</v>
      </c>
      <c r="Z9" s="73" t="s">
        <v>439</v>
      </c>
      <c r="AA9" s="73" t="str">
        <f t="shared" si="3"/>
        <v>Wavefold Hand OperationTriple Face Fix BracketsBoth Sides</v>
      </c>
      <c r="AB9" s="73" t="s">
        <v>601</v>
      </c>
      <c r="AD9" s="73" t="s">
        <v>296</v>
      </c>
      <c r="AE9" s="73" t="s">
        <v>264</v>
      </c>
      <c r="AF9" s="73" t="s">
        <v>439</v>
      </c>
      <c r="AG9" s="73" t="str">
        <f t="shared" si="4"/>
        <v>Wavefold Hand OperationTriple Face Fix BracketsBoth Sides</v>
      </c>
      <c r="AH9" s="73" t="s">
        <v>601</v>
      </c>
      <c r="AJ9" s="73" t="s">
        <v>174</v>
      </c>
      <c r="AK9" s="73" t="s">
        <v>371</v>
      </c>
      <c r="AL9" s="73" t="str">
        <f t="shared" si="5"/>
        <v>Streamline Hand OperationMatt Black Ink</v>
      </c>
      <c r="AM9" s="73" t="s">
        <v>704</v>
      </c>
      <c r="AO9" s="73" t="s">
        <v>161</v>
      </c>
      <c r="AP9" t="s">
        <v>599</v>
      </c>
      <c r="AQ9" t="str">
        <f t="shared" si="0"/>
        <v>Streamline Cord OperationCentre Opening (Offset Split)</v>
      </c>
      <c r="AV9" s="73">
        <v>2</v>
      </c>
      <c r="AW9" s="73">
        <v>2</v>
      </c>
      <c r="AZ9" t="s">
        <v>817</v>
      </c>
      <c r="BA9" t="s">
        <v>172</v>
      </c>
      <c r="BB9" s="38" t="str">
        <f t="shared" si="6"/>
        <v>BentSingle Panel - Right Stacking</v>
      </c>
      <c r="BC9" s="38">
        <v>2</v>
      </c>
      <c r="BE9" t="s">
        <v>840</v>
      </c>
      <c r="BF9" t="s">
        <v>790</v>
      </c>
      <c r="BG9" s="73" t="str">
        <f t="shared" si="7"/>
        <v>Single32mm Face Fix Brackets</v>
      </c>
      <c r="BH9" s="73">
        <v>27</v>
      </c>
      <c r="BJ9" s="73" t="s">
        <v>747</v>
      </c>
      <c r="BK9" s="73" t="s">
        <v>885</v>
      </c>
      <c r="BL9" s="73">
        <v>250</v>
      </c>
    </row>
    <row r="10" spans="3:64" ht="14.4">
      <c r="C10" t="s">
        <v>225</v>
      </c>
      <c r="D10" s="38">
        <v>160</v>
      </c>
      <c r="E10" s="38" t="s">
        <v>250</v>
      </c>
      <c r="F10" s="38">
        <v>6</v>
      </c>
      <c r="G10" s="38" t="s">
        <v>232</v>
      </c>
      <c r="H10" s="38">
        <v>3</v>
      </c>
      <c r="J10" t="s">
        <v>174</v>
      </c>
      <c r="K10" s="73" t="s">
        <v>306</v>
      </c>
      <c r="L10" s="73" t="str">
        <f t="shared" si="1"/>
        <v>Streamline Hand OperationCentre Opening - Free Flowing</v>
      </c>
      <c r="M10" s="73">
        <v>6</v>
      </c>
      <c r="N10"/>
      <c r="O10" s="112" t="s">
        <v>762</v>
      </c>
      <c r="P10" s="112" t="s">
        <v>219</v>
      </c>
      <c r="Q10" s="23" t="s">
        <v>198</v>
      </c>
      <c r="R10" s="73" t="str">
        <f t="shared" si="2"/>
        <v>Designer 15 S-Fold Cord DrawnWhiteStraight</v>
      </c>
      <c r="S10" s="73" t="s">
        <v>223</v>
      </c>
      <c r="T10" s="73" t="s">
        <v>149</v>
      </c>
      <c r="U10" s="73">
        <v>0</v>
      </c>
      <c r="V10" s="73" t="s">
        <v>276</v>
      </c>
      <c r="X10" s="73" t="s">
        <v>275</v>
      </c>
      <c r="Y10" s="73" t="s">
        <v>191</v>
      </c>
      <c r="Z10" s="73" t="s">
        <v>443</v>
      </c>
      <c r="AA10" s="73" t="str">
        <f t="shared" si="3"/>
        <v>Wavefold Cord OperationDouble Face Fix BracketsLeft Only</v>
      </c>
      <c r="AB10" s="73" t="s">
        <v>602</v>
      </c>
      <c r="AD10" s="73" t="s">
        <v>275</v>
      </c>
      <c r="AE10" s="73" t="s">
        <v>191</v>
      </c>
      <c r="AF10" s="73" t="s">
        <v>443</v>
      </c>
      <c r="AG10" s="73" t="str">
        <f t="shared" si="4"/>
        <v>Wavefold Cord OperationDouble Face Fix BracketsLeft Only</v>
      </c>
      <c r="AH10" s="73" t="s">
        <v>602</v>
      </c>
      <c r="AJ10" s="73" t="s">
        <v>174</v>
      </c>
      <c r="AK10" s="73" t="s">
        <v>221</v>
      </c>
      <c r="AL10" s="73" t="str">
        <f t="shared" si="9" ref="AL10">CONCATENATE(AJ10,AK10)</f>
        <v>Streamline Hand OperationBirch White</v>
      </c>
      <c r="AM10" s="73" t="s">
        <v>797</v>
      </c>
      <c r="AO10" s="73" t="s">
        <v>296</v>
      </c>
      <c r="AP10" t="s">
        <v>171</v>
      </c>
      <c r="AQ10" t="str">
        <f t="shared" si="0"/>
        <v>Wavefold Hand OperationSingle Panel - Left Stacking</v>
      </c>
      <c r="AU10" s="73">
        <v>2</v>
      </c>
      <c r="AZ10" t="s">
        <v>198</v>
      </c>
      <c r="BA10" t="s">
        <v>306</v>
      </c>
      <c r="BB10" s="38" t="str">
        <f t="shared" si="6"/>
        <v>StraightCentre Opening - Free Flowing</v>
      </c>
      <c r="BC10" s="38">
        <v>4</v>
      </c>
      <c r="BE10" t="s">
        <v>840</v>
      </c>
      <c r="BF10" t="s">
        <v>842</v>
      </c>
      <c r="BG10" s="73" t="str">
        <f t="shared" si="7"/>
        <v>SingleBoldtrak Standard 145mm Bracket</v>
      </c>
      <c r="BH10" s="73">
        <v>145</v>
      </c>
      <c r="BJ10" s="73" t="s">
        <v>748</v>
      </c>
      <c r="BK10" s="73" t="s">
        <v>886</v>
      </c>
      <c r="BL10" s="73">
        <v>250</v>
      </c>
    </row>
    <row r="11" spans="3:64" ht="14.4">
      <c r="C11" t="s">
        <v>303</v>
      </c>
      <c r="D11" s="38">
        <v>70</v>
      </c>
      <c r="E11" s="38" t="s">
        <v>188</v>
      </c>
      <c r="F11" s="38">
        <v>6</v>
      </c>
      <c r="G11" s="38" t="s">
        <v>223</v>
      </c>
      <c r="J11" t="s">
        <v>174</v>
      </c>
      <c r="K11" t="s">
        <v>171</v>
      </c>
      <c r="L11" s="73" t="str">
        <f t="shared" si="1"/>
        <v>Streamline Hand OperationSingle Panel - Left Stacking</v>
      </c>
      <c r="M11" s="73">
        <v>6</v>
      </c>
      <c r="N11"/>
      <c r="O11" s="112" t="s">
        <v>763</v>
      </c>
      <c r="P11" s="112" t="s">
        <v>222</v>
      </c>
      <c r="Q11" s="23" t="s">
        <v>198</v>
      </c>
      <c r="R11" s="73" t="str">
        <f t="shared" si="2"/>
        <v>Designer 15 S-Fold Hand DrawnBlackStraight</v>
      </c>
      <c r="S11" s="73" t="s">
        <v>223</v>
      </c>
      <c r="T11" s="73" t="s">
        <v>149</v>
      </c>
      <c r="U11" s="73">
        <v>0</v>
      </c>
      <c r="V11" s="73" t="s">
        <v>276</v>
      </c>
      <c r="X11" s="73" t="s">
        <v>275</v>
      </c>
      <c r="Y11" s="73" t="s">
        <v>189</v>
      </c>
      <c r="Z11" s="73" t="s">
        <v>443</v>
      </c>
      <c r="AA11" s="73" t="str">
        <f t="shared" si="3"/>
        <v>Wavefold Cord OperationSingle Face Fix BracketsLeft Only</v>
      </c>
      <c r="AB11" s="73" t="s">
        <v>602</v>
      </c>
      <c r="AD11" s="73" t="s">
        <v>275</v>
      </c>
      <c r="AE11" s="73" t="s">
        <v>189</v>
      </c>
      <c r="AF11" s="73" t="s">
        <v>443</v>
      </c>
      <c r="AG11" s="73" t="str">
        <f t="shared" si="4"/>
        <v>Wavefold Cord OperationSingle Face Fix BracketsLeft Only</v>
      </c>
      <c r="AH11" s="73" t="s">
        <v>602</v>
      </c>
      <c r="AJ11" s="73" t="s">
        <v>174</v>
      </c>
      <c r="AK11" s="73" t="s">
        <v>238</v>
      </c>
      <c r="AL11" s="73" t="str">
        <f t="shared" si="5"/>
        <v>Streamline Hand OperationMatt Satin</v>
      </c>
      <c r="AM11" s="73" t="s">
        <v>893</v>
      </c>
      <c r="AO11" s="73" t="s">
        <v>275</v>
      </c>
      <c r="AP11" t="s">
        <v>171</v>
      </c>
      <c r="AQ11" t="str">
        <f t="shared" si="0"/>
        <v>Wavefold Cord OperationSingle Panel - Left Stacking</v>
      </c>
      <c r="AS11" s="73">
        <v>1</v>
      </c>
      <c r="AT11" s="73">
        <v>1</v>
      </c>
      <c r="AU11" s="73">
        <v>1</v>
      </c>
      <c r="AZ11" t="s">
        <v>817</v>
      </c>
      <c r="BA11" t="s">
        <v>306</v>
      </c>
      <c r="BB11" s="38" t="str">
        <f t="shared" si="6"/>
        <v>BentCentre Opening - Free Flowing</v>
      </c>
      <c r="BC11" s="38">
        <v>4</v>
      </c>
      <c r="BE11" t="s">
        <v>840</v>
      </c>
      <c r="BF11" t="s">
        <v>271</v>
      </c>
      <c r="BG11" s="73" t="str">
        <f t="shared" si="7"/>
        <v>SingleBoldtrak Standard 60mm Bracket</v>
      </c>
      <c r="BH11" s="73">
        <v>60</v>
      </c>
      <c r="BJ11" s="112" t="s">
        <v>176</v>
      </c>
      <c r="BK11" s="112" t="s">
        <v>176</v>
      </c>
      <c r="BL11" s="112" t="s">
        <v>815</v>
      </c>
    </row>
    <row r="12" spans="3:64" ht="14.4">
      <c r="C12" t="s">
        <v>323</v>
      </c>
      <c r="D12" s="38">
        <v>70</v>
      </c>
      <c r="E12" s="38" t="s">
        <v>192</v>
      </c>
      <c r="F12" s="38">
        <v>-70</v>
      </c>
      <c r="G12" s="38" t="s">
        <v>205</v>
      </c>
      <c r="J12" t="s">
        <v>174</v>
      </c>
      <c r="K12" t="s">
        <v>172</v>
      </c>
      <c r="L12" s="73" t="str">
        <f t="shared" si="1"/>
        <v>Streamline Hand OperationSingle Panel - Right Stacking</v>
      </c>
      <c r="M12" s="73">
        <v>6</v>
      </c>
      <c r="N12"/>
      <c r="O12" s="112" t="s">
        <v>763</v>
      </c>
      <c r="P12" s="112" t="s">
        <v>219</v>
      </c>
      <c r="Q12" s="23" t="s">
        <v>198</v>
      </c>
      <c r="R12" s="73" t="str">
        <f t="shared" si="2"/>
        <v>Designer 15 S-Fold Hand DrawnWhiteStraight</v>
      </c>
      <c r="S12" s="73" t="s">
        <v>223</v>
      </c>
      <c r="T12" s="73" t="s">
        <v>149</v>
      </c>
      <c r="U12" s="73">
        <v>0</v>
      </c>
      <c r="V12" s="73" t="s">
        <v>276</v>
      </c>
      <c r="X12" s="73" t="s">
        <v>275</v>
      </c>
      <c r="Y12" s="73" t="s">
        <v>190</v>
      </c>
      <c r="Z12" s="73" t="s">
        <v>443</v>
      </c>
      <c r="AA12" s="73" t="str">
        <f t="shared" si="3"/>
        <v>Wavefold Cord OperationTop Fix BracketsLeft Only</v>
      </c>
      <c r="AB12" s="73" t="s">
        <v>602</v>
      </c>
      <c r="AD12" s="73" t="s">
        <v>275</v>
      </c>
      <c r="AE12" s="73" t="s">
        <v>190</v>
      </c>
      <c r="AF12" s="73" t="s">
        <v>443</v>
      </c>
      <c r="AG12" s="73" t="str">
        <f t="shared" si="4"/>
        <v>Wavefold Cord OperationTop Fix BracketsLeft Only</v>
      </c>
      <c r="AH12" s="73" t="s">
        <v>602</v>
      </c>
      <c r="AJ12" s="73" t="s">
        <v>161</v>
      </c>
      <c r="AK12" s="73" t="s">
        <v>219</v>
      </c>
      <c r="AL12" s="73" t="str">
        <f t="shared" si="5"/>
        <v>Streamline Cord OperationWhite</v>
      </c>
      <c r="AM12" s="73" t="s">
        <v>703</v>
      </c>
      <c r="AO12" s="73" t="s">
        <v>174</v>
      </c>
      <c r="AP12" t="s">
        <v>171</v>
      </c>
      <c r="AQ12" t="str">
        <f t="shared" si="0"/>
        <v>Streamline Hand OperationSingle Panel - Left Stacking</v>
      </c>
      <c r="AX12" s="73">
        <v>2</v>
      </c>
      <c r="AZ12" t="s">
        <v>198</v>
      </c>
      <c r="BA12" s="38" t="s">
        <v>173</v>
      </c>
      <c r="BB12" s="38" t="str">
        <f t="shared" si="6"/>
        <v>StraightSingle Panel - Free Flowing</v>
      </c>
      <c r="BC12" s="38">
        <v>2</v>
      </c>
      <c r="BE12" t="s">
        <v>840</v>
      </c>
      <c r="BF12" t="s">
        <v>274</v>
      </c>
      <c r="BG12" s="73" t="str">
        <f t="shared" si="7"/>
        <v>SingleBoldtrak Top Fix Bracket</v>
      </c>
      <c r="BH12" s="73">
        <v>75</v>
      </c>
      <c r="BJ12" s="112" t="s">
        <v>175</v>
      </c>
      <c r="BK12" s="112" t="s">
        <v>175</v>
      </c>
      <c r="BL12" s="112" t="s">
        <v>815</v>
      </c>
    </row>
    <row r="13" spans="3:64" ht="14.4">
      <c r="C13" t="s">
        <v>324</v>
      </c>
      <c r="D13" s="38">
        <v>80</v>
      </c>
      <c r="E13" s="38" t="s">
        <v>193</v>
      </c>
      <c r="F13" s="38">
        <v>-70</v>
      </c>
      <c r="G13" s="38" t="s">
        <v>204</v>
      </c>
      <c r="J13" t="s">
        <v>174</v>
      </c>
      <c r="K13" t="s">
        <v>173</v>
      </c>
      <c r="L13" s="73" t="str">
        <f t="shared" si="1"/>
        <v>Streamline Hand OperationSingle Panel - Free Flowing</v>
      </c>
      <c r="M13" s="73">
        <v>6</v>
      </c>
      <c r="N13"/>
      <c r="O13" s="112" t="s">
        <v>764</v>
      </c>
      <c r="P13" s="112" t="s">
        <v>222</v>
      </c>
      <c r="Q13" s="23" t="s">
        <v>198</v>
      </c>
      <c r="R13" s="73" t="str">
        <f t="shared" si="2"/>
        <v>Designer 15 Wavefold Cord DrawnBlackStraight</v>
      </c>
      <c r="S13" s="73" t="s">
        <v>223</v>
      </c>
      <c r="T13" s="73" t="s">
        <v>149</v>
      </c>
      <c r="U13" s="73">
        <v>0</v>
      </c>
      <c r="V13" s="73" t="s">
        <v>276</v>
      </c>
      <c r="X13" s="73" t="s">
        <v>275</v>
      </c>
      <c r="Y13" s="73" t="s">
        <v>264</v>
      </c>
      <c r="Z13" s="73" t="s">
        <v>443</v>
      </c>
      <c r="AA13" s="73" t="str">
        <f t="shared" si="3"/>
        <v>Wavefold Cord OperationTriple Face Fix BracketsLeft Only</v>
      </c>
      <c r="AB13" s="73" t="s">
        <v>602</v>
      </c>
      <c r="AD13" s="73" t="s">
        <v>275</v>
      </c>
      <c r="AE13" s="73" t="s">
        <v>264</v>
      </c>
      <c r="AF13" s="73" t="s">
        <v>443</v>
      </c>
      <c r="AG13" s="73" t="str">
        <f t="shared" si="4"/>
        <v>Wavefold Cord OperationTriple Face Fix BracketsLeft Only</v>
      </c>
      <c r="AH13" s="73" t="s">
        <v>602</v>
      </c>
      <c r="AJ13" s="73" t="s">
        <v>161</v>
      </c>
      <c r="AK13" s="73" t="s">
        <v>371</v>
      </c>
      <c r="AL13" s="73" t="str">
        <f t="shared" si="5"/>
        <v>Streamline Cord OperationMatt Black Ink</v>
      </c>
      <c r="AM13" s="73" t="s">
        <v>704</v>
      </c>
      <c r="AO13" s="73" t="s">
        <v>161</v>
      </c>
      <c r="AP13" t="s">
        <v>171</v>
      </c>
      <c r="AQ13" t="str">
        <f t="shared" si="0"/>
        <v>Streamline Cord OperationSingle Panel - Left Stacking</v>
      </c>
      <c r="AV13" s="73">
        <v>1</v>
      </c>
      <c r="AW13" s="73">
        <v>1</v>
      </c>
      <c r="AX13" s="73">
        <v>1</v>
      </c>
      <c r="AZ13" t="s">
        <v>817</v>
      </c>
      <c r="BA13" t="s">
        <v>173</v>
      </c>
      <c r="BB13" s="38" t="str">
        <f t="shared" si="6"/>
        <v>BentSingle Panel - Free Flowing</v>
      </c>
      <c r="BC13" s="38">
        <v>2</v>
      </c>
      <c r="BE13" t="s">
        <v>840</v>
      </c>
      <c r="BF13" t="s">
        <v>843</v>
      </c>
      <c r="BG13" s="73" t="str">
        <f t="shared" si="7"/>
        <v>SingleBoldtrak Top Fix Suspension Bracket</v>
      </c>
      <c r="BH13" s="73">
        <v>75</v>
      </c>
      <c r="BJ13" s="112" t="s">
        <v>246</v>
      </c>
      <c r="BK13" s="112" t="s">
        <v>887</v>
      </c>
      <c r="BL13" s="112" t="s">
        <v>815</v>
      </c>
    </row>
    <row r="14" spans="3:64" ht="14.4">
      <c r="C14" t="s">
        <v>325</v>
      </c>
      <c r="D14" s="38">
        <v>80</v>
      </c>
      <c r="E14" s="38" t="s">
        <v>265</v>
      </c>
      <c r="F14" s="38">
        <v>-100</v>
      </c>
      <c r="J14" t="s">
        <v>174</v>
      </c>
      <c r="K14" t="s">
        <v>599</v>
      </c>
      <c r="L14" s="73" t="str">
        <f t="shared" si="10" ref="L14:L15">CONCATENATE(J14,K14)</f>
        <v>Streamline Hand OperationCentre Opening (Offset Split)</v>
      </c>
      <c r="M14" s="73">
        <v>6</v>
      </c>
      <c r="N14"/>
      <c r="O14" s="112" t="s">
        <v>764</v>
      </c>
      <c r="P14" s="112" t="s">
        <v>219</v>
      </c>
      <c r="Q14" s="23" t="s">
        <v>198</v>
      </c>
      <c r="R14" s="73" t="str">
        <f t="shared" si="2"/>
        <v>Designer 15 Wavefold Cord DrawnWhiteStraight</v>
      </c>
      <c r="S14" s="73" t="s">
        <v>223</v>
      </c>
      <c r="T14" s="73" t="s">
        <v>149</v>
      </c>
      <c r="U14" s="73">
        <v>0</v>
      </c>
      <c r="V14" s="73" t="s">
        <v>276</v>
      </c>
      <c r="X14" s="73" t="s">
        <v>296</v>
      </c>
      <c r="Y14" s="73" t="s">
        <v>191</v>
      </c>
      <c r="Z14" s="73" t="s">
        <v>443</v>
      </c>
      <c r="AA14" s="73" t="str">
        <f t="shared" si="3"/>
        <v>Wavefold Hand OperationDouble Face Fix BracketsLeft Only</v>
      </c>
      <c r="AB14" s="73" t="s">
        <v>602</v>
      </c>
      <c r="AD14" s="73" t="s">
        <v>296</v>
      </c>
      <c r="AE14" s="73" t="s">
        <v>191</v>
      </c>
      <c r="AF14" s="73" t="s">
        <v>443</v>
      </c>
      <c r="AG14" s="73" t="str">
        <f t="shared" si="4"/>
        <v>Wavefold Hand OperationDouble Face Fix BracketsLeft Only</v>
      </c>
      <c r="AH14" s="73" t="s">
        <v>602</v>
      </c>
      <c r="AJ14" s="73" t="s">
        <v>161</v>
      </c>
      <c r="AK14" s="73" t="s">
        <v>221</v>
      </c>
      <c r="AL14" s="73" t="str">
        <f t="shared" si="11" ref="AL14">CONCATENATE(AJ14,AK14)</f>
        <v>Streamline Cord OperationBirch White</v>
      </c>
      <c r="AM14" s="73" t="s">
        <v>797</v>
      </c>
      <c r="AO14" s="73" t="s">
        <v>296</v>
      </c>
      <c r="AP14" t="s">
        <v>172</v>
      </c>
      <c r="AQ14" t="str">
        <f t="shared" si="0"/>
        <v>Wavefold Hand OperationSingle Panel - Right Stacking</v>
      </c>
      <c r="AU14" s="73">
        <v>2</v>
      </c>
      <c r="AZ14" t="s">
        <v>198</v>
      </c>
      <c r="BA14" t="s">
        <v>598</v>
      </c>
      <c r="BB14" s="38" t="str">
        <f t="shared" si="12" ref="BB14:BB17">CONCATENATE(AZ14,BA14)</f>
        <v>StraightCentre Opening - Free Flowing (Offset Split)</v>
      </c>
      <c r="BC14" s="38">
        <v>4</v>
      </c>
      <c r="BE14" t="s">
        <v>840</v>
      </c>
      <c r="BF14" t="s">
        <v>798</v>
      </c>
      <c r="BG14" s="73" t="str">
        <f t="shared" si="7"/>
        <v>SingleMetal Top Fix Brackets</v>
      </c>
      <c r="BH14" s="73">
        <v>65</v>
      </c>
      <c r="BJ14" s="113" t="s">
        <v>760</v>
      </c>
      <c r="BK14" s="113" t="s">
        <v>760</v>
      </c>
      <c r="BL14" s="112" t="s">
        <v>815</v>
      </c>
    </row>
    <row r="15" spans="3:64" ht="14.4">
      <c r="C15" t="s">
        <v>278</v>
      </c>
      <c r="D15" s="38">
        <v>160</v>
      </c>
      <c r="E15" s="38" t="s">
        <v>266</v>
      </c>
      <c r="F15" s="38">
        <v>-100</v>
      </c>
      <c r="J15" t="s">
        <v>174</v>
      </c>
      <c r="K15" s="73" t="s">
        <v>598</v>
      </c>
      <c r="L15" s="73" t="str">
        <f t="shared" si="10"/>
        <v>Streamline Hand OperationCentre Opening - Free Flowing (Offset Split)</v>
      </c>
      <c r="M15" s="73">
        <v>6</v>
      </c>
      <c r="N15"/>
      <c r="O15" s="112" t="s">
        <v>765</v>
      </c>
      <c r="P15" s="112" t="s">
        <v>222</v>
      </c>
      <c r="Q15" s="23" t="s">
        <v>198</v>
      </c>
      <c r="R15" s="73" t="str">
        <f t="shared" si="2"/>
        <v>Designer 15 Wavefold Hand DrawnBlackStraight</v>
      </c>
      <c r="S15" s="73" t="s">
        <v>223</v>
      </c>
      <c r="T15" s="73" t="s">
        <v>149</v>
      </c>
      <c r="U15" s="73">
        <v>0</v>
      </c>
      <c r="V15" s="73" t="s">
        <v>276</v>
      </c>
      <c r="X15" s="73" t="s">
        <v>296</v>
      </c>
      <c r="Y15" s="73" t="s">
        <v>189</v>
      </c>
      <c r="Z15" s="73" t="s">
        <v>443</v>
      </c>
      <c r="AA15" s="73" t="str">
        <f t="shared" si="3"/>
        <v>Wavefold Hand OperationSingle Face Fix BracketsLeft Only</v>
      </c>
      <c r="AB15" s="73" t="s">
        <v>602</v>
      </c>
      <c r="AD15" s="73" t="s">
        <v>296</v>
      </c>
      <c r="AE15" s="73" t="s">
        <v>189</v>
      </c>
      <c r="AF15" s="73" t="s">
        <v>443</v>
      </c>
      <c r="AG15" s="73" t="str">
        <f t="shared" si="4"/>
        <v>Wavefold Hand OperationSingle Face Fix BracketsLeft Only</v>
      </c>
      <c r="AH15" s="73" t="s">
        <v>602</v>
      </c>
      <c r="AJ15" s="73" t="s">
        <v>161</v>
      </c>
      <c r="AK15" s="73" t="s">
        <v>238</v>
      </c>
      <c r="AL15" s="73" t="str">
        <f t="shared" si="5"/>
        <v>Streamline Cord OperationMatt Satin</v>
      </c>
      <c r="AM15" s="73" t="s">
        <v>893</v>
      </c>
      <c r="AO15" s="73" t="s">
        <v>275</v>
      </c>
      <c r="AP15" t="s">
        <v>172</v>
      </c>
      <c r="AQ15" t="str">
        <f t="shared" si="0"/>
        <v>Wavefold Cord OperationSingle Panel - Right Stacking</v>
      </c>
      <c r="AS15" s="73">
        <v>1</v>
      </c>
      <c r="AT15" s="73">
        <v>1</v>
      </c>
      <c r="AU15" s="73">
        <v>1</v>
      </c>
      <c r="AZ15" t="s">
        <v>817</v>
      </c>
      <c r="BA15" t="s">
        <v>598</v>
      </c>
      <c r="BB15" s="38" t="str">
        <f t="shared" si="12"/>
        <v>BentCentre Opening - Free Flowing (Offset Split)</v>
      </c>
      <c r="BC15" s="38">
        <v>4</v>
      </c>
      <c r="BE15" t="s">
        <v>840</v>
      </c>
      <c r="BF15" t="s">
        <v>187</v>
      </c>
      <c r="BG15" s="73" t="str">
        <f t="shared" si="7"/>
        <v>SingleMuslin Brackets</v>
      </c>
      <c r="BH15" s="73">
        <v>10</v>
      </c>
      <c r="BJ15" s="113" t="s">
        <v>761</v>
      </c>
      <c r="BK15" s="113" t="s">
        <v>761</v>
      </c>
      <c r="BL15" s="112" t="s">
        <v>815</v>
      </c>
    </row>
    <row r="16" spans="3:64" ht="14.4">
      <c r="C16" s="38" t="s">
        <v>326</v>
      </c>
      <c r="D16" s="38">
        <v>220</v>
      </c>
      <c r="E16" s="38" t="s">
        <v>211</v>
      </c>
      <c r="F16" s="38">
        <v>10</v>
      </c>
      <c r="J16" t="s">
        <v>174</v>
      </c>
      <c r="K16" s="73" t="s">
        <v>185</v>
      </c>
      <c r="L16" s="73" t="str">
        <f t="shared" si="1"/>
        <v>Streamline Hand OperationNo Movement</v>
      </c>
      <c r="M16" s="73">
        <v>6</v>
      </c>
      <c r="N16"/>
      <c r="O16" s="112" t="s">
        <v>765</v>
      </c>
      <c r="P16" s="112" t="s">
        <v>219</v>
      </c>
      <c r="Q16" s="23" t="s">
        <v>198</v>
      </c>
      <c r="R16" s="73" t="str">
        <f t="shared" si="2"/>
        <v>Designer 15 Wavefold Hand DrawnWhiteStraight</v>
      </c>
      <c r="S16" s="73" t="s">
        <v>223</v>
      </c>
      <c r="T16" s="73" t="s">
        <v>149</v>
      </c>
      <c r="U16" s="73">
        <v>0</v>
      </c>
      <c r="V16" s="73" t="s">
        <v>276</v>
      </c>
      <c r="X16" s="73" t="s">
        <v>296</v>
      </c>
      <c r="Y16" s="73" t="s">
        <v>190</v>
      </c>
      <c r="Z16" s="73" t="s">
        <v>443</v>
      </c>
      <c r="AA16" s="73" t="str">
        <f t="shared" si="3"/>
        <v>Wavefold Hand OperationTop Fix BracketsLeft Only</v>
      </c>
      <c r="AB16" s="73" t="s">
        <v>602</v>
      </c>
      <c r="AD16" s="73" t="s">
        <v>296</v>
      </c>
      <c r="AE16" s="73" t="s">
        <v>190</v>
      </c>
      <c r="AF16" s="73" t="s">
        <v>443</v>
      </c>
      <c r="AG16" s="73" t="str">
        <f t="shared" si="4"/>
        <v>Wavefold Hand OperationTop Fix BracketsLeft Only</v>
      </c>
      <c r="AH16" s="73" t="s">
        <v>602</v>
      </c>
      <c r="AJ16" t="s">
        <v>383</v>
      </c>
      <c r="AK16" s="38" t="s">
        <v>219</v>
      </c>
      <c r="AL16" s="73" t="str">
        <f t="shared" si="5"/>
        <v>SEM Streamline Hand OperationWhite</v>
      </c>
      <c r="AM16" s="73" t="s">
        <v>703</v>
      </c>
      <c r="AO16" s="73" t="s">
        <v>174</v>
      </c>
      <c r="AP16" t="s">
        <v>172</v>
      </c>
      <c r="AQ16" t="str">
        <f t="shared" si="0"/>
        <v>Streamline Hand OperationSingle Panel - Right Stacking</v>
      </c>
      <c r="AX16" s="73">
        <v>2</v>
      </c>
      <c r="AZ16" t="s">
        <v>198</v>
      </c>
      <c r="BA16" t="s">
        <v>185</v>
      </c>
      <c r="BB16" s="38" t="str">
        <f t="shared" si="12"/>
        <v>StraightNo Movement</v>
      </c>
      <c r="BE16" t="s">
        <v>840</v>
      </c>
      <c r="BF16" t="s">
        <v>250</v>
      </c>
      <c r="BG16" s="73" t="str">
        <f t="shared" si="7"/>
        <v>SingleMuslin Brackets Top and Bottom</v>
      </c>
      <c r="BH16" s="73">
        <v>10</v>
      </c>
      <c r="BJ16" s="113" t="s">
        <v>762</v>
      </c>
      <c r="BK16" s="113" t="s">
        <v>762</v>
      </c>
      <c r="BL16" s="112" t="s">
        <v>815</v>
      </c>
    </row>
    <row r="17" spans="3:64" ht="14.4">
      <c r="C17" s="38" t="s">
        <v>327</v>
      </c>
      <c r="D17" s="38">
        <v>230</v>
      </c>
      <c r="E17" s="38" t="s">
        <v>212</v>
      </c>
      <c r="F17" s="38">
        <v>5</v>
      </c>
      <c r="J17" t="s">
        <v>383</v>
      </c>
      <c r="K17" t="s">
        <v>173</v>
      </c>
      <c r="L17" s="73" t="str">
        <f t="shared" si="13" ref="L17">CONCATENATE(J17,K17)</f>
        <v>SEM Streamline Hand OperationSingle Panel - Free Flowing</v>
      </c>
      <c r="M17" s="73">
        <v>6</v>
      </c>
      <c r="N17"/>
      <c r="O17" s="112" t="s">
        <v>239</v>
      </c>
      <c r="P17" s="112" t="s">
        <v>244</v>
      </c>
      <c r="Q17" s="23" t="s">
        <v>817</v>
      </c>
      <c r="R17" s="73" t="str">
        <f t="shared" si="2"/>
        <v>Designer 25 Cord DrawnAntique BrassBent</v>
      </c>
      <c r="S17" s="73" t="s">
        <v>223</v>
      </c>
      <c r="T17" s="73" t="s">
        <v>276</v>
      </c>
      <c r="U17" s="73">
        <v>200</v>
      </c>
      <c r="V17" s="73" t="s">
        <v>149</v>
      </c>
      <c r="X17" s="73" t="s">
        <v>296</v>
      </c>
      <c r="Y17" s="73" t="s">
        <v>264</v>
      </c>
      <c r="Z17" s="73" t="s">
        <v>443</v>
      </c>
      <c r="AA17" s="73" t="str">
        <f t="shared" si="3"/>
        <v>Wavefold Hand OperationTriple Face Fix BracketsLeft Only</v>
      </c>
      <c r="AB17" s="73" t="s">
        <v>602</v>
      </c>
      <c r="AD17" s="73" t="s">
        <v>296</v>
      </c>
      <c r="AE17" s="73" t="s">
        <v>264</v>
      </c>
      <c r="AF17" s="73" t="s">
        <v>443</v>
      </c>
      <c r="AG17" s="73" t="str">
        <f t="shared" si="4"/>
        <v>Wavefold Hand OperationTriple Face Fix BracketsLeft Only</v>
      </c>
      <c r="AH17" s="73" t="s">
        <v>602</v>
      </c>
      <c r="AJ17" s="38" t="s">
        <v>242</v>
      </c>
      <c r="AK17" s="38" t="s">
        <v>219</v>
      </c>
      <c r="AL17" s="73" t="str">
        <f t="shared" si="5"/>
        <v>System 20 Light Commercial Track Hand DrawnWhite</v>
      </c>
      <c r="AM17" s="38" t="s">
        <v>721</v>
      </c>
      <c r="AO17" s="73" t="s">
        <v>161</v>
      </c>
      <c r="AP17" t="s">
        <v>172</v>
      </c>
      <c r="AQ17" t="str">
        <f t="shared" si="0"/>
        <v>Streamline Cord OperationSingle Panel - Right Stacking</v>
      </c>
      <c r="AV17" s="73">
        <v>1</v>
      </c>
      <c r="AW17" s="73">
        <v>1</v>
      </c>
      <c r="AX17" s="73">
        <v>1</v>
      </c>
      <c r="AZ17" t="s">
        <v>817</v>
      </c>
      <c r="BA17" t="s">
        <v>185</v>
      </c>
      <c r="BB17" s="38" t="str">
        <f t="shared" si="12"/>
        <v>BentNo Movement</v>
      </c>
      <c r="BE17" t="s">
        <v>840</v>
      </c>
      <c r="BF17" t="s">
        <v>815</v>
      </c>
      <c r="BG17" s="73" t="str">
        <f t="shared" si="7"/>
        <v>SingleN/A</v>
      </c>
      <c r="BH17" s="73">
        <v>0</v>
      </c>
      <c r="BJ17" s="113" t="s">
        <v>763</v>
      </c>
      <c r="BK17" s="113" t="s">
        <v>763</v>
      </c>
      <c r="BL17" s="112" t="s">
        <v>815</v>
      </c>
    </row>
    <row r="18" spans="3:64" ht="14.4">
      <c r="C18" t="s">
        <v>328</v>
      </c>
      <c r="D18" s="38">
        <v>170</v>
      </c>
      <c r="E18" s="38" t="s">
        <v>213</v>
      </c>
      <c r="F18" s="38">
        <v>0</v>
      </c>
      <c r="J18" t="s">
        <v>175</v>
      </c>
      <c r="K18" s="73" t="s">
        <v>167</v>
      </c>
      <c r="L18" s="73" t="str">
        <f t="shared" si="1"/>
        <v>ConduitCentre Opening</v>
      </c>
      <c r="M18" s="73">
        <v>0</v>
      </c>
      <c r="N18"/>
      <c r="O18" s="112" t="s">
        <v>239</v>
      </c>
      <c r="P18" s="112" t="s">
        <v>244</v>
      </c>
      <c r="Q18" s="112" t="s">
        <v>198</v>
      </c>
      <c r="R18" s="73" t="str">
        <f t="shared" si="2"/>
        <v>Designer 25 Cord DrawnAntique BrassStraight</v>
      </c>
      <c r="S18" s="73" t="s">
        <v>223</v>
      </c>
      <c r="T18" s="73" t="s">
        <v>276</v>
      </c>
      <c r="U18" s="73">
        <v>200</v>
      </c>
      <c r="V18" s="73" t="s">
        <v>149</v>
      </c>
      <c r="X18" s="73" t="s">
        <v>275</v>
      </c>
      <c r="Y18" s="73" t="s">
        <v>191</v>
      </c>
      <c r="Z18" s="73" t="s">
        <v>447</v>
      </c>
      <c r="AA18" s="73" t="str">
        <f t="shared" si="3"/>
        <v>Wavefold Cord OperationDouble Face Fix BracketsRight Only</v>
      </c>
      <c r="AB18" s="73" t="s">
        <v>603</v>
      </c>
      <c r="AD18" s="73" t="s">
        <v>275</v>
      </c>
      <c r="AE18" s="73" t="s">
        <v>191</v>
      </c>
      <c r="AF18" s="73" t="s">
        <v>447</v>
      </c>
      <c r="AG18" s="73" t="str">
        <f t="shared" si="4"/>
        <v>Wavefold Cord OperationDouble Face Fix BracketsRight Only</v>
      </c>
      <c r="AH18" s="73" t="s">
        <v>603</v>
      </c>
      <c r="AJ18" s="38" t="s">
        <v>242</v>
      </c>
      <c r="AK18" s="38" t="s">
        <v>371</v>
      </c>
      <c r="AL18" s="73" t="str">
        <f>CONCATENATE(AJ18,AK18)</f>
        <v>System 20 Light Commercial Track Hand DrawnMatt Black Ink</v>
      </c>
      <c r="AM18" s="38" t="s">
        <v>722</v>
      </c>
      <c r="AO18" s="73" t="s">
        <v>296</v>
      </c>
      <c r="AP18" t="s">
        <v>306</v>
      </c>
      <c r="AQ18" t="str">
        <f t="shared" si="0"/>
        <v>Wavefold Hand OperationCentre Opening - Free Flowing</v>
      </c>
      <c r="AU18" s="73">
        <v>2</v>
      </c>
      <c r="BE18" t="s">
        <v>840</v>
      </c>
      <c r="BF18" t="s">
        <v>263</v>
      </c>
      <c r="BG18" s="73" t="str">
        <f t="shared" si="7"/>
        <v>SingleNone Required</v>
      </c>
      <c r="BH18" s="73">
        <v>0</v>
      </c>
      <c r="BJ18" s="113" t="s">
        <v>764</v>
      </c>
      <c r="BK18" s="113" t="s">
        <v>764</v>
      </c>
      <c r="BL18" s="112" t="s">
        <v>815</v>
      </c>
    </row>
    <row r="19" spans="3:64" ht="14.4">
      <c r="C19" t="s">
        <v>208</v>
      </c>
      <c r="D19" s="38">
        <v>50</v>
      </c>
      <c r="E19" s="38" t="s">
        <v>214</v>
      </c>
      <c r="F19" s="38">
        <v>0</v>
      </c>
      <c r="J19" t="s">
        <v>175</v>
      </c>
      <c r="K19" s="73" t="s">
        <v>185</v>
      </c>
      <c r="L19" s="73" t="str">
        <f t="shared" si="1"/>
        <v>ConduitNo Movement</v>
      </c>
      <c r="M19" s="73">
        <v>0</v>
      </c>
      <c r="N19"/>
      <c r="O19" s="112" t="s">
        <v>239</v>
      </c>
      <c r="P19" s="112" t="s">
        <v>221</v>
      </c>
      <c r="Q19" s="23" t="s">
        <v>817</v>
      </c>
      <c r="R19" s="73" t="str">
        <f t="shared" si="2"/>
        <v>Designer 25 Cord DrawnBirch WhiteBent</v>
      </c>
      <c r="S19" s="73" t="s">
        <v>223</v>
      </c>
      <c r="T19" s="73" t="s">
        <v>276</v>
      </c>
      <c r="U19" s="73">
        <v>200</v>
      </c>
      <c r="V19" s="73" t="s">
        <v>149</v>
      </c>
      <c r="X19" s="73" t="s">
        <v>275</v>
      </c>
      <c r="Y19" s="73" t="s">
        <v>189</v>
      </c>
      <c r="Z19" s="73" t="s">
        <v>447</v>
      </c>
      <c r="AA19" s="73" t="str">
        <f t="shared" si="3"/>
        <v>Wavefold Cord OperationSingle Face Fix BracketsRight Only</v>
      </c>
      <c r="AB19" s="73" t="s">
        <v>603</v>
      </c>
      <c r="AD19" s="73" t="s">
        <v>275</v>
      </c>
      <c r="AE19" s="73" t="s">
        <v>189</v>
      </c>
      <c r="AF19" s="73" t="s">
        <v>447</v>
      </c>
      <c r="AG19" s="73" t="str">
        <f t="shared" si="4"/>
        <v>Wavefold Cord OperationSingle Face Fix BracketsRight Only</v>
      </c>
      <c r="AH19" s="73" t="s">
        <v>603</v>
      </c>
      <c r="AJ19" s="38" t="s">
        <v>242</v>
      </c>
      <c r="AK19" s="38" t="s">
        <v>222</v>
      </c>
      <c r="AL19" s="73" t="str">
        <f t="shared" si="5"/>
        <v>System 20 Light Commercial Track Hand DrawnBlack</v>
      </c>
      <c r="AM19" s="38" t="s">
        <v>755</v>
      </c>
      <c r="AO19" s="73" t="s">
        <v>174</v>
      </c>
      <c r="AP19" t="s">
        <v>306</v>
      </c>
      <c r="AQ19" t="str">
        <f t="shared" si="0"/>
        <v>Streamline Hand OperationCentre Opening - Free Flowing</v>
      </c>
      <c r="AX19" s="73">
        <v>2</v>
      </c>
      <c r="BE19" t="s">
        <v>840</v>
      </c>
      <c r="BF19" t="s">
        <v>189</v>
      </c>
      <c r="BG19" s="73" t="str">
        <f t="shared" si="7"/>
        <v>SingleSingle Face Fix Brackets</v>
      </c>
      <c r="BH19" s="73">
        <v>75</v>
      </c>
      <c r="BJ19" s="113" t="s">
        <v>765</v>
      </c>
      <c r="BK19" s="113" t="s">
        <v>765</v>
      </c>
      <c r="BL19" s="112" t="s">
        <v>815</v>
      </c>
    </row>
    <row r="20" spans="3:64" ht="14.4">
      <c r="C20" t="s">
        <v>329</v>
      </c>
      <c r="D20" s="38">
        <v>200</v>
      </c>
      <c r="E20" s="38" t="s">
        <v>251</v>
      </c>
      <c r="F20" s="38">
        <v>0</v>
      </c>
      <c r="J20" t="s">
        <v>246</v>
      </c>
      <c r="K20" s="73" t="s">
        <v>185</v>
      </c>
      <c r="L20" s="73" t="str">
        <f t="shared" si="1"/>
        <v>Conduit x 2No Movement</v>
      </c>
      <c r="M20" s="73">
        <v>0</v>
      </c>
      <c r="N20"/>
      <c r="O20" s="112" t="s">
        <v>239</v>
      </c>
      <c r="P20" s="112" t="s">
        <v>221</v>
      </c>
      <c r="Q20" s="23" t="s">
        <v>198</v>
      </c>
      <c r="R20" s="73" t="str">
        <f t="shared" si="2"/>
        <v>Designer 25 Cord DrawnBirch WhiteStraight</v>
      </c>
      <c r="S20" s="73" t="s">
        <v>223</v>
      </c>
      <c r="T20" s="73" t="s">
        <v>276</v>
      </c>
      <c r="U20" s="73">
        <v>200</v>
      </c>
      <c r="V20" s="73" t="s">
        <v>149</v>
      </c>
      <c r="X20" s="73" t="s">
        <v>275</v>
      </c>
      <c r="Y20" s="73" t="s">
        <v>190</v>
      </c>
      <c r="Z20" s="73" t="s">
        <v>447</v>
      </c>
      <c r="AA20" s="73" t="str">
        <f t="shared" si="3"/>
        <v>Wavefold Cord OperationTop Fix BracketsRight Only</v>
      </c>
      <c r="AB20" s="73" t="s">
        <v>603</v>
      </c>
      <c r="AD20" s="73" t="s">
        <v>275</v>
      </c>
      <c r="AE20" s="73" t="s">
        <v>190</v>
      </c>
      <c r="AF20" s="73" t="s">
        <v>447</v>
      </c>
      <c r="AG20" s="73" t="str">
        <f t="shared" si="4"/>
        <v>Wavefold Cord OperationTop Fix BracketsRight Only</v>
      </c>
      <c r="AH20" s="73" t="s">
        <v>603</v>
      </c>
      <c r="AJ20" s="38" t="s">
        <v>241</v>
      </c>
      <c r="AK20" s="38" t="s">
        <v>219</v>
      </c>
      <c r="AL20" s="73" t="str">
        <f t="shared" si="5"/>
        <v>System 20 Light Commercial Track Cord DrawnWhite</v>
      </c>
      <c r="AM20" s="38" t="s">
        <v>721</v>
      </c>
      <c r="AO20" s="73" t="s">
        <v>296</v>
      </c>
      <c r="AP20" t="s">
        <v>173</v>
      </c>
      <c r="AQ20" t="str">
        <f t="shared" si="0"/>
        <v>Wavefold Hand OperationSingle Panel - Free Flowing</v>
      </c>
      <c r="AU20" s="73">
        <v>2</v>
      </c>
      <c r="BE20" t="s">
        <v>840</v>
      </c>
      <c r="BF20" t="s">
        <v>214</v>
      </c>
      <c r="BG20" s="73" t="str">
        <f t="shared" si="7"/>
        <v>SingleTop Fix</v>
      </c>
      <c r="BH20" s="73">
        <v>75</v>
      </c>
      <c r="BJ20" s="113" t="s">
        <v>239</v>
      </c>
      <c r="BK20" s="113" t="s">
        <v>239</v>
      </c>
      <c r="BL20" s="113">
        <v>130</v>
      </c>
    </row>
    <row r="21" spans="1:64" ht="14.4">
      <c r="A21" s="229" t="s">
        <v>179</v>
      </c>
      <c r="B21" s="229"/>
      <c r="C21" t="s">
        <v>330</v>
      </c>
      <c r="D21" s="38">
        <v>140</v>
      </c>
      <c r="E21" s="38" t="s">
        <v>267</v>
      </c>
      <c r="F21" s="38">
        <v>0</v>
      </c>
      <c r="J21" t="s">
        <v>176</v>
      </c>
      <c r="K21" s="73" t="s">
        <v>185</v>
      </c>
      <c r="L21" s="73" t="str">
        <f t="shared" si="1"/>
        <v>29mm RodNo Movement</v>
      </c>
      <c r="M21" s="73">
        <v>30</v>
      </c>
      <c r="N21"/>
      <c r="O21" s="112" t="s">
        <v>239</v>
      </c>
      <c r="P21" s="112" t="s">
        <v>818</v>
      </c>
      <c r="Q21" s="23" t="s">
        <v>817</v>
      </c>
      <c r="R21" s="73" t="str">
        <f t="shared" si="2"/>
        <v>Designer 25 Cord DrawnChampagneBent</v>
      </c>
      <c r="S21" s="73" t="s">
        <v>223</v>
      </c>
      <c r="T21" s="73" t="s">
        <v>276</v>
      </c>
      <c r="U21" s="73">
        <v>200</v>
      </c>
      <c r="V21" s="73" t="s">
        <v>149</v>
      </c>
      <c r="X21" s="73" t="s">
        <v>275</v>
      </c>
      <c r="Y21" s="73" t="s">
        <v>264</v>
      </c>
      <c r="Z21" s="73" t="s">
        <v>447</v>
      </c>
      <c r="AA21" s="73" t="str">
        <f t="shared" si="3"/>
        <v>Wavefold Cord OperationTriple Face Fix BracketsRight Only</v>
      </c>
      <c r="AB21" s="73" t="s">
        <v>603</v>
      </c>
      <c r="AD21" s="73" t="s">
        <v>275</v>
      </c>
      <c r="AE21" s="73" t="s">
        <v>264</v>
      </c>
      <c r="AF21" s="73" t="s">
        <v>447</v>
      </c>
      <c r="AG21" s="73" t="str">
        <f t="shared" si="4"/>
        <v>Wavefold Cord OperationTriple Face Fix BracketsRight Only</v>
      </c>
      <c r="AH21" s="73" t="s">
        <v>603</v>
      </c>
      <c r="AJ21" s="38" t="s">
        <v>241</v>
      </c>
      <c r="AK21" s="38" t="s">
        <v>371</v>
      </c>
      <c r="AL21" s="73" t="str">
        <f t="shared" si="5"/>
        <v>System 20 Light Commercial Track Cord DrawnMatt Black Ink</v>
      </c>
      <c r="AM21" s="38" t="s">
        <v>722</v>
      </c>
      <c r="AO21" s="73" t="s">
        <v>174</v>
      </c>
      <c r="AP21" t="s">
        <v>173</v>
      </c>
      <c r="AQ21" t="str">
        <f t="shared" si="0"/>
        <v>Streamline Hand OperationSingle Panel - Free Flowing</v>
      </c>
      <c r="AX21" s="73">
        <v>2</v>
      </c>
      <c r="BE21" t="s">
        <v>840</v>
      </c>
      <c r="BF21" t="s">
        <v>190</v>
      </c>
      <c r="BG21" s="73" t="str">
        <f t="shared" si="7"/>
        <v>SingleTop Fix Brackets</v>
      </c>
      <c r="BH21" s="73">
        <v>75</v>
      </c>
      <c r="BJ21" s="113" t="s">
        <v>224</v>
      </c>
      <c r="BK21" s="113" t="s">
        <v>224</v>
      </c>
      <c r="BL21" s="113">
        <v>130</v>
      </c>
    </row>
    <row r="22" spans="1:64" ht="14.4">
      <c r="A22" s="133">
        <v>0</v>
      </c>
      <c r="B22" s="133">
        <v>2</v>
      </c>
      <c r="C22" s="38" t="s">
        <v>331</v>
      </c>
      <c r="D22" s="38">
        <v>320</v>
      </c>
      <c r="E22" s="38" t="s">
        <v>268</v>
      </c>
      <c r="F22" s="38">
        <v>0</v>
      </c>
      <c r="J22" t="s">
        <v>176</v>
      </c>
      <c r="K22" t="s">
        <v>167</v>
      </c>
      <c r="L22" s="73" t="str">
        <f t="shared" si="1"/>
        <v>29mm RodCentre Opening</v>
      </c>
      <c r="M22" s="73">
        <v>30</v>
      </c>
      <c r="N22"/>
      <c r="O22" s="112" t="s">
        <v>239</v>
      </c>
      <c r="P22" s="112" t="s">
        <v>818</v>
      </c>
      <c r="Q22" s="23" t="s">
        <v>198</v>
      </c>
      <c r="R22" s="73" t="str">
        <f t="shared" si="2"/>
        <v>Designer 25 Cord DrawnChampagneStraight</v>
      </c>
      <c r="S22" s="73" t="s">
        <v>223</v>
      </c>
      <c r="T22" s="73" t="s">
        <v>276</v>
      </c>
      <c r="U22" s="73">
        <v>200</v>
      </c>
      <c r="V22" s="73" t="s">
        <v>149</v>
      </c>
      <c r="X22" s="73" t="s">
        <v>296</v>
      </c>
      <c r="Y22" s="73" t="s">
        <v>191</v>
      </c>
      <c r="Z22" s="73" t="s">
        <v>447</v>
      </c>
      <c r="AA22" s="73" t="str">
        <f t="shared" si="3"/>
        <v>Wavefold Hand OperationDouble Face Fix BracketsRight Only</v>
      </c>
      <c r="AB22" s="73" t="s">
        <v>603</v>
      </c>
      <c r="AD22" s="73" t="s">
        <v>296</v>
      </c>
      <c r="AE22" s="73" t="s">
        <v>191</v>
      </c>
      <c r="AF22" s="73" t="s">
        <v>447</v>
      </c>
      <c r="AG22" s="73" t="str">
        <f t="shared" si="4"/>
        <v>Wavefold Hand OperationDouble Face Fix BracketsRight Only</v>
      </c>
      <c r="AH22" s="73" t="s">
        <v>603</v>
      </c>
      <c r="AJ22" s="38" t="s">
        <v>241</v>
      </c>
      <c r="AK22" s="38" t="s">
        <v>222</v>
      </c>
      <c r="AL22" s="73" t="str">
        <f t="shared" si="5"/>
        <v>System 20 Light Commercial Track Cord DrawnBlack</v>
      </c>
      <c r="AM22" s="38" t="s">
        <v>755</v>
      </c>
      <c r="AO22" s="73" t="s">
        <v>296</v>
      </c>
      <c r="AP22" t="s">
        <v>598</v>
      </c>
      <c r="AQ22" t="str">
        <f t="shared" si="0"/>
        <v>Wavefold Hand OperationCentre Opening - Free Flowing (Offset Split)</v>
      </c>
      <c r="AU22" s="73">
        <v>2</v>
      </c>
      <c r="BE22" t="s">
        <v>840</v>
      </c>
      <c r="BF22" t="s">
        <v>844</v>
      </c>
      <c r="BG22" s="73" t="str">
        <f t="shared" si="7"/>
        <v>SingleVantage Single Bracket 100mm</v>
      </c>
      <c r="BH22" s="73">
        <v>100</v>
      </c>
      <c r="BJ22" s="113" t="s">
        <v>243</v>
      </c>
      <c r="BK22" s="113" t="s">
        <v>243</v>
      </c>
      <c r="BL22" s="113">
        <v>130</v>
      </c>
    </row>
    <row r="23" spans="1:64" ht="14.4">
      <c r="A23" s="133">
        <v>800</v>
      </c>
      <c r="B23" s="133">
        <v>3</v>
      </c>
      <c r="C23" s="38" t="s">
        <v>332</v>
      </c>
      <c r="D23" s="38">
        <v>140</v>
      </c>
      <c r="E23" s="38" t="s">
        <v>269</v>
      </c>
      <c r="F23" s="38">
        <v>0</v>
      </c>
      <c r="J23" t="s">
        <v>176</v>
      </c>
      <c r="K23" t="s">
        <v>171</v>
      </c>
      <c r="L23" s="73" t="str">
        <f t="shared" si="1"/>
        <v>29mm RodSingle Panel - Left Stacking</v>
      </c>
      <c r="M23" s="73">
        <v>30</v>
      </c>
      <c r="N23"/>
      <c r="O23" s="112" t="s">
        <v>239</v>
      </c>
      <c r="P23" s="112" t="s">
        <v>819</v>
      </c>
      <c r="Q23" s="23" t="s">
        <v>817</v>
      </c>
      <c r="R23" s="73" t="str">
        <f t="shared" si="2"/>
        <v>Designer 25 Cord DrawnMatt BlackBent</v>
      </c>
      <c r="S23" s="73" t="s">
        <v>223</v>
      </c>
      <c r="T23" s="73" t="s">
        <v>276</v>
      </c>
      <c r="U23" s="73">
        <v>200</v>
      </c>
      <c r="V23" s="73" t="s">
        <v>149</v>
      </c>
      <c r="X23" s="73" t="s">
        <v>296</v>
      </c>
      <c r="Y23" s="73" t="s">
        <v>189</v>
      </c>
      <c r="Z23" s="73" t="s">
        <v>447</v>
      </c>
      <c r="AA23" s="73" t="str">
        <f t="shared" si="3"/>
        <v>Wavefold Hand OperationSingle Face Fix BracketsRight Only</v>
      </c>
      <c r="AB23" s="73" t="s">
        <v>603</v>
      </c>
      <c r="AD23" s="73" t="s">
        <v>296</v>
      </c>
      <c r="AE23" s="73" t="s">
        <v>189</v>
      </c>
      <c r="AF23" s="73" t="s">
        <v>447</v>
      </c>
      <c r="AG23" s="73" t="str">
        <f t="shared" si="4"/>
        <v>Wavefold Hand OperationSingle Face Fix BracketsRight Only</v>
      </c>
      <c r="AH23" s="73" t="s">
        <v>603</v>
      </c>
      <c r="AJ23" s="38" t="s">
        <v>175</v>
      </c>
      <c r="AK23" s="38" t="s">
        <v>228</v>
      </c>
      <c r="AL23" s="38" t="s">
        <v>814</v>
      </c>
      <c r="AM23" s="38" t="s">
        <v>175</v>
      </c>
      <c r="AO23" s="73" t="s">
        <v>174</v>
      </c>
      <c r="AP23" t="s">
        <v>598</v>
      </c>
      <c r="AQ23" t="str">
        <f t="shared" si="0"/>
        <v>Streamline Hand OperationCentre Opening - Free Flowing (Offset Split)</v>
      </c>
      <c r="AX23" s="73">
        <v>2</v>
      </c>
      <c r="BE23" t="s">
        <v>840</v>
      </c>
      <c r="BF23" t="s">
        <v>845</v>
      </c>
      <c r="BG23" s="73" t="str">
        <f t="shared" si="7"/>
        <v>SingleVantage Single Bracket 140mm</v>
      </c>
      <c r="BH23" s="73">
        <v>140</v>
      </c>
      <c r="BJ23" s="113" t="s">
        <v>245</v>
      </c>
      <c r="BK23" s="113" t="s">
        <v>245</v>
      </c>
      <c r="BL23" s="113">
        <v>130</v>
      </c>
    </row>
    <row r="24" spans="1:64" ht="14.4">
      <c r="A24" s="133">
        <v>1500</v>
      </c>
      <c r="B24" s="133">
        <v>4</v>
      </c>
      <c r="C24" s="38" t="s">
        <v>333</v>
      </c>
      <c r="D24" s="38">
        <v>320</v>
      </c>
      <c r="E24" s="38" t="s">
        <v>270</v>
      </c>
      <c r="F24" s="38">
        <v>0</v>
      </c>
      <c r="J24" t="s">
        <v>176</v>
      </c>
      <c r="K24" t="s">
        <v>173</v>
      </c>
      <c r="L24" s="73" t="str">
        <f t="shared" si="1"/>
        <v>29mm RodSingle Panel - Free Flowing</v>
      </c>
      <c r="M24">
        <v>30</v>
      </c>
      <c r="N24"/>
      <c r="O24" s="112" t="s">
        <v>239</v>
      </c>
      <c r="P24" s="112" t="s">
        <v>819</v>
      </c>
      <c r="Q24" s="23" t="s">
        <v>198</v>
      </c>
      <c r="R24" s="73" t="str">
        <f t="shared" si="2"/>
        <v>Designer 25 Cord DrawnMatt BlackStraight</v>
      </c>
      <c r="S24" s="73" t="s">
        <v>223</v>
      </c>
      <c r="T24" s="73" t="s">
        <v>276</v>
      </c>
      <c r="U24" s="73">
        <v>200</v>
      </c>
      <c r="V24" s="73" t="s">
        <v>149</v>
      </c>
      <c r="X24" s="73" t="s">
        <v>296</v>
      </c>
      <c r="Y24" s="73" t="s">
        <v>190</v>
      </c>
      <c r="Z24" s="73" t="s">
        <v>447</v>
      </c>
      <c r="AA24" s="73" t="str">
        <f t="shared" si="3"/>
        <v>Wavefold Hand OperationTop Fix BracketsRight Only</v>
      </c>
      <c r="AB24" s="73" t="s">
        <v>603</v>
      </c>
      <c r="AD24" s="73" t="s">
        <v>296</v>
      </c>
      <c r="AE24" s="73" t="s">
        <v>190</v>
      </c>
      <c r="AF24" s="73" t="s">
        <v>447</v>
      </c>
      <c r="AG24" s="73" t="str">
        <f t="shared" si="4"/>
        <v>Wavefold Hand OperationTop Fix BracketsRight Only</v>
      </c>
      <c r="AH24" s="73" t="s">
        <v>603</v>
      </c>
      <c r="AL24" s="38" t="s">
        <v>813</v>
      </c>
      <c r="AM24" s="38" t="s">
        <v>815</v>
      </c>
      <c r="AO24" s="73" t="s">
        <v>296</v>
      </c>
      <c r="AP24" t="s">
        <v>185</v>
      </c>
      <c r="AQ24" t="str">
        <f t="shared" si="0"/>
        <v>Wavefold Hand OperationNo Movement</v>
      </c>
      <c r="AU24" s="73">
        <v>2</v>
      </c>
      <c r="BE24" t="s">
        <v>840</v>
      </c>
      <c r="BF24" t="s">
        <v>846</v>
      </c>
      <c r="BG24" s="73" t="str">
        <f t="shared" si="7"/>
        <v>SingleVantage Top Fix Bracket</v>
      </c>
      <c r="BH24" s="73">
        <v>100</v>
      </c>
      <c r="BJ24" s="113" t="s">
        <v>279</v>
      </c>
      <c r="BK24" s="113" t="s">
        <v>279</v>
      </c>
      <c r="BL24" s="113">
        <v>130</v>
      </c>
    </row>
    <row r="25" spans="1:64" ht="14.4">
      <c r="A25" s="133">
        <v>2200</v>
      </c>
      <c r="B25" s="133">
        <v>5</v>
      </c>
      <c r="C25" s="38" t="s">
        <v>334</v>
      </c>
      <c r="D25" s="38">
        <v>440</v>
      </c>
      <c r="E25" s="38" t="s">
        <v>271</v>
      </c>
      <c r="F25" s="38">
        <v>0</v>
      </c>
      <c r="J25" t="s">
        <v>176</v>
      </c>
      <c r="K25" t="s">
        <v>172</v>
      </c>
      <c r="L25" s="73" t="str">
        <f t="shared" si="1"/>
        <v>29mm RodSingle Panel - Right Stacking</v>
      </c>
      <c r="M25" s="73">
        <v>30</v>
      </c>
      <c r="N25"/>
      <c r="O25" s="112" t="s">
        <v>239</v>
      </c>
      <c r="P25" s="112" t="s">
        <v>238</v>
      </c>
      <c r="Q25" s="23" t="s">
        <v>817</v>
      </c>
      <c r="R25" s="73" t="str">
        <f t="shared" si="2"/>
        <v>Designer 25 Cord DrawnMatt SatinBent</v>
      </c>
      <c r="S25" s="73" t="s">
        <v>223</v>
      </c>
      <c r="T25" s="73" t="s">
        <v>276</v>
      </c>
      <c r="U25" s="73">
        <v>200</v>
      </c>
      <c r="V25" s="73" t="s">
        <v>149</v>
      </c>
      <c r="X25" s="73" t="s">
        <v>296</v>
      </c>
      <c r="Y25" s="73" t="s">
        <v>264</v>
      </c>
      <c r="Z25" s="73" t="s">
        <v>447</v>
      </c>
      <c r="AA25" s="73" t="str">
        <f t="shared" si="3"/>
        <v>Wavefold Hand OperationTriple Face Fix BracketsRight Only</v>
      </c>
      <c r="AB25" s="73" t="s">
        <v>603</v>
      </c>
      <c r="AD25" s="73" t="s">
        <v>296</v>
      </c>
      <c r="AE25" s="73" t="s">
        <v>264</v>
      </c>
      <c r="AF25" s="73" t="s">
        <v>447</v>
      </c>
      <c r="AG25" s="73" t="str">
        <f t="shared" si="4"/>
        <v>Wavefold Hand OperationTriple Face Fix BracketsRight Only</v>
      </c>
      <c r="AH25" s="73" t="s">
        <v>603</v>
      </c>
      <c r="AO25" s="73" t="s">
        <v>174</v>
      </c>
      <c r="AP25" t="s">
        <v>185</v>
      </c>
      <c r="AQ25" t="str">
        <f t="shared" si="0"/>
        <v>Streamline Hand OperationNo Movement</v>
      </c>
      <c r="AX25" s="73">
        <v>2</v>
      </c>
      <c r="BE25" t="s">
        <v>840</v>
      </c>
      <c r="BF25" t="s">
        <v>847</v>
      </c>
      <c r="BG25" s="73" t="str">
        <f t="shared" si="7"/>
        <v>SingleVersatrak 16mm Top Fix 100mm Suspension Bracket</v>
      </c>
      <c r="BH25" s="73">
        <v>75</v>
      </c>
      <c r="BJ25" s="113" t="s">
        <v>280</v>
      </c>
      <c r="BK25" s="113" t="s">
        <v>280</v>
      </c>
      <c r="BL25" s="113">
        <v>130</v>
      </c>
    </row>
    <row r="26" spans="1:64" ht="14.4">
      <c r="A26" s="133">
        <v>2800</v>
      </c>
      <c r="B26" s="133">
        <v>6</v>
      </c>
      <c r="C26" s="38" t="s">
        <v>335</v>
      </c>
      <c r="D26" s="38">
        <v>140</v>
      </c>
      <c r="E26" s="38" t="s">
        <v>272</v>
      </c>
      <c r="F26" s="38">
        <v>0</v>
      </c>
      <c r="J26" s="73" t="s">
        <v>318</v>
      </c>
      <c r="K26" t="s">
        <v>167</v>
      </c>
      <c r="L26" s="73" t="str">
        <f t="shared" si="1"/>
        <v>No Track or Rod RequiredCentre Opening</v>
      </c>
      <c r="M26" s="73">
        <v>0</v>
      </c>
      <c r="N26"/>
      <c r="O26" s="112" t="s">
        <v>239</v>
      </c>
      <c r="P26" s="112" t="s">
        <v>238</v>
      </c>
      <c r="Q26" s="23" t="s">
        <v>198</v>
      </c>
      <c r="R26" s="73" t="str">
        <f t="shared" si="2"/>
        <v>Designer 25 Cord DrawnMatt SatinStraight</v>
      </c>
      <c r="S26" s="73" t="s">
        <v>223</v>
      </c>
      <c r="T26" s="73" t="s">
        <v>276</v>
      </c>
      <c r="U26" s="73">
        <v>200</v>
      </c>
      <c r="V26" s="73" t="s">
        <v>149</v>
      </c>
      <c r="X26" s="73" t="s">
        <v>275</v>
      </c>
      <c r="Y26" s="73" t="s">
        <v>191</v>
      </c>
      <c r="Z26" s="73" t="s">
        <v>453</v>
      </c>
      <c r="AA26" s="73" t="str">
        <f t="shared" si="3"/>
        <v>Wavefold Cord OperationDouble Face Fix BracketsDouble Left</v>
      </c>
      <c r="AB26" s="73" t="s">
        <v>453</v>
      </c>
      <c r="AD26" s="73" t="s">
        <v>275</v>
      </c>
      <c r="AE26" s="73" t="s">
        <v>191</v>
      </c>
      <c r="AF26" s="73" t="s">
        <v>453</v>
      </c>
      <c r="AG26" s="73" t="str">
        <f t="shared" si="4"/>
        <v>Wavefold Cord OperationDouble Face Fix BracketsDouble Left</v>
      </c>
      <c r="AH26" s="73" t="s">
        <v>453</v>
      </c>
      <c r="AO26" t="s">
        <v>383</v>
      </c>
      <c r="AP26" t="s">
        <v>173</v>
      </c>
      <c r="AQ26" t="str">
        <f t="shared" si="0"/>
        <v>SEM Streamline Hand OperationSingle Panel - Free Flowing</v>
      </c>
      <c r="AX26" s="73">
        <v>2</v>
      </c>
      <c r="BE26" t="s">
        <v>840</v>
      </c>
      <c r="BF26" t="s">
        <v>848</v>
      </c>
      <c r="BG26" s="73" t="str">
        <f t="shared" si="7"/>
        <v>SingleVersatrak 25mm Top Fix 100mm Suspension Bracket</v>
      </c>
      <c r="BH26" s="73">
        <v>75</v>
      </c>
      <c r="BJ26" s="113" t="s">
        <v>256</v>
      </c>
      <c r="BK26" s="113" t="s">
        <v>256</v>
      </c>
      <c r="BL26" s="113" t="s">
        <v>815</v>
      </c>
    </row>
    <row r="27" spans="1:64" ht="14.4">
      <c r="A27" s="133">
        <v>3400</v>
      </c>
      <c r="B27" s="133">
        <v>7</v>
      </c>
      <c r="C27" s="38" t="s">
        <v>336</v>
      </c>
      <c r="D27" s="38">
        <v>440</v>
      </c>
      <c r="E27" s="38" t="s">
        <v>273</v>
      </c>
      <c r="F27" s="38">
        <v>0</v>
      </c>
      <c r="J27" s="73" t="s">
        <v>318</v>
      </c>
      <c r="K27" s="73" t="s">
        <v>306</v>
      </c>
      <c r="L27" s="73" t="str">
        <f t="shared" si="1"/>
        <v>No Track or Rod RequiredCentre Opening - Free Flowing</v>
      </c>
      <c r="M27" s="73">
        <v>0</v>
      </c>
      <c r="N27"/>
      <c r="O27" s="112" t="s">
        <v>239</v>
      </c>
      <c r="P27" s="112" t="s">
        <v>219</v>
      </c>
      <c r="Q27" s="23" t="s">
        <v>817</v>
      </c>
      <c r="R27" s="73" t="str">
        <f t="shared" si="2"/>
        <v>Designer 25 Cord DrawnWhiteBent</v>
      </c>
      <c r="S27" s="73" t="s">
        <v>223</v>
      </c>
      <c r="T27" s="73" t="s">
        <v>276</v>
      </c>
      <c r="U27" s="73">
        <v>200</v>
      </c>
      <c r="V27" s="73" t="s">
        <v>149</v>
      </c>
      <c r="X27" s="73" t="s">
        <v>275</v>
      </c>
      <c r="Y27" s="73" t="s">
        <v>189</v>
      </c>
      <c r="Z27" s="73" t="s">
        <v>453</v>
      </c>
      <c r="AA27" s="73" t="str">
        <f t="shared" si="3"/>
        <v>Wavefold Cord OperationSingle Face Fix BracketsDouble Left</v>
      </c>
      <c r="AB27" s="73" t="s">
        <v>453</v>
      </c>
      <c r="AD27" s="73" t="s">
        <v>275</v>
      </c>
      <c r="AE27" s="73" t="s">
        <v>189</v>
      </c>
      <c r="AF27" s="73" t="s">
        <v>453</v>
      </c>
      <c r="AG27" s="73" t="str">
        <f t="shared" si="4"/>
        <v>Wavefold Cord OperationSingle Face Fix BracketsDouble Left</v>
      </c>
      <c r="AH27" s="73" t="s">
        <v>453</v>
      </c>
      <c r="AO27" s="38" t="s">
        <v>242</v>
      </c>
      <c r="AP27" t="s">
        <v>167</v>
      </c>
      <c r="AQ27" t="str">
        <f t="shared" si="0"/>
        <v>System 20 Light Commercial Track Hand DrawnCentre Opening</v>
      </c>
      <c r="AU27" s="73">
        <v>2</v>
      </c>
      <c r="BE27" t="s">
        <v>840</v>
      </c>
      <c r="BF27" t="s">
        <v>849</v>
      </c>
      <c r="BG27" s="73" t="str">
        <f t="shared" si="7"/>
        <v>SingleVersatrak Glide Bracket 100mm</v>
      </c>
      <c r="BH27" s="73">
        <v>100</v>
      </c>
      <c r="BJ27" s="113" t="s">
        <v>257</v>
      </c>
      <c r="BK27" s="113" t="s">
        <v>257</v>
      </c>
      <c r="BL27" s="113" t="s">
        <v>815</v>
      </c>
    </row>
    <row r="28" spans="1:64" ht="14.4">
      <c r="A28" s="133">
        <v>4000</v>
      </c>
      <c r="B28" s="133">
        <v>8</v>
      </c>
      <c r="C28" s="38" t="s">
        <v>337</v>
      </c>
      <c r="D28" s="38">
        <v>140</v>
      </c>
      <c r="E28" s="38" t="s">
        <v>274</v>
      </c>
      <c r="F28" s="38">
        <v>0</v>
      </c>
      <c r="J28" s="73" t="s">
        <v>318</v>
      </c>
      <c r="K28" t="s">
        <v>171</v>
      </c>
      <c r="L28" s="73" t="str">
        <f t="shared" si="1"/>
        <v>No Track or Rod RequiredSingle Panel - Left Stacking</v>
      </c>
      <c r="M28" s="73">
        <v>0</v>
      </c>
      <c r="N28"/>
      <c r="O28" s="112" t="s">
        <v>239</v>
      </c>
      <c r="P28" s="112" t="s">
        <v>219</v>
      </c>
      <c r="Q28" s="23" t="s">
        <v>198</v>
      </c>
      <c r="R28" s="73" t="str">
        <f t="shared" si="2"/>
        <v>Designer 25 Cord DrawnWhiteStraight</v>
      </c>
      <c r="S28" s="73" t="s">
        <v>223</v>
      </c>
      <c r="T28" s="73" t="s">
        <v>276</v>
      </c>
      <c r="U28" s="73">
        <v>200</v>
      </c>
      <c r="V28" s="73" t="s">
        <v>149</v>
      </c>
      <c r="X28" s="73" t="s">
        <v>275</v>
      </c>
      <c r="Y28" s="73" t="s">
        <v>190</v>
      </c>
      <c r="Z28" s="73" t="s">
        <v>453</v>
      </c>
      <c r="AA28" s="73" t="str">
        <f t="shared" si="3"/>
        <v>Wavefold Cord OperationTop Fix BracketsDouble Left</v>
      </c>
      <c r="AB28" s="73" t="s">
        <v>453</v>
      </c>
      <c r="AD28" s="73" t="s">
        <v>275</v>
      </c>
      <c r="AE28" s="73" t="s">
        <v>190</v>
      </c>
      <c r="AF28" s="73" t="s">
        <v>453</v>
      </c>
      <c r="AG28" s="73" t="str">
        <f t="shared" si="4"/>
        <v>Wavefold Cord OperationTop Fix BracketsDouble Left</v>
      </c>
      <c r="AH28" s="73" t="s">
        <v>453</v>
      </c>
      <c r="AO28" s="38" t="s">
        <v>242</v>
      </c>
      <c r="AP28" t="s">
        <v>599</v>
      </c>
      <c r="AQ28" t="str">
        <f t="shared" si="0"/>
        <v>System 20 Light Commercial Track Hand DrawnCentre Opening (Offset Split)</v>
      </c>
      <c r="AU28" s="73">
        <v>2</v>
      </c>
      <c r="BE28" t="s">
        <v>840</v>
      </c>
      <c r="BF28" t="s">
        <v>850</v>
      </c>
      <c r="BG28" s="73" t="str">
        <f t="shared" si="7"/>
        <v>SingleVersatrak Glide Bracket 140mm</v>
      </c>
      <c r="BH28" s="73">
        <v>140</v>
      </c>
      <c r="BJ28" s="113" t="s">
        <v>281</v>
      </c>
      <c r="BK28" s="113" t="s">
        <v>281</v>
      </c>
      <c r="BL28" s="113" t="s">
        <v>815</v>
      </c>
    </row>
    <row r="29" spans="1:64" ht="14.4">
      <c r="A29" s="133">
        <v>4800</v>
      </c>
      <c r="B29" s="133">
        <v>9</v>
      </c>
      <c r="C29" s="38" t="s">
        <v>338</v>
      </c>
      <c r="D29" s="38">
        <v>320</v>
      </c>
      <c r="E29" s="38" t="s">
        <v>263</v>
      </c>
      <c r="F29" s="38">
        <v>0</v>
      </c>
      <c r="J29" s="73" t="s">
        <v>318</v>
      </c>
      <c r="K29" t="s">
        <v>172</v>
      </c>
      <c r="L29" s="73" t="str">
        <f t="shared" si="1"/>
        <v>No Track or Rod RequiredSingle Panel - Right Stacking</v>
      </c>
      <c r="M29" s="73">
        <v>0</v>
      </c>
      <c r="N29"/>
      <c r="O29" s="112" t="s">
        <v>224</v>
      </c>
      <c r="P29" s="112" t="s">
        <v>244</v>
      </c>
      <c r="Q29" s="23" t="s">
        <v>817</v>
      </c>
      <c r="R29" s="73" t="str">
        <f t="shared" si="2"/>
        <v>Designer 25 Hand DrawnAntique BrassBent</v>
      </c>
      <c r="S29" s="73" t="s">
        <v>223</v>
      </c>
      <c r="T29" s="73" t="s">
        <v>276</v>
      </c>
      <c r="U29" s="73">
        <v>200</v>
      </c>
      <c r="V29" s="73" t="s">
        <v>149</v>
      </c>
      <c r="X29" s="73" t="s">
        <v>275</v>
      </c>
      <c r="Y29" s="73" t="s">
        <v>264</v>
      </c>
      <c r="Z29" s="73" t="s">
        <v>453</v>
      </c>
      <c r="AA29" s="73" t="str">
        <f t="shared" si="3"/>
        <v>Wavefold Cord OperationTriple Face Fix BracketsDouble Left</v>
      </c>
      <c r="AB29" s="73" t="s">
        <v>453</v>
      </c>
      <c r="AD29" s="73" t="s">
        <v>275</v>
      </c>
      <c r="AE29" s="73" t="s">
        <v>264</v>
      </c>
      <c r="AF29" s="73" t="s">
        <v>453</v>
      </c>
      <c r="AG29" s="73" t="str">
        <f t="shared" si="4"/>
        <v>Wavefold Cord OperationTriple Face Fix BracketsDouble Left</v>
      </c>
      <c r="AH29" s="73" t="s">
        <v>453</v>
      </c>
      <c r="AO29" s="38" t="s">
        <v>242</v>
      </c>
      <c r="AP29" t="s">
        <v>171</v>
      </c>
      <c r="AQ29" t="str">
        <f t="shared" si="0"/>
        <v>System 20 Light Commercial Track Hand DrawnSingle Panel - Left Stacking</v>
      </c>
      <c r="AU29" s="73">
        <v>2</v>
      </c>
      <c r="BE29" t="s">
        <v>840</v>
      </c>
      <c r="BF29" t="s">
        <v>851</v>
      </c>
      <c r="BG29" s="73" t="str">
        <f t="shared" si="7"/>
        <v>SingleVersatrak Glide Bracket 40mm</v>
      </c>
      <c r="BH29" s="73">
        <v>40</v>
      </c>
      <c r="BJ29" s="113" t="s">
        <v>282</v>
      </c>
      <c r="BK29" s="113" t="s">
        <v>282</v>
      </c>
      <c r="BL29" s="113" t="s">
        <v>815</v>
      </c>
    </row>
    <row r="30" spans="1:64" ht="14.4">
      <c r="A30" s="133">
        <v>5600</v>
      </c>
      <c r="B30" s="133">
        <v>10</v>
      </c>
      <c r="C30" s="38" t="s">
        <v>339</v>
      </c>
      <c r="D30" s="38">
        <v>70</v>
      </c>
      <c r="J30" s="73" t="s">
        <v>318</v>
      </c>
      <c r="K30" t="s">
        <v>173</v>
      </c>
      <c r="L30" s="73" t="str">
        <f t="shared" si="1"/>
        <v>No Track or Rod RequiredSingle Panel - Free Flowing</v>
      </c>
      <c r="M30" s="73">
        <v>0</v>
      </c>
      <c r="N30"/>
      <c r="O30" s="113" t="s">
        <v>224</v>
      </c>
      <c r="P30" s="113" t="s">
        <v>244</v>
      </c>
      <c r="Q30" s="23" t="s">
        <v>198</v>
      </c>
      <c r="R30" s="73" t="str">
        <f t="shared" si="2"/>
        <v>Designer 25 Hand DrawnAntique BrassStraight</v>
      </c>
      <c r="S30" s="73" t="s">
        <v>223</v>
      </c>
      <c r="T30" s="73" t="s">
        <v>276</v>
      </c>
      <c r="U30" s="73">
        <v>200</v>
      </c>
      <c r="V30" s="73" t="s">
        <v>149</v>
      </c>
      <c r="X30" s="73" t="s">
        <v>296</v>
      </c>
      <c r="Y30" s="73" t="s">
        <v>191</v>
      </c>
      <c r="Z30" s="73" t="s">
        <v>453</v>
      </c>
      <c r="AA30" s="73" t="str">
        <f t="shared" si="3"/>
        <v>Wavefold Hand OperationDouble Face Fix BracketsDouble Left</v>
      </c>
      <c r="AB30" s="73" t="s">
        <v>453</v>
      </c>
      <c r="AD30" s="73" t="s">
        <v>296</v>
      </c>
      <c r="AE30" s="73" t="s">
        <v>191</v>
      </c>
      <c r="AF30" s="73" t="s">
        <v>453</v>
      </c>
      <c r="AG30" s="73" t="str">
        <f t="shared" si="4"/>
        <v>Wavefold Hand OperationDouble Face Fix BracketsDouble Left</v>
      </c>
      <c r="AH30" s="73" t="s">
        <v>453</v>
      </c>
      <c r="AO30" s="38" t="s">
        <v>242</v>
      </c>
      <c r="AP30" t="s">
        <v>172</v>
      </c>
      <c r="AQ30" t="str">
        <f t="shared" si="0"/>
        <v>System 20 Light Commercial Track Hand DrawnSingle Panel - Right Stacking</v>
      </c>
      <c r="AU30" s="73">
        <v>2</v>
      </c>
      <c r="BE30" t="s">
        <v>840</v>
      </c>
      <c r="BF30" t="s">
        <v>852</v>
      </c>
      <c r="BG30" s="73" t="str">
        <f t="shared" si="7"/>
        <v>SingleVersatrak Glide Bracket 60mm</v>
      </c>
      <c r="BH30" s="73">
        <v>60</v>
      </c>
      <c r="BJ30" s="112" t="s">
        <v>236</v>
      </c>
      <c r="BK30" s="112" t="s">
        <v>236</v>
      </c>
      <c r="BL30" s="112">
        <v>250</v>
      </c>
    </row>
    <row r="31" spans="1:64" ht="14.4">
      <c r="A31" s="133">
        <v>7400</v>
      </c>
      <c r="B31" s="133">
        <v>11</v>
      </c>
      <c r="C31" s="38" t="s">
        <v>340</v>
      </c>
      <c r="D31" s="38">
        <v>80</v>
      </c>
      <c r="J31" s="73" t="s">
        <v>318</v>
      </c>
      <c r="K31" s="73" t="s">
        <v>185</v>
      </c>
      <c r="L31" s="73" t="str">
        <f t="shared" si="1"/>
        <v>No Track or Rod RequiredNo Movement</v>
      </c>
      <c r="M31" s="73">
        <v>0</v>
      </c>
      <c r="N31"/>
      <c r="O31" s="113" t="s">
        <v>224</v>
      </c>
      <c r="P31" s="113" t="s">
        <v>221</v>
      </c>
      <c r="Q31" s="23" t="s">
        <v>817</v>
      </c>
      <c r="R31" s="73" t="str">
        <f t="shared" si="2"/>
        <v>Designer 25 Hand DrawnBirch WhiteBent</v>
      </c>
      <c r="S31" s="73" t="s">
        <v>223</v>
      </c>
      <c r="T31" s="73" t="s">
        <v>276</v>
      </c>
      <c r="U31" s="73">
        <v>200</v>
      </c>
      <c r="V31" s="73" t="s">
        <v>149</v>
      </c>
      <c r="X31" s="73" t="s">
        <v>296</v>
      </c>
      <c r="Y31" s="73" t="s">
        <v>189</v>
      </c>
      <c r="Z31" s="73" t="s">
        <v>453</v>
      </c>
      <c r="AA31" s="73" t="str">
        <f t="shared" si="3"/>
        <v>Wavefold Hand OperationSingle Face Fix BracketsDouble Left</v>
      </c>
      <c r="AB31" s="73" t="s">
        <v>453</v>
      </c>
      <c r="AD31" s="73" t="s">
        <v>296</v>
      </c>
      <c r="AE31" s="73" t="s">
        <v>189</v>
      </c>
      <c r="AF31" s="73" t="s">
        <v>453</v>
      </c>
      <c r="AG31" s="73" t="str">
        <f t="shared" si="4"/>
        <v>Wavefold Hand OperationSingle Face Fix BracketsDouble Left</v>
      </c>
      <c r="AH31" s="73" t="s">
        <v>453</v>
      </c>
      <c r="AO31" s="38" t="s">
        <v>242</v>
      </c>
      <c r="AP31" t="s">
        <v>306</v>
      </c>
      <c r="AQ31" t="str">
        <f t="shared" si="0"/>
        <v>System 20 Light Commercial Track Hand DrawnCentre Opening - Free Flowing</v>
      </c>
      <c r="AU31" s="73">
        <v>2</v>
      </c>
      <c r="BE31" t="s">
        <v>840</v>
      </c>
      <c r="BF31" t="s">
        <v>853</v>
      </c>
      <c r="BG31" s="73" t="str">
        <f t="shared" si="7"/>
        <v>SingleVersatrak Ring Bracket 100mm</v>
      </c>
      <c r="BH31" s="73">
        <v>100</v>
      </c>
      <c r="BJ31" s="112" t="s">
        <v>255</v>
      </c>
      <c r="BK31" s="112" t="s">
        <v>255</v>
      </c>
      <c r="BL31" s="112">
        <v>250</v>
      </c>
    </row>
    <row r="32" spans="1:64" ht="14.4">
      <c r="A32" s="133">
        <v>8200</v>
      </c>
      <c r="B32" s="133">
        <v>12</v>
      </c>
      <c r="C32" s="38" t="s">
        <v>341</v>
      </c>
      <c r="D32" s="38">
        <v>220</v>
      </c>
      <c r="J32" s="112" t="s">
        <v>241</v>
      </c>
      <c r="K32" t="s">
        <v>167</v>
      </c>
      <c r="L32" s="73" t="str">
        <f t="shared" si="14" ref="L32">CONCATENATE(J32,K32)</f>
        <v>System 20 Light Commercial Track Cord DrawnCentre Opening</v>
      </c>
      <c r="M32" s="73">
        <v>60</v>
      </c>
      <c r="N32"/>
      <c r="O32" s="113" t="s">
        <v>224</v>
      </c>
      <c r="P32" s="113" t="s">
        <v>221</v>
      </c>
      <c r="Q32" s="23" t="s">
        <v>198</v>
      </c>
      <c r="R32" s="73" t="str">
        <f t="shared" si="2"/>
        <v>Designer 25 Hand DrawnBirch WhiteStraight</v>
      </c>
      <c r="S32" s="73" t="s">
        <v>223</v>
      </c>
      <c r="T32" s="73" t="s">
        <v>276</v>
      </c>
      <c r="U32" s="73">
        <v>200</v>
      </c>
      <c r="V32" s="73" t="s">
        <v>149</v>
      </c>
      <c r="X32" s="73" t="s">
        <v>296</v>
      </c>
      <c r="Y32" s="73" t="s">
        <v>190</v>
      </c>
      <c r="Z32" s="73" t="s">
        <v>453</v>
      </c>
      <c r="AA32" s="73" t="str">
        <f t="shared" si="3"/>
        <v>Wavefold Hand OperationTop Fix BracketsDouble Left</v>
      </c>
      <c r="AB32" s="73" t="s">
        <v>453</v>
      </c>
      <c r="AD32" s="73" t="s">
        <v>296</v>
      </c>
      <c r="AE32" s="73" t="s">
        <v>190</v>
      </c>
      <c r="AF32" s="73" t="s">
        <v>453</v>
      </c>
      <c r="AG32" s="73" t="str">
        <f t="shared" si="4"/>
        <v>Wavefold Hand OperationTop Fix BracketsDouble Left</v>
      </c>
      <c r="AH32" s="73" t="s">
        <v>453</v>
      </c>
      <c r="AO32" s="38" t="s">
        <v>242</v>
      </c>
      <c r="AP32" t="s">
        <v>173</v>
      </c>
      <c r="AQ32" t="str">
        <f t="shared" si="0"/>
        <v>System 20 Light Commercial Track Hand DrawnSingle Panel - Free Flowing</v>
      </c>
      <c r="AU32" s="73">
        <v>2</v>
      </c>
      <c r="BE32" t="s">
        <v>840</v>
      </c>
      <c r="BF32" t="s">
        <v>854</v>
      </c>
      <c r="BG32" s="73" t="str">
        <f t="shared" si="7"/>
        <v>SingleVersatrak Ring Bracket 140mm</v>
      </c>
      <c r="BH32" s="73">
        <v>140</v>
      </c>
      <c r="BJ32" t="s">
        <v>888</v>
      </c>
      <c r="BK32" t="s">
        <v>888</v>
      </c>
      <c r="BL32" s="113" t="s">
        <v>815</v>
      </c>
    </row>
    <row r="33" spans="1:64" ht="14.4">
      <c r="A33" s="133">
        <v>9000</v>
      </c>
      <c r="B33" s="133">
        <v>13</v>
      </c>
      <c r="C33" s="38" t="s">
        <v>342</v>
      </c>
      <c r="D33" s="38">
        <v>230</v>
      </c>
      <c r="J33" s="112" t="s">
        <v>241</v>
      </c>
      <c r="K33" s="73" t="s">
        <v>306</v>
      </c>
      <c r="L33" s="73" t="str">
        <f>CONCATENATE(J33,K33)</f>
        <v>System 20 Light Commercial Track Cord DrawnCentre Opening - Free Flowing</v>
      </c>
      <c r="M33" s="73">
        <v>6</v>
      </c>
      <c r="N33"/>
      <c r="O33" s="113" t="s">
        <v>224</v>
      </c>
      <c r="P33" s="113" t="s">
        <v>818</v>
      </c>
      <c r="Q33" s="23" t="s">
        <v>817</v>
      </c>
      <c r="R33" s="73" t="str">
        <f t="shared" si="2"/>
        <v>Designer 25 Hand DrawnChampagneBent</v>
      </c>
      <c r="S33" s="73" t="s">
        <v>223</v>
      </c>
      <c r="T33" s="73" t="s">
        <v>276</v>
      </c>
      <c r="U33" s="73">
        <v>200</v>
      </c>
      <c r="V33" s="73" t="s">
        <v>149</v>
      </c>
      <c r="X33" s="73" t="s">
        <v>296</v>
      </c>
      <c r="Y33" s="73" t="s">
        <v>264</v>
      </c>
      <c r="Z33" s="73" t="s">
        <v>453</v>
      </c>
      <c r="AA33" s="73" t="str">
        <f t="shared" si="3"/>
        <v>Wavefold Hand OperationTriple Face Fix BracketsDouble Left</v>
      </c>
      <c r="AB33" s="73" t="s">
        <v>453</v>
      </c>
      <c r="AD33" s="73" t="s">
        <v>296</v>
      </c>
      <c r="AE33" s="73" t="s">
        <v>264</v>
      </c>
      <c r="AF33" s="73" t="s">
        <v>453</v>
      </c>
      <c r="AG33" s="73" t="str">
        <f t="shared" si="4"/>
        <v>Wavefold Hand OperationTriple Face Fix BracketsDouble Left</v>
      </c>
      <c r="AH33" s="73" t="s">
        <v>453</v>
      </c>
      <c r="AO33" s="38" t="s">
        <v>242</v>
      </c>
      <c r="AP33" t="s">
        <v>598</v>
      </c>
      <c r="AQ33" t="str">
        <f t="shared" si="0"/>
        <v>System 20 Light Commercial Track Hand DrawnCentre Opening - Free Flowing (Offset Split)</v>
      </c>
      <c r="AU33" s="73">
        <v>2</v>
      </c>
      <c r="BE33" t="s">
        <v>840</v>
      </c>
      <c r="BF33" t="s">
        <v>855</v>
      </c>
      <c r="BG33" s="73" t="str">
        <f t="shared" si="7"/>
        <v>SingleVersatrak Ring Bracket 60mm</v>
      </c>
      <c r="BH33" s="73">
        <v>60</v>
      </c>
      <c r="BJ33" s="112" t="s">
        <v>226</v>
      </c>
      <c r="BK33" s="112" t="s">
        <v>226</v>
      </c>
      <c r="BL33" s="112">
        <v>130</v>
      </c>
    </row>
    <row r="34" spans="1:64" ht="14.4">
      <c r="A34" s="133">
        <v>10000</v>
      </c>
      <c r="B34" s="133">
        <v>14</v>
      </c>
      <c r="C34" s="38" t="s">
        <v>343</v>
      </c>
      <c r="D34" s="38">
        <v>40</v>
      </c>
      <c r="J34" s="112" t="s">
        <v>241</v>
      </c>
      <c r="K34" t="s">
        <v>171</v>
      </c>
      <c r="L34" s="73" t="str">
        <f t="shared" si="15" ref="L34:L43">CONCATENATE(J34,K34)</f>
        <v>System 20 Light Commercial Track Cord DrawnSingle Panel - Left Stacking</v>
      </c>
      <c r="M34" s="73">
        <v>35</v>
      </c>
      <c r="N34"/>
      <c r="O34" s="113" t="s">
        <v>224</v>
      </c>
      <c r="P34" s="113" t="s">
        <v>818</v>
      </c>
      <c r="Q34" s="23" t="s">
        <v>198</v>
      </c>
      <c r="R34" s="73" t="str">
        <f t="shared" si="2"/>
        <v>Designer 25 Hand DrawnChampagneStraight</v>
      </c>
      <c r="S34" s="73" t="s">
        <v>223</v>
      </c>
      <c r="T34" s="73" t="s">
        <v>276</v>
      </c>
      <c r="U34" s="73">
        <v>200</v>
      </c>
      <c r="V34" s="73" t="s">
        <v>149</v>
      </c>
      <c r="X34" s="73" t="s">
        <v>275</v>
      </c>
      <c r="Y34" s="73" t="s">
        <v>191</v>
      </c>
      <c r="Z34" s="73" t="s">
        <v>457</v>
      </c>
      <c r="AA34" s="73" t="str">
        <f t="shared" si="3"/>
        <v>Wavefold Cord OperationDouble Face Fix BracketsDouble Right</v>
      </c>
      <c r="AB34" s="73" t="s">
        <v>457</v>
      </c>
      <c r="AD34" s="73" t="s">
        <v>275</v>
      </c>
      <c r="AE34" s="73" t="s">
        <v>191</v>
      </c>
      <c r="AF34" s="73" t="s">
        <v>457</v>
      </c>
      <c r="AG34" s="73" t="str">
        <f t="shared" si="4"/>
        <v>Wavefold Cord OperationDouble Face Fix BracketsDouble Right</v>
      </c>
      <c r="AH34" s="73" t="s">
        <v>457</v>
      </c>
      <c r="AO34" s="38" t="s">
        <v>242</v>
      </c>
      <c r="AP34" t="s">
        <v>185</v>
      </c>
      <c r="AQ34" t="str">
        <f t="shared" si="0"/>
        <v>System 20 Light Commercial Track Hand DrawnNo Movement</v>
      </c>
      <c r="AU34" s="73">
        <v>2</v>
      </c>
      <c r="BE34" t="s">
        <v>840</v>
      </c>
      <c r="BF34" t="s">
        <v>856</v>
      </c>
      <c r="BG34" s="73" t="str">
        <f t="shared" si="7"/>
        <v>SingleVersatrak Top Fix Ring Bracket</v>
      </c>
      <c r="BH34" s="73">
        <v>75</v>
      </c>
      <c r="BJ34" s="112" t="s">
        <v>227</v>
      </c>
      <c r="BK34" s="112" t="s">
        <v>227</v>
      </c>
      <c r="BL34" s="112">
        <v>130</v>
      </c>
    </row>
    <row r="35" spans="1:64" ht="14.4">
      <c r="A35" s="133">
        <v>11000</v>
      </c>
      <c r="B35" s="133">
        <v>15</v>
      </c>
      <c r="C35" s="38" t="s">
        <v>344</v>
      </c>
      <c r="D35" s="38">
        <v>180</v>
      </c>
      <c r="J35" s="112" t="s">
        <v>241</v>
      </c>
      <c r="K35" t="s">
        <v>172</v>
      </c>
      <c r="L35" s="73" t="str">
        <f t="shared" si="15"/>
        <v>System 20 Light Commercial Track Cord DrawnSingle Panel - Right Stacking</v>
      </c>
      <c r="M35" s="73">
        <v>35</v>
      </c>
      <c r="N35"/>
      <c r="O35" s="113" t="s">
        <v>224</v>
      </c>
      <c r="P35" s="113" t="s">
        <v>819</v>
      </c>
      <c r="Q35" s="23" t="s">
        <v>817</v>
      </c>
      <c r="R35" s="73" t="str">
        <f t="shared" si="2"/>
        <v>Designer 25 Hand DrawnMatt BlackBent</v>
      </c>
      <c r="S35" s="73" t="s">
        <v>223</v>
      </c>
      <c r="T35" s="73" t="s">
        <v>276</v>
      </c>
      <c r="U35" s="73">
        <v>200</v>
      </c>
      <c r="V35" s="73" t="s">
        <v>149</v>
      </c>
      <c r="X35" s="73" t="s">
        <v>275</v>
      </c>
      <c r="Y35" s="73" t="s">
        <v>189</v>
      </c>
      <c r="Z35" s="73" t="s">
        <v>457</v>
      </c>
      <c r="AA35" s="73" t="str">
        <f t="shared" si="3"/>
        <v>Wavefold Cord OperationSingle Face Fix BracketsDouble Right</v>
      </c>
      <c r="AB35" s="73" t="s">
        <v>457</v>
      </c>
      <c r="AD35" s="73" t="s">
        <v>275</v>
      </c>
      <c r="AE35" s="73" t="s">
        <v>189</v>
      </c>
      <c r="AF35" s="73" t="s">
        <v>457</v>
      </c>
      <c r="AG35" s="73" t="str">
        <f t="shared" si="4"/>
        <v>Wavefold Cord OperationSingle Face Fix BracketsDouble Right</v>
      </c>
      <c r="AH35" s="73" t="s">
        <v>457</v>
      </c>
      <c r="AO35" s="38" t="s">
        <v>241</v>
      </c>
      <c r="AP35" t="s">
        <v>167</v>
      </c>
      <c r="AQ35" t="str">
        <f t="shared" si="0"/>
        <v>System 20 Light Commercial Track Cord DrawnCentre Opening</v>
      </c>
      <c r="AR35" s="73">
        <v>1</v>
      </c>
      <c r="AS35" s="73">
        <v>1</v>
      </c>
      <c r="BE35" t="s">
        <v>840</v>
      </c>
      <c r="BF35" t="s">
        <v>857</v>
      </c>
      <c r="BG35" s="73" t="str">
        <f t="shared" si="7"/>
        <v>SingleVersatrak Top Fix Suspension Bracket</v>
      </c>
      <c r="BH35" s="73">
        <v>80</v>
      </c>
      <c r="BJ35" s="73" t="s">
        <v>254</v>
      </c>
      <c r="BK35" s="73" t="s">
        <v>254</v>
      </c>
      <c r="BL35" s="112">
        <v>130</v>
      </c>
    </row>
    <row r="36" spans="1:64" ht="14.4">
      <c r="A36" s="133">
        <v>12000</v>
      </c>
      <c r="B36" s="133">
        <v>16</v>
      </c>
      <c r="C36" s="38" t="s">
        <v>345</v>
      </c>
      <c r="D36" s="38">
        <v>80</v>
      </c>
      <c r="J36" s="112" t="s">
        <v>241</v>
      </c>
      <c r="K36" t="s">
        <v>173</v>
      </c>
      <c r="L36" s="73" t="str">
        <f t="shared" si="15"/>
        <v>System 20 Light Commercial Track Cord DrawnSingle Panel - Free Flowing</v>
      </c>
      <c r="M36" s="73">
        <v>6</v>
      </c>
      <c r="N36"/>
      <c r="O36" s="113" t="s">
        <v>224</v>
      </c>
      <c r="P36" s="113" t="s">
        <v>819</v>
      </c>
      <c r="Q36" s="23" t="s">
        <v>198</v>
      </c>
      <c r="R36" s="73" t="str">
        <f t="shared" si="2"/>
        <v>Designer 25 Hand DrawnMatt BlackStraight</v>
      </c>
      <c r="S36" s="73" t="s">
        <v>223</v>
      </c>
      <c r="T36" s="73" t="s">
        <v>276</v>
      </c>
      <c r="U36" s="73">
        <v>200</v>
      </c>
      <c r="V36" s="73" t="s">
        <v>149</v>
      </c>
      <c r="X36" s="73" t="s">
        <v>275</v>
      </c>
      <c r="Y36" s="73" t="s">
        <v>190</v>
      </c>
      <c r="Z36" s="73" t="s">
        <v>457</v>
      </c>
      <c r="AA36" s="73" t="str">
        <f t="shared" si="3"/>
        <v>Wavefold Cord OperationTop Fix BracketsDouble Right</v>
      </c>
      <c r="AB36" s="73" t="s">
        <v>457</v>
      </c>
      <c r="AD36" s="73" t="s">
        <v>275</v>
      </c>
      <c r="AE36" s="73" t="s">
        <v>190</v>
      </c>
      <c r="AF36" s="73" t="s">
        <v>457</v>
      </c>
      <c r="AG36" s="73" t="str">
        <f t="shared" si="4"/>
        <v>Wavefold Cord OperationTop Fix BracketsDouble Right</v>
      </c>
      <c r="AH36" s="73" t="s">
        <v>457</v>
      </c>
      <c r="AO36" s="38" t="s">
        <v>241</v>
      </c>
      <c r="AP36" t="s">
        <v>599</v>
      </c>
      <c r="AQ36" t="str">
        <f t="shared" si="0"/>
        <v>System 20 Light Commercial Track Cord DrawnCentre Opening (Offset Split)</v>
      </c>
      <c r="AR36" s="73">
        <v>2</v>
      </c>
      <c r="AT36" s="73">
        <v>2</v>
      </c>
      <c r="BE36" t="s">
        <v>840</v>
      </c>
      <c r="BF36" t="s">
        <v>858</v>
      </c>
      <c r="BG36" s="73" t="str">
        <f t="shared" si="7"/>
        <v>SingleVersatrak Top Fix Suspension Bracket with 1 Wall Bracket</v>
      </c>
      <c r="BH36" s="73">
        <v>80</v>
      </c>
      <c r="BJ36" s="73" t="s">
        <v>253</v>
      </c>
      <c r="BK36" s="73" t="s">
        <v>253</v>
      </c>
      <c r="BL36" s="112">
        <v>130</v>
      </c>
    </row>
    <row r="37" spans="3:64" ht="14.4">
      <c r="C37" s="38" t="s">
        <v>346</v>
      </c>
      <c r="D37" s="38">
        <v>220</v>
      </c>
      <c r="J37" s="112" t="s">
        <v>242</v>
      </c>
      <c r="K37" t="s">
        <v>167</v>
      </c>
      <c r="L37" s="73" t="str">
        <f t="shared" si="15"/>
        <v>System 20 Light Commercial Track Hand DrawnCentre Opening</v>
      </c>
      <c r="M37" s="73">
        <v>6</v>
      </c>
      <c r="O37" s="113" t="s">
        <v>224</v>
      </c>
      <c r="P37" s="113" t="s">
        <v>238</v>
      </c>
      <c r="Q37" s="23" t="s">
        <v>817</v>
      </c>
      <c r="R37" s="73" t="str">
        <f t="shared" si="2"/>
        <v>Designer 25 Hand DrawnMatt SatinBent</v>
      </c>
      <c r="S37" s="73" t="s">
        <v>223</v>
      </c>
      <c r="T37" s="73" t="s">
        <v>276</v>
      </c>
      <c r="U37" s="73">
        <v>200</v>
      </c>
      <c r="V37" s="73" t="s">
        <v>149</v>
      </c>
      <c r="X37" s="73" t="s">
        <v>275</v>
      </c>
      <c r="Y37" s="73" t="s">
        <v>264</v>
      </c>
      <c r="Z37" s="73" t="s">
        <v>457</v>
      </c>
      <c r="AA37" s="73" t="str">
        <f t="shared" si="3"/>
        <v>Wavefold Cord OperationTriple Face Fix BracketsDouble Right</v>
      </c>
      <c r="AB37" s="73" t="s">
        <v>457</v>
      </c>
      <c r="AD37" s="73" t="s">
        <v>275</v>
      </c>
      <c r="AE37" s="73" t="s">
        <v>264</v>
      </c>
      <c r="AF37" s="73" t="s">
        <v>457</v>
      </c>
      <c r="AG37" s="73" t="str">
        <f t="shared" si="4"/>
        <v>Wavefold Cord OperationTriple Face Fix BracketsDouble Right</v>
      </c>
      <c r="AH37" s="73" t="s">
        <v>457</v>
      </c>
      <c r="AO37" s="38" t="s">
        <v>241</v>
      </c>
      <c r="AP37" t="s">
        <v>171</v>
      </c>
      <c r="AQ37" t="str">
        <f t="shared" si="0"/>
        <v>System 20 Light Commercial Track Cord DrawnSingle Panel - Left Stacking</v>
      </c>
      <c r="AS37" s="73">
        <v>1</v>
      </c>
      <c r="AT37" s="73">
        <v>1</v>
      </c>
      <c r="BE37" t="s">
        <v>840</v>
      </c>
      <c r="BF37" t="s">
        <v>859</v>
      </c>
      <c r="BG37" s="73" t="str">
        <f t="shared" si="7"/>
        <v>SingleVersatrak Top Fix Suspension Bracket with 2 Wall Brackets</v>
      </c>
      <c r="BH37" s="73">
        <v>80</v>
      </c>
      <c r="BJ37" s="113" t="s">
        <v>161</v>
      </c>
      <c r="BK37" s="113" t="s">
        <v>161</v>
      </c>
      <c r="BL37" s="112">
        <v>130</v>
      </c>
    </row>
    <row r="38" spans="3:64" ht="14.4">
      <c r="C38" s="38" t="s">
        <v>163</v>
      </c>
      <c r="D38" s="38">
        <v>10</v>
      </c>
      <c r="J38" s="112" t="s">
        <v>242</v>
      </c>
      <c r="K38" s="73" t="s">
        <v>306</v>
      </c>
      <c r="L38" s="73" t="str">
        <f t="shared" si="15"/>
        <v>System 20 Light Commercial Track Hand DrawnCentre Opening - Free Flowing</v>
      </c>
      <c r="M38" s="73">
        <v>6</v>
      </c>
      <c r="O38" s="113" t="s">
        <v>224</v>
      </c>
      <c r="P38" s="113" t="s">
        <v>238</v>
      </c>
      <c r="Q38" s="23" t="s">
        <v>198</v>
      </c>
      <c r="R38" s="73" t="str">
        <f t="shared" si="2"/>
        <v>Designer 25 Hand DrawnMatt SatinStraight</v>
      </c>
      <c r="S38" s="73" t="s">
        <v>223</v>
      </c>
      <c r="T38" s="73" t="s">
        <v>276</v>
      </c>
      <c r="U38" s="73">
        <v>200</v>
      </c>
      <c r="V38" s="73" t="s">
        <v>149</v>
      </c>
      <c r="X38" s="73" t="s">
        <v>296</v>
      </c>
      <c r="Y38" s="73" t="s">
        <v>191</v>
      </c>
      <c r="Z38" s="73" t="s">
        <v>457</v>
      </c>
      <c r="AA38" s="73" t="str">
        <f t="shared" si="3"/>
        <v>Wavefold Hand OperationDouble Face Fix BracketsDouble Right</v>
      </c>
      <c r="AB38" s="73" t="s">
        <v>457</v>
      </c>
      <c r="AD38" s="73" t="s">
        <v>296</v>
      </c>
      <c r="AE38" s="73" t="s">
        <v>191</v>
      </c>
      <c r="AF38" s="73" t="s">
        <v>457</v>
      </c>
      <c r="AG38" s="73" t="str">
        <f t="shared" si="4"/>
        <v>Wavefold Hand OperationDouble Face Fix BracketsDouble Right</v>
      </c>
      <c r="AH38" s="73" t="s">
        <v>457</v>
      </c>
      <c r="AO38" s="38" t="s">
        <v>241</v>
      </c>
      <c r="AP38" t="s">
        <v>172</v>
      </c>
      <c r="AQ38" t="str">
        <f t="shared" si="0"/>
        <v>System 20 Light Commercial Track Cord DrawnSingle Panel - Right Stacking</v>
      </c>
      <c r="AS38" s="73">
        <v>1</v>
      </c>
      <c r="AT38" s="73">
        <v>1</v>
      </c>
      <c r="BE38" t="s">
        <v>840</v>
      </c>
      <c r="BF38" t="s">
        <v>860</v>
      </c>
      <c r="BG38" s="73" t="str">
        <f t="shared" si="7"/>
        <v>SingleVersatrak Ultra Top Fix Glide Bracket</v>
      </c>
      <c r="BH38" s="73">
        <v>75</v>
      </c>
      <c r="BJ38" s="113" t="s">
        <v>174</v>
      </c>
      <c r="BK38" s="113" t="s">
        <v>174</v>
      </c>
      <c r="BL38" s="112">
        <v>130</v>
      </c>
    </row>
    <row r="39" spans="3:64" ht="14.4">
      <c r="C39" s="38" t="s">
        <v>162</v>
      </c>
      <c r="D39" s="38">
        <v>5</v>
      </c>
      <c r="J39" s="112" t="s">
        <v>242</v>
      </c>
      <c r="K39" t="s">
        <v>171</v>
      </c>
      <c r="L39" s="73" t="str">
        <f t="shared" si="15"/>
        <v>System 20 Light Commercial Track Hand DrawnSingle Panel - Left Stacking</v>
      </c>
      <c r="M39" s="73">
        <v>6</v>
      </c>
      <c r="O39" s="113" t="s">
        <v>224</v>
      </c>
      <c r="P39" s="113" t="s">
        <v>219</v>
      </c>
      <c r="Q39" s="23" t="s">
        <v>817</v>
      </c>
      <c r="R39" s="73" t="str">
        <f t="shared" si="2"/>
        <v>Designer 25 Hand DrawnWhiteBent</v>
      </c>
      <c r="S39" s="73" t="s">
        <v>223</v>
      </c>
      <c r="T39" s="73" t="s">
        <v>276</v>
      </c>
      <c r="U39" s="73">
        <v>200</v>
      </c>
      <c r="V39" s="73" t="s">
        <v>149</v>
      </c>
      <c r="X39" s="73" t="s">
        <v>296</v>
      </c>
      <c r="Y39" s="73" t="s">
        <v>189</v>
      </c>
      <c r="Z39" s="73" t="s">
        <v>457</v>
      </c>
      <c r="AA39" s="73" t="str">
        <f t="shared" si="3"/>
        <v>Wavefold Hand OperationSingle Face Fix BracketsDouble Right</v>
      </c>
      <c r="AB39" s="73" t="s">
        <v>457</v>
      </c>
      <c r="AD39" s="73" t="s">
        <v>296</v>
      </c>
      <c r="AE39" s="73" t="s">
        <v>189</v>
      </c>
      <c r="AF39" s="73" t="s">
        <v>457</v>
      </c>
      <c r="AG39" s="73" t="str">
        <f t="shared" si="4"/>
        <v>Wavefold Hand OperationSingle Face Fix BracketsDouble Right</v>
      </c>
      <c r="AH39" s="73" t="s">
        <v>457</v>
      </c>
      <c r="AO39" s="38"/>
      <c r="AP39"/>
      <c r="AQ39"/>
      <c r="BE39" t="s">
        <v>861</v>
      </c>
      <c r="BF39" t="s">
        <v>212</v>
      </c>
      <c r="BG39" s="73" t="str">
        <f t="shared" si="7"/>
        <v>Double Rear1 Wall Socket &amp; 1 L Bracket</v>
      </c>
      <c r="BH39" s="73">
        <v>70</v>
      </c>
      <c r="BJ39" s="112" t="s">
        <v>242</v>
      </c>
      <c r="BK39" s="112" t="s">
        <v>242</v>
      </c>
      <c r="BL39" s="112">
        <v>130</v>
      </c>
    </row>
    <row r="40" spans="3:64" ht="14.4">
      <c r="C40" s="38" t="s">
        <v>149</v>
      </c>
      <c r="D40" s="38">
        <v>0</v>
      </c>
      <c r="J40" s="112" t="s">
        <v>242</v>
      </c>
      <c r="K40" t="s">
        <v>172</v>
      </c>
      <c r="L40" s="73" t="str">
        <f t="shared" si="15"/>
        <v>System 20 Light Commercial Track Hand DrawnSingle Panel - Right Stacking</v>
      </c>
      <c r="M40" s="73">
        <v>6</v>
      </c>
      <c r="O40" s="113" t="s">
        <v>224</v>
      </c>
      <c r="P40" s="113" t="s">
        <v>219</v>
      </c>
      <c r="Q40" s="23" t="s">
        <v>198</v>
      </c>
      <c r="R40" s="73" t="str">
        <f t="shared" si="2"/>
        <v>Designer 25 Hand DrawnWhiteStraight</v>
      </c>
      <c r="S40" s="73" t="s">
        <v>223</v>
      </c>
      <c r="T40" s="73" t="s">
        <v>276</v>
      </c>
      <c r="U40" s="73">
        <v>200</v>
      </c>
      <c r="V40" s="73" t="s">
        <v>149</v>
      </c>
      <c r="X40" s="73" t="s">
        <v>296</v>
      </c>
      <c r="Y40" s="73" t="s">
        <v>190</v>
      </c>
      <c r="Z40" s="73" t="s">
        <v>457</v>
      </c>
      <c r="AA40" s="73" t="str">
        <f t="shared" si="3"/>
        <v>Wavefold Hand OperationTop Fix BracketsDouble Right</v>
      </c>
      <c r="AB40" s="73" t="s">
        <v>457</v>
      </c>
      <c r="AD40" s="73" t="s">
        <v>296</v>
      </c>
      <c r="AE40" s="73" t="s">
        <v>190</v>
      </c>
      <c r="AF40" s="73" t="s">
        <v>457</v>
      </c>
      <c r="AG40" s="73" t="str">
        <f t="shared" si="4"/>
        <v>Wavefold Hand OperationTop Fix BracketsDouble Right</v>
      </c>
      <c r="AH40" s="73" t="s">
        <v>457</v>
      </c>
      <c r="BE40" t="s">
        <v>861</v>
      </c>
      <c r="BF40" t="s">
        <v>265</v>
      </c>
      <c r="BG40" s="73" t="str">
        <f t="shared" si="7"/>
        <v>Double Rear100mm Brackets</v>
      </c>
      <c r="BH40" s="73">
        <v>90</v>
      </c>
      <c r="BJ40" s="112" t="s">
        <v>233</v>
      </c>
      <c r="BK40" s="112" t="s">
        <v>233</v>
      </c>
      <c r="BL40" s="112">
        <v>250</v>
      </c>
    </row>
    <row r="41" spans="3:64" ht="14.4">
      <c r="C41" s="38" t="s">
        <v>156</v>
      </c>
      <c r="D41" s="38">
        <v>-5</v>
      </c>
      <c r="J41" s="112" t="s">
        <v>242</v>
      </c>
      <c r="K41" t="s">
        <v>173</v>
      </c>
      <c r="L41" s="73" t="str">
        <f t="shared" si="15"/>
        <v>System 20 Light Commercial Track Hand DrawnSingle Panel - Free Flowing</v>
      </c>
      <c r="M41" s="73">
        <v>6</v>
      </c>
      <c r="O41" s="113" t="s">
        <v>243</v>
      </c>
      <c r="P41" s="113" t="s">
        <v>244</v>
      </c>
      <c r="Q41" s="23" t="s">
        <v>817</v>
      </c>
      <c r="R41" s="73" t="str">
        <f t="shared" si="2"/>
        <v>Designer 25 S-Fold Cord DrawnAntique BrassBent</v>
      </c>
      <c r="S41" s="73" t="s">
        <v>223</v>
      </c>
      <c r="T41" s="73" t="s">
        <v>149</v>
      </c>
      <c r="U41" s="73">
        <v>0</v>
      </c>
      <c r="V41" s="73" t="s">
        <v>276</v>
      </c>
      <c r="X41" s="73" t="s">
        <v>296</v>
      </c>
      <c r="Y41" s="73" t="s">
        <v>264</v>
      </c>
      <c r="Z41" s="73" t="s">
        <v>457</v>
      </c>
      <c r="AA41" s="73" t="str">
        <f t="shared" si="3"/>
        <v>Wavefold Hand OperationTriple Face Fix BracketsDouble Right</v>
      </c>
      <c r="AB41" s="73" t="s">
        <v>457</v>
      </c>
      <c r="AD41" s="73" t="s">
        <v>296</v>
      </c>
      <c r="AE41" s="73" t="s">
        <v>264</v>
      </c>
      <c r="AF41" s="73" t="s">
        <v>457</v>
      </c>
      <c r="AG41" s="73" t="str">
        <f t="shared" si="4"/>
        <v>Wavefold Hand OperationTriple Face Fix BracketsDouble Right</v>
      </c>
      <c r="AH41" s="73" t="s">
        <v>457</v>
      </c>
      <c r="BE41" t="s">
        <v>861</v>
      </c>
      <c r="BF41" t="s">
        <v>193</v>
      </c>
      <c r="BG41" s="73" t="str">
        <f t="shared" si="7"/>
        <v>Double Rear100mm Unstayed Brackets with Acorns</v>
      </c>
      <c r="BH41" s="73">
        <v>90</v>
      </c>
      <c r="BJ41" s="112" t="s">
        <v>242</v>
      </c>
      <c r="BK41" s="112" t="s">
        <v>242</v>
      </c>
      <c r="BL41" s="112">
        <v>130</v>
      </c>
    </row>
    <row r="42" spans="3:64" ht="14.4">
      <c r="C42" s="38" t="s">
        <v>136</v>
      </c>
      <c r="D42" s="38">
        <v>2</v>
      </c>
      <c r="J42" s="112" t="s">
        <v>242</v>
      </c>
      <c r="K42" t="s">
        <v>599</v>
      </c>
      <c r="L42" s="73" t="str">
        <f t="shared" si="15"/>
        <v>System 20 Light Commercial Track Hand DrawnCentre Opening (Offset Split)</v>
      </c>
      <c r="M42" s="38">
        <v>6</v>
      </c>
      <c r="O42" s="113" t="s">
        <v>243</v>
      </c>
      <c r="P42" s="113" t="s">
        <v>244</v>
      </c>
      <c r="Q42" s="23" t="s">
        <v>198</v>
      </c>
      <c r="R42" s="73" t="str">
        <f t="shared" si="2"/>
        <v>Designer 25 S-Fold Cord DrawnAntique BrassStraight</v>
      </c>
      <c r="S42" s="73" t="s">
        <v>223</v>
      </c>
      <c r="T42" s="73" t="s">
        <v>149</v>
      </c>
      <c r="U42" s="73">
        <v>0</v>
      </c>
      <c r="V42" s="73" t="s">
        <v>276</v>
      </c>
      <c r="X42" s="73" t="s">
        <v>275</v>
      </c>
      <c r="Y42" s="73" t="s">
        <v>191</v>
      </c>
      <c r="Z42" s="73" t="s">
        <v>460</v>
      </c>
      <c r="AA42" s="73" t="str">
        <f t="shared" si="3"/>
        <v>Wavefold Cord OperationDouble Face Fix BracketsDouble Both Sides</v>
      </c>
      <c r="AB42" s="73" t="s">
        <v>604</v>
      </c>
      <c r="AD42" s="73" t="s">
        <v>275</v>
      </c>
      <c r="AE42" s="73" t="s">
        <v>191</v>
      </c>
      <c r="AF42" s="73" t="s">
        <v>460</v>
      </c>
      <c r="AG42" s="73" t="str">
        <f t="shared" si="4"/>
        <v>Wavefold Cord OperationDouble Face Fix BracketsDouble Both Sides</v>
      </c>
      <c r="AH42" s="73" t="s">
        <v>604</v>
      </c>
      <c r="BE42" t="s">
        <v>861</v>
      </c>
      <c r="BF42" t="s">
        <v>266</v>
      </c>
      <c r="BG42" s="73" t="str">
        <f t="shared" si="7"/>
        <v>Double Rear170mm Brackets</v>
      </c>
      <c r="BH42" s="73">
        <v>160</v>
      </c>
      <c r="BJ42" s="112" t="s">
        <v>240</v>
      </c>
      <c r="BK42" s="112" t="s">
        <v>240</v>
      </c>
      <c r="BL42" s="112">
        <v>250</v>
      </c>
    </row>
    <row r="43" spans="3:64" ht="14.4">
      <c r="C43" s="38" t="s">
        <v>152</v>
      </c>
      <c r="D43" s="38">
        <v>0</v>
      </c>
      <c r="J43" s="112" t="s">
        <v>242</v>
      </c>
      <c r="K43" s="73" t="s">
        <v>598</v>
      </c>
      <c r="L43" s="73" t="str">
        <f t="shared" si="15"/>
        <v>System 20 Light Commercial Track Hand DrawnCentre Opening - Free Flowing (Offset Split)</v>
      </c>
      <c r="M43" s="38">
        <v>6</v>
      </c>
      <c r="O43" s="113" t="s">
        <v>243</v>
      </c>
      <c r="P43" s="113" t="s">
        <v>221</v>
      </c>
      <c r="Q43" s="23" t="s">
        <v>817</v>
      </c>
      <c r="R43" s="73" t="str">
        <f t="shared" si="2"/>
        <v>Designer 25 S-Fold Cord DrawnBirch WhiteBent</v>
      </c>
      <c r="S43" s="73" t="s">
        <v>223</v>
      </c>
      <c r="T43" s="73" t="s">
        <v>149</v>
      </c>
      <c r="U43" s="73">
        <v>0</v>
      </c>
      <c r="V43" s="73" t="s">
        <v>276</v>
      </c>
      <c r="X43" s="73" t="s">
        <v>275</v>
      </c>
      <c r="Y43" s="73" t="s">
        <v>189</v>
      </c>
      <c r="Z43" s="73" t="s">
        <v>460</v>
      </c>
      <c r="AA43" s="73" t="str">
        <f t="shared" si="3"/>
        <v>Wavefold Cord OperationSingle Face Fix BracketsDouble Both Sides</v>
      </c>
      <c r="AB43" s="73" t="s">
        <v>604</v>
      </c>
      <c r="AD43" s="73" t="s">
        <v>275</v>
      </c>
      <c r="AE43" s="73" t="s">
        <v>189</v>
      </c>
      <c r="AF43" s="73" t="s">
        <v>460</v>
      </c>
      <c r="AG43" s="73" t="str">
        <f t="shared" si="4"/>
        <v>Wavefold Cord OperationSingle Face Fix BracketsDouble Both Sides</v>
      </c>
      <c r="AH43" s="73" t="s">
        <v>604</v>
      </c>
      <c r="BE43" t="s">
        <v>861</v>
      </c>
      <c r="BF43" t="s">
        <v>211</v>
      </c>
      <c r="BG43" s="73" t="str">
        <f t="shared" si="7"/>
        <v>Double Rear2 Wall Sockets</v>
      </c>
      <c r="BH43" s="73">
        <v>70</v>
      </c>
      <c r="BJ43" s="112" t="s">
        <v>283</v>
      </c>
      <c r="BK43" s="112" t="s">
        <v>283</v>
      </c>
      <c r="BL43" s="112">
        <v>130</v>
      </c>
    </row>
    <row r="44" spans="3:64" ht="14.4">
      <c r="C44" s="38" t="s">
        <v>304</v>
      </c>
      <c r="D44" s="38">
        <v>20</v>
      </c>
      <c r="J44" s="73" t="s">
        <v>275</v>
      </c>
      <c r="K44" t="s">
        <v>167</v>
      </c>
      <c r="L44" s="73" t="str">
        <f t="shared" si="1"/>
        <v>Wavefold Cord OperationCentre Opening</v>
      </c>
      <c r="M44" s="73">
        <v>60</v>
      </c>
      <c r="O44" s="113" t="s">
        <v>243</v>
      </c>
      <c r="P44" s="113" t="s">
        <v>221</v>
      </c>
      <c r="Q44" s="23" t="s">
        <v>198</v>
      </c>
      <c r="R44" s="73" t="str">
        <f t="shared" si="2"/>
        <v>Designer 25 S-Fold Cord DrawnBirch WhiteStraight</v>
      </c>
      <c r="S44" s="73" t="s">
        <v>223</v>
      </c>
      <c r="T44" s="73" t="s">
        <v>149</v>
      </c>
      <c r="U44" s="73">
        <v>0</v>
      </c>
      <c r="V44" s="73" t="s">
        <v>276</v>
      </c>
      <c r="X44" s="73" t="s">
        <v>275</v>
      </c>
      <c r="Y44" s="73" t="s">
        <v>190</v>
      </c>
      <c r="Z44" s="73" t="s">
        <v>460</v>
      </c>
      <c r="AA44" s="73" t="str">
        <f t="shared" si="3"/>
        <v>Wavefold Cord OperationTop Fix BracketsDouble Both Sides</v>
      </c>
      <c r="AB44" s="73" t="s">
        <v>604</v>
      </c>
      <c r="AD44" s="73" t="s">
        <v>275</v>
      </c>
      <c r="AE44" s="73" t="s">
        <v>190</v>
      </c>
      <c r="AF44" s="73" t="s">
        <v>460</v>
      </c>
      <c r="AG44" s="73" t="str">
        <f t="shared" si="4"/>
        <v>Wavefold Cord OperationTop Fix BracketsDouble Both Sides</v>
      </c>
      <c r="AH44" s="73" t="s">
        <v>604</v>
      </c>
      <c r="BE44" t="s">
        <v>861</v>
      </c>
      <c r="BF44" t="s">
        <v>841</v>
      </c>
      <c r="BG44" s="73" t="str">
        <f t="shared" si="7"/>
        <v>Double Rear2 x L Brackets</v>
      </c>
      <c r="BH44" s="73">
        <v>70</v>
      </c>
      <c r="BJ44" s="112" t="s">
        <v>290</v>
      </c>
      <c r="BK44" s="112" t="s">
        <v>290</v>
      </c>
      <c r="BL44" s="112">
        <v>130</v>
      </c>
    </row>
    <row r="45" spans="3:64" ht="14.4">
      <c r="C45" s="38" t="s">
        <v>347</v>
      </c>
      <c r="D45" s="38">
        <v>0</v>
      </c>
      <c r="J45" s="73" t="s">
        <v>275</v>
      </c>
      <c r="K45" s="73" t="s">
        <v>306</v>
      </c>
      <c r="L45" s="73" t="str">
        <f>CONCATENATE(J45,K45)</f>
        <v>Wavefold Cord OperationCentre Opening - Free Flowing</v>
      </c>
      <c r="M45" s="73">
        <v>6</v>
      </c>
      <c r="O45" s="113" t="s">
        <v>243</v>
      </c>
      <c r="P45" s="113" t="s">
        <v>222</v>
      </c>
      <c r="Q45" s="23" t="s">
        <v>817</v>
      </c>
      <c r="R45" s="73" t="str">
        <f t="shared" si="2"/>
        <v>Designer 25 S-Fold Cord DrawnBlackBent</v>
      </c>
      <c r="S45" s="73" t="s">
        <v>223</v>
      </c>
      <c r="T45" s="73" t="s">
        <v>149</v>
      </c>
      <c r="U45" s="73">
        <v>0</v>
      </c>
      <c r="V45" s="73" t="s">
        <v>276</v>
      </c>
      <c r="X45" s="73" t="s">
        <v>275</v>
      </c>
      <c r="Y45" s="73" t="s">
        <v>264</v>
      </c>
      <c r="Z45" s="73" t="s">
        <v>460</v>
      </c>
      <c r="AA45" s="73" t="str">
        <f t="shared" si="3"/>
        <v>Wavefold Cord OperationTriple Face Fix BracketsDouble Both Sides</v>
      </c>
      <c r="AB45" s="73" t="s">
        <v>604</v>
      </c>
      <c r="AD45" s="73" t="s">
        <v>275</v>
      </c>
      <c r="AE45" s="73" t="s">
        <v>264</v>
      </c>
      <c r="AF45" s="73" t="s">
        <v>460</v>
      </c>
      <c r="AG45" s="73" t="str">
        <f t="shared" si="4"/>
        <v>Wavefold Cord OperationTriple Face Fix BracketsDouble Both Sides</v>
      </c>
      <c r="AH45" s="73" t="s">
        <v>604</v>
      </c>
      <c r="BE45" t="s">
        <v>861</v>
      </c>
      <c r="BF45" t="s">
        <v>192</v>
      </c>
      <c r="BG45" s="73" t="str">
        <f t="shared" si="7"/>
        <v>Double Rear25mm Brackets with Acorns</v>
      </c>
      <c r="BH45" s="73">
        <v>20</v>
      </c>
      <c r="BJ45" s="112" t="s">
        <v>291</v>
      </c>
      <c r="BK45" s="112" t="s">
        <v>291</v>
      </c>
      <c r="BL45" s="112">
        <v>130</v>
      </c>
    </row>
    <row r="46" spans="3:64" ht="14.4">
      <c r="C46" s="38" t="s">
        <v>348</v>
      </c>
      <c r="D46" s="38">
        <v>20</v>
      </c>
      <c r="J46" s="73" t="s">
        <v>275</v>
      </c>
      <c r="K46" t="s">
        <v>171</v>
      </c>
      <c r="L46" s="73" t="str">
        <f t="shared" si="1"/>
        <v>Wavefold Cord OperationSingle Panel - Left Stacking</v>
      </c>
      <c r="M46" s="73">
        <v>35</v>
      </c>
      <c r="O46" s="113" t="s">
        <v>243</v>
      </c>
      <c r="P46" s="113" t="s">
        <v>222</v>
      </c>
      <c r="Q46" s="23" t="s">
        <v>198</v>
      </c>
      <c r="R46" s="73" t="str">
        <f t="shared" si="2"/>
        <v>Designer 25 S-Fold Cord DrawnBlackStraight</v>
      </c>
      <c r="S46" s="73" t="s">
        <v>223</v>
      </c>
      <c r="T46" s="73" t="s">
        <v>149</v>
      </c>
      <c r="U46" s="73">
        <v>0</v>
      </c>
      <c r="V46" s="73" t="s">
        <v>276</v>
      </c>
      <c r="X46" s="73" t="s">
        <v>296</v>
      </c>
      <c r="Y46" s="73" t="s">
        <v>191</v>
      </c>
      <c r="Z46" s="73" t="s">
        <v>460</v>
      </c>
      <c r="AA46" s="73" t="str">
        <f t="shared" si="3"/>
        <v>Wavefold Hand OperationDouble Face Fix BracketsDouble Both Sides</v>
      </c>
      <c r="AB46" s="73" t="s">
        <v>604</v>
      </c>
      <c r="AD46" s="73" t="s">
        <v>296</v>
      </c>
      <c r="AE46" s="73" t="s">
        <v>191</v>
      </c>
      <c r="AF46" s="73" t="s">
        <v>460</v>
      </c>
      <c r="AG46" s="73" t="str">
        <f t="shared" si="4"/>
        <v>Wavefold Hand OperationDouble Face Fix BracketsDouble Both Sides</v>
      </c>
      <c r="AH46" s="73" t="s">
        <v>604</v>
      </c>
      <c r="BE46" t="s">
        <v>861</v>
      </c>
      <c r="BF46" t="s">
        <v>790</v>
      </c>
      <c r="BG46" s="73" t="str">
        <f t="shared" si="7"/>
        <v>Double Rear32mm Face Fix Brackets</v>
      </c>
      <c r="BH46" s="73">
        <v>27</v>
      </c>
      <c r="BJ46" s="112" t="s">
        <v>292</v>
      </c>
      <c r="BK46" s="112" t="s">
        <v>292</v>
      </c>
      <c r="BL46" s="112" t="s">
        <v>815</v>
      </c>
    </row>
    <row r="47" spans="3:64" ht="14.4">
      <c r="C47" s="38" t="s">
        <v>349</v>
      </c>
      <c r="D47" s="38">
        <v>70</v>
      </c>
      <c r="J47" s="73" t="s">
        <v>275</v>
      </c>
      <c r="K47" t="s">
        <v>172</v>
      </c>
      <c r="L47" s="73" t="str">
        <f t="shared" si="1"/>
        <v>Wavefold Cord OperationSingle Panel - Right Stacking</v>
      </c>
      <c r="M47" s="73">
        <v>35</v>
      </c>
      <c r="O47" s="113" t="s">
        <v>243</v>
      </c>
      <c r="P47" s="113" t="s">
        <v>370</v>
      </c>
      <c r="Q47" s="23" t="s">
        <v>817</v>
      </c>
      <c r="R47" s="73" t="str">
        <f t="shared" si="2"/>
        <v>Designer 25 S-Fold Cord DrawnGoldBent</v>
      </c>
      <c r="S47" s="73" t="s">
        <v>223</v>
      </c>
      <c r="T47" s="73" t="s">
        <v>149</v>
      </c>
      <c r="U47" s="73">
        <v>0</v>
      </c>
      <c r="V47" s="73" t="s">
        <v>276</v>
      </c>
      <c r="X47" s="73" t="s">
        <v>296</v>
      </c>
      <c r="Y47" s="73" t="s">
        <v>189</v>
      </c>
      <c r="Z47" s="73" t="s">
        <v>460</v>
      </c>
      <c r="AA47" s="73" t="str">
        <f t="shared" si="3"/>
        <v>Wavefold Hand OperationSingle Face Fix BracketsDouble Both Sides</v>
      </c>
      <c r="AB47" s="73" t="s">
        <v>604</v>
      </c>
      <c r="AD47" s="73" t="s">
        <v>296</v>
      </c>
      <c r="AE47" s="73" t="s">
        <v>189</v>
      </c>
      <c r="AF47" s="73" t="s">
        <v>460</v>
      </c>
      <c r="AG47" s="73" t="str">
        <f t="shared" si="4"/>
        <v>Wavefold Hand OperationSingle Face Fix BracketsDouble Both Sides</v>
      </c>
      <c r="AH47" s="73" t="s">
        <v>604</v>
      </c>
      <c r="BE47" t="s">
        <v>861</v>
      </c>
      <c r="BF47" t="s">
        <v>862</v>
      </c>
      <c r="BG47" s="73" t="str">
        <f t="shared" si="7"/>
        <v>Double RearBoldtrak Premo Double Bracket Suit 16mm on Back</v>
      </c>
      <c r="BH47" s="73">
        <v>65</v>
      </c>
      <c r="BJ47" s="112" t="s">
        <v>293</v>
      </c>
      <c r="BK47" s="112" t="s">
        <v>293</v>
      </c>
      <c r="BL47" s="112" t="s">
        <v>815</v>
      </c>
    </row>
    <row r="48" spans="3:64" ht="14.4">
      <c r="C48" s="38" t="s">
        <v>350</v>
      </c>
      <c r="D48" s="38">
        <v>80</v>
      </c>
      <c r="J48" s="73" t="s">
        <v>275</v>
      </c>
      <c r="K48" t="s">
        <v>173</v>
      </c>
      <c r="L48" s="73" t="str">
        <f t="shared" si="1"/>
        <v>Wavefold Cord OperationSingle Panel - Free Flowing</v>
      </c>
      <c r="M48" s="73">
        <v>6</v>
      </c>
      <c r="O48" s="112" t="s">
        <v>243</v>
      </c>
      <c r="P48" s="112" t="s">
        <v>370</v>
      </c>
      <c r="Q48" s="112" t="s">
        <v>198</v>
      </c>
      <c r="R48" s="73" t="str">
        <f t="shared" si="2"/>
        <v>Designer 25 S-Fold Cord DrawnGoldStraight</v>
      </c>
      <c r="S48" s="73" t="s">
        <v>223</v>
      </c>
      <c r="T48" s="73" t="s">
        <v>149</v>
      </c>
      <c r="U48" s="73">
        <v>0</v>
      </c>
      <c r="V48" s="73" t="s">
        <v>276</v>
      </c>
      <c r="X48" s="73" t="s">
        <v>296</v>
      </c>
      <c r="Y48" s="73" t="s">
        <v>190</v>
      </c>
      <c r="Z48" s="73" t="s">
        <v>460</v>
      </c>
      <c r="AA48" s="73" t="str">
        <f t="shared" si="3"/>
        <v>Wavefold Hand OperationTop Fix BracketsDouble Both Sides</v>
      </c>
      <c r="AB48" s="73" t="s">
        <v>604</v>
      </c>
      <c r="AD48" s="73" t="s">
        <v>296</v>
      </c>
      <c r="AE48" s="73" t="s">
        <v>190</v>
      </c>
      <c r="AF48" s="73" t="s">
        <v>460</v>
      </c>
      <c r="AG48" s="73" t="str">
        <f t="shared" si="4"/>
        <v>Wavefold Hand OperationTop Fix BracketsDouble Both Sides</v>
      </c>
      <c r="AH48" s="73" t="s">
        <v>604</v>
      </c>
      <c r="BE48" t="s">
        <v>861</v>
      </c>
      <c r="BF48" t="s">
        <v>863</v>
      </c>
      <c r="BG48" s="73" t="str">
        <f t="shared" si="7"/>
        <v>Double RearBoldtrak Premo Double Bracket Suit 25mm on Back</v>
      </c>
      <c r="BH48" s="73">
        <v>65</v>
      </c>
      <c r="BJ48" s="112" t="s">
        <v>294</v>
      </c>
      <c r="BK48" s="112" t="s">
        <v>294</v>
      </c>
      <c r="BL48" s="112" t="s">
        <v>815</v>
      </c>
    </row>
    <row r="49" spans="3:64" ht="14.4">
      <c r="C49" s="38" t="s">
        <v>302</v>
      </c>
      <c r="D49" s="38">
        <v>0</v>
      </c>
      <c r="J49" s="73" t="s">
        <v>296</v>
      </c>
      <c r="K49" t="s">
        <v>167</v>
      </c>
      <c r="L49" s="73" t="str">
        <f t="shared" si="1"/>
        <v>Wavefold Hand OperationCentre Opening</v>
      </c>
      <c r="M49" s="73">
        <v>6</v>
      </c>
      <c r="O49" s="112" t="s">
        <v>243</v>
      </c>
      <c r="P49" s="112" t="s">
        <v>371</v>
      </c>
      <c r="Q49" s="112" t="s">
        <v>817</v>
      </c>
      <c r="R49" s="73" t="str">
        <f t="shared" si="2"/>
        <v>Designer 25 S-Fold Cord DrawnMatt Black InkBent</v>
      </c>
      <c r="S49" s="73" t="s">
        <v>223</v>
      </c>
      <c r="T49" s="73" t="s">
        <v>149</v>
      </c>
      <c r="U49" s="73">
        <v>0</v>
      </c>
      <c r="V49" s="73" t="s">
        <v>276</v>
      </c>
      <c r="X49" s="73" t="s">
        <v>296</v>
      </c>
      <c r="Y49" s="73" t="s">
        <v>264</v>
      </c>
      <c r="Z49" s="73" t="s">
        <v>460</v>
      </c>
      <c r="AA49" s="73" t="str">
        <f t="shared" si="3"/>
        <v>Wavefold Hand OperationTriple Face Fix BracketsDouble Both Sides</v>
      </c>
      <c r="AB49" s="73" t="s">
        <v>604</v>
      </c>
      <c r="AD49" s="73" t="s">
        <v>296</v>
      </c>
      <c r="AE49" s="73" t="s">
        <v>264</v>
      </c>
      <c r="AF49" s="73" t="s">
        <v>460</v>
      </c>
      <c r="AG49" s="73" t="str">
        <f t="shared" si="4"/>
        <v>Wavefold Hand OperationTriple Face Fix BracketsDouble Both Sides</v>
      </c>
      <c r="AH49" s="73" t="s">
        <v>604</v>
      </c>
      <c r="BE49" t="s">
        <v>861</v>
      </c>
      <c r="BF49" t="s">
        <v>864</v>
      </c>
      <c r="BG49" s="73" t="str">
        <f t="shared" si="7"/>
        <v>Double RearBoldtrak Standard Double Bracket Suit 25mm on Back</v>
      </c>
      <c r="BH49" s="73">
        <v>65</v>
      </c>
      <c r="BJ49" s="112" t="s">
        <v>372</v>
      </c>
      <c r="BK49" s="112" t="s">
        <v>372</v>
      </c>
      <c r="BL49" s="112" t="s">
        <v>815</v>
      </c>
    </row>
    <row r="50" spans="3:64" ht="14.4">
      <c r="C50" s="38" t="s">
        <v>351</v>
      </c>
      <c r="D50" s="38">
        <v>70</v>
      </c>
      <c r="J50" s="73" t="s">
        <v>296</v>
      </c>
      <c r="K50" s="73" t="s">
        <v>306</v>
      </c>
      <c r="L50" s="73" t="str">
        <f t="shared" si="1"/>
        <v>Wavefold Hand OperationCentre Opening - Free Flowing</v>
      </c>
      <c r="M50" s="73">
        <v>6</v>
      </c>
      <c r="O50" s="112" t="s">
        <v>243</v>
      </c>
      <c r="P50" s="112" t="s">
        <v>371</v>
      </c>
      <c r="Q50" s="112" t="s">
        <v>198</v>
      </c>
      <c r="R50" s="73" t="str">
        <f t="shared" si="2"/>
        <v>Designer 25 S-Fold Cord DrawnMatt Black InkStraight</v>
      </c>
      <c r="S50" s="73" t="s">
        <v>223</v>
      </c>
      <c r="T50" s="73" t="s">
        <v>149</v>
      </c>
      <c r="U50" s="73">
        <v>0</v>
      </c>
      <c r="V50" s="73" t="s">
        <v>276</v>
      </c>
      <c r="BE50" t="s">
        <v>861</v>
      </c>
      <c r="BF50" t="s">
        <v>865</v>
      </c>
      <c r="BG50" s="73" t="str">
        <f t="shared" si="7"/>
        <v>Double RearBoldtrak Standard Double Bracket Suit 25mm on Front</v>
      </c>
      <c r="BH50" s="73">
        <v>65</v>
      </c>
      <c r="BJ50" s="73" t="s">
        <v>726</v>
      </c>
      <c r="BK50" s="73" t="s">
        <v>726</v>
      </c>
      <c r="BL50" s="112" t="s">
        <v>815</v>
      </c>
    </row>
    <row r="51" spans="3:64" ht="14.4">
      <c r="C51" s="38" t="s">
        <v>352</v>
      </c>
      <c r="D51" s="38">
        <v>80</v>
      </c>
      <c r="J51" s="73" t="s">
        <v>296</v>
      </c>
      <c r="K51" t="s">
        <v>171</v>
      </c>
      <c r="L51" s="73" t="str">
        <f t="shared" si="1"/>
        <v>Wavefold Hand OperationSingle Panel - Left Stacking</v>
      </c>
      <c r="M51" s="73">
        <v>6</v>
      </c>
      <c r="O51" s="112" t="s">
        <v>243</v>
      </c>
      <c r="P51" s="112" t="s">
        <v>219</v>
      </c>
      <c r="Q51" s="112" t="s">
        <v>817</v>
      </c>
      <c r="R51" s="73" t="str">
        <f t="shared" si="2"/>
        <v>Designer 25 S-Fold Cord DrawnWhiteBent</v>
      </c>
      <c r="S51" s="73" t="s">
        <v>223</v>
      </c>
      <c r="T51" s="73" t="s">
        <v>149</v>
      </c>
      <c r="U51" s="73">
        <v>0</v>
      </c>
      <c r="V51" s="73" t="s">
        <v>276</v>
      </c>
      <c r="BE51" t="s">
        <v>861</v>
      </c>
      <c r="BF51" t="s">
        <v>866</v>
      </c>
      <c r="BG51" s="73" t="str">
        <f t="shared" si="7"/>
        <v>Double RearBoldtrak Standard Double Bracket Suit 32mm on Back</v>
      </c>
      <c r="BH51" s="73">
        <v>65</v>
      </c>
      <c r="BJ51" s="112" t="s">
        <v>295</v>
      </c>
      <c r="BK51" s="112" t="s">
        <v>295</v>
      </c>
      <c r="BL51" s="112">
        <v>130</v>
      </c>
    </row>
    <row r="52" spans="3:64" ht="14.4">
      <c r="C52" s="38" t="s">
        <v>353</v>
      </c>
      <c r="D52" s="38">
        <v>20</v>
      </c>
      <c r="J52" s="73" t="s">
        <v>296</v>
      </c>
      <c r="K52" t="s">
        <v>172</v>
      </c>
      <c r="L52" s="73" t="str">
        <f t="shared" si="16" ref="L52">CONCATENATE(J52,K52)</f>
        <v>Wavefold Hand OperationSingle Panel - Right Stacking</v>
      </c>
      <c r="M52" s="73">
        <v>6</v>
      </c>
      <c r="O52" s="112" t="s">
        <v>243</v>
      </c>
      <c r="P52" s="112" t="s">
        <v>219</v>
      </c>
      <c r="Q52" s="112" t="s">
        <v>198</v>
      </c>
      <c r="R52" s="73" t="str">
        <f t="shared" si="2"/>
        <v>Designer 25 S-Fold Cord DrawnWhiteStraight</v>
      </c>
      <c r="S52" s="73" t="s">
        <v>223</v>
      </c>
      <c r="T52" s="73" t="s">
        <v>149</v>
      </c>
      <c r="U52" s="73">
        <v>0</v>
      </c>
      <c r="V52" s="73" t="s">
        <v>276</v>
      </c>
      <c r="BE52" t="s">
        <v>861</v>
      </c>
      <c r="BF52" t="s">
        <v>867</v>
      </c>
      <c r="BG52" s="73" t="str">
        <f t="shared" si="7"/>
        <v>Double RearBoldtrak Standard Double Bracket Suit 35mm on Back</v>
      </c>
      <c r="BH52" s="73">
        <v>65</v>
      </c>
      <c r="BJ52" s="73" t="s">
        <v>592</v>
      </c>
      <c r="BK52" s="73" t="s">
        <v>592</v>
      </c>
      <c r="BL52" s="112">
        <v>130</v>
      </c>
    </row>
    <row r="53" spans="3:64" ht="14.4">
      <c r="C53" s="38" t="s">
        <v>277</v>
      </c>
      <c r="D53" s="38">
        <v>70</v>
      </c>
      <c r="J53" s="73" t="s">
        <v>296</v>
      </c>
      <c r="K53" t="s">
        <v>185</v>
      </c>
      <c r="L53" s="73" t="str">
        <f t="shared" si="1"/>
        <v>Wavefold Hand OperationNo Movement</v>
      </c>
      <c r="M53" s="73">
        <v>6</v>
      </c>
      <c r="O53" s="112" t="s">
        <v>245</v>
      </c>
      <c r="P53" s="112" t="s">
        <v>244</v>
      </c>
      <c r="Q53" s="112" t="s">
        <v>817</v>
      </c>
      <c r="R53" s="73" t="str">
        <f t="shared" si="2"/>
        <v>Designer 25 S-Fold Hand DrawnAntique BrassBent</v>
      </c>
      <c r="S53" s="73" t="s">
        <v>223</v>
      </c>
      <c r="T53" s="73" t="s">
        <v>149</v>
      </c>
      <c r="U53" s="73">
        <v>0</v>
      </c>
      <c r="V53" s="73" t="s">
        <v>276</v>
      </c>
      <c r="BE53" t="s">
        <v>861</v>
      </c>
      <c r="BF53" t="s">
        <v>274</v>
      </c>
      <c r="BG53" s="73" t="str">
        <f t="shared" si="7"/>
        <v>Double RearBoldtrak Top Fix Bracket</v>
      </c>
      <c r="BH53" s="73">
        <v>65</v>
      </c>
      <c r="BJ53" s="73" t="s">
        <v>593</v>
      </c>
      <c r="BK53" s="73" t="s">
        <v>593</v>
      </c>
      <c r="BL53" s="112">
        <v>130</v>
      </c>
    </row>
    <row r="54" spans="3:64" ht="14.4">
      <c r="C54" s="38" t="s">
        <v>354</v>
      </c>
      <c r="D54" s="38">
        <v>80</v>
      </c>
      <c r="J54" s="73" t="s">
        <v>296</v>
      </c>
      <c r="K54" t="s">
        <v>173</v>
      </c>
      <c r="L54" s="73" t="str">
        <f t="shared" si="1"/>
        <v>Wavefold Hand OperationSingle Panel - Free Flowing</v>
      </c>
      <c r="M54" s="73">
        <v>6</v>
      </c>
      <c r="O54" s="113" t="s">
        <v>245</v>
      </c>
      <c r="P54" s="113" t="s">
        <v>244</v>
      </c>
      <c r="Q54" s="23" t="s">
        <v>198</v>
      </c>
      <c r="R54" s="73" t="str">
        <f t="shared" si="2"/>
        <v>Designer 25 S-Fold Hand DrawnAntique BrassStraight</v>
      </c>
      <c r="S54" s="73" t="s">
        <v>223</v>
      </c>
      <c r="T54" s="73" t="s">
        <v>149</v>
      </c>
      <c r="U54" s="73">
        <v>0</v>
      </c>
      <c r="V54" s="73" t="s">
        <v>276</v>
      </c>
      <c r="BE54" t="s">
        <v>861</v>
      </c>
      <c r="BF54" t="s">
        <v>843</v>
      </c>
      <c r="BG54" s="73" t="str">
        <f t="shared" si="7"/>
        <v>Double RearBoldtrak Top Fix Suspension Bracket</v>
      </c>
      <c r="BH54" s="73">
        <v>65</v>
      </c>
      <c r="BJ54" s="112" t="s">
        <v>275</v>
      </c>
      <c r="BK54" s="112" t="s">
        <v>275</v>
      </c>
      <c r="BL54" s="112">
        <v>130</v>
      </c>
    </row>
    <row r="55" spans="3:64" ht="14.4">
      <c r="C55" s="38" t="s">
        <v>355</v>
      </c>
      <c r="D55" s="38">
        <v>80</v>
      </c>
      <c r="J55" s="73" t="s">
        <v>296</v>
      </c>
      <c r="K55" t="s">
        <v>599</v>
      </c>
      <c r="L55" s="73" t="str">
        <f t="shared" si="1"/>
        <v>Wavefold Hand OperationCentre Opening (Offset Split)</v>
      </c>
      <c r="M55" s="38">
        <v>6</v>
      </c>
      <c r="O55" s="113" t="s">
        <v>245</v>
      </c>
      <c r="P55" s="113" t="s">
        <v>221</v>
      </c>
      <c r="Q55" s="23" t="s">
        <v>817</v>
      </c>
      <c r="R55" s="73" t="str">
        <f t="shared" si="2"/>
        <v>Designer 25 S-Fold Hand DrawnBirch WhiteBent</v>
      </c>
      <c r="S55" s="73" t="s">
        <v>223</v>
      </c>
      <c r="T55" s="73" t="s">
        <v>149</v>
      </c>
      <c r="U55" s="73">
        <v>0</v>
      </c>
      <c r="V55" s="73" t="s">
        <v>276</v>
      </c>
      <c r="BE55" t="s">
        <v>861</v>
      </c>
      <c r="BF55" t="s">
        <v>191</v>
      </c>
      <c r="BG55" s="73" t="str">
        <f t="shared" si="7"/>
        <v>Double RearDouble Face Fix Brackets</v>
      </c>
      <c r="BH55" s="73">
        <v>65</v>
      </c>
      <c r="BJ55" s="112" t="s">
        <v>296</v>
      </c>
      <c r="BK55" s="112" t="s">
        <v>296</v>
      </c>
      <c r="BL55" s="112">
        <v>130</v>
      </c>
    </row>
    <row r="56" spans="3:64" ht="14.4">
      <c r="C56" s="38" t="s">
        <v>356</v>
      </c>
      <c r="D56" s="38">
        <v>80</v>
      </c>
      <c r="J56" s="73" t="s">
        <v>296</v>
      </c>
      <c r="K56" s="73" t="s">
        <v>598</v>
      </c>
      <c r="L56" s="73" t="str">
        <f t="shared" si="1"/>
        <v>Wavefold Hand OperationCentre Opening - Free Flowing (Offset Split)</v>
      </c>
      <c r="M56" s="38">
        <v>6</v>
      </c>
      <c r="O56" s="113" t="s">
        <v>245</v>
      </c>
      <c r="P56" s="113" t="s">
        <v>221</v>
      </c>
      <c r="Q56" s="23" t="s">
        <v>198</v>
      </c>
      <c r="R56" s="73" t="str">
        <f t="shared" si="2"/>
        <v>Designer 25 S-Fold Hand DrawnBirch WhiteStraight</v>
      </c>
      <c r="S56" s="73" t="s">
        <v>223</v>
      </c>
      <c r="T56" s="73" t="s">
        <v>149</v>
      </c>
      <c r="U56" s="73">
        <v>0</v>
      </c>
      <c r="V56" s="73" t="s">
        <v>276</v>
      </c>
      <c r="BE56" t="s">
        <v>861</v>
      </c>
      <c r="BF56" t="s">
        <v>798</v>
      </c>
      <c r="BG56" s="73" t="str">
        <f t="shared" si="7"/>
        <v>Double RearMetal Top Fix Brackets</v>
      </c>
      <c r="BH56" s="73">
        <v>65</v>
      </c>
      <c r="BJ56" s="112" t="s">
        <v>297</v>
      </c>
      <c r="BK56" s="112" t="s">
        <v>297</v>
      </c>
      <c r="BL56" s="112">
        <v>130</v>
      </c>
    </row>
    <row r="57" spans="3:64" ht="14.4">
      <c r="C57" s="38" t="s">
        <v>357</v>
      </c>
      <c r="D57" s="38">
        <v>20</v>
      </c>
      <c r="O57" s="113" t="s">
        <v>245</v>
      </c>
      <c r="P57" s="113" t="s">
        <v>222</v>
      </c>
      <c r="Q57" s="23" t="s">
        <v>817</v>
      </c>
      <c r="R57" s="73" t="str">
        <f t="shared" si="2"/>
        <v>Designer 25 S-Fold Hand DrawnBlackBent</v>
      </c>
      <c r="S57" s="73" t="s">
        <v>223</v>
      </c>
      <c r="T57" s="73" t="s">
        <v>149</v>
      </c>
      <c r="U57" s="73">
        <v>0</v>
      </c>
      <c r="V57" s="73" t="s">
        <v>276</v>
      </c>
      <c r="BE57" t="s">
        <v>861</v>
      </c>
      <c r="BF57" t="s">
        <v>187</v>
      </c>
      <c r="BG57" s="73" t="str">
        <f t="shared" si="7"/>
        <v>Double RearMuslin Brackets</v>
      </c>
      <c r="BH57" s="73">
        <v>10</v>
      </c>
      <c r="BJ57" s="73" t="s">
        <v>298</v>
      </c>
      <c r="BK57" s="73" t="s">
        <v>298</v>
      </c>
      <c r="BL57" s="73" t="s">
        <v>815</v>
      </c>
    </row>
    <row r="58" spans="3:64" ht="14.4">
      <c r="C58" s="38" t="s">
        <v>358</v>
      </c>
      <c r="D58" s="38">
        <v>20</v>
      </c>
      <c r="O58" s="113" t="s">
        <v>245</v>
      </c>
      <c r="P58" s="113" t="s">
        <v>222</v>
      </c>
      <c r="Q58" s="23" t="s">
        <v>198</v>
      </c>
      <c r="R58" s="73" t="str">
        <f t="shared" si="2"/>
        <v>Designer 25 S-Fold Hand DrawnBlackStraight</v>
      </c>
      <c r="S58" s="73" t="s">
        <v>223</v>
      </c>
      <c r="T58" s="73" t="s">
        <v>149</v>
      </c>
      <c r="U58" s="73">
        <v>0</v>
      </c>
      <c r="V58" s="73" t="s">
        <v>276</v>
      </c>
      <c r="BE58" t="s">
        <v>861</v>
      </c>
      <c r="BF58" t="s">
        <v>250</v>
      </c>
      <c r="BG58" s="73" t="str">
        <f t="shared" si="7"/>
        <v>Double RearMuslin Brackets Top and Bottom</v>
      </c>
      <c r="BH58" s="73">
        <v>10</v>
      </c>
      <c r="BJ58" s="73" t="s">
        <v>299</v>
      </c>
      <c r="BK58" s="73" t="s">
        <v>299</v>
      </c>
      <c r="BL58" s="73" t="s">
        <v>815</v>
      </c>
    </row>
    <row r="59" spans="3:64" ht="14.4">
      <c r="C59" s="38" t="s">
        <v>359</v>
      </c>
      <c r="D59" s="38">
        <v>140</v>
      </c>
      <c r="O59" s="113" t="s">
        <v>245</v>
      </c>
      <c r="P59" s="113" t="s">
        <v>370</v>
      </c>
      <c r="Q59" s="23" t="s">
        <v>817</v>
      </c>
      <c r="R59" s="73" t="str">
        <f t="shared" si="2"/>
        <v>Designer 25 S-Fold Hand DrawnGoldBent</v>
      </c>
      <c r="S59" s="73" t="s">
        <v>223</v>
      </c>
      <c r="T59" s="73" t="s">
        <v>149</v>
      </c>
      <c r="U59" s="73">
        <v>0</v>
      </c>
      <c r="V59" s="73" t="s">
        <v>276</v>
      </c>
      <c r="BE59" t="s">
        <v>861</v>
      </c>
      <c r="BF59" t="s">
        <v>214</v>
      </c>
      <c r="BG59" s="73" t="str">
        <f t="shared" si="7"/>
        <v>Double RearTop Fix</v>
      </c>
      <c r="BH59" s="73">
        <v>65</v>
      </c>
      <c r="BJ59" t="s">
        <v>889</v>
      </c>
      <c r="BK59" t="s">
        <v>889</v>
      </c>
      <c r="BL59" s="112">
        <v>250</v>
      </c>
    </row>
    <row r="60" spans="3:64" ht="14.4">
      <c r="C60" s="38" t="s">
        <v>360</v>
      </c>
      <c r="D60" s="38">
        <v>20</v>
      </c>
      <c r="O60" s="113" t="s">
        <v>245</v>
      </c>
      <c r="P60" s="113" t="s">
        <v>370</v>
      </c>
      <c r="Q60" s="23" t="s">
        <v>198</v>
      </c>
      <c r="R60" s="73" t="str">
        <f t="shared" si="2"/>
        <v>Designer 25 S-Fold Hand DrawnGoldStraight</v>
      </c>
      <c r="S60" s="73" t="s">
        <v>223</v>
      </c>
      <c r="T60" s="73" t="s">
        <v>149</v>
      </c>
      <c r="U60" s="73">
        <v>0</v>
      </c>
      <c r="V60" s="73" t="s">
        <v>276</v>
      </c>
      <c r="BE60" t="s">
        <v>861</v>
      </c>
      <c r="BF60" t="s">
        <v>190</v>
      </c>
      <c r="BG60" s="73" t="str">
        <f t="shared" si="7"/>
        <v>Double RearTop Fix Brackets</v>
      </c>
      <c r="BH60" s="73">
        <v>65</v>
      </c>
      <c r="BJ60" t="s">
        <v>890</v>
      </c>
      <c r="BK60" t="s">
        <v>890</v>
      </c>
      <c r="BL60" s="112">
        <v>250</v>
      </c>
    </row>
    <row r="61" spans="3:64" ht="14.4">
      <c r="C61" s="38" t="s">
        <v>361</v>
      </c>
      <c r="D61" s="38">
        <v>140</v>
      </c>
      <c r="O61" s="113" t="s">
        <v>245</v>
      </c>
      <c r="P61" s="113" t="s">
        <v>371</v>
      </c>
      <c r="Q61" s="23" t="s">
        <v>817</v>
      </c>
      <c r="R61" s="73" t="str">
        <f t="shared" si="2"/>
        <v>Designer 25 S-Fold Hand DrawnMatt Black InkBent</v>
      </c>
      <c r="S61" s="73" t="s">
        <v>223</v>
      </c>
      <c r="T61" s="73" t="s">
        <v>149</v>
      </c>
      <c r="U61" s="73">
        <v>0</v>
      </c>
      <c r="V61" s="73" t="s">
        <v>276</v>
      </c>
      <c r="BE61" t="s">
        <v>861</v>
      </c>
      <c r="BF61" t="s">
        <v>264</v>
      </c>
      <c r="BG61" s="73" t="str">
        <f t="shared" si="7"/>
        <v>Double RearTriple Face Fix Brackets</v>
      </c>
      <c r="BH61" s="73">
        <v>195</v>
      </c>
      <c r="BJ61" t="s">
        <v>740</v>
      </c>
      <c r="BK61" t="s">
        <v>740</v>
      </c>
      <c r="BL61" s="112">
        <v>250</v>
      </c>
    </row>
    <row r="62" spans="3:64" ht="14.4">
      <c r="C62" s="38" t="s">
        <v>362</v>
      </c>
      <c r="D62" s="38">
        <v>20</v>
      </c>
      <c r="O62" s="113" t="s">
        <v>245</v>
      </c>
      <c r="P62" s="113" t="s">
        <v>371</v>
      </c>
      <c r="Q62" s="23" t="s">
        <v>198</v>
      </c>
      <c r="R62" s="73" t="str">
        <f t="shared" si="2"/>
        <v>Designer 25 S-Fold Hand DrawnMatt Black InkStraight</v>
      </c>
      <c r="S62" s="73" t="s">
        <v>223</v>
      </c>
      <c r="T62" s="73" t="s">
        <v>149</v>
      </c>
      <c r="U62" s="73">
        <v>0</v>
      </c>
      <c r="V62" s="73" t="s">
        <v>276</v>
      </c>
      <c r="BE62" t="s">
        <v>861</v>
      </c>
      <c r="BF62" t="s">
        <v>846</v>
      </c>
      <c r="BG62" s="73" t="str">
        <f t="shared" si="7"/>
        <v>Double RearVantage Top Fix Bracket</v>
      </c>
      <c r="BH62" s="73">
        <v>100</v>
      </c>
      <c r="BJ62" t="s">
        <v>741</v>
      </c>
      <c r="BK62" t="s">
        <v>741</v>
      </c>
      <c r="BL62" s="112">
        <v>250</v>
      </c>
    </row>
    <row r="63" spans="3:64" ht="14.4">
      <c r="C63" s="38" t="s">
        <v>363</v>
      </c>
      <c r="D63" s="38">
        <v>140</v>
      </c>
      <c r="O63" s="113" t="s">
        <v>245</v>
      </c>
      <c r="P63" s="113" t="s">
        <v>219</v>
      </c>
      <c r="Q63" s="23" t="s">
        <v>817</v>
      </c>
      <c r="R63" s="73" t="str">
        <f t="shared" si="2"/>
        <v>Designer 25 S-Fold Hand DrawnWhiteBent</v>
      </c>
      <c r="S63" s="73" t="s">
        <v>223</v>
      </c>
      <c r="T63" s="73" t="s">
        <v>149</v>
      </c>
      <c r="U63" s="73">
        <v>0</v>
      </c>
      <c r="V63" s="73" t="s">
        <v>276</v>
      </c>
      <c r="BE63" t="s">
        <v>861</v>
      </c>
      <c r="BF63" t="s">
        <v>868</v>
      </c>
      <c r="BG63" s="73" t="str">
        <f t="shared" si="7"/>
        <v>Double RearVersatrak 16mm Front and 25mm Back Combo Glide Bracket</v>
      </c>
      <c r="BH63" s="73">
        <v>65</v>
      </c>
      <c r="BJ63" t="s">
        <v>742</v>
      </c>
      <c r="BK63" t="s">
        <v>742</v>
      </c>
      <c r="BL63" s="112">
        <v>250</v>
      </c>
    </row>
    <row r="64" spans="3:64" ht="14.4">
      <c r="C64" s="38" t="s">
        <v>364</v>
      </c>
      <c r="D64" s="38">
        <v>20</v>
      </c>
      <c r="O64" s="113" t="s">
        <v>245</v>
      </c>
      <c r="P64" s="113" t="s">
        <v>219</v>
      </c>
      <c r="Q64" s="23" t="s">
        <v>198</v>
      </c>
      <c r="R64" s="73" t="str">
        <f t="shared" si="2"/>
        <v>Designer 25 S-Fold Hand DrawnWhiteStraight</v>
      </c>
      <c r="S64" s="73" t="s">
        <v>223</v>
      </c>
      <c r="T64" s="73" t="s">
        <v>149</v>
      </c>
      <c r="U64" s="73">
        <v>0</v>
      </c>
      <c r="V64" s="73" t="s">
        <v>276</v>
      </c>
      <c r="BE64" t="s">
        <v>861</v>
      </c>
      <c r="BF64" t="s">
        <v>869</v>
      </c>
      <c r="BG64" s="73" t="str">
        <f t="shared" si="7"/>
        <v>Double RearVersatrak 16mm Front and Back Combo Glide Bracket</v>
      </c>
      <c r="BH64" s="73">
        <v>65</v>
      </c>
      <c r="BJ64" s="73" t="s">
        <v>735</v>
      </c>
      <c r="BK64" s="73" t="s">
        <v>735</v>
      </c>
      <c r="BL64" s="112">
        <v>250</v>
      </c>
    </row>
    <row r="65" spans="3:64" ht="14.4">
      <c r="C65" s="38" t="s">
        <v>365</v>
      </c>
      <c r="D65" s="38">
        <v>140</v>
      </c>
      <c r="O65" s="113" t="s">
        <v>279</v>
      </c>
      <c r="P65" s="113" t="s">
        <v>244</v>
      </c>
      <c r="Q65" s="23" t="s">
        <v>817</v>
      </c>
      <c r="R65" s="73" t="str">
        <f t="shared" si="2"/>
        <v>Designer 25 Wavefold Cord DrawnAntique BrassBent</v>
      </c>
      <c r="S65" s="73" t="s">
        <v>223</v>
      </c>
      <c r="T65" s="73" t="s">
        <v>149</v>
      </c>
      <c r="U65" s="73">
        <v>0</v>
      </c>
      <c r="V65" s="73" t="s">
        <v>276</v>
      </c>
      <c r="BE65" t="s">
        <v>861</v>
      </c>
      <c r="BF65" t="s">
        <v>847</v>
      </c>
      <c r="BG65" s="73" t="str">
        <f t="shared" si="7"/>
        <v>Double RearVersatrak 16mm Top Fix 100mm Suspension Bracket</v>
      </c>
      <c r="BH65" s="73">
        <v>65</v>
      </c>
      <c r="BJ65" s="73" t="s">
        <v>736</v>
      </c>
      <c r="BK65" s="73" t="s">
        <v>736</v>
      </c>
      <c r="BL65" s="112">
        <v>250</v>
      </c>
    </row>
    <row r="66" spans="3:64" ht="14.4">
      <c r="C66" s="38" t="s">
        <v>366</v>
      </c>
      <c r="D66" s="38">
        <v>0</v>
      </c>
      <c r="O66" s="113" t="s">
        <v>279</v>
      </c>
      <c r="P66" s="113" t="s">
        <v>244</v>
      </c>
      <c r="Q66" s="23" t="s">
        <v>198</v>
      </c>
      <c r="R66" s="73" t="str">
        <f t="shared" si="2"/>
        <v>Designer 25 Wavefold Cord DrawnAntique BrassStraight</v>
      </c>
      <c r="S66" s="73" t="s">
        <v>223</v>
      </c>
      <c r="T66" s="73" t="s">
        <v>149</v>
      </c>
      <c r="U66" s="73">
        <v>0</v>
      </c>
      <c r="V66" s="73" t="s">
        <v>276</v>
      </c>
      <c r="BE66" t="s">
        <v>861</v>
      </c>
      <c r="BF66" t="s">
        <v>870</v>
      </c>
      <c r="BG66" s="73" t="str">
        <f t="shared" si="7"/>
        <v>Double RearVersatrak 25mm Front and Back Combo Glide Bracket</v>
      </c>
      <c r="BH66" s="73">
        <v>65</v>
      </c>
      <c r="BJ66" s="73" t="s">
        <v>737</v>
      </c>
      <c r="BK66" s="73" t="s">
        <v>737</v>
      </c>
      <c r="BL66" s="112">
        <v>250</v>
      </c>
    </row>
    <row r="67" spans="3:64" ht="14.4">
      <c r="C67" s="38" t="s">
        <v>367</v>
      </c>
      <c r="D67" s="38">
        <v>20</v>
      </c>
      <c r="O67" s="113" t="s">
        <v>279</v>
      </c>
      <c r="P67" s="113" t="s">
        <v>221</v>
      </c>
      <c r="Q67" s="23" t="s">
        <v>817</v>
      </c>
      <c r="R67" s="73" t="str">
        <f t="shared" si="17" ref="R67:R130">O67&amp;P67&amp;Q67</f>
        <v>Designer 25 Wavefold Cord DrawnBirch WhiteBent</v>
      </c>
      <c r="S67" s="73" t="s">
        <v>223</v>
      </c>
      <c r="T67" s="73" t="s">
        <v>149</v>
      </c>
      <c r="U67" s="73">
        <v>0</v>
      </c>
      <c r="V67" s="73" t="s">
        <v>276</v>
      </c>
      <c r="BE67" t="s">
        <v>861</v>
      </c>
      <c r="BF67" t="s">
        <v>871</v>
      </c>
      <c r="BG67" s="73" t="str">
        <f t="shared" si="18" ref="BG67:BG104">(BE67&amp;BF67)</f>
        <v>Double RearVersatrak 25mm Glide Front and 16mm Glide Back Combo Bracket</v>
      </c>
      <c r="BH67" s="73">
        <v>65</v>
      </c>
      <c r="BJ67" s="73" t="s">
        <v>738</v>
      </c>
      <c r="BK67" s="73" t="s">
        <v>738</v>
      </c>
      <c r="BL67" s="112">
        <v>250</v>
      </c>
    </row>
    <row r="68" spans="3:64" ht="14.4">
      <c r="C68" s="38" t="s">
        <v>368</v>
      </c>
      <c r="D68" s="38">
        <v>70</v>
      </c>
      <c r="O68" s="113" t="s">
        <v>279</v>
      </c>
      <c r="P68" s="113" t="s">
        <v>221</v>
      </c>
      <c r="Q68" s="23" t="s">
        <v>198</v>
      </c>
      <c r="R68" s="73" t="str">
        <f t="shared" si="17"/>
        <v>Designer 25 Wavefold Cord DrawnBirch WhiteStraight</v>
      </c>
      <c r="S68" s="73" t="s">
        <v>223</v>
      </c>
      <c r="T68" s="73" t="s">
        <v>149</v>
      </c>
      <c r="U68" s="73">
        <v>0</v>
      </c>
      <c r="V68" s="73" t="s">
        <v>276</v>
      </c>
      <c r="BE68" t="s">
        <v>861</v>
      </c>
      <c r="BF68" t="s">
        <v>872</v>
      </c>
      <c r="BG68" s="73" t="str">
        <f t="shared" si="18"/>
        <v>Double RearVersatrak 25mm Ring Front and 16mm Glide Back Combo Bracket</v>
      </c>
      <c r="BH68" s="73">
        <v>65</v>
      </c>
      <c r="BJ68" s="73" t="s">
        <v>739</v>
      </c>
      <c r="BK68" s="73" t="s">
        <v>739</v>
      </c>
      <c r="BL68" s="112">
        <v>250</v>
      </c>
    </row>
    <row r="69" spans="3:64" ht="14.4">
      <c r="C69" s="38" t="s">
        <v>369</v>
      </c>
      <c r="D69" s="38">
        <v>80</v>
      </c>
      <c r="O69" s="113" t="s">
        <v>279</v>
      </c>
      <c r="P69" s="113" t="s">
        <v>222</v>
      </c>
      <c r="Q69" s="23" t="s">
        <v>817</v>
      </c>
      <c r="R69" s="73" t="str">
        <f t="shared" si="17"/>
        <v>Designer 25 Wavefold Cord DrawnBlackBent</v>
      </c>
      <c r="S69" s="73" t="s">
        <v>223</v>
      </c>
      <c r="T69" s="73" t="s">
        <v>149</v>
      </c>
      <c r="U69" s="73">
        <v>0</v>
      </c>
      <c r="V69" s="73" t="s">
        <v>276</v>
      </c>
      <c r="BE69" t="s">
        <v>861</v>
      </c>
      <c r="BF69" t="s">
        <v>873</v>
      </c>
      <c r="BG69" s="73" t="str">
        <f t="shared" si="18"/>
        <v>Double RearVersatrak 25mm Ring Front and 25mm Glide Back Combo Bracket</v>
      </c>
      <c r="BH69" s="73">
        <v>65</v>
      </c>
      <c r="BJ69" s="73" t="s">
        <v>730</v>
      </c>
      <c r="BK69" s="73" t="s">
        <v>730</v>
      </c>
      <c r="BL69" s="112">
        <v>250</v>
      </c>
    </row>
    <row r="70" spans="3:64" ht="14.4">
      <c r="C70" s="38" t="s">
        <v>795</v>
      </c>
      <c r="D70" s="38">
        <v>20</v>
      </c>
      <c r="O70" s="113" t="s">
        <v>279</v>
      </c>
      <c r="P70" s="113" t="s">
        <v>222</v>
      </c>
      <c r="Q70" s="23" t="s">
        <v>198</v>
      </c>
      <c r="R70" s="73" t="str">
        <f t="shared" si="17"/>
        <v>Designer 25 Wavefold Cord DrawnBlackStraight</v>
      </c>
      <c r="S70" s="73" t="s">
        <v>223</v>
      </c>
      <c r="T70" s="73" t="s">
        <v>149</v>
      </c>
      <c r="U70" s="73">
        <v>0</v>
      </c>
      <c r="V70" s="73" t="s">
        <v>276</v>
      </c>
      <c r="BE70" t="s">
        <v>861</v>
      </c>
      <c r="BF70" t="s">
        <v>848</v>
      </c>
      <c r="BG70" s="73" t="str">
        <f t="shared" si="18"/>
        <v>Double RearVersatrak 25mm Top Fix 100mm Suspension Bracket</v>
      </c>
      <c r="BH70" s="73">
        <v>65</v>
      </c>
      <c r="BJ70" s="73" t="s">
        <v>731</v>
      </c>
      <c r="BK70" s="73" t="s">
        <v>731</v>
      </c>
      <c r="BL70" s="112">
        <v>250</v>
      </c>
    </row>
    <row r="71" spans="3:64" ht="14.4">
      <c r="C71" s="38" t="s">
        <v>207</v>
      </c>
      <c r="D71" s="38">
        <v>20</v>
      </c>
      <c r="O71" s="113" t="s">
        <v>279</v>
      </c>
      <c r="P71" s="113" t="s">
        <v>370</v>
      </c>
      <c r="Q71" s="23" t="s">
        <v>817</v>
      </c>
      <c r="R71" s="73" t="str">
        <f t="shared" si="17"/>
        <v>Designer 25 Wavefold Cord DrawnGoldBent</v>
      </c>
      <c r="S71" s="73" t="s">
        <v>223</v>
      </c>
      <c r="T71" s="73" t="s">
        <v>149</v>
      </c>
      <c r="U71" s="73">
        <v>0</v>
      </c>
      <c r="V71" s="73" t="s">
        <v>276</v>
      </c>
      <c r="BE71" t="s">
        <v>861</v>
      </c>
      <c r="BF71" t="s">
        <v>856</v>
      </c>
      <c r="BG71" s="73" t="str">
        <f t="shared" si="18"/>
        <v>Double RearVersatrak Top Fix Ring Bracket</v>
      </c>
      <c r="BH71" s="73">
        <v>65</v>
      </c>
      <c r="BJ71" s="73" t="s">
        <v>732</v>
      </c>
      <c r="BK71" s="73" t="s">
        <v>732</v>
      </c>
      <c r="BL71" s="112">
        <v>250</v>
      </c>
    </row>
    <row r="72" spans="15:64" ht="14.4">
      <c r="O72" s="113" t="s">
        <v>279</v>
      </c>
      <c r="P72" s="113" t="s">
        <v>370</v>
      </c>
      <c r="Q72" s="23" t="s">
        <v>198</v>
      </c>
      <c r="R72" s="73" t="str">
        <f t="shared" si="17"/>
        <v>Designer 25 Wavefold Cord DrawnGoldStraight</v>
      </c>
      <c r="S72" s="73" t="s">
        <v>223</v>
      </c>
      <c r="T72" s="73" t="s">
        <v>149</v>
      </c>
      <c r="U72" s="73">
        <v>0</v>
      </c>
      <c r="V72" s="73" t="s">
        <v>276</v>
      </c>
      <c r="BE72" t="s">
        <v>861</v>
      </c>
      <c r="BF72" t="s">
        <v>857</v>
      </c>
      <c r="BG72" s="73" t="str">
        <f t="shared" si="18"/>
        <v>Double RearVersatrak Top Fix Suspension Bracket</v>
      </c>
      <c r="BH72" s="73">
        <v>65</v>
      </c>
      <c r="BJ72" s="73" t="s">
        <v>733</v>
      </c>
      <c r="BK72" s="73" t="s">
        <v>733</v>
      </c>
      <c r="BL72" s="112">
        <v>250</v>
      </c>
    </row>
    <row r="73" spans="15:64" ht="14.4">
      <c r="O73" s="113" t="s">
        <v>279</v>
      </c>
      <c r="P73" s="113" t="s">
        <v>371</v>
      </c>
      <c r="Q73" s="23" t="s">
        <v>817</v>
      </c>
      <c r="R73" s="73" t="str">
        <f t="shared" si="17"/>
        <v>Designer 25 Wavefold Cord DrawnMatt Black InkBent</v>
      </c>
      <c r="S73" s="73" t="s">
        <v>223</v>
      </c>
      <c r="T73" s="73" t="s">
        <v>149</v>
      </c>
      <c r="U73" s="73">
        <v>0</v>
      </c>
      <c r="V73" s="73" t="s">
        <v>276</v>
      </c>
      <c r="BE73" t="s">
        <v>861</v>
      </c>
      <c r="BF73" t="s">
        <v>858</v>
      </c>
      <c r="BG73" s="73" t="str">
        <f t="shared" si="18"/>
        <v>Double RearVersatrak Top Fix Suspension Bracket with 1 Wall Bracket</v>
      </c>
      <c r="BH73" s="73">
        <v>65</v>
      </c>
      <c r="BJ73" s="73" t="s">
        <v>734</v>
      </c>
      <c r="BK73" s="73" t="s">
        <v>734</v>
      </c>
      <c r="BL73" s="112">
        <v>250</v>
      </c>
    </row>
    <row r="74" spans="15:60" ht="14.4">
      <c r="O74" s="113" t="s">
        <v>279</v>
      </c>
      <c r="P74" s="113" t="s">
        <v>371</v>
      </c>
      <c r="Q74" s="23" t="s">
        <v>198</v>
      </c>
      <c r="R74" s="73" t="str">
        <f t="shared" si="17"/>
        <v>Designer 25 Wavefold Cord DrawnMatt Black InkStraight</v>
      </c>
      <c r="S74" s="73" t="s">
        <v>223</v>
      </c>
      <c r="T74" s="73" t="s">
        <v>149</v>
      </c>
      <c r="U74" s="73">
        <v>0</v>
      </c>
      <c r="V74" s="73" t="s">
        <v>276</v>
      </c>
      <c r="BE74" t="s">
        <v>861</v>
      </c>
      <c r="BF74" t="s">
        <v>859</v>
      </c>
      <c r="BG74" s="73" t="str">
        <f t="shared" si="18"/>
        <v>Double RearVersatrak Top Fix Suspension Bracket with 2 Wall Brackets</v>
      </c>
      <c r="BH74" s="73">
        <v>65</v>
      </c>
    </row>
    <row r="75" spans="15:60" ht="14.4">
      <c r="O75" s="113" t="s">
        <v>279</v>
      </c>
      <c r="P75" s="113" t="s">
        <v>238</v>
      </c>
      <c r="Q75" s="23" t="s">
        <v>817</v>
      </c>
      <c r="R75" s="73" t="str">
        <f t="shared" si="17"/>
        <v>Designer 25 Wavefold Cord DrawnMatt SatinBent</v>
      </c>
      <c r="S75" s="73" t="s">
        <v>223</v>
      </c>
      <c r="T75" s="73" t="s">
        <v>149</v>
      </c>
      <c r="U75" s="73">
        <v>0</v>
      </c>
      <c r="V75" s="73" t="s">
        <v>276</v>
      </c>
      <c r="BE75" t="s">
        <v>861</v>
      </c>
      <c r="BF75" t="s">
        <v>860</v>
      </c>
      <c r="BG75" s="73" t="str">
        <f t="shared" si="18"/>
        <v>Double RearVersatrak Ultra Top Fix Glide Bracket</v>
      </c>
      <c r="BH75" s="73">
        <v>65</v>
      </c>
    </row>
    <row r="76" spans="15:60" ht="14.4">
      <c r="O76" s="113" t="s">
        <v>279</v>
      </c>
      <c r="P76" s="113" t="s">
        <v>238</v>
      </c>
      <c r="Q76" s="23" t="s">
        <v>198</v>
      </c>
      <c r="R76" s="73" t="str">
        <f t="shared" si="17"/>
        <v>Designer 25 Wavefold Cord DrawnMatt SatinStraight</v>
      </c>
      <c r="S76" s="73" t="s">
        <v>223</v>
      </c>
      <c r="T76" s="73" t="s">
        <v>149</v>
      </c>
      <c r="U76" s="73">
        <v>0</v>
      </c>
      <c r="V76" s="73" t="s">
        <v>276</v>
      </c>
      <c r="BE76" s="73" t="s">
        <v>874</v>
      </c>
      <c r="BF76" t="s">
        <v>193</v>
      </c>
      <c r="BG76" s="73" t="str">
        <f t="shared" si="18"/>
        <v>Double Front100mm Unstayed Brackets with Acorns</v>
      </c>
      <c r="BH76" s="73">
        <v>100</v>
      </c>
    </row>
    <row r="77" spans="15:60" ht="14.4">
      <c r="O77" s="113" t="s">
        <v>279</v>
      </c>
      <c r="P77" s="113" t="s">
        <v>219</v>
      </c>
      <c r="Q77" s="23" t="s">
        <v>817</v>
      </c>
      <c r="R77" s="73" t="str">
        <f t="shared" si="17"/>
        <v>Designer 25 Wavefold Cord DrawnWhiteBent</v>
      </c>
      <c r="S77" s="73" t="s">
        <v>223</v>
      </c>
      <c r="T77" s="73" t="s">
        <v>149</v>
      </c>
      <c r="U77" s="73">
        <v>0</v>
      </c>
      <c r="V77" s="73" t="s">
        <v>276</v>
      </c>
      <c r="BE77" s="73" t="s">
        <v>874</v>
      </c>
      <c r="BF77" t="s">
        <v>266</v>
      </c>
      <c r="BG77" s="73" t="str">
        <f t="shared" si="18"/>
        <v>Double Front170mm Brackets</v>
      </c>
      <c r="BH77" s="73">
        <v>170</v>
      </c>
    </row>
    <row r="78" spans="15:60" ht="14.4">
      <c r="O78" s="113" t="s">
        <v>279</v>
      </c>
      <c r="P78" s="113" t="s">
        <v>219</v>
      </c>
      <c r="Q78" s="23" t="s">
        <v>198</v>
      </c>
      <c r="R78" s="73" t="str">
        <f t="shared" si="17"/>
        <v>Designer 25 Wavefold Cord DrawnWhiteStraight</v>
      </c>
      <c r="S78" s="73" t="s">
        <v>223</v>
      </c>
      <c r="T78" s="73" t="s">
        <v>149</v>
      </c>
      <c r="U78" s="73">
        <v>0</v>
      </c>
      <c r="V78" s="73" t="s">
        <v>276</v>
      </c>
      <c r="BE78" s="73" t="s">
        <v>874</v>
      </c>
      <c r="BF78" t="s">
        <v>862</v>
      </c>
      <c r="BG78" s="73" t="str">
        <f t="shared" si="18"/>
        <v>Double FrontBoldtrak Premo Double Bracket Suit 16mm on Back</v>
      </c>
      <c r="BH78" s="73">
        <v>145</v>
      </c>
    </row>
    <row r="79" spans="15:60" ht="14.4">
      <c r="O79" s="113" t="s">
        <v>280</v>
      </c>
      <c r="P79" s="113" t="s">
        <v>244</v>
      </c>
      <c r="Q79" s="23" t="s">
        <v>817</v>
      </c>
      <c r="R79" s="73" t="str">
        <f t="shared" si="17"/>
        <v>Designer 25 Wavefold Hand DrawnAntique BrassBent</v>
      </c>
      <c r="S79" s="73" t="s">
        <v>223</v>
      </c>
      <c r="T79" s="73" t="s">
        <v>149</v>
      </c>
      <c r="U79" s="73">
        <v>0</v>
      </c>
      <c r="V79" s="73" t="s">
        <v>276</v>
      </c>
      <c r="BE79" s="73" t="s">
        <v>874</v>
      </c>
      <c r="BF79" t="s">
        <v>863</v>
      </c>
      <c r="BG79" s="73" t="str">
        <f t="shared" si="18"/>
        <v>Double FrontBoldtrak Premo Double Bracket Suit 25mm on Back</v>
      </c>
      <c r="BH79" s="73">
        <v>145</v>
      </c>
    </row>
    <row r="80" spans="15:60" ht="14.4">
      <c r="O80" s="113" t="s">
        <v>280</v>
      </c>
      <c r="P80" s="113" t="s">
        <v>244</v>
      </c>
      <c r="Q80" s="23" t="s">
        <v>198</v>
      </c>
      <c r="R80" s="73" t="str">
        <f t="shared" si="17"/>
        <v>Designer 25 Wavefold Hand DrawnAntique BrassStraight</v>
      </c>
      <c r="S80" s="73" t="s">
        <v>223</v>
      </c>
      <c r="T80" s="73" t="s">
        <v>149</v>
      </c>
      <c r="U80" s="73">
        <v>0</v>
      </c>
      <c r="V80" s="73" t="s">
        <v>276</v>
      </c>
      <c r="BE80" s="73" t="s">
        <v>874</v>
      </c>
      <c r="BF80" t="s">
        <v>864</v>
      </c>
      <c r="BG80" s="73" t="str">
        <f t="shared" si="18"/>
        <v>Double FrontBoldtrak Standard Double Bracket Suit 25mm on Back</v>
      </c>
      <c r="BH80" s="73">
        <v>145</v>
      </c>
    </row>
    <row r="81" spans="15:60" ht="14.4">
      <c r="O81" s="113" t="s">
        <v>280</v>
      </c>
      <c r="P81" s="113" t="s">
        <v>221</v>
      </c>
      <c r="Q81" s="23" t="s">
        <v>817</v>
      </c>
      <c r="R81" s="73" t="str">
        <f t="shared" si="17"/>
        <v>Designer 25 Wavefold Hand DrawnBirch WhiteBent</v>
      </c>
      <c r="S81" s="73" t="s">
        <v>223</v>
      </c>
      <c r="T81" s="73" t="s">
        <v>149</v>
      </c>
      <c r="U81" s="73">
        <v>0</v>
      </c>
      <c r="V81" s="73" t="s">
        <v>276</v>
      </c>
      <c r="BE81" s="73" t="s">
        <v>874</v>
      </c>
      <c r="BF81" t="s">
        <v>865</v>
      </c>
      <c r="BG81" s="73" t="str">
        <f t="shared" si="18"/>
        <v>Double FrontBoldtrak Standard Double Bracket Suit 25mm on Front</v>
      </c>
      <c r="BH81" s="73">
        <v>145</v>
      </c>
    </row>
    <row r="82" spans="15:60" ht="14.4">
      <c r="O82" s="113" t="s">
        <v>280</v>
      </c>
      <c r="P82" s="113" t="s">
        <v>221</v>
      </c>
      <c r="Q82" s="23" t="s">
        <v>198</v>
      </c>
      <c r="R82" s="73" t="str">
        <f t="shared" si="17"/>
        <v>Designer 25 Wavefold Hand DrawnBirch WhiteStraight</v>
      </c>
      <c r="S82" s="73" t="s">
        <v>223</v>
      </c>
      <c r="T82" s="73" t="s">
        <v>149</v>
      </c>
      <c r="U82" s="73">
        <v>0</v>
      </c>
      <c r="V82" s="73" t="s">
        <v>276</v>
      </c>
      <c r="BE82" s="73" t="s">
        <v>874</v>
      </c>
      <c r="BF82" t="s">
        <v>866</v>
      </c>
      <c r="BG82" s="73" t="str">
        <f t="shared" si="18"/>
        <v>Double FrontBoldtrak Standard Double Bracket Suit 32mm on Back</v>
      </c>
      <c r="BH82" s="73">
        <v>145</v>
      </c>
    </row>
    <row r="83" spans="15:60" ht="14.4">
      <c r="O83" s="113" t="s">
        <v>280</v>
      </c>
      <c r="P83" s="113" t="s">
        <v>222</v>
      </c>
      <c r="Q83" s="23" t="s">
        <v>817</v>
      </c>
      <c r="R83" s="73" t="str">
        <f t="shared" si="17"/>
        <v>Designer 25 Wavefold Hand DrawnBlackBent</v>
      </c>
      <c r="S83" s="73" t="s">
        <v>223</v>
      </c>
      <c r="T83" s="73" t="s">
        <v>149</v>
      </c>
      <c r="U83" s="73">
        <v>0</v>
      </c>
      <c r="V83" s="73" t="s">
        <v>276</v>
      </c>
      <c r="BE83" s="73" t="s">
        <v>874</v>
      </c>
      <c r="BF83" t="s">
        <v>867</v>
      </c>
      <c r="BG83" s="73" t="str">
        <f t="shared" si="18"/>
        <v>Double FrontBoldtrak Standard Double Bracket Suit 35mm on Back</v>
      </c>
      <c r="BH83" s="73">
        <v>145</v>
      </c>
    </row>
    <row r="84" spans="15:60" ht="14.4">
      <c r="O84" s="113" t="s">
        <v>280</v>
      </c>
      <c r="P84" s="113" t="s">
        <v>222</v>
      </c>
      <c r="Q84" s="23" t="s">
        <v>198</v>
      </c>
      <c r="R84" s="73" t="str">
        <f t="shared" si="17"/>
        <v>Designer 25 Wavefold Hand DrawnBlackStraight</v>
      </c>
      <c r="S84" s="73" t="s">
        <v>223</v>
      </c>
      <c r="T84" s="73" t="s">
        <v>149</v>
      </c>
      <c r="U84" s="73">
        <v>0</v>
      </c>
      <c r="V84" s="73" t="s">
        <v>276</v>
      </c>
      <c r="BE84" s="73" t="s">
        <v>874</v>
      </c>
      <c r="BF84" t="s">
        <v>274</v>
      </c>
      <c r="BG84" s="73" t="str">
        <f t="shared" si="18"/>
        <v>Double FrontBoldtrak Top Fix Bracket</v>
      </c>
      <c r="BH84" s="73">
        <v>145</v>
      </c>
    </row>
    <row r="85" spans="15:60" ht="14.4">
      <c r="O85" s="113" t="s">
        <v>280</v>
      </c>
      <c r="P85" s="113" t="s">
        <v>370</v>
      </c>
      <c r="Q85" s="23" t="s">
        <v>817</v>
      </c>
      <c r="R85" s="73" t="str">
        <f t="shared" si="17"/>
        <v>Designer 25 Wavefold Hand DrawnGoldBent</v>
      </c>
      <c r="S85" s="73" t="s">
        <v>223</v>
      </c>
      <c r="T85" s="73" t="s">
        <v>149</v>
      </c>
      <c r="U85" s="73">
        <v>0</v>
      </c>
      <c r="V85" s="73" t="s">
        <v>276</v>
      </c>
      <c r="BE85" s="73" t="s">
        <v>874</v>
      </c>
      <c r="BF85" t="s">
        <v>843</v>
      </c>
      <c r="BG85" s="73" t="str">
        <f t="shared" si="18"/>
        <v>Double FrontBoldtrak Top Fix Suspension Bracket</v>
      </c>
      <c r="BH85" s="73">
        <v>145</v>
      </c>
    </row>
    <row r="86" spans="15:60" ht="14.4">
      <c r="O86" s="113" t="s">
        <v>280</v>
      </c>
      <c r="P86" s="113" t="s">
        <v>370</v>
      </c>
      <c r="Q86" s="23" t="s">
        <v>198</v>
      </c>
      <c r="R86" s="73" t="str">
        <f t="shared" si="17"/>
        <v>Designer 25 Wavefold Hand DrawnGoldStraight</v>
      </c>
      <c r="S86" s="73" t="s">
        <v>223</v>
      </c>
      <c r="T86" s="73" t="s">
        <v>149</v>
      </c>
      <c r="U86" s="73">
        <v>0</v>
      </c>
      <c r="V86" s="73" t="s">
        <v>276</v>
      </c>
      <c r="BE86" s="73" t="s">
        <v>874</v>
      </c>
      <c r="BF86" t="s">
        <v>191</v>
      </c>
      <c r="BG86" s="73" t="str">
        <f t="shared" si="18"/>
        <v>Double FrontDouble Face Fix Brackets</v>
      </c>
      <c r="BH86" s="73">
        <v>130</v>
      </c>
    </row>
    <row r="87" spans="15:60" ht="14.4">
      <c r="O87" s="113" t="s">
        <v>280</v>
      </c>
      <c r="P87" s="113" t="s">
        <v>371</v>
      </c>
      <c r="Q87" s="23" t="s">
        <v>817</v>
      </c>
      <c r="R87" s="73" t="str">
        <f t="shared" si="17"/>
        <v>Designer 25 Wavefold Hand DrawnMatt Black InkBent</v>
      </c>
      <c r="S87" s="73" t="s">
        <v>223</v>
      </c>
      <c r="T87" s="73" t="s">
        <v>149</v>
      </c>
      <c r="U87" s="73">
        <v>0</v>
      </c>
      <c r="V87" s="73" t="s">
        <v>276</v>
      </c>
      <c r="BE87" s="73" t="s">
        <v>874</v>
      </c>
      <c r="BF87" t="s">
        <v>798</v>
      </c>
      <c r="BG87" s="73" t="str">
        <f t="shared" si="18"/>
        <v>Double FrontMetal Top Fix Brackets</v>
      </c>
      <c r="BH87" s="73">
        <v>130</v>
      </c>
    </row>
    <row r="88" spans="15:60" ht="14.4">
      <c r="O88" s="113" t="s">
        <v>280</v>
      </c>
      <c r="P88" s="113" t="s">
        <v>371</v>
      </c>
      <c r="Q88" s="23" t="s">
        <v>198</v>
      </c>
      <c r="R88" s="73" t="str">
        <f t="shared" si="17"/>
        <v>Designer 25 Wavefold Hand DrawnMatt Black InkStraight</v>
      </c>
      <c r="S88" s="73" t="s">
        <v>223</v>
      </c>
      <c r="T88" s="73" t="s">
        <v>149</v>
      </c>
      <c r="U88" s="73">
        <v>0</v>
      </c>
      <c r="V88" s="73" t="s">
        <v>276</v>
      </c>
      <c r="BE88" s="73" t="s">
        <v>874</v>
      </c>
      <c r="BF88" t="s">
        <v>214</v>
      </c>
      <c r="BG88" s="73" t="str">
        <f t="shared" si="18"/>
        <v>Double FrontTop Fix</v>
      </c>
      <c r="BH88" s="73">
        <v>75</v>
      </c>
    </row>
    <row r="89" spans="15:60" ht="14.4">
      <c r="O89" s="113" t="s">
        <v>280</v>
      </c>
      <c r="P89" s="113" t="s">
        <v>238</v>
      </c>
      <c r="Q89" s="23" t="s">
        <v>817</v>
      </c>
      <c r="R89" s="73" t="str">
        <f t="shared" si="17"/>
        <v>Designer 25 Wavefold Hand DrawnMatt SatinBent</v>
      </c>
      <c r="S89" s="73" t="s">
        <v>223</v>
      </c>
      <c r="T89" s="73" t="s">
        <v>149</v>
      </c>
      <c r="U89" s="73">
        <v>0</v>
      </c>
      <c r="V89" s="73" t="s">
        <v>276</v>
      </c>
      <c r="BE89" s="73" t="s">
        <v>874</v>
      </c>
      <c r="BF89" t="s">
        <v>190</v>
      </c>
      <c r="BG89" s="73" t="str">
        <f t="shared" si="18"/>
        <v>Double FrontTop Fix Brackets</v>
      </c>
      <c r="BH89" s="73">
        <v>75</v>
      </c>
    </row>
    <row r="90" spans="15:60" ht="14.4">
      <c r="O90" s="113" t="s">
        <v>280</v>
      </c>
      <c r="P90" s="113" t="s">
        <v>238</v>
      </c>
      <c r="Q90" s="23" t="s">
        <v>198</v>
      </c>
      <c r="R90" s="73" t="str">
        <f t="shared" si="17"/>
        <v>Designer 25 Wavefold Hand DrawnMatt SatinStraight</v>
      </c>
      <c r="S90" s="73" t="s">
        <v>223</v>
      </c>
      <c r="T90" s="73" t="s">
        <v>149</v>
      </c>
      <c r="U90" s="73">
        <v>0</v>
      </c>
      <c r="V90" s="73" t="s">
        <v>276</v>
      </c>
      <c r="BE90" s="73" t="s">
        <v>874</v>
      </c>
      <c r="BF90" t="s">
        <v>264</v>
      </c>
      <c r="BG90" s="73" t="str">
        <f t="shared" si="18"/>
        <v>Double FrontTriple Face Fix Brackets</v>
      </c>
      <c r="BH90" s="73">
        <v>195</v>
      </c>
    </row>
    <row r="91" spans="15:60" ht="14.4">
      <c r="O91" s="113" t="s">
        <v>280</v>
      </c>
      <c r="P91" s="113" t="s">
        <v>219</v>
      </c>
      <c r="Q91" s="23" t="s">
        <v>817</v>
      </c>
      <c r="R91" s="73" t="str">
        <f t="shared" si="17"/>
        <v>Designer 25 Wavefold Hand DrawnWhiteBent</v>
      </c>
      <c r="S91" s="73" t="s">
        <v>223</v>
      </c>
      <c r="T91" s="73" t="s">
        <v>149</v>
      </c>
      <c r="U91" s="73">
        <v>0</v>
      </c>
      <c r="V91" s="73" t="s">
        <v>276</v>
      </c>
      <c r="BE91" s="73" t="s">
        <v>874</v>
      </c>
      <c r="BF91" t="s">
        <v>846</v>
      </c>
      <c r="BG91" s="73" t="str">
        <f t="shared" si="18"/>
        <v>Double FrontVantage Top Fix Bracket</v>
      </c>
      <c r="BH91" s="73">
        <v>140</v>
      </c>
    </row>
    <row r="92" spans="15:60" ht="14.4">
      <c r="O92" s="113" t="s">
        <v>280</v>
      </c>
      <c r="P92" s="113" t="s">
        <v>219</v>
      </c>
      <c r="Q92" s="23" t="s">
        <v>198</v>
      </c>
      <c r="R92" s="73" t="str">
        <f t="shared" si="17"/>
        <v>Designer 25 Wavefold Hand DrawnWhiteStraight</v>
      </c>
      <c r="S92" s="73" t="s">
        <v>223</v>
      </c>
      <c r="T92" s="73" t="s">
        <v>149</v>
      </c>
      <c r="U92" s="73">
        <v>0</v>
      </c>
      <c r="V92" s="73" t="s">
        <v>276</v>
      </c>
      <c r="BE92" s="73" t="s">
        <v>874</v>
      </c>
      <c r="BF92" t="s">
        <v>868</v>
      </c>
      <c r="BG92" s="73" t="str">
        <f t="shared" si="18"/>
        <v>Double FrontVersatrak 16mm Front and 25mm Back Combo Glide Bracket</v>
      </c>
      <c r="BH92" s="73">
        <v>140</v>
      </c>
    </row>
    <row r="93" spans="15:60" ht="14.4">
      <c r="O93" s="113" t="s">
        <v>256</v>
      </c>
      <c r="P93" s="113" t="s">
        <v>244</v>
      </c>
      <c r="Q93" s="23" t="s">
        <v>817</v>
      </c>
      <c r="R93" s="73" t="str">
        <f t="shared" si="17"/>
        <v>Designer 38 S-Fold Cord DrawnAntique BrassBent</v>
      </c>
      <c r="S93" s="73" t="s">
        <v>223</v>
      </c>
      <c r="T93" s="73" t="s">
        <v>149</v>
      </c>
      <c r="U93" s="73">
        <v>0</v>
      </c>
      <c r="V93" s="73" t="s">
        <v>276</v>
      </c>
      <c r="BE93" s="73" t="s">
        <v>874</v>
      </c>
      <c r="BF93" t="s">
        <v>869</v>
      </c>
      <c r="BG93" s="73" t="str">
        <f t="shared" si="18"/>
        <v>Double FrontVersatrak 16mm Front and Back Combo Glide Bracket</v>
      </c>
      <c r="BH93" s="73">
        <v>140</v>
      </c>
    </row>
    <row r="94" spans="15:60" ht="14.4">
      <c r="O94" s="113" t="s">
        <v>256</v>
      </c>
      <c r="P94" s="113" t="s">
        <v>244</v>
      </c>
      <c r="Q94" s="23" t="s">
        <v>198</v>
      </c>
      <c r="R94" s="73" t="str">
        <f t="shared" si="17"/>
        <v>Designer 38 S-Fold Cord DrawnAntique BrassStraight</v>
      </c>
      <c r="S94" s="73" t="s">
        <v>223</v>
      </c>
      <c r="T94" s="73" t="s">
        <v>149</v>
      </c>
      <c r="U94" s="73">
        <v>0</v>
      </c>
      <c r="V94" s="73" t="s">
        <v>276</v>
      </c>
      <c r="BE94" s="73" t="s">
        <v>874</v>
      </c>
      <c r="BF94" t="s">
        <v>847</v>
      </c>
      <c r="BG94" s="73" t="str">
        <f t="shared" si="18"/>
        <v>Double FrontVersatrak 16mm Top Fix 100mm Suspension Bracket</v>
      </c>
      <c r="BH94" s="73">
        <v>140</v>
      </c>
    </row>
    <row r="95" spans="15:60" ht="14.4">
      <c r="O95" s="113" t="s">
        <v>256</v>
      </c>
      <c r="P95" s="113" t="s">
        <v>222</v>
      </c>
      <c r="Q95" s="23" t="s">
        <v>817</v>
      </c>
      <c r="R95" s="73" t="str">
        <f t="shared" si="17"/>
        <v>Designer 38 S-Fold Cord DrawnBlackBent</v>
      </c>
      <c r="S95" s="73" t="s">
        <v>223</v>
      </c>
      <c r="T95" s="73" t="s">
        <v>149</v>
      </c>
      <c r="U95" s="73">
        <v>0</v>
      </c>
      <c r="V95" s="73" t="s">
        <v>276</v>
      </c>
      <c r="BE95" s="73" t="s">
        <v>874</v>
      </c>
      <c r="BF95" t="s">
        <v>870</v>
      </c>
      <c r="BG95" s="73" t="str">
        <f t="shared" si="18"/>
        <v>Double FrontVersatrak 25mm Front and Back Combo Glide Bracket</v>
      </c>
      <c r="BH95" s="73">
        <v>140</v>
      </c>
    </row>
    <row r="96" spans="15:60" ht="14.4">
      <c r="O96" s="113" t="s">
        <v>256</v>
      </c>
      <c r="P96" s="113" t="s">
        <v>222</v>
      </c>
      <c r="Q96" s="23" t="s">
        <v>198</v>
      </c>
      <c r="R96" s="73" t="str">
        <f t="shared" si="17"/>
        <v>Designer 38 S-Fold Cord DrawnBlackStraight</v>
      </c>
      <c r="S96" s="73" t="s">
        <v>223</v>
      </c>
      <c r="T96" s="73" t="s">
        <v>149</v>
      </c>
      <c r="U96" s="73">
        <v>0</v>
      </c>
      <c r="V96" s="73" t="s">
        <v>276</v>
      </c>
      <c r="BE96" s="73" t="s">
        <v>874</v>
      </c>
      <c r="BF96" t="s">
        <v>871</v>
      </c>
      <c r="BG96" s="73" t="str">
        <f t="shared" si="18"/>
        <v>Double FrontVersatrak 25mm Glide Front and 16mm Glide Back Combo Bracket</v>
      </c>
      <c r="BH96" s="73">
        <v>140</v>
      </c>
    </row>
    <row r="97" spans="15:60" ht="14.4">
      <c r="O97" s="113" t="s">
        <v>256</v>
      </c>
      <c r="P97" s="113" t="s">
        <v>370</v>
      </c>
      <c r="Q97" s="23" t="s">
        <v>817</v>
      </c>
      <c r="R97" s="73" t="str">
        <f t="shared" si="17"/>
        <v>Designer 38 S-Fold Cord DrawnGoldBent</v>
      </c>
      <c r="S97" s="73" t="s">
        <v>223</v>
      </c>
      <c r="T97" s="73" t="s">
        <v>149</v>
      </c>
      <c r="U97" s="73">
        <v>0</v>
      </c>
      <c r="V97" s="73" t="s">
        <v>276</v>
      </c>
      <c r="BE97" s="73" t="s">
        <v>874</v>
      </c>
      <c r="BF97" t="s">
        <v>872</v>
      </c>
      <c r="BG97" s="73" t="str">
        <f t="shared" si="18"/>
        <v>Double FrontVersatrak 25mm Ring Front and 16mm Glide Back Combo Bracket</v>
      </c>
      <c r="BH97" s="73">
        <v>140</v>
      </c>
    </row>
    <row r="98" spans="15:60" ht="14.4">
      <c r="O98" s="113" t="s">
        <v>256</v>
      </c>
      <c r="P98" s="113" t="s">
        <v>370</v>
      </c>
      <c r="Q98" s="23" t="s">
        <v>198</v>
      </c>
      <c r="R98" s="73" t="str">
        <f t="shared" si="17"/>
        <v>Designer 38 S-Fold Cord DrawnGoldStraight</v>
      </c>
      <c r="S98" s="73" t="s">
        <v>223</v>
      </c>
      <c r="T98" s="73" t="s">
        <v>149</v>
      </c>
      <c r="U98" s="73">
        <v>0</v>
      </c>
      <c r="V98" s="73" t="s">
        <v>276</v>
      </c>
      <c r="BE98" s="73" t="s">
        <v>874</v>
      </c>
      <c r="BF98" t="s">
        <v>873</v>
      </c>
      <c r="BG98" s="73" t="str">
        <f t="shared" si="18"/>
        <v>Double FrontVersatrak 25mm Ring Front and 25mm Glide Back Combo Bracket</v>
      </c>
      <c r="BH98" s="73">
        <v>140</v>
      </c>
    </row>
    <row r="99" spans="15:60" ht="14.4">
      <c r="O99" s="113" t="s">
        <v>256</v>
      </c>
      <c r="P99" s="113" t="s">
        <v>219</v>
      </c>
      <c r="Q99" s="23" t="s">
        <v>817</v>
      </c>
      <c r="R99" s="73" t="str">
        <f t="shared" si="17"/>
        <v>Designer 38 S-Fold Cord DrawnWhiteBent</v>
      </c>
      <c r="S99" s="73" t="s">
        <v>223</v>
      </c>
      <c r="T99" s="73" t="s">
        <v>149</v>
      </c>
      <c r="U99" s="73">
        <v>0</v>
      </c>
      <c r="V99" s="73" t="s">
        <v>276</v>
      </c>
      <c r="BE99" s="73" t="s">
        <v>874</v>
      </c>
      <c r="BF99" t="s">
        <v>848</v>
      </c>
      <c r="BG99" s="73" t="str">
        <f t="shared" si="18"/>
        <v>Double FrontVersatrak 25mm Top Fix 100mm Suspension Bracket</v>
      </c>
      <c r="BH99" s="73">
        <v>140</v>
      </c>
    </row>
    <row r="100" spans="15:60" ht="14.4">
      <c r="O100" s="113" t="s">
        <v>256</v>
      </c>
      <c r="P100" s="113" t="s">
        <v>219</v>
      </c>
      <c r="Q100" s="23" t="s">
        <v>198</v>
      </c>
      <c r="R100" s="73" t="str">
        <f t="shared" si="17"/>
        <v>Designer 38 S-Fold Cord DrawnWhiteStraight</v>
      </c>
      <c r="S100" s="73" t="s">
        <v>223</v>
      </c>
      <c r="T100" s="73" t="s">
        <v>149</v>
      </c>
      <c r="U100" s="73">
        <v>0</v>
      </c>
      <c r="V100" s="73" t="s">
        <v>276</v>
      </c>
      <c r="BE100" s="73" t="s">
        <v>874</v>
      </c>
      <c r="BF100" t="s">
        <v>856</v>
      </c>
      <c r="BG100" s="73" t="str">
        <f t="shared" si="18"/>
        <v>Double FrontVersatrak Top Fix Ring Bracket</v>
      </c>
      <c r="BH100" s="73">
        <v>140</v>
      </c>
    </row>
    <row r="101" spans="15:60" ht="14.4">
      <c r="O101" s="113" t="s">
        <v>257</v>
      </c>
      <c r="P101" s="113" t="s">
        <v>244</v>
      </c>
      <c r="Q101" s="23" t="s">
        <v>817</v>
      </c>
      <c r="R101" s="73" t="str">
        <f t="shared" si="17"/>
        <v>Designer 38 S-Fold Hand DrawnAntique BrassBent</v>
      </c>
      <c r="S101" s="73" t="s">
        <v>223</v>
      </c>
      <c r="T101" s="73" t="s">
        <v>149</v>
      </c>
      <c r="U101" s="73">
        <v>0</v>
      </c>
      <c r="V101" s="73" t="s">
        <v>276</v>
      </c>
      <c r="BE101" s="73" t="s">
        <v>874</v>
      </c>
      <c r="BF101" t="s">
        <v>857</v>
      </c>
      <c r="BG101" s="73" t="str">
        <f t="shared" si="18"/>
        <v>Double FrontVersatrak Top Fix Suspension Bracket</v>
      </c>
      <c r="BH101" s="73">
        <v>140</v>
      </c>
    </row>
    <row r="102" spans="15:60" ht="14.4">
      <c r="O102" s="113" t="s">
        <v>257</v>
      </c>
      <c r="P102" s="113" t="s">
        <v>244</v>
      </c>
      <c r="Q102" s="23" t="s">
        <v>198</v>
      </c>
      <c r="R102" s="73" t="str">
        <f t="shared" si="17"/>
        <v>Designer 38 S-Fold Hand DrawnAntique BrassStraight</v>
      </c>
      <c r="S102" s="73" t="s">
        <v>223</v>
      </c>
      <c r="T102" s="73" t="s">
        <v>149</v>
      </c>
      <c r="U102" s="73">
        <v>0</v>
      </c>
      <c r="V102" s="73" t="s">
        <v>276</v>
      </c>
      <c r="BE102" s="73" t="s">
        <v>874</v>
      </c>
      <c r="BF102" t="s">
        <v>858</v>
      </c>
      <c r="BG102" s="73" t="str">
        <f t="shared" si="18"/>
        <v>Double FrontVersatrak Top Fix Suspension Bracket with 1 Wall Bracket</v>
      </c>
      <c r="BH102" s="73">
        <v>140</v>
      </c>
    </row>
    <row r="103" spans="15:60" ht="14.4">
      <c r="O103" s="113" t="s">
        <v>257</v>
      </c>
      <c r="P103" s="113" t="s">
        <v>222</v>
      </c>
      <c r="Q103" s="23" t="s">
        <v>817</v>
      </c>
      <c r="R103" s="73" t="str">
        <f t="shared" si="17"/>
        <v>Designer 38 S-Fold Hand DrawnBlackBent</v>
      </c>
      <c r="S103" s="73" t="s">
        <v>223</v>
      </c>
      <c r="T103" s="73" t="s">
        <v>149</v>
      </c>
      <c r="U103" s="73">
        <v>0</v>
      </c>
      <c r="V103" s="73" t="s">
        <v>276</v>
      </c>
      <c r="BE103" s="73" t="s">
        <v>874</v>
      </c>
      <c r="BF103" t="s">
        <v>859</v>
      </c>
      <c r="BG103" s="73" t="str">
        <f t="shared" si="18"/>
        <v>Double FrontVersatrak Top Fix Suspension Bracket with 2 Wall Brackets</v>
      </c>
      <c r="BH103" s="73">
        <v>140</v>
      </c>
    </row>
    <row r="104" spans="15:60" ht="14.4">
      <c r="O104" s="113" t="s">
        <v>257</v>
      </c>
      <c r="P104" s="113" t="s">
        <v>222</v>
      </c>
      <c r="Q104" s="23" t="s">
        <v>198</v>
      </c>
      <c r="R104" s="73" t="str">
        <f t="shared" si="17"/>
        <v>Designer 38 S-Fold Hand DrawnBlackStraight</v>
      </c>
      <c r="S104" s="73" t="s">
        <v>223</v>
      </c>
      <c r="T104" s="73" t="s">
        <v>149</v>
      </c>
      <c r="U104" s="73">
        <v>0</v>
      </c>
      <c r="V104" s="73" t="s">
        <v>276</v>
      </c>
      <c r="BE104" s="73" t="s">
        <v>874</v>
      </c>
      <c r="BF104" t="s">
        <v>860</v>
      </c>
      <c r="BG104" s="73" t="str">
        <f t="shared" si="18"/>
        <v>Double FrontVersatrak Ultra Top Fix Glide Bracket</v>
      </c>
      <c r="BH104" s="73">
        <v>140</v>
      </c>
    </row>
    <row r="105" spans="15:58" ht="14.4">
      <c r="O105" s="113" t="s">
        <v>257</v>
      </c>
      <c r="P105" s="113" t="s">
        <v>370</v>
      </c>
      <c r="Q105" s="23" t="s">
        <v>817</v>
      </c>
      <c r="R105" s="73" t="str">
        <f t="shared" si="17"/>
        <v>Designer 38 S-Fold Hand DrawnGoldBent</v>
      </c>
      <c r="S105" s="73" t="s">
        <v>223</v>
      </c>
      <c r="T105" s="73" t="s">
        <v>149</v>
      </c>
      <c r="U105" s="73">
        <v>0</v>
      </c>
      <c r="V105" s="73" t="s">
        <v>276</v>
      </c>
      <c r="BF105"/>
    </row>
    <row r="106" spans="15:58" ht="14.4">
      <c r="O106" s="113" t="s">
        <v>257</v>
      </c>
      <c r="P106" s="113" t="s">
        <v>370</v>
      </c>
      <c r="Q106" s="23" t="s">
        <v>198</v>
      </c>
      <c r="R106" s="73" t="str">
        <f t="shared" si="17"/>
        <v>Designer 38 S-Fold Hand DrawnGoldStraight</v>
      </c>
      <c r="S106" s="73" t="s">
        <v>223</v>
      </c>
      <c r="T106" s="73" t="s">
        <v>149</v>
      </c>
      <c r="U106" s="73">
        <v>0</v>
      </c>
      <c r="V106" s="73" t="s">
        <v>276</v>
      </c>
      <c r="BF106"/>
    </row>
    <row r="107" spans="15:58" ht="14.4">
      <c r="O107" s="113" t="s">
        <v>257</v>
      </c>
      <c r="P107" s="113" t="s">
        <v>219</v>
      </c>
      <c r="Q107" s="23" t="s">
        <v>817</v>
      </c>
      <c r="R107" s="73" t="str">
        <f t="shared" si="17"/>
        <v>Designer 38 S-Fold Hand DrawnWhiteBent</v>
      </c>
      <c r="S107" s="73" t="s">
        <v>223</v>
      </c>
      <c r="T107" s="73" t="s">
        <v>149</v>
      </c>
      <c r="U107" s="73">
        <v>0</v>
      </c>
      <c r="V107" s="73" t="s">
        <v>276</v>
      </c>
      <c r="BF107"/>
    </row>
    <row r="108" spans="15:58" ht="14.4">
      <c r="O108" s="113" t="s">
        <v>257</v>
      </c>
      <c r="P108" s="113" t="s">
        <v>219</v>
      </c>
      <c r="Q108" s="23" t="s">
        <v>198</v>
      </c>
      <c r="R108" s="73" t="str">
        <f t="shared" si="17"/>
        <v>Designer 38 S-Fold Hand DrawnWhiteStraight</v>
      </c>
      <c r="S108" s="73" t="s">
        <v>223</v>
      </c>
      <c r="T108" s="73" t="s">
        <v>149</v>
      </c>
      <c r="U108" s="73">
        <v>0</v>
      </c>
      <c r="V108" s="73" t="s">
        <v>276</v>
      </c>
      <c r="BF108"/>
    </row>
    <row r="109" spans="15:58" ht="14.4">
      <c r="O109" s="113" t="s">
        <v>281</v>
      </c>
      <c r="P109" s="113" t="s">
        <v>244</v>
      </c>
      <c r="Q109" s="23" t="s">
        <v>817</v>
      </c>
      <c r="R109" s="73" t="str">
        <f t="shared" si="17"/>
        <v>Designer 38 Wavefold Cord DrawnAntique BrassBent</v>
      </c>
      <c r="S109" s="73" t="s">
        <v>223</v>
      </c>
      <c r="T109" s="73" t="s">
        <v>149</v>
      </c>
      <c r="U109" s="73">
        <v>0</v>
      </c>
      <c r="V109" s="73" t="s">
        <v>276</v>
      </c>
      <c r="BF109"/>
    </row>
    <row r="110" spans="15:58" ht="14.4">
      <c r="O110" s="113" t="s">
        <v>281</v>
      </c>
      <c r="P110" s="113" t="s">
        <v>244</v>
      </c>
      <c r="Q110" s="23" t="s">
        <v>198</v>
      </c>
      <c r="R110" s="73" t="str">
        <f t="shared" si="17"/>
        <v>Designer 38 Wavefold Cord DrawnAntique BrassStraight</v>
      </c>
      <c r="S110" s="73" t="s">
        <v>223</v>
      </c>
      <c r="T110" s="73" t="s">
        <v>149</v>
      </c>
      <c r="U110" s="73">
        <v>0</v>
      </c>
      <c r="V110" s="73" t="s">
        <v>276</v>
      </c>
      <c r="BF110"/>
    </row>
    <row r="111" spans="15:58" ht="14.4">
      <c r="O111" s="113" t="s">
        <v>281</v>
      </c>
      <c r="P111" s="113" t="s">
        <v>222</v>
      </c>
      <c r="Q111" s="23" t="s">
        <v>817</v>
      </c>
      <c r="R111" s="73" t="str">
        <f t="shared" si="17"/>
        <v>Designer 38 Wavefold Cord DrawnBlackBent</v>
      </c>
      <c r="S111" s="73" t="s">
        <v>223</v>
      </c>
      <c r="T111" s="73" t="s">
        <v>149</v>
      </c>
      <c r="U111" s="73">
        <v>0</v>
      </c>
      <c r="V111" s="73" t="s">
        <v>276</v>
      </c>
      <c r="BF111"/>
    </row>
    <row r="112" spans="15:58" ht="14.4">
      <c r="O112" s="113" t="s">
        <v>281</v>
      </c>
      <c r="P112" s="113" t="s">
        <v>222</v>
      </c>
      <c r="Q112" s="23" t="s">
        <v>198</v>
      </c>
      <c r="R112" s="73" t="str">
        <f t="shared" si="17"/>
        <v>Designer 38 Wavefold Cord DrawnBlackStraight</v>
      </c>
      <c r="S112" s="73" t="s">
        <v>223</v>
      </c>
      <c r="T112" s="73" t="s">
        <v>149</v>
      </c>
      <c r="U112" s="73">
        <v>0</v>
      </c>
      <c r="V112" s="73" t="s">
        <v>276</v>
      </c>
      <c r="BF112"/>
    </row>
    <row r="113" spans="15:58" ht="14.4">
      <c r="O113" s="113" t="s">
        <v>281</v>
      </c>
      <c r="P113" s="113" t="s">
        <v>370</v>
      </c>
      <c r="Q113" s="23" t="s">
        <v>817</v>
      </c>
      <c r="R113" s="73" t="str">
        <f t="shared" si="17"/>
        <v>Designer 38 Wavefold Cord DrawnGoldBent</v>
      </c>
      <c r="S113" s="73" t="s">
        <v>223</v>
      </c>
      <c r="T113" s="73" t="s">
        <v>149</v>
      </c>
      <c r="U113" s="73">
        <v>0</v>
      </c>
      <c r="V113" s="73" t="s">
        <v>276</v>
      </c>
      <c r="BF113"/>
    </row>
    <row r="114" spans="15:58" ht="14.4">
      <c r="O114" s="113" t="s">
        <v>281</v>
      </c>
      <c r="P114" s="113" t="s">
        <v>370</v>
      </c>
      <c r="Q114" s="23" t="s">
        <v>198</v>
      </c>
      <c r="R114" s="73" t="str">
        <f t="shared" si="17"/>
        <v>Designer 38 Wavefold Cord DrawnGoldStraight</v>
      </c>
      <c r="S114" s="73" t="s">
        <v>223</v>
      </c>
      <c r="T114" s="73" t="s">
        <v>149</v>
      </c>
      <c r="U114" s="73">
        <v>0</v>
      </c>
      <c r="V114" s="73" t="s">
        <v>276</v>
      </c>
      <c r="BF114"/>
    </row>
    <row r="115" spans="15:58" ht="14.4">
      <c r="O115" s="113" t="s">
        <v>281</v>
      </c>
      <c r="P115" s="113" t="s">
        <v>219</v>
      </c>
      <c r="Q115" s="23" t="s">
        <v>817</v>
      </c>
      <c r="R115" s="73" t="str">
        <f t="shared" si="17"/>
        <v>Designer 38 Wavefold Cord DrawnWhiteBent</v>
      </c>
      <c r="S115" s="73" t="s">
        <v>223</v>
      </c>
      <c r="T115" s="73" t="s">
        <v>149</v>
      </c>
      <c r="U115" s="73">
        <v>0</v>
      </c>
      <c r="V115" s="73" t="s">
        <v>276</v>
      </c>
      <c r="BF115"/>
    </row>
    <row r="116" spans="15:58" ht="14.4">
      <c r="O116" s="113" t="s">
        <v>281</v>
      </c>
      <c r="P116" s="113" t="s">
        <v>219</v>
      </c>
      <c r="Q116" s="23" t="s">
        <v>198</v>
      </c>
      <c r="R116" s="73" t="str">
        <f t="shared" si="17"/>
        <v>Designer 38 Wavefold Cord DrawnWhiteStraight</v>
      </c>
      <c r="S116" s="73" t="s">
        <v>223</v>
      </c>
      <c r="T116" s="73" t="s">
        <v>149</v>
      </c>
      <c r="U116" s="73">
        <v>0</v>
      </c>
      <c r="V116" s="73" t="s">
        <v>276</v>
      </c>
      <c r="BF116"/>
    </row>
    <row r="117" spans="15:58" ht="14.4">
      <c r="O117" s="113" t="s">
        <v>282</v>
      </c>
      <c r="P117" s="113" t="s">
        <v>244</v>
      </c>
      <c r="Q117" s="23" t="s">
        <v>817</v>
      </c>
      <c r="R117" s="73" t="str">
        <f t="shared" si="17"/>
        <v>Designer 38 Wavefold Hand DrawnAntique BrassBent</v>
      </c>
      <c r="S117" s="73" t="s">
        <v>223</v>
      </c>
      <c r="T117" s="73" t="s">
        <v>149</v>
      </c>
      <c r="U117" s="73">
        <v>0</v>
      </c>
      <c r="V117" s="73" t="s">
        <v>276</v>
      </c>
      <c r="BF117"/>
    </row>
    <row r="118" spans="15:58" ht="14.4">
      <c r="O118" s="113" t="s">
        <v>282</v>
      </c>
      <c r="P118" s="113" t="s">
        <v>244</v>
      </c>
      <c r="Q118" s="23" t="s">
        <v>198</v>
      </c>
      <c r="R118" s="73" t="str">
        <f t="shared" si="17"/>
        <v>Designer 38 Wavefold Hand DrawnAntique BrassStraight</v>
      </c>
      <c r="S118" s="73" t="s">
        <v>223</v>
      </c>
      <c r="T118" s="73" t="s">
        <v>149</v>
      </c>
      <c r="U118" s="73">
        <v>0</v>
      </c>
      <c r="V118" s="73" t="s">
        <v>276</v>
      </c>
      <c r="BF118"/>
    </row>
    <row r="119" spans="15:58" ht="14.4">
      <c r="O119" s="113" t="s">
        <v>282</v>
      </c>
      <c r="P119" s="113" t="s">
        <v>222</v>
      </c>
      <c r="Q119" s="23" t="s">
        <v>817</v>
      </c>
      <c r="R119" s="73" t="str">
        <f t="shared" si="17"/>
        <v>Designer 38 Wavefold Hand DrawnBlackBent</v>
      </c>
      <c r="S119" s="73" t="s">
        <v>223</v>
      </c>
      <c r="T119" s="73" t="s">
        <v>149</v>
      </c>
      <c r="U119" s="73">
        <v>0</v>
      </c>
      <c r="V119" s="73" t="s">
        <v>276</v>
      </c>
      <c r="BF119"/>
    </row>
    <row r="120" spans="15:58" ht="14.4">
      <c r="O120" s="113" t="s">
        <v>282</v>
      </c>
      <c r="P120" s="113" t="s">
        <v>222</v>
      </c>
      <c r="Q120" s="23" t="s">
        <v>198</v>
      </c>
      <c r="R120" s="73" t="str">
        <f t="shared" si="17"/>
        <v>Designer 38 Wavefold Hand DrawnBlackStraight</v>
      </c>
      <c r="S120" s="73" t="s">
        <v>223</v>
      </c>
      <c r="T120" s="73" t="s">
        <v>149</v>
      </c>
      <c r="U120" s="73">
        <v>0</v>
      </c>
      <c r="V120" s="73" t="s">
        <v>276</v>
      </c>
      <c r="BF120"/>
    </row>
    <row r="121" spans="15:58" ht="14.4">
      <c r="O121" s="113" t="s">
        <v>282</v>
      </c>
      <c r="P121" s="113" t="s">
        <v>370</v>
      </c>
      <c r="Q121" s="23" t="s">
        <v>817</v>
      </c>
      <c r="R121" s="73" t="str">
        <f t="shared" si="17"/>
        <v>Designer 38 Wavefold Hand DrawnGoldBent</v>
      </c>
      <c r="S121" s="73" t="s">
        <v>223</v>
      </c>
      <c r="T121" s="73" t="s">
        <v>149</v>
      </c>
      <c r="U121" s="73">
        <v>0</v>
      </c>
      <c r="V121" s="73" t="s">
        <v>276</v>
      </c>
      <c r="BF121"/>
    </row>
    <row r="122" spans="15:58" ht="14.4">
      <c r="O122" s="113" t="s">
        <v>282</v>
      </c>
      <c r="P122" s="113" t="s">
        <v>370</v>
      </c>
      <c r="Q122" s="23" t="s">
        <v>198</v>
      </c>
      <c r="R122" s="73" t="str">
        <f t="shared" si="17"/>
        <v>Designer 38 Wavefold Hand DrawnGoldStraight</v>
      </c>
      <c r="S122" s="73" t="s">
        <v>223</v>
      </c>
      <c r="T122" s="73" t="s">
        <v>149</v>
      </c>
      <c r="U122" s="73">
        <v>0</v>
      </c>
      <c r="V122" s="73" t="s">
        <v>276</v>
      </c>
      <c r="BF122"/>
    </row>
    <row r="123" spans="15:58" ht="14.4">
      <c r="O123" s="113" t="s">
        <v>282</v>
      </c>
      <c r="P123" s="113" t="s">
        <v>219</v>
      </c>
      <c r="Q123" s="23" t="s">
        <v>817</v>
      </c>
      <c r="R123" s="73" t="str">
        <f t="shared" si="17"/>
        <v>Designer 38 Wavefold Hand DrawnWhiteBent</v>
      </c>
      <c r="S123" s="73" t="s">
        <v>223</v>
      </c>
      <c r="T123" s="73" t="s">
        <v>149</v>
      </c>
      <c r="U123" s="73">
        <v>0</v>
      </c>
      <c r="V123" s="73" t="s">
        <v>276</v>
      </c>
      <c r="BF123"/>
    </row>
    <row r="124" spans="15:58" ht="14.4">
      <c r="O124" s="113" t="s">
        <v>282</v>
      </c>
      <c r="P124" s="113" t="s">
        <v>219</v>
      </c>
      <c r="Q124" s="23" t="s">
        <v>198</v>
      </c>
      <c r="R124" s="73" t="str">
        <f t="shared" si="17"/>
        <v>Designer 38 Wavefold Hand DrawnWhiteStraight</v>
      </c>
      <c r="S124" s="73" t="s">
        <v>223</v>
      </c>
      <c r="T124" s="73" t="s">
        <v>149</v>
      </c>
      <c r="U124" s="73">
        <v>0</v>
      </c>
      <c r="V124" s="73" t="s">
        <v>276</v>
      </c>
      <c r="BF124"/>
    </row>
    <row r="125" spans="15:58" ht="14.4">
      <c r="O125" s="113" t="s">
        <v>376</v>
      </c>
      <c r="P125" s="113"/>
      <c r="Q125" s="23" t="s">
        <v>198</v>
      </c>
      <c r="R125" s="73" t="str">
        <f t="shared" si="17"/>
        <v>Existing Conduit or WireStraight</v>
      </c>
      <c r="S125" s="73" t="s">
        <v>318</v>
      </c>
      <c r="T125" s="73" t="s">
        <v>149</v>
      </c>
      <c r="U125" s="73">
        <v>0</v>
      </c>
      <c r="V125" s="73" t="s">
        <v>149</v>
      </c>
      <c r="BF125"/>
    </row>
    <row r="126" spans="15:58" ht="14.4">
      <c r="O126" s="112" t="s">
        <v>380</v>
      </c>
      <c r="Q126" s="112" t="s">
        <v>817</v>
      </c>
      <c r="R126" s="73" t="str">
        <f t="shared" si="17"/>
        <v>Existing Decorator TrackBent</v>
      </c>
      <c r="S126" s="73" t="s">
        <v>318</v>
      </c>
      <c r="T126" s="73" t="s">
        <v>276</v>
      </c>
      <c r="U126" s="73">
        <v>200</v>
      </c>
      <c r="V126" s="73" t="s">
        <v>149</v>
      </c>
      <c r="BF126"/>
    </row>
    <row r="127" spans="15:58" ht="14.4">
      <c r="O127" s="112" t="s">
        <v>380</v>
      </c>
      <c r="Q127" s="112" t="s">
        <v>198</v>
      </c>
      <c r="R127" s="73" t="str">
        <f t="shared" si="17"/>
        <v>Existing Decorator TrackStraight</v>
      </c>
      <c r="S127" s="73" t="s">
        <v>318</v>
      </c>
      <c r="T127" s="73" t="s">
        <v>276</v>
      </c>
      <c r="U127" s="73">
        <v>200</v>
      </c>
      <c r="V127" s="73" t="s">
        <v>149</v>
      </c>
      <c r="BF127"/>
    </row>
    <row r="128" spans="15:58" ht="14.4">
      <c r="O128" s="112" t="s">
        <v>820</v>
      </c>
      <c r="Q128" s="112" t="s">
        <v>198</v>
      </c>
      <c r="R128" s="73" t="str">
        <f t="shared" si="17"/>
        <v>Existing Designer 15 TrackStraight</v>
      </c>
      <c r="S128" s="73" t="s">
        <v>318</v>
      </c>
      <c r="T128" s="73" t="s">
        <v>149</v>
      </c>
      <c r="U128" s="73">
        <v>0</v>
      </c>
      <c r="V128" s="73" t="s">
        <v>149</v>
      </c>
      <c r="BF128"/>
    </row>
    <row r="129" spans="15:58" ht="14.4">
      <c r="O129" s="112" t="s">
        <v>792</v>
      </c>
      <c r="Q129" s="112" t="s">
        <v>198</v>
      </c>
      <c r="R129" s="73" t="str">
        <f t="shared" si="17"/>
        <v>Existing Designer 15 Wavefold TrackStraight</v>
      </c>
      <c r="S129" s="73" t="s">
        <v>318</v>
      </c>
      <c r="T129" s="73" t="s">
        <v>149</v>
      </c>
      <c r="U129" s="73">
        <v>0</v>
      </c>
      <c r="V129" s="73" t="s">
        <v>276</v>
      </c>
      <c r="BF129"/>
    </row>
    <row r="130" spans="15:58" ht="14.4">
      <c r="O130" s="112" t="s">
        <v>749</v>
      </c>
      <c r="Q130" s="112" t="s">
        <v>817</v>
      </c>
      <c r="R130" s="73" t="str">
        <f t="shared" si="17"/>
        <v>Existing Designer 25 TrackBent</v>
      </c>
      <c r="S130" s="73" t="s">
        <v>318</v>
      </c>
      <c r="T130" s="73" t="s">
        <v>276</v>
      </c>
      <c r="U130" s="73">
        <v>200</v>
      </c>
      <c r="V130" s="73" t="s">
        <v>149</v>
      </c>
      <c r="BF130"/>
    </row>
    <row r="131" spans="15:58" ht="14.4">
      <c r="O131" s="112" t="s">
        <v>749</v>
      </c>
      <c r="Q131" s="112" t="s">
        <v>198</v>
      </c>
      <c r="R131" s="73" t="str">
        <f t="shared" si="19" ref="R131:R194">O131&amp;P131&amp;Q131</f>
        <v>Existing Designer 25 TrackStraight</v>
      </c>
      <c r="S131" s="73" t="s">
        <v>318</v>
      </c>
      <c r="T131" s="73" t="s">
        <v>276</v>
      </c>
      <c r="U131" s="73">
        <v>200</v>
      </c>
      <c r="V131" s="73" t="s">
        <v>149</v>
      </c>
      <c r="BF131"/>
    </row>
    <row r="132" spans="15:58" ht="14.4">
      <c r="O132" s="113" t="s">
        <v>793</v>
      </c>
      <c r="P132" s="113"/>
      <c r="Q132" s="23" t="s">
        <v>817</v>
      </c>
      <c r="R132" s="73" t="str">
        <f t="shared" si="19"/>
        <v>Existing Designer 25 Wavefold TrackBent</v>
      </c>
      <c r="S132" s="73" t="s">
        <v>318</v>
      </c>
      <c r="T132" s="73" t="s">
        <v>149</v>
      </c>
      <c r="U132" s="73">
        <v>200</v>
      </c>
      <c r="V132" s="73" t="s">
        <v>276</v>
      </c>
      <c r="BF132"/>
    </row>
    <row r="133" spans="15:58" ht="14.4">
      <c r="O133" s="113" t="s">
        <v>793</v>
      </c>
      <c r="P133" s="113"/>
      <c r="Q133" s="23" t="s">
        <v>198</v>
      </c>
      <c r="R133" s="73" t="str">
        <f t="shared" si="19"/>
        <v>Existing Designer 25 Wavefold TrackStraight</v>
      </c>
      <c r="S133" s="73" t="s">
        <v>318</v>
      </c>
      <c r="T133" s="73" t="s">
        <v>149</v>
      </c>
      <c r="U133" s="73">
        <v>0</v>
      </c>
      <c r="V133" s="73" t="s">
        <v>276</v>
      </c>
      <c r="BF133"/>
    </row>
    <row r="134" spans="15:58" ht="14.4">
      <c r="O134" s="113" t="s">
        <v>374</v>
      </c>
      <c r="P134" s="113"/>
      <c r="Q134" s="23" t="s">
        <v>198</v>
      </c>
      <c r="R134" s="73" t="str">
        <f t="shared" si="19"/>
        <v>Existing Eyelot RodStraight</v>
      </c>
      <c r="S134" s="73" t="s">
        <v>318</v>
      </c>
      <c r="T134" s="73" t="s">
        <v>149</v>
      </c>
      <c r="U134" s="73">
        <v>0</v>
      </c>
      <c r="V134" s="73" t="s">
        <v>149</v>
      </c>
      <c r="BF134"/>
    </row>
    <row r="135" spans="15:58" ht="14.4">
      <c r="O135" s="113" t="s">
        <v>373</v>
      </c>
      <c r="P135" s="113"/>
      <c r="Q135" s="23" t="s">
        <v>817</v>
      </c>
      <c r="R135" s="73" t="str">
        <f t="shared" si="19"/>
        <v>Existing Hospital TrackBent</v>
      </c>
      <c r="S135" s="73" t="s">
        <v>318</v>
      </c>
      <c r="T135" s="73" t="s">
        <v>149</v>
      </c>
      <c r="U135" s="73">
        <v>0</v>
      </c>
      <c r="V135" s="73" t="s">
        <v>149</v>
      </c>
      <c r="BF135"/>
    </row>
    <row r="136" spans="15:58" ht="14.4">
      <c r="O136" s="113" t="s">
        <v>373</v>
      </c>
      <c r="P136" s="113"/>
      <c r="Q136" s="23" t="s">
        <v>198</v>
      </c>
      <c r="R136" s="73" t="str">
        <f t="shared" si="19"/>
        <v>Existing Hospital TrackStraight</v>
      </c>
      <c r="S136" s="73" t="s">
        <v>318</v>
      </c>
      <c r="T136" s="73" t="s">
        <v>149</v>
      </c>
      <c r="U136" s="73">
        <v>0</v>
      </c>
      <c r="V136" s="73" t="s">
        <v>149</v>
      </c>
      <c r="BF136"/>
    </row>
    <row r="137" spans="15:58" ht="14.4">
      <c r="O137" s="113" t="s">
        <v>766</v>
      </c>
      <c r="P137" s="113"/>
      <c r="Q137" s="23" t="s">
        <v>817</v>
      </c>
      <c r="R137" s="73" t="str">
        <f t="shared" si="19"/>
        <v>Existing Motorised S-Fold TrackBent</v>
      </c>
      <c r="S137" s="73" t="s">
        <v>318</v>
      </c>
      <c r="T137" s="73" t="s">
        <v>149</v>
      </c>
      <c r="U137" s="73">
        <v>0</v>
      </c>
      <c r="V137" s="73" t="s">
        <v>276</v>
      </c>
      <c r="BF137"/>
    </row>
    <row r="138" spans="15:58" ht="14.4">
      <c r="O138" s="113" t="s">
        <v>766</v>
      </c>
      <c r="P138" s="113"/>
      <c r="Q138" s="23" t="s">
        <v>198</v>
      </c>
      <c r="R138" s="73" t="str">
        <f t="shared" si="19"/>
        <v>Existing Motorised S-Fold TrackStraight</v>
      </c>
      <c r="S138" s="73" t="s">
        <v>318</v>
      </c>
      <c r="T138" s="73" t="s">
        <v>149</v>
      </c>
      <c r="U138" s="73">
        <v>0</v>
      </c>
      <c r="V138" s="73" t="s">
        <v>276</v>
      </c>
      <c r="BF138"/>
    </row>
    <row r="139" spans="15:58" ht="14.4">
      <c r="O139" s="113" t="s">
        <v>767</v>
      </c>
      <c r="P139" s="113"/>
      <c r="Q139" s="23" t="s">
        <v>817</v>
      </c>
      <c r="R139" s="73" t="str">
        <f t="shared" si="19"/>
        <v>Existing Motorised TrackBent</v>
      </c>
      <c r="S139" s="73" t="s">
        <v>318</v>
      </c>
      <c r="T139" s="73" t="s">
        <v>276</v>
      </c>
      <c r="U139" s="73">
        <v>200</v>
      </c>
      <c r="V139" s="73" t="s">
        <v>149</v>
      </c>
      <c r="BF139"/>
    </row>
    <row r="140" spans="15:58" ht="14.4">
      <c r="O140" s="113" t="s">
        <v>767</v>
      </c>
      <c r="P140" s="113"/>
      <c r="Q140" s="23" t="s">
        <v>198</v>
      </c>
      <c r="R140" s="73" t="str">
        <f t="shared" si="19"/>
        <v>Existing Motorised TrackStraight</v>
      </c>
      <c r="S140" s="73" t="s">
        <v>318</v>
      </c>
      <c r="T140" s="73" t="s">
        <v>276</v>
      </c>
      <c r="U140" s="73">
        <v>200</v>
      </c>
      <c r="V140" s="73" t="s">
        <v>149</v>
      </c>
      <c r="BF140"/>
    </row>
    <row r="141" spans="15:58" ht="14.4">
      <c r="O141" s="113" t="s">
        <v>768</v>
      </c>
      <c r="P141" s="113"/>
      <c r="Q141" s="23" t="s">
        <v>817</v>
      </c>
      <c r="R141" s="73" t="str">
        <f t="shared" si="19"/>
        <v>Existing Motorised Wavefold TrackBent</v>
      </c>
      <c r="S141" s="73" t="s">
        <v>318</v>
      </c>
      <c r="T141" s="73" t="s">
        <v>149</v>
      </c>
      <c r="U141" s="73">
        <v>0</v>
      </c>
      <c r="V141" s="73" t="s">
        <v>276</v>
      </c>
      <c r="BF141"/>
    </row>
    <row r="142" spans="15:58" ht="14.4">
      <c r="O142" s="113" t="s">
        <v>768</v>
      </c>
      <c r="P142" s="113"/>
      <c r="Q142" s="23" t="s">
        <v>198</v>
      </c>
      <c r="R142" s="73" t="str">
        <f t="shared" si="19"/>
        <v>Existing Motorised Wavefold TrackStraight</v>
      </c>
      <c r="S142" s="73" t="s">
        <v>318</v>
      </c>
      <c r="T142" s="73" t="s">
        <v>149</v>
      </c>
      <c r="U142" s="73">
        <v>0</v>
      </c>
      <c r="V142" s="73" t="s">
        <v>276</v>
      </c>
      <c r="BF142"/>
    </row>
    <row r="143" spans="15:58" ht="14.4">
      <c r="O143" s="113" t="s">
        <v>377</v>
      </c>
      <c r="P143" s="113"/>
      <c r="Q143" s="23" t="s">
        <v>817</v>
      </c>
      <c r="R143" s="73" t="str">
        <f t="shared" si="19"/>
        <v>Existing Normal S-Fold TrackBent</v>
      </c>
      <c r="S143" s="73" t="s">
        <v>318</v>
      </c>
      <c r="T143" s="73" t="s">
        <v>149</v>
      </c>
      <c r="U143" s="73">
        <v>0</v>
      </c>
      <c r="V143" s="73" t="s">
        <v>276</v>
      </c>
      <c r="BF143"/>
    </row>
    <row r="144" spans="15:58" ht="14.4">
      <c r="O144" s="113" t="s">
        <v>377</v>
      </c>
      <c r="P144" s="113"/>
      <c r="Q144" s="23" t="s">
        <v>198</v>
      </c>
      <c r="R144" s="73" t="str">
        <f t="shared" si="19"/>
        <v>Existing Normal S-Fold TrackStraight</v>
      </c>
      <c r="S144" s="73" t="s">
        <v>318</v>
      </c>
      <c r="T144" s="73" t="s">
        <v>149</v>
      </c>
      <c r="U144" s="73">
        <v>0</v>
      </c>
      <c r="V144" s="73" t="s">
        <v>276</v>
      </c>
      <c r="BF144"/>
    </row>
    <row r="145" spans="15:58" ht="14.4">
      <c r="O145" s="113" t="s">
        <v>375</v>
      </c>
      <c r="P145" s="113"/>
      <c r="Q145" s="23" t="s">
        <v>817</v>
      </c>
      <c r="R145" s="73" t="str">
        <f t="shared" si="19"/>
        <v>Existing Normal TrackBent</v>
      </c>
      <c r="S145" s="73" t="s">
        <v>318</v>
      </c>
      <c r="T145" s="73" t="s">
        <v>276</v>
      </c>
      <c r="U145" s="73">
        <v>200</v>
      </c>
      <c r="V145" s="73" t="s">
        <v>149</v>
      </c>
      <c r="BF145"/>
    </row>
    <row r="146" spans="15:58" ht="14.4">
      <c r="O146" s="113" t="s">
        <v>375</v>
      </c>
      <c r="P146" s="113"/>
      <c r="Q146" s="23" t="s">
        <v>198</v>
      </c>
      <c r="R146" s="73" t="str">
        <f t="shared" si="19"/>
        <v>Existing Normal TrackStraight</v>
      </c>
      <c r="S146" s="73" t="s">
        <v>318</v>
      </c>
      <c r="T146" s="73" t="s">
        <v>276</v>
      </c>
      <c r="U146" s="73">
        <v>200</v>
      </c>
      <c r="V146" s="73" t="s">
        <v>149</v>
      </c>
      <c r="BF146"/>
    </row>
    <row r="147" spans="15:58" ht="14.4">
      <c r="O147" s="113" t="s">
        <v>378</v>
      </c>
      <c r="P147" s="113"/>
      <c r="Q147" s="23" t="s">
        <v>817</v>
      </c>
      <c r="R147" s="73" t="str">
        <f t="shared" si="19"/>
        <v>Existing Normal Wavefold TrackBent</v>
      </c>
      <c r="S147" s="73" t="s">
        <v>318</v>
      </c>
      <c r="T147" s="73" t="s">
        <v>149</v>
      </c>
      <c r="U147" s="73">
        <v>0</v>
      </c>
      <c r="V147" s="73" t="s">
        <v>276</v>
      </c>
      <c r="BF147"/>
    </row>
    <row r="148" spans="15:58" ht="14.4">
      <c r="O148" s="113" t="s">
        <v>378</v>
      </c>
      <c r="P148" s="113"/>
      <c r="Q148" s="23" t="s">
        <v>198</v>
      </c>
      <c r="R148" s="73" t="str">
        <f t="shared" si="19"/>
        <v>Existing Normal Wavefold TrackStraight</v>
      </c>
      <c r="S148" s="73" t="s">
        <v>318</v>
      </c>
      <c r="T148" s="73" t="s">
        <v>149</v>
      </c>
      <c r="U148" s="73">
        <v>0</v>
      </c>
      <c r="V148" s="73" t="s">
        <v>276</v>
      </c>
      <c r="BF148"/>
    </row>
    <row r="149" spans="15:58" ht="14.4">
      <c r="O149" s="113" t="s">
        <v>379</v>
      </c>
      <c r="P149" s="113"/>
      <c r="Q149" s="23" t="s">
        <v>817</v>
      </c>
      <c r="R149" s="73" t="str">
        <f t="shared" si="19"/>
        <v>Existing Vanda Flushfit Recessed Track WavefoldBent</v>
      </c>
      <c r="S149" s="73" t="s">
        <v>318</v>
      </c>
      <c r="T149" s="73" t="s">
        <v>149</v>
      </c>
      <c r="U149" s="73">
        <v>0</v>
      </c>
      <c r="V149" s="73" t="s">
        <v>276</v>
      </c>
      <c r="BF149"/>
    </row>
    <row r="150" spans="15:58" ht="14.4">
      <c r="O150" s="113" t="s">
        <v>379</v>
      </c>
      <c r="P150" s="113"/>
      <c r="Q150" s="23" t="s">
        <v>198</v>
      </c>
      <c r="R150" s="73" t="str">
        <f t="shared" si="19"/>
        <v>Existing Vanda Flushfit Recessed Track WavefoldStraight</v>
      </c>
      <c r="S150" s="73" t="s">
        <v>318</v>
      </c>
      <c r="T150" s="73" t="s">
        <v>149</v>
      </c>
      <c r="U150" s="73">
        <v>0</v>
      </c>
      <c r="V150" s="73" t="s">
        <v>276</v>
      </c>
      <c r="BF150"/>
    </row>
    <row r="151" spans="15:58" ht="14.4">
      <c r="O151" s="113" t="s">
        <v>821</v>
      </c>
      <c r="P151" s="113"/>
      <c r="Q151" s="23" t="s">
        <v>817</v>
      </c>
      <c r="R151" s="73" t="str">
        <f t="shared" si="19"/>
        <v>Existing Vanda Flushfit Recessed Track with RunnersBent</v>
      </c>
      <c r="S151" s="73" t="s">
        <v>318</v>
      </c>
      <c r="T151" s="73" t="s">
        <v>149</v>
      </c>
      <c r="U151" s="73">
        <v>0</v>
      </c>
      <c r="V151" s="73" t="s">
        <v>149</v>
      </c>
      <c r="BF151"/>
    </row>
    <row r="152" spans="15:58" ht="14.4">
      <c r="O152" s="113" t="s">
        <v>821</v>
      </c>
      <c r="P152" s="113"/>
      <c r="Q152" s="23" t="s">
        <v>198</v>
      </c>
      <c r="R152" s="73" t="str">
        <f t="shared" si="19"/>
        <v>Existing Vanda Flushfit Recessed Track with RunnersStraight</v>
      </c>
      <c r="S152" s="73" t="s">
        <v>318</v>
      </c>
      <c r="T152" s="73" t="s">
        <v>149</v>
      </c>
      <c r="U152" s="73">
        <v>0</v>
      </c>
      <c r="V152" s="73" t="s">
        <v>149</v>
      </c>
      <c r="BF152"/>
    </row>
    <row r="153" spans="15:58" ht="14.4">
      <c r="O153" s="113" t="s">
        <v>794</v>
      </c>
      <c r="P153" s="113"/>
      <c r="Q153" s="23" t="s">
        <v>817</v>
      </c>
      <c r="R153" s="73" t="str">
        <f t="shared" si="19"/>
        <v>Existing Versatrak 25 Rod with RingsBent</v>
      </c>
      <c r="S153" s="73" t="s">
        <v>318</v>
      </c>
      <c r="T153" s="73" t="s">
        <v>149</v>
      </c>
      <c r="U153" s="73">
        <v>0</v>
      </c>
      <c r="V153" s="73" t="s">
        <v>149</v>
      </c>
      <c r="BF153"/>
    </row>
    <row r="154" spans="15:58" ht="14.4">
      <c r="O154" s="113" t="s">
        <v>794</v>
      </c>
      <c r="P154" s="113"/>
      <c r="Q154" s="23" t="s">
        <v>198</v>
      </c>
      <c r="R154" s="73" t="str">
        <f t="shared" si="19"/>
        <v>Existing Versatrak 25 Rod with RingsStraight</v>
      </c>
      <c r="S154" s="73" t="s">
        <v>318</v>
      </c>
      <c r="T154" s="73" t="s">
        <v>149</v>
      </c>
      <c r="U154" s="73">
        <v>0</v>
      </c>
      <c r="V154" s="73" t="s">
        <v>149</v>
      </c>
      <c r="BF154"/>
    </row>
    <row r="155" spans="15:58" ht="14.4">
      <c r="O155" s="113" t="s">
        <v>769</v>
      </c>
      <c r="P155" s="113"/>
      <c r="Q155" s="23" t="s">
        <v>817</v>
      </c>
      <c r="R155" s="73" t="str">
        <f t="shared" si="19"/>
        <v>Existing Versatrak 25 Track with Glides and 100mm BracketBent</v>
      </c>
      <c r="S155" s="73" t="s">
        <v>318</v>
      </c>
      <c r="T155" s="73" t="s">
        <v>149</v>
      </c>
      <c r="U155" s="73">
        <v>0</v>
      </c>
      <c r="V155" s="73" t="s">
        <v>149</v>
      </c>
      <c r="BF155"/>
    </row>
    <row r="156" spans="15:58" ht="14.4">
      <c r="O156" s="113" t="s">
        <v>769</v>
      </c>
      <c r="P156" s="113"/>
      <c r="Q156" s="23" t="s">
        <v>198</v>
      </c>
      <c r="R156" s="73" t="str">
        <f t="shared" si="19"/>
        <v>Existing Versatrak 25 Track with Glides and 100mm BracketStraight</v>
      </c>
      <c r="S156" s="73" t="s">
        <v>318</v>
      </c>
      <c r="T156" s="73" t="s">
        <v>149</v>
      </c>
      <c r="U156" s="73">
        <v>0</v>
      </c>
      <c r="V156" s="73" t="s">
        <v>149</v>
      </c>
      <c r="BF156"/>
    </row>
    <row r="157" spans="15:58" ht="14.4">
      <c r="O157" s="113" t="s">
        <v>236</v>
      </c>
      <c r="P157" s="113" t="s">
        <v>237</v>
      </c>
      <c r="Q157" s="23" t="s">
        <v>817</v>
      </c>
      <c r="R157" s="73" t="str">
        <f t="shared" si="19"/>
        <v>HospitalAnodised SilverBent</v>
      </c>
      <c r="S157" s="73" t="s">
        <v>223</v>
      </c>
      <c r="T157" s="73" t="s">
        <v>149</v>
      </c>
      <c r="U157" s="73">
        <v>0</v>
      </c>
      <c r="V157" s="73" t="s">
        <v>149</v>
      </c>
      <c r="BF157"/>
    </row>
    <row r="158" spans="15:58" ht="14.4">
      <c r="O158" s="113" t="s">
        <v>236</v>
      </c>
      <c r="P158" s="113" t="s">
        <v>237</v>
      </c>
      <c r="Q158" s="23" t="s">
        <v>198</v>
      </c>
      <c r="R158" s="73" t="str">
        <f t="shared" si="19"/>
        <v>HospitalAnodised SilverStraight</v>
      </c>
      <c r="S158" s="73" t="s">
        <v>223</v>
      </c>
      <c r="T158" s="73" t="s">
        <v>149</v>
      </c>
      <c r="U158" s="73">
        <v>0</v>
      </c>
      <c r="V158" s="73" t="s">
        <v>149</v>
      </c>
      <c r="BF158"/>
    </row>
    <row r="159" spans="15:58" ht="14.4">
      <c r="O159" s="113" t="s">
        <v>236</v>
      </c>
      <c r="P159" s="113" t="s">
        <v>219</v>
      </c>
      <c r="Q159" s="23" t="s">
        <v>817</v>
      </c>
      <c r="R159" s="73" t="str">
        <f t="shared" si="19"/>
        <v>HospitalWhiteBent</v>
      </c>
      <c r="S159" s="73" t="s">
        <v>223</v>
      </c>
      <c r="T159" s="73" t="s">
        <v>149</v>
      </c>
      <c r="U159" s="73">
        <v>0</v>
      </c>
      <c r="V159" s="73" t="s">
        <v>149</v>
      </c>
      <c r="BF159"/>
    </row>
    <row r="160" spans="15:58" ht="14.4">
      <c r="O160" s="113" t="s">
        <v>236</v>
      </c>
      <c r="P160" s="113" t="s">
        <v>219</v>
      </c>
      <c r="Q160" s="23" t="s">
        <v>198</v>
      </c>
      <c r="R160" s="73" t="str">
        <f t="shared" si="19"/>
        <v>HospitalWhiteStraight</v>
      </c>
      <c r="S160" s="73" t="s">
        <v>223</v>
      </c>
      <c r="T160" s="73" t="s">
        <v>149</v>
      </c>
      <c r="U160" s="73">
        <v>0</v>
      </c>
      <c r="V160" s="73" t="s">
        <v>149</v>
      </c>
      <c r="BF160"/>
    </row>
    <row r="161" spans="15:58" ht="14.4">
      <c r="O161" s="113" t="s">
        <v>255</v>
      </c>
      <c r="P161" s="113" t="s">
        <v>237</v>
      </c>
      <c r="Q161" s="23" t="s">
        <v>817</v>
      </c>
      <c r="R161" s="73" t="str">
        <f t="shared" si="19"/>
        <v>Hospital with CassetteAnodised SilverBent</v>
      </c>
      <c r="S161" s="73" t="s">
        <v>223</v>
      </c>
      <c r="T161" s="73" t="s">
        <v>149</v>
      </c>
      <c r="U161" s="73">
        <v>0</v>
      </c>
      <c r="V161" s="73" t="s">
        <v>149</v>
      </c>
      <c r="BF161"/>
    </row>
    <row r="162" spans="15:58" ht="14.4">
      <c r="O162" s="113" t="s">
        <v>255</v>
      </c>
      <c r="P162" s="113" t="s">
        <v>237</v>
      </c>
      <c r="Q162" s="23" t="s">
        <v>198</v>
      </c>
      <c r="R162" s="73" t="str">
        <f t="shared" si="19"/>
        <v>Hospital with CassetteAnodised SilverStraight</v>
      </c>
      <c r="S162" s="73" t="s">
        <v>223</v>
      </c>
      <c r="T162" s="73" t="s">
        <v>149</v>
      </c>
      <c r="U162" s="73">
        <v>0</v>
      </c>
      <c r="V162" s="73" t="s">
        <v>149</v>
      </c>
      <c r="BF162"/>
    </row>
    <row r="163" spans="15:58" ht="14.4">
      <c r="O163" s="113" t="s">
        <v>255</v>
      </c>
      <c r="P163" s="113" t="s">
        <v>219</v>
      </c>
      <c r="Q163" s="23" t="s">
        <v>817</v>
      </c>
      <c r="R163" s="73" t="str">
        <f t="shared" si="19"/>
        <v>Hospital with CassetteWhiteBent</v>
      </c>
      <c r="S163" s="73" t="s">
        <v>223</v>
      </c>
      <c r="T163" s="73" t="s">
        <v>149</v>
      </c>
      <c r="U163" s="73">
        <v>0</v>
      </c>
      <c r="V163" s="73" t="s">
        <v>149</v>
      </c>
      <c r="BF163"/>
    </row>
    <row r="164" spans="15:58" ht="14.4">
      <c r="O164" s="113" t="s">
        <v>255</v>
      </c>
      <c r="P164" s="113" t="s">
        <v>219</v>
      </c>
      <c r="Q164" s="23" t="s">
        <v>198</v>
      </c>
      <c r="R164" s="73" t="str">
        <f t="shared" si="19"/>
        <v>Hospital with CassetteWhiteStraight</v>
      </c>
      <c r="S164" s="73" t="s">
        <v>223</v>
      </c>
      <c r="T164" s="73" t="s">
        <v>149</v>
      </c>
      <c r="U164" s="73">
        <v>0</v>
      </c>
      <c r="V164" s="73" t="s">
        <v>149</v>
      </c>
      <c r="BF164"/>
    </row>
    <row r="165" spans="15:58" ht="14.4">
      <c r="O165" s="113" t="s">
        <v>730</v>
      </c>
      <c r="P165" s="113" t="s">
        <v>222</v>
      </c>
      <c r="Q165" s="23" t="s">
        <v>817</v>
      </c>
      <c r="R165" s="73" t="str">
        <f t="shared" si="19"/>
        <v>Motorised Acmeda 12v Remote Curtain TrackBlackBent</v>
      </c>
      <c r="S165" s="73" t="s">
        <v>223</v>
      </c>
      <c r="T165" s="73" t="s">
        <v>276</v>
      </c>
      <c r="U165" s="73">
        <v>200</v>
      </c>
      <c r="V165" s="73" t="s">
        <v>149</v>
      </c>
      <c r="BF165"/>
    </row>
    <row r="166" spans="15:58" ht="14.4">
      <c r="O166" s="113" t="s">
        <v>730</v>
      </c>
      <c r="P166" s="113" t="s">
        <v>222</v>
      </c>
      <c r="Q166" s="23" t="s">
        <v>198</v>
      </c>
      <c r="R166" s="73" t="str">
        <f t="shared" si="19"/>
        <v>Motorised Acmeda 12v Remote Curtain TrackBlackStraight</v>
      </c>
      <c r="S166" s="73" t="s">
        <v>223</v>
      </c>
      <c r="T166" s="73" t="s">
        <v>276</v>
      </c>
      <c r="U166" s="73">
        <v>200</v>
      </c>
      <c r="V166" s="73" t="s">
        <v>149</v>
      </c>
      <c r="BF166"/>
    </row>
    <row r="167" spans="15:58" ht="14.4">
      <c r="O167" s="113" t="s">
        <v>730</v>
      </c>
      <c r="P167" s="113" t="s">
        <v>219</v>
      </c>
      <c r="Q167" s="23" t="s">
        <v>817</v>
      </c>
      <c r="R167" s="73" t="str">
        <f t="shared" si="19"/>
        <v>Motorised Acmeda 12v Remote Curtain TrackWhiteBent</v>
      </c>
      <c r="S167" s="73" t="s">
        <v>223</v>
      </c>
      <c r="T167" s="73" t="s">
        <v>276</v>
      </c>
      <c r="U167" s="73">
        <v>200</v>
      </c>
      <c r="V167" s="73" t="s">
        <v>149</v>
      </c>
      <c r="BF167"/>
    </row>
    <row r="168" spans="15:58" ht="14.4">
      <c r="O168" s="113" t="s">
        <v>730</v>
      </c>
      <c r="P168" s="113" t="s">
        <v>219</v>
      </c>
      <c r="Q168" s="23" t="s">
        <v>198</v>
      </c>
      <c r="R168" s="73" t="str">
        <f t="shared" si="19"/>
        <v>Motorised Acmeda 12v Remote Curtain TrackWhiteStraight</v>
      </c>
      <c r="S168" s="73" t="s">
        <v>223</v>
      </c>
      <c r="T168" s="73" t="s">
        <v>276</v>
      </c>
      <c r="U168" s="73">
        <v>200</v>
      </c>
      <c r="V168" s="73" t="s">
        <v>149</v>
      </c>
      <c r="BF168"/>
    </row>
    <row r="169" spans="15:58" ht="14.4">
      <c r="O169" s="113" t="s">
        <v>731</v>
      </c>
      <c r="P169" s="113" t="s">
        <v>222</v>
      </c>
      <c r="Q169" s="23" t="s">
        <v>817</v>
      </c>
      <c r="R169" s="73" t="str">
        <f t="shared" si="19"/>
        <v>Motorised Acmeda 240v Remote Curtain TrackBlackBent</v>
      </c>
      <c r="S169" s="73" t="s">
        <v>223</v>
      </c>
      <c r="T169" s="73" t="s">
        <v>276</v>
      </c>
      <c r="U169" s="73">
        <v>200</v>
      </c>
      <c r="V169" s="73" t="s">
        <v>149</v>
      </c>
      <c r="BF169"/>
    </row>
    <row r="170" spans="15:58" ht="14.4">
      <c r="O170" s="113" t="s">
        <v>731</v>
      </c>
      <c r="P170" s="113" t="s">
        <v>222</v>
      </c>
      <c r="Q170" s="23" t="s">
        <v>198</v>
      </c>
      <c r="R170" s="73" t="str">
        <f t="shared" si="19"/>
        <v>Motorised Acmeda 240v Remote Curtain TrackBlackStraight</v>
      </c>
      <c r="S170" s="73" t="s">
        <v>223</v>
      </c>
      <c r="T170" s="73" t="s">
        <v>276</v>
      </c>
      <c r="U170" s="73">
        <v>200</v>
      </c>
      <c r="V170" s="73" t="s">
        <v>149</v>
      </c>
      <c r="BF170"/>
    </row>
    <row r="171" spans="15:58" ht="14.4">
      <c r="O171" s="113" t="s">
        <v>731</v>
      </c>
      <c r="P171" s="113" t="s">
        <v>219</v>
      </c>
      <c r="Q171" s="23" t="s">
        <v>817</v>
      </c>
      <c r="R171" s="73" t="str">
        <f t="shared" si="19"/>
        <v>Motorised Acmeda 240v Remote Curtain TrackWhiteBent</v>
      </c>
      <c r="S171" s="73" t="s">
        <v>223</v>
      </c>
      <c r="T171" s="73" t="s">
        <v>276</v>
      </c>
      <c r="U171" s="73">
        <v>200</v>
      </c>
      <c r="V171" s="73" t="s">
        <v>149</v>
      </c>
      <c r="BF171"/>
    </row>
    <row r="172" spans="15:58" ht="14.4">
      <c r="O172" s="113" t="s">
        <v>731</v>
      </c>
      <c r="P172" s="113" t="s">
        <v>219</v>
      </c>
      <c r="Q172" s="23" t="s">
        <v>198</v>
      </c>
      <c r="R172" s="73" t="str">
        <f t="shared" si="19"/>
        <v>Motorised Acmeda 240v Remote Curtain TrackWhiteStraight</v>
      </c>
      <c r="S172" s="73" t="s">
        <v>223</v>
      </c>
      <c r="T172" s="73" t="s">
        <v>276</v>
      </c>
      <c r="U172" s="73">
        <v>200</v>
      </c>
      <c r="V172" s="73" t="s">
        <v>149</v>
      </c>
      <c r="BF172"/>
    </row>
    <row r="173" spans="15:58" ht="14.4">
      <c r="O173" s="113" t="s">
        <v>729</v>
      </c>
      <c r="P173" s="113" t="s">
        <v>222</v>
      </c>
      <c r="Q173" s="23" t="s">
        <v>817</v>
      </c>
      <c r="R173" s="73" t="str">
        <f t="shared" si="19"/>
        <v>Motorised Saber 12v Remote TrackBlackBent</v>
      </c>
      <c r="S173" s="73" t="s">
        <v>223</v>
      </c>
      <c r="T173" s="73" t="s">
        <v>276</v>
      </c>
      <c r="U173" s="73">
        <v>200</v>
      </c>
      <c r="V173" s="73" t="s">
        <v>149</v>
      </c>
      <c r="BF173"/>
    </row>
    <row r="174" spans="15:58" ht="14.4">
      <c r="O174" s="113" t="s">
        <v>729</v>
      </c>
      <c r="P174" s="113" t="s">
        <v>222</v>
      </c>
      <c r="Q174" s="23" t="s">
        <v>198</v>
      </c>
      <c r="R174" s="73" t="str">
        <f t="shared" si="19"/>
        <v>Motorised Saber 12v Remote TrackBlackStraight</v>
      </c>
      <c r="S174" s="73" t="s">
        <v>223</v>
      </c>
      <c r="T174" s="73" t="s">
        <v>276</v>
      </c>
      <c r="U174" s="73">
        <v>200</v>
      </c>
      <c r="V174" s="73" t="s">
        <v>149</v>
      </c>
      <c r="BF174"/>
    </row>
    <row r="175" spans="15:58" ht="14.4">
      <c r="O175" s="113" t="s">
        <v>729</v>
      </c>
      <c r="P175" s="113" t="s">
        <v>219</v>
      </c>
      <c r="Q175" s="23" t="s">
        <v>817</v>
      </c>
      <c r="R175" s="73" t="str">
        <f t="shared" si="19"/>
        <v>Motorised Saber 12v Remote TrackWhiteBent</v>
      </c>
      <c r="S175" s="73" t="s">
        <v>223</v>
      </c>
      <c r="T175" s="73" t="s">
        <v>276</v>
      </c>
      <c r="U175" s="73">
        <v>200</v>
      </c>
      <c r="V175" s="73" t="s">
        <v>149</v>
      </c>
      <c r="BF175"/>
    </row>
    <row r="176" spans="15:58" ht="14.4">
      <c r="O176" s="113" t="s">
        <v>729</v>
      </c>
      <c r="P176" s="113" t="s">
        <v>219</v>
      </c>
      <c r="Q176" s="23" t="s">
        <v>198</v>
      </c>
      <c r="R176" s="73" t="str">
        <f t="shared" si="19"/>
        <v>Motorised Saber 12v Remote TrackWhiteStraight</v>
      </c>
      <c r="S176" s="73" t="s">
        <v>223</v>
      </c>
      <c r="T176" s="73" t="s">
        <v>276</v>
      </c>
      <c r="U176" s="73">
        <v>200</v>
      </c>
      <c r="V176" s="73" t="s">
        <v>149</v>
      </c>
      <c r="BF176"/>
    </row>
    <row r="177" spans="15:58" ht="14.4">
      <c r="O177" s="113" t="s">
        <v>727</v>
      </c>
      <c r="P177" s="113" t="s">
        <v>222</v>
      </c>
      <c r="Q177" s="23" t="s">
        <v>817</v>
      </c>
      <c r="R177" s="73" t="str">
        <f t="shared" si="19"/>
        <v>Motorised Saber 240v Remote TrackBlackBent</v>
      </c>
      <c r="S177" s="73" t="s">
        <v>223</v>
      </c>
      <c r="T177" s="73" t="s">
        <v>276</v>
      </c>
      <c r="U177" s="73">
        <v>200</v>
      </c>
      <c r="V177" s="73" t="s">
        <v>149</v>
      </c>
      <c r="BF177"/>
    </row>
    <row r="178" spans="15:58" ht="14.4">
      <c r="O178" s="113" t="s">
        <v>727</v>
      </c>
      <c r="P178" s="113" t="s">
        <v>222</v>
      </c>
      <c r="Q178" s="23" t="s">
        <v>198</v>
      </c>
      <c r="R178" s="73" t="str">
        <f t="shared" si="19"/>
        <v>Motorised Saber 240v Remote TrackBlackStraight</v>
      </c>
      <c r="S178" s="73" t="s">
        <v>223</v>
      </c>
      <c r="T178" s="73" t="s">
        <v>276</v>
      </c>
      <c r="U178" s="73">
        <v>200</v>
      </c>
      <c r="V178" s="73" t="s">
        <v>149</v>
      </c>
      <c r="BF178"/>
    </row>
    <row r="179" spans="15:58" ht="14.4">
      <c r="O179" s="113" t="s">
        <v>727</v>
      </c>
      <c r="P179" s="113" t="s">
        <v>219</v>
      </c>
      <c r="Q179" s="23" t="s">
        <v>817</v>
      </c>
      <c r="R179" s="73" t="str">
        <f t="shared" si="19"/>
        <v>Motorised Saber 240v Remote TrackWhiteBent</v>
      </c>
      <c r="S179" s="73" t="s">
        <v>223</v>
      </c>
      <c r="T179" s="73" t="s">
        <v>276</v>
      </c>
      <c r="U179" s="73">
        <v>200</v>
      </c>
      <c r="V179" s="73" t="s">
        <v>149</v>
      </c>
      <c r="BF179"/>
    </row>
    <row r="180" spans="15:58" ht="14.4">
      <c r="O180" s="113" t="s">
        <v>727</v>
      </c>
      <c r="P180" s="113" t="s">
        <v>219</v>
      </c>
      <c r="Q180" s="23" t="s">
        <v>198</v>
      </c>
      <c r="R180" s="73" t="str">
        <f t="shared" si="19"/>
        <v>Motorised Saber 240v Remote TrackWhiteStraight</v>
      </c>
      <c r="S180" s="73" t="s">
        <v>223</v>
      </c>
      <c r="T180" s="73" t="s">
        <v>276</v>
      </c>
      <c r="U180" s="73">
        <v>200</v>
      </c>
      <c r="V180" s="73" t="s">
        <v>149</v>
      </c>
      <c r="BF180"/>
    </row>
    <row r="181" spans="15:58" ht="14.4">
      <c r="O181" s="113" t="s">
        <v>728</v>
      </c>
      <c r="P181" s="113" t="s">
        <v>222</v>
      </c>
      <c r="Q181" s="23" t="s">
        <v>817</v>
      </c>
      <c r="R181" s="73" t="str">
        <f t="shared" si="19"/>
        <v>Motorised Saber 240v Switch TrackBlackBent</v>
      </c>
      <c r="S181" s="73" t="s">
        <v>223</v>
      </c>
      <c r="T181" s="73" t="s">
        <v>276</v>
      </c>
      <c r="U181" s="73">
        <v>200</v>
      </c>
      <c r="V181" s="73" t="s">
        <v>149</v>
      </c>
      <c r="BF181"/>
    </row>
    <row r="182" spans="15:58" ht="14.4">
      <c r="O182" s="113" t="s">
        <v>728</v>
      </c>
      <c r="P182" s="113" t="s">
        <v>222</v>
      </c>
      <c r="Q182" s="23" t="s">
        <v>198</v>
      </c>
      <c r="R182" s="73" t="str">
        <f t="shared" si="19"/>
        <v>Motorised Saber 240v Switch TrackBlackStraight</v>
      </c>
      <c r="S182" s="73" t="s">
        <v>223</v>
      </c>
      <c r="T182" s="73" t="s">
        <v>276</v>
      </c>
      <c r="U182" s="73">
        <v>200</v>
      </c>
      <c r="V182" s="73" t="s">
        <v>149</v>
      </c>
      <c r="BF182"/>
    </row>
    <row r="183" spans="15:58" ht="14.4">
      <c r="O183" s="113" t="s">
        <v>728</v>
      </c>
      <c r="P183" s="113" t="s">
        <v>219</v>
      </c>
      <c r="Q183" s="23" t="s">
        <v>817</v>
      </c>
      <c r="R183" s="73" t="str">
        <f t="shared" si="19"/>
        <v>Motorised Saber 240v Switch TrackWhiteBent</v>
      </c>
      <c r="S183" s="73" t="s">
        <v>223</v>
      </c>
      <c r="T183" s="73" t="s">
        <v>276</v>
      </c>
      <c r="U183" s="73">
        <v>200</v>
      </c>
      <c r="V183" s="73" t="s">
        <v>149</v>
      </c>
      <c r="BF183"/>
    </row>
    <row r="184" spans="15:58" ht="14.4">
      <c r="O184" s="113" t="s">
        <v>728</v>
      </c>
      <c r="P184" s="113" t="s">
        <v>219</v>
      </c>
      <c r="Q184" s="23" t="s">
        <v>198</v>
      </c>
      <c r="R184" s="73" t="str">
        <f t="shared" si="19"/>
        <v>Motorised Saber 240v Switch TrackWhiteStraight</v>
      </c>
      <c r="S184" s="73" t="s">
        <v>223</v>
      </c>
      <c r="T184" s="73" t="s">
        <v>276</v>
      </c>
      <c r="U184" s="73">
        <v>200</v>
      </c>
      <c r="V184" s="73" t="s">
        <v>149</v>
      </c>
      <c r="BF184"/>
    </row>
    <row r="185" spans="15:58" ht="14.4">
      <c r="O185" s="113" t="s">
        <v>732</v>
      </c>
      <c r="P185" s="113" t="s">
        <v>219</v>
      </c>
      <c r="Q185" s="23" t="s">
        <v>817</v>
      </c>
      <c r="R185" s="73" t="str">
        <f t="shared" si="19"/>
        <v>Motorised Somfy 12v Remote Curtain TrackWhiteBent</v>
      </c>
      <c r="S185" s="73" t="s">
        <v>223</v>
      </c>
      <c r="T185" s="73" t="s">
        <v>276</v>
      </c>
      <c r="U185" s="73">
        <v>200</v>
      </c>
      <c r="V185" s="73" t="s">
        <v>149</v>
      </c>
      <c r="BF185"/>
    </row>
    <row r="186" spans="15:58" ht="14.4">
      <c r="O186" s="113" t="s">
        <v>732</v>
      </c>
      <c r="P186" s="113" t="s">
        <v>219</v>
      </c>
      <c r="Q186" s="23" t="s">
        <v>198</v>
      </c>
      <c r="R186" s="73" t="str">
        <f t="shared" si="19"/>
        <v>Motorised Somfy 12v Remote Curtain TrackWhiteStraight</v>
      </c>
      <c r="S186" s="73" t="s">
        <v>223</v>
      </c>
      <c r="T186" s="73" t="s">
        <v>276</v>
      </c>
      <c r="U186" s="73">
        <v>200</v>
      </c>
      <c r="V186" s="73" t="s">
        <v>149</v>
      </c>
      <c r="BF186"/>
    </row>
    <row r="187" spans="15:58" ht="14.4">
      <c r="O187" s="113" t="s">
        <v>733</v>
      </c>
      <c r="P187" s="113" t="s">
        <v>219</v>
      </c>
      <c r="Q187" s="23" t="s">
        <v>817</v>
      </c>
      <c r="R187" s="73" t="str">
        <f t="shared" si="19"/>
        <v>Motorised Somfy 240v Remote Curtain TrackWhiteBent</v>
      </c>
      <c r="S187" s="73" t="s">
        <v>223</v>
      </c>
      <c r="T187" s="73" t="s">
        <v>276</v>
      </c>
      <c r="U187" s="73">
        <v>200</v>
      </c>
      <c r="V187" s="73" t="s">
        <v>149</v>
      </c>
      <c r="BF187"/>
    </row>
    <row r="188" spans="15:58" ht="14.4">
      <c r="O188" s="113" t="s">
        <v>733</v>
      </c>
      <c r="P188" s="113" t="s">
        <v>219</v>
      </c>
      <c r="Q188" s="23" t="s">
        <v>198</v>
      </c>
      <c r="R188" s="73" t="str">
        <f t="shared" si="19"/>
        <v>Motorised Somfy 240v Remote Curtain TrackWhiteStraight</v>
      </c>
      <c r="S188" s="73" t="s">
        <v>223</v>
      </c>
      <c r="T188" s="73" t="s">
        <v>276</v>
      </c>
      <c r="U188" s="73">
        <v>200</v>
      </c>
      <c r="V188" s="73" t="s">
        <v>149</v>
      </c>
      <c r="BF188"/>
    </row>
    <row r="189" spans="15:58" ht="14.4">
      <c r="O189" s="113" t="s">
        <v>734</v>
      </c>
      <c r="P189" s="113" t="s">
        <v>219</v>
      </c>
      <c r="Q189" s="23" t="s">
        <v>817</v>
      </c>
      <c r="R189" s="73" t="str">
        <f t="shared" si="19"/>
        <v>Motorised Somfy 240v Switch Curtain TrackWhiteBent</v>
      </c>
      <c r="S189" s="73" t="s">
        <v>223</v>
      </c>
      <c r="T189" s="73" t="s">
        <v>276</v>
      </c>
      <c r="U189" s="73">
        <v>200</v>
      </c>
      <c r="V189" s="73" t="s">
        <v>149</v>
      </c>
      <c r="BF189"/>
    </row>
    <row r="190" spans="15:58" ht="14.4">
      <c r="O190" s="113" t="s">
        <v>734</v>
      </c>
      <c r="P190" s="113" t="s">
        <v>219</v>
      </c>
      <c r="Q190" s="23" t="s">
        <v>198</v>
      </c>
      <c r="R190" s="73" t="str">
        <f t="shared" si="19"/>
        <v>Motorised Somfy 240v Switch Curtain TrackWhiteStraight</v>
      </c>
      <c r="S190" s="73" t="s">
        <v>223</v>
      </c>
      <c r="T190" s="73" t="s">
        <v>276</v>
      </c>
      <c r="U190" s="73">
        <v>200</v>
      </c>
      <c r="V190" s="73" t="s">
        <v>149</v>
      </c>
      <c r="BF190"/>
    </row>
    <row r="191" spans="15:58" ht="14.4">
      <c r="O191" s="113" t="s">
        <v>298</v>
      </c>
      <c r="P191" s="113" t="s">
        <v>244</v>
      </c>
      <c r="Q191" s="23" t="s">
        <v>817</v>
      </c>
      <c r="R191" s="73" t="str">
        <f t="shared" si="19"/>
        <v>Renaissance Decorator Rod Cord DrawnAntique BrassBent</v>
      </c>
      <c r="S191" s="73" t="s">
        <v>223</v>
      </c>
      <c r="T191" s="73" t="s">
        <v>276</v>
      </c>
      <c r="U191" s="73">
        <v>200</v>
      </c>
      <c r="V191" s="73" t="s">
        <v>149</v>
      </c>
      <c r="BF191"/>
    </row>
    <row r="192" spans="15:58" ht="14.4">
      <c r="O192" s="113" t="s">
        <v>298</v>
      </c>
      <c r="P192" s="113" t="s">
        <v>244</v>
      </c>
      <c r="Q192" s="23" t="s">
        <v>198</v>
      </c>
      <c r="R192" s="73" t="str">
        <f t="shared" si="19"/>
        <v>Renaissance Decorator Rod Cord DrawnAntique BrassStraight</v>
      </c>
      <c r="S192" s="73" t="s">
        <v>223</v>
      </c>
      <c r="T192" s="73" t="s">
        <v>276</v>
      </c>
      <c r="U192" s="73">
        <v>200</v>
      </c>
      <c r="V192" s="73" t="s">
        <v>149</v>
      </c>
      <c r="BF192"/>
    </row>
    <row r="193" spans="15:58" ht="14.4">
      <c r="O193" s="113" t="s">
        <v>298</v>
      </c>
      <c r="P193" s="113" t="s">
        <v>221</v>
      </c>
      <c r="Q193" s="23" t="s">
        <v>817</v>
      </c>
      <c r="R193" s="73" t="str">
        <f t="shared" si="19"/>
        <v>Renaissance Decorator Rod Cord DrawnBirch WhiteBent</v>
      </c>
      <c r="S193" s="73" t="s">
        <v>223</v>
      </c>
      <c r="T193" s="73" t="s">
        <v>276</v>
      </c>
      <c r="U193" s="73">
        <v>200</v>
      </c>
      <c r="V193" s="73" t="s">
        <v>149</v>
      </c>
      <c r="BF193"/>
    </row>
    <row r="194" spans="15:58" ht="14.4">
      <c r="O194" s="113" t="s">
        <v>298</v>
      </c>
      <c r="P194" s="113" t="s">
        <v>221</v>
      </c>
      <c r="Q194" s="23" t="s">
        <v>198</v>
      </c>
      <c r="R194" s="73" t="str">
        <f t="shared" si="19"/>
        <v>Renaissance Decorator Rod Cord DrawnBirch WhiteStraight</v>
      </c>
      <c r="S194" s="73" t="s">
        <v>223</v>
      </c>
      <c r="T194" s="73" t="s">
        <v>276</v>
      </c>
      <c r="U194" s="73">
        <v>200</v>
      </c>
      <c r="V194" s="73" t="s">
        <v>149</v>
      </c>
      <c r="BF194"/>
    </row>
    <row r="195" spans="15:58" ht="14.4">
      <c r="O195" s="113" t="s">
        <v>298</v>
      </c>
      <c r="P195" s="113" t="s">
        <v>222</v>
      </c>
      <c r="Q195" s="23" t="s">
        <v>817</v>
      </c>
      <c r="R195" s="73" t="str">
        <f t="shared" si="20" ref="R195:R258">O195&amp;P195&amp;Q195</f>
        <v>Renaissance Decorator Rod Cord DrawnBlackBent</v>
      </c>
      <c r="S195" s="73" t="s">
        <v>223</v>
      </c>
      <c r="T195" s="73" t="s">
        <v>276</v>
      </c>
      <c r="U195" s="73">
        <v>200</v>
      </c>
      <c r="V195" s="73" t="s">
        <v>149</v>
      </c>
      <c r="BF195"/>
    </row>
    <row r="196" spans="15:58" ht="14.4">
      <c r="O196" s="113" t="s">
        <v>298</v>
      </c>
      <c r="P196" s="113" t="s">
        <v>222</v>
      </c>
      <c r="Q196" s="23" t="s">
        <v>198</v>
      </c>
      <c r="R196" s="73" t="str">
        <f t="shared" si="20"/>
        <v>Renaissance Decorator Rod Cord DrawnBlackStraight</v>
      </c>
      <c r="S196" s="73" t="s">
        <v>223</v>
      </c>
      <c r="T196" s="73" t="s">
        <v>276</v>
      </c>
      <c r="U196" s="73">
        <v>200</v>
      </c>
      <c r="V196" s="73" t="s">
        <v>149</v>
      </c>
      <c r="BF196"/>
    </row>
    <row r="197" spans="15:58" ht="14.4">
      <c r="O197" s="113" t="s">
        <v>298</v>
      </c>
      <c r="P197" s="113" t="s">
        <v>234</v>
      </c>
      <c r="Q197" s="23" t="s">
        <v>817</v>
      </c>
      <c r="R197" s="73" t="str">
        <f t="shared" si="20"/>
        <v>Renaissance Decorator Rod Cord DrawnChromeBent</v>
      </c>
      <c r="S197" s="73" t="s">
        <v>223</v>
      </c>
      <c r="T197" s="73" t="s">
        <v>276</v>
      </c>
      <c r="U197" s="73">
        <v>200</v>
      </c>
      <c r="V197" s="73" t="s">
        <v>149</v>
      </c>
      <c r="BF197"/>
    </row>
    <row r="198" spans="15:58" ht="14.4">
      <c r="O198" s="113" t="s">
        <v>298</v>
      </c>
      <c r="P198" s="113" t="s">
        <v>234</v>
      </c>
      <c r="Q198" s="23" t="s">
        <v>198</v>
      </c>
      <c r="R198" s="73" t="str">
        <f t="shared" si="20"/>
        <v>Renaissance Decorator Rod Cord DrawnChromeStraight</v>
      </c>
      <c r="S198" s="73" t="s">
        <v>223</v>
      </c>
      <c r="T198" s="73" t="s">
        <v>276</v>
      </c>
      <c r="U198" s="73">
        <v>200</v>
      </c>
      <c r="V198" s="73" t="s">
        <v>149</v>
      </c>
      <c r="BF198"/>
    </row>
    <row r="199" spans="15:58" ht="14.4">
      <c r="O199" s="113" t="s">
        <v>298</v>
      </c>
      <c r="P199" s="113" t="s">
        <v>370</v>
      </c>
      <c r="Q199" s="23" t="s">
        <v>817</v>
      </c>
      <c r="R199" s="73" t="str">
        <f t="shared" si="20"/>
        <v>Renaissance Decorator Rod Cord DrawnGoldBent</v>
      </c>
      <c r="S199" s="73" t="s">
        <v>223</v>
      </c>
      <c r="T199" s="73" t="s">
        <v>276</v>
      </c>
      <c r="U199" s="73">
        <v>200</v>
      </c>
      <c r="V199" s="73" t="s">
        <v>149</v>
      </c>
      <c r="BF199"/>
    </row>
    <row r="200" spans="15:58" ht="14.4">
      <c r="O200" s="113" t="s">
        <v>298</v>
      </c>
      <c r="P200" s="113" t="s">
        <v>370</v>
      </c>
      <c r="Q200" s="23" t="s">
        <v>198</v>
      </c>
      <c r="R200" s="73" t="str">
        <f t="shared" si="20"/>
        <v>Renaissance Decorator Rod Cord DrawnGoldStraight</v>
      </c>
      <c r="S200" s="73" t="s">
        <v>223</v>
      </c>
      <c r="T200" s="73" t="s">
        <v>276</v>
      </c>
      <c r="U200" s="73">
        <v>200</v>
      </c>
      <c r="V200" s="73" t="s">
        <v>149</v>
      </c>
      <c r="BF200"/>
    </row>
    <row r="201" spans="15:58" ht="14.4">
      <c r="O201" s="113" t="s">
        <v>298</v>
      </c>
      <c r="P201" s="113" t="s">
        <v>371</v>
      </c>
      <c r="Q201" s="23" t="s">
        <v>817</v>
      </c>
      <c r="R201" s="73" t="str">
        <f t="shared" si="20"/>
        <v>Renaissance Decorator Rod Cord DrawnMatt Black InkBent</v>
      </c>
      <c r="S201" s="73" t="s">
        <v>223</v>
      </c>
      <c r="T201" s="73" t="s">
        <v>276</v>
      </c>
      <c r="U201" s="73">
        <v>200</v>
      </c>
      <c r="V201" s="73" t="s">
        <v>149</v>
      </c>
      <c r="BF201"/>
    </row>
    <row r="202" spans="15:58" ht="14.4">
      <c r="O202" s="113" t="s">
        <v>298</v>
      </c>
      <c r="P202" s="113" t="s">
        <v>371</v>
      </c>
      <c r="Q202" s="23" t="s">
        <v>198</v>
      </c>
      <c r="R202" s="73" t="str">
        <f t="shared" si="20"/>
        <v>Renaissance Decorator Rod Cord DrawnMatt Black InkStraight</v>
      </c>
      <c r="S202" s="73" t="s">
        <v>223</v>
      </c>
      <c r="T202" s="73" t="s">
        <v>276</v>
      </c>
      <c r="U202" s="73">
        <v>200</v>
      </c>
      <c r="V202" s="73" t="s">
        <v>149</v>
      </c>
      <c r="BF202"/>
    </row>
    <row r="203" spans="15:58" ht="14.4">
      <c r="O203" s="112" t="s">
        <v>298</v>
      </c>
      <c r="P203" s="112" t="s">
        <v>238</v>
      </c>
      <c r="Q203" s="112" t="s">
        <v>817</v>
      </c>
      <c r="R203" s="73" t="str">
        <f t="shared" si="20"/>
        <v>Renaissance Decorator Rod Cord DrawnMatt SatinBent</v>
      </c>
      <c r="S203" s="73" t="s">
        <v>223</v>
      </c>
      <c r="T203" s="73" t="s">
        <v>276</v>
      </c>
      <c r="U203" s="73">
        <v>200</v>
      </c>
      <c r="V203" s="73" t="s">
        <v>149</v>
      </c>
      <c r="BF203"/>
    </row>
    <row r="204" spans="15:58" ht="14.4">
      <c r="O204" s="112" t="s">
        <v>298</v>
      </c>
      <c r="P204" s="112" t="s">
        <v>238</v>
      </c>
      <c r="Q204" s="112" t="s">
        <v>198</v>
      </c>
      <c r="R204" s="73" t="str">
        <f t="shared" si="20"/>
        <v>Renaissance Decorator Rod Cord DrawnMatt SatinStraight</v>
      </c>
      <c r="S204" s="73" t="s">
        <v>223</v>
      </c>
      <c r="T204" s="73" t="s">
        <v>276</v>
      </c>
      <c r="U204" s="73">
        <v>200</v>
      </c>
      <c r="V204" s="73" t="s">
        <v>149</v>
      </c>
      <c r="BF204"/>
    </row>
    <row r="205" spans="15:58" ht="14.4">
      <c r="O205" s="112" t="s">
        <v>298</v>
      </c>
      <c r="P205" s="112" t="s">
        <v>219</v>
      </c>
      <c r="Q205" s="112" t="s">
        <v>817</v>
      </c>
      <c r="R205" s="73" t="str">
        <f t="shared" si="20"/>
        <v>Renaissance Decorator Rod Cord DrawnWhiteBent</v>
      </c>
      <c r="S205" s="73" t="s">
        <v>223</v>
      </c>
      <c r="T205" s="73" t="s">
        <v>276</v>
      </c>
      <c r="U205" s="73">
        <v>200</v>
      </c>
      <c r="V205" s="73" t="s">
        <v>149</v>
      </c>
      <c r="BF205"/>
    </row>
    <row r="206" spans="15:58" ht="14.4">
      <c r="O206" s="112" t="s">
        <v>298</v>
      </c>
      <c r="P206" s="112" t="s">
        <v>219</v>
      </c>
      <c r="Q206" s="112" t="s">
        <v>198</v>
      </c>
      <c r="R206" s="73" t="str">
        <f t="shared" si="20"/>
        <v>Renaissance Decorator Rod Cord DrawnWhiteStraight</v>
      </c>
      <c r="S206" s="73" t="s">
        <v>223</v>
      </c>
      <c r="T206" s="73" t="s">
        <v>276</v>
      </c>
      <c r="U206" s="73">
        <v>200</v>
      </c>
      <c r="V206" s="73" t="s">
        <v>149</v>
      </c>
      <c r="BF206"/>
    </row>
    <row r="207" spans="15:58" ht="14.4">
      <c r="O207" s="112" t="s">
        <v>299</v>
      </c>
      <c r="P207" s="112" t="s">
        <v>244</v>
      </c>
      <c r="Q207" s="112" t="s">
        <v>817</v>
      </c>
      <c r="R207" s="73" t="str">
        <f t="shared" si="20"/>
        <v>Renaissance Decorator Rod Hand DrawnAntique BrassBent</v>
      </c>
      <c r="S207" s="73" t="s">
        <v>223</v>
      </c>
      <c r="T207" s="73" t="s">
        <v>276</v>
      </c>
      <c r="U207" s="73">
        <v>200</v>
      </c>
      <c r="V207" s="73" t="s">
        <v>149</v>
      </c>
      <c r="BF207"/>
    </row>
    <row r="208" spans="15:58" ht="14.4">
      <c r="O208" s="113" t="s">
        <v>299</v>
      </c>
      <c r="P208" s="113" t="s">
        <v>244</v>
      </c>
      <c r="Q208" s="23" t="s">
        <v>198</v>
      </c>
      <c r="R208" s="73" t="str">
        <f t="shared" si="20"/>
        <v>Renaissance Decorator Rod Hand DrawnAntique BrassStraight</v>
      </c>
      <c r="S208" s="73" t="s">
        <v>223</v>
      </c>
      <c r="T208" s="73" t="s">
        <v>276</v>
      </c>
      <c r="U208" s="73">
        <v>200</v>
      </c>
      <c r="V208" s="73" t="s">
        <v>149</v>
      </c>
      <c r="BF208"/>
    </row>
    <row r="209" spans="15:58" ht="14.4">
      <c r="O209" s="113" t="s">
        <v>299</v>
      </c>
      <c r="P209" s="113" t="s">
        <v>221</v>
      </c>
      <c r="Q209" s="23" t="s">
        <v>817</v>
      </c>
      <c r="R209" s="73" t="str">
        <f t="shared" si="20"/>
        <v>Renaissance Decorator Rod Hand DrawnBirch WhiteBent</v>
      </c>
      <c r="S209" s="73" t="s">
        <v>223</v>
      </c>
      <c r="T209" s="73" t="s">
        <v>276</v>
      </c>
      <c r="U209" s="73">
        <v>200</v>
      </c>
      <c r="V209" s="73" t="s">
        <v>149</v>
      </c>
      <c r="BF209"/>
    </row>
    <row r="210" spans="15:58" ht="14.4">
      <c r="O210" s="113" t="s">
        <v>299</v>
      </c>
      <c r="P210" s="113" t="s">
        <v>221</v>
      </c>
      <c r="Q210" s="23" t="s">
        <v>198</v>
      </c>
      <c r="R210" s="73" t="str">
        <f t="shared" si="20"/>
        <v>Renaissance Decorator Rod Hand DrawnBirch WhiteStraight</v>
      </c>
      <c r="S210" s="73" t="s">
        <v>223</v>
      </c>
      <c r="T210" s="73" t="s">
        <v>276</v>
      </c>
      <c r="U210" s="73">
        <v>200</v>
      </c>
      <c r="V210" s="73" t="s">
        <v>149</v>
      </c>
      <c r="BF210"/>
    </row>
    <row r="211" spans="15:58" ht="14.4">
      <c r="O211" s="113" t="s">
        <v>299</v>
      </c>
      <c r="P211" s="113" t="s">
        <v>222</v>
      </c>
      <c r="Q211" s="23" t="s">
        <v>817</v>
      </c>
      <c r="R211" s="73" t="str">
        <f t="shared" si="20"/>
        <v>Renaissance Decorator Rod Hand DrawnBlackBent</v>
      </c>
      <c r="S211" s="73" t="s">
        <v>223</v>
      </c>
      <c r="T211" s="73" t="s">
        <v>276</v>
      </c>
      <c r="U211" s="73">
        <v>200</v>
      </c>
      <c r="V211" s="73" t="s">
        <v>149</v>
      </c>
      <c r="BF211"/>
    </row>
    <row r="212" spans="15:58" ht="14.4">
      <c r="O212" s="113" t="s">
        <v>299</v>
      </c>
      <c r="P212" s="113" t="s">
        <v>222</v>
      </c>
      <c r="Q212" s="23" t="s">
        <v>198</v>
      </c>
      <c r="R212" s="73" t="str">
        <f t="shared" si="20"/>
        <v>Renaissance Decorator Rod Hand DrawnBlackStraight</v>
      </c>
      <c r="S212" s="73" t="s">
        <v>223</v>
      </c>
      <c r="T212" s="73" t="s">
        <v>276</v>
      </c>
      <c r="U212" s="73">
        <v>200</v>
      </c>
      <c r="V212" s="73" t="s">
        <v>149</v>
      </c>
      <c r="BF212"/>
    </row>
    <row r="213" spans="15:58" ht="14.4">
      <c r="O213" s="113" t="s">
        <v>299</v>
      </c>
      <c r="P213" s="113" t="s">
        <v>234</v>
      </c>
      <c r="Q213" s="23" t="s">
        <v>817</v>
      </c>
      <c r="R213" s="73" t="str">
        <f t="shared" si="20"/>
        <v>Renaissance Decorator Rod Hand DrawnChromeBent</v>
      </c>
      <c r="S213" s="73" t="s">
        <v>223</v>
      </c>
      <c r="T213" s="73" t="s">
        <v>276</v>
      </c>
      <c r="U213" s="73">
        <v>200</v>
      </c>
      <c r="V213" s="73" t="s">
        <v>149</v>
      </c>
      <c r="BF213"/>
    </row>
    <row r="214" spans="15:58" ht="14.4">
      <c r="O214" s="113" t="s">
        <v>299</v>
      </c>
      <c r="P214" s="113" t="s">
        <v>234</v>
      </c>
      <c r="Q214" s="23" t="s">
        <v>198</v>
      </c>
      <c r="R214" s="73" t="str">
        <f t="shared" si="20"/>
        <v>Renaissance Decorator Rod Hand DrawnChromeStraight</v>
      </c>
      <c r="S214" s="73" t="s">
        <v>223</v>
      </c>
      <c r="T214" s="73" t="s">
        <v>276</v>
      </c>
      <c r="U214" s="73">
        <v>200</v>
      </c>
      <c r="V214" s="73" t="s">
        <v>149</v>
      </c>
      <c r="BF214"/>
    </row>
    <row r="215" spans="15:58" ht="14.4">
      <c r="O215" s="113" t="s">
        <v>299</v>
      </c>
      <c r="P215" s="113" t="s">
        <v>370</v>
      </c>
      <c r="Q215" s="23" t="s">
        <v>817</v>
      </c>
      <c r="R215" s="73" t="str">
        <f t="shared" si="20"/>
        <v>Renaissance Decorator Rod Hand DrawnGoldBent</v>
      </c>
      <c r="S215" s="73" t="s">
        <v>223</v>
      </c>
      <c r="T215" s="73" t="s">
        <v>276</v>
      </c>
      <c r="U215" s="73">
        <v>200</v>
      </c>
      <c r="V215" s="73" t="s">
        <v>149</v>
      </c>
      <c r="BF215"/>
    </row>
    <row r="216" spans="15:58" ht="14.4">
      <c r="O216" s="113" t="s">
        <v>299</v>
      </c>
      <c r="P216" s="113" t="s">
        <v>370</v>
      </c>
      <c r="Q216" s="23" t="s">
        <v>198</v>
      </c>
      <c r="R216" s="73" t="str">
        <f t="shared" si="20"/>
        <v>Renaissance Decorator Rod Hand DrawnGoldStraight</v>
      </c>
      <c r="S216" s="73" t="s">
        <v>223</v>
      </c>
      <c r="T216" s="73" t="s">
        <v>276</v>
      </c>
      <c r="U216" s="73">
        <v>200</v>
      </c>
      <c r="V216" s="73" t="s">
        <v>149</v>
      </c>
      <c r="BF216"/>
    </row>
    <row r="217" spans="15:58" ht="14.4">
      <c r="O217" s="113" t="s">
        <v>299</v>
      </c>
      <c r="P217" s="113" t="s">
        <v>371</v>
      </c>
      <c r="Q217" s="23" t="s">
        <v>817</v>
      </c>
      <c r="R217" s="73" t="str">
        <f t="shared" si="20"/>
        <v>Renaissance Decorator Rod Hand DrawnMatt Black InkBent</v>
      </c>
      <c r="S217" s="73" t="s">
        <v>223</v>
      </c>
      <c r="T217" s="73" t="s">
        <v>276</v>
      </c>
      <c r="U217" s="73">
        <v>200</v>
      </c>
      <c r="V217" s="73" t="s">
        <v>149</v>
      </c>
      <c r="BF217"/>
    </row>
    <row r="218" spans="15:58" ht="14.4">
      <c r="O218" s="113" t="s">
        <v>299</v>
      </c>
      <c r="P218" s="113" t="s">
        <v>371</v>
      </c>
      <c r="Q218" s="23" t="s">
        <v>198</v>
      </c>
      <c r="R218" s="73" t="str">
        <f t="shared" si="20"/>
        <v>Renaissance Decorator Rod Hand DrawnMatt Black InkStraight</v>
      </c>
      <c r="S218" s="73" t="s">
        <v>223</v>
      </c>
      <c r="T218" s="73" t="s">
        <v>276</v>
      </c>
      <c r="U218" s="73">
        <v>200</v>
      </c>
      <c r="V218" s="73" t="s">
        <v>149</v>
      </c>
      <c r="BF218"/>
    </row>
    <row r="219" spans="15:58" ht="14.4">
      <c r="O219" s="113" t="s">
        <v>299</v>
      </c>
      <c r="P219" s="113" t="s">
        <v>238</v>
      </c>
      <c r="Q219" s="23" t="s">
        <v>817</v>
      </c>
      <c r="R219" s="73" t="str">
        <f t="shared" si="20"/>
        <v>Renaissance Decorator Rod Hand DrawnMatt SatinBent</v>
      </c>
      <c r="S219" s="73" t="s">
        <v>223</v>
      </c>
      <c r="T219" s="73" t="s">
        <v>276</v>
      </c>
      <c r="U219" s="73">
        <v>200</v>
      </c>
      <c r="V219" s="73" t="s">
        <v>149</v>
      </c>
      <c r="BF219"/>
    </row>
    <row r="220" spans="15:58" ht="14.4">
      <c r="O220" s="113" t="s">
        <v>299</v>
      </c>
      <c r="P220" s="113" t="s">
        <v>238</v>
      </c>
      <c r="Q220" s="23" t="s">
        <v>198</v>
      </c>
      <c r="R220" s="73" t="str">
        <f t="shared" si="20"/>
        <v>Renaissance Decorator Rod Hand DrawnMatt SatinStraight</v>
      </c>
      <c r="S220" s="73" t="s">
        <v>223</v>
      </c>
      <c r="T220" s="73" t="s">
        <v>276</v>
      </c>
      <c r="U220" s="73">
        <v>200</v>
      </c>
      <c r="V220" s="73" t="s">
        <v>149</v>
      </c>
      <c r="BF220"/>
    </row>
    <row r="221" spans="15:58" ht="14.4">
      <c r="O221" s="113" t="s">
        <v>299</v>
      </c>
      <c r="P221" s="113" t="s">
        <v>219</v>
      </c>
      <c r="Q221" s="23" t="s">
        <v>817</v>
      </c>
      <c r="R221" s="73" t="str">
        <f t="shared" si="20"/>
        <v>Renaissance Decorator Rod Hand DrawnWhiteBent</v>
      </c>
      <c r="S221" s="73" t="s">
        <v>223</v>
      </c>
      <c r="T221" s="73" t="s">
        <v>276</v>
      </c>
      <c r="U221" s="73">
        <v>200</v>
      </c>
      <c r="V221" s="73" t="s">
        <v>149</v>
      </c>
      <c r="BF221"/>
    </row>
    <row r="222" spans="15:58" ht="14.4">
      <c r="O222" s="113" t="s">
        <v>299</v>
      </c>
      <c r="P222" s="113" t="s">
        <v>219</v>
      </c>
      <c r="Q222" s="23" t="s">
        <v>198</v>
      </c>
      <c r="R222" s="73" t="str">
        <f t="shared" si="20"/>
        <v>Renaissance Decorator Rod Hand DrawnWhiteStraight</v>
      </c>
      <c r="S222" s="73" t="s">
        <v>223</v>
      </c>
      <c r="T222" s="73" t="s">
        <v>276</v>
      </c>
      <c r="U222" s="73">
        <v>200</v>
      </c>
      <c r="V222" s="73" t="s">
        <v>149</v>
      </c>
      <c r="BF222"/>
    </row>
    <row r="223" spans="15:58" ht="14.4">
      <c r="O223" s="113" t="s">
        <v>770</v>
      </c>
      <c r="P223" s="113" t="s">
        <v>244</v>
      </c>
      <c r="Q223" s="23" t="s">
        <v>817</v>
      </c>
      <c r="R223" s="73" t="str">
        <f t="shared" si="20"/>
        <v>Renaissance Decorator Rod with Rings Cord DrawnAntique BrassBent</v>
      </c>
      <c r="S223" s="73" t="s">
        <v>223</v>
      </c>
      <c r="T223" s="73" t="s">
        <v>276</v>
      </c>
      <c r="U223" s="73">
        <v>200</v>
      </c>
      <c r="V223" s="73" t="s">
        <v>149</v>
      </c>
      <c r="BF223"/>
    </row>
    <row r="224" spans="15:58" ht="14.4">
      <c r="O224" s="113" t="s">
        <v>770</v>
      </c>
      <c r="P224" s="113" t="s">
        <v>244</v>
      </c>
      <c r="Q224" s="23" t="s">
        <v>198</v>
      </c>
      <c r="R224" s="73" t="str">
        <f t="shared" si="20"/>
        <v>Renaissance Decorator Rod with Rings Cord DrawnAntique BrassStraight</v>
      </c>
      <c r="S224" s="73" t="s">
        <v>223</v>
      </c>
      <c r="T224" s="73" t="s">
        <v>276</v>
      </c>
      <c r="U224" s="73">
        <v>200</v>
      </c>
      <c r="V224" s="73" t="s">
        <v>149</v>
      </c>
      <c r="BF224"/>
    </row>
    <row r="225" spans="15:58" ht="14.4">
      <c r="O225" s="113" t="s">
        <v>770</v>
      </c>
      <c r="P225" s="113" t="s">
        <v>221</v>
      </c>
      <c r="Q225" s="23" t="s">
        <v>817</v>
      </c>
      <c r="R225" s="73" t="str">
        <f t="shared" si="20"/>
        <v>Renaissance Decorator Rod with Rings Cord DrawnBirch WhiteBent</v>
      </c>
      <c r="S225" s="73" t="s">
        <v>223</v>
      </c>
      <c r="T225" s="73" t="s">
        <v>276</v>
      </c>
      <c r="U225" s="73">
        <v>200</v>
      </c>
      <c r="V225" s="73" t="s">
        <v>149</v>
      </c>
      <c r="BF225"/>
    </row>
    <row r="226" spans="15:58" ht="14.4">
      <c r="O226" s="113" t="s">
        <v>770</v>
      </c>
      <c r="P226" s="113" t="s">
        <v>221</v>
      </c>
      <c r="Q226" s="23" t="s">
        <v>198</v>
      </c>
      <c r="R226" s="73" t="str">
        <f t="shared" si="20"/>
        <v>Renaissance Decorator Rod with Rings Cord DrawnBirch WhiteStraight</v>
      </c>
      <c r="S226" s="73" t="s">
        <v>223</v>
      </c>
      <c r="T226" s="73" t="s">
        <v>276</v>
      </c>
      <c r="U226" s="73">
        <v>200</v>
      </c>
      <c r="V226" s="73" t="s">
        <v>149</v>
      </c>
      <c r="BF226"/>
    </row>
    <row r="227" spans="15:58" ht="14.4">
      <c r="O227" s="113" t="s">
        <v>770</v>
      </c>
      <c r="P227" s="113" t="s">
        <v>222</v>
      </c>
      <c r="Q227" s="23" t="s">
        <v>817</v>
      </c>
      <c r="R227" s="73" t="str">
        <f t="shared" si="20"/>
        <v>Renaissance Decorator Rod with Rings Cord DrawnBlackBent</v>
      </c>
      <c r="S227" s="73" t="s">
        <v>223</v>
      </c>
      <c r="T227" s="73" t="s">
        <v>276</v>
      </c>
      <c r="U227" s="73">
        <v>200</v>
      </c>
      <c r="V227" s="73" t="s">
        <v>149</v>
      </c>
      <c r="BF227"/>
    </row>
    <row r="228" spans="15:58" ht="14.4">
      <c r="O228" s="113" t="s">
        <v>770</v>
      </c>
      <c r="P228" s="113" t="s">
        <v>222</v>
      </c>
      <c r="Q228" s="23" t="s">
        <v>198</v>
      </c>
      <c r="R228" s="73" t="str">
        <f t="shared" si="20"/>
        <v>Renaissance Decorator Rod with Rings Cord DrawnBlackStraight</v>
      </c>
      <c r="S228" s="73" t="s">
        <v>223</v>
      </c>
      <c r="T228" s="73" t="s">
        <v>276</v>
      </c>
      <c r="U228" s="73">
        <v>200</v>
      </c>
      <c r="V228" s="73" t="s">
        <v>149</v>
      </c>
      <c r="BF228"/>
    </row>
    <row r="229" spans="15:58" ht="14.4">
      <c r="O229" s="113" t="s">
        <v>770</v>
      </c>
      <c r="P229" s="113" t="s">
        <v>234</v>
      </c>
      <c r="Q229" s="23" t="s">
        <v>817</v>
      </c>
      <c r="R229" s="73" t="str">
        <f t="shared" si="20"/>
        <v>Renaissance Decorator Rod with Rings Cord DrawnChromeBent</v>
      </c>
      <c r="S229" s="73" t="s">
        <v>223</v>
      </c>
      <c r="T229" s="73" t="s">
        <v>276</v>
      </c>
      <c r="U229" s="73">
        <v>200</v>
      </c>
      <c r="V229" s="73" t="s">
        <v>149</v>
      </c>
      <c r="BF229"/>
    </row>
    <row r="230" spans="15:58" ht="14.4">
      <c r="O230" s="113" t="s">
        <v>770</v>
      </c>
      <c r="P230" s="113" t="s">
        <v>234</v>
      </c>
      <c r="Q230" s="23" t="s">
        <v>198</v>
      </c>
      <c r="R230" s="73" t="str">
        <f t="shared" si="20"/>
        <v>Renaissance Decorator Rod with Rings Cord DrawnChromeStraight</v>
      </c>
      <c r="S230" s="73" t="s">
        <v>223</v>
      </c>
      <c r="T230" s="73" t="s">
        <v>276</v>
      </c>
      <c r="U230" s="73">
        <v>200</v>
      </c>
      <c r="V230" s="73" t="s">
        <v>149</v>
      </c>
      <c r="BF230"/>
    </row>
    <row r="231" spans="15:58" ht="14.4">
      <c r="O231" s="113" t="s">
        <v>770</v>
      </c>
      <c r="P231" s="113" t="s">
        <v>370</v>
      </c>
      <c r="Q231" s="23" t="s">
        <v>817</v>
      </c>
      <c r="R231" s="73" t="str">
        <f t="shared" si="20"/>
        <v>Renaissance Decorator Rod with Rings Cord DrawnGoldBent</v>
      </c>
      <c r="S231" s="73" t="s">
        <v>223</v>
      </c>
      <c r="T231" s="73" t="s">
        <v>276</v>
      </c>
      <c r="U231" s="73">
        <v>200</v>
      </c>
      <c r="V231" s="73" t="s">
        <v>149</v>
      </c>
      <c r="BF231"/>
    </row>
    <row r="232" spans="15:58" ht="14.4">
      <c r="O232" s="113" t="s">
        <v>770</v>
      </c>
      <c r="P232" s="113" t="s">
        <v>370</v>
      </c>
      <c r="Q232" s="23" t="s">
        <v>198</v>
      </c>
      <c r="R232" s="73" t="str">
        <f t="shared" si="20"/>
        <v>Renaissance Decorator Rod with Rings Cord DrawnGoldStraight</v>
      </c>
      <c r="S232" s="73" t="s">
        <v>223</v>
      </c>
      <c r="T232" s="73" t="s">
        <v>276</v>
      </c>
      <c r="U232" s="73">
        <v>200</v>
      </c>
      <c r="V232" s="73" t="s">
        <v>149</v>
      </c>
      <c r="BF232"/>
    </row>
    <row r="233" spans="15:58" ht="14.4">
      <c r="O233" s="113" t="s">
        <v>770</v>
      </c>
      <c r="P233" s="113" t="s">
        <v>371</v>
      </c>
      <c r="Q233" s="23" t="s">
        <v>817</v>
      </c>
      <c r="R233" s="73" t="str">
        <f t="shared" si="20"/>
        <v>Renaissance Decorator Rod with Rings Cord DrawnMatt Black InkBent</v>
      </c>
      <c r="S233" s="73" t="s">
        <v>223</v>
      </c>
      <c r="T233" s="73" t="s">
        <v>276</v>
      </c>
      <c r="U233" s="73">
        <v>200</v>
      </c>
      <c r="V233" s="73" t="s">
        <v>149</v>
      </c>
      <c r="BF233"/>
    </row>
    <row r="234" spans="15:58" ht="14.4">
      <c r="O234" s="113" t="s">
        <v>770</v>
      </c>
      <c r="P234" s="113" t="s">
        <v>371</v>
      </c>
      <c r="Q234" s="23" t="s">
        <v>198</v>
      </c>
      <c r="R234" s="73" t="str">
        <f t="shared" si="20"/>
        <v>Renaissance Decorator Rod with Rings Cord DrawnMatt Black InkStraight</v>
      </c>
      <c r="S234" s="73" t="s">
        <v>223</v>
      </c>
      <c r="T234" s="73" t="s">
        <v>276</v>
      </c>
      <c r="U234" s="73">
        <v>200</v>
      </c>
      <c r="V234" s="73" t="s">
        <v>149</v>
      </c>
      <c r="BF234"/>
    </row>
    <row r="235" spans="15:58" ht="14.4">
      <c r="O235" s="113" t="s">
        <v>770</v>
      </c>
      <c r="P235" s="113" t="s">
        <v>238</v>
      </c>
      <c r="Q235" s="23" t="s">
        <v>817</v>
      </c>
      <c r="R235" s="73" t="str">
        <f t="shared" si="20"/>
        <v>Renaissance Decorator Rod with Rings Cord DrawnMatt SatinBent</v>
      </c>
      <c r="S235" s="73" t="s">
        <v>223</v>
      </c>
      <c r="T235" s="73" t="s">
        <v>276</v>
      </c>
      <c r="U235" s="73">
        <v>200</v>
      </c>
      <c r="V235" s="73" t="s">
        <v>149</v>
      </c>
      <c r="BF235"/>
    </row>
    <row r="236" spans="15:58" ht="14.4">
      <c r="O236" s="113" t="s">
        <v>770</v>
      </c>
      <c r="P236" s="113" t="s">
        <v>238</v>
      </c>
      <c r="Q236" s="23" t="s">
        <v>198</v>
      </c>
      <c r="R236" s="73" t="str">
        <f t="shared" si="20"/>
        <v>Renaissance Decorator Rod with Rings Cord DrawnMatt SatinStraight</v>
      </c>
      <c r="S236" s="73" t="s">
        <v>223</v>
      </c>
      <c r="T236" s="73" t="s">
        <v>276</v>
      </c>
      <c r="U236" s="73">
        <v>200</v>
      </c>
      <c r="V236" s="73" t="s">
        <v>149</v>
      </c>
      <c r="BF236"/>
    </row>
    <row r="237" spans="15:58" ht="14.4">
      <c r="O237" s="113" t="s">
        <v>770</v>
      </c>
      <c r="P237" s="113" t="s">
        <v>219</v>
      </c>
      <c r="Q237" s="23" t="s">
        <v>817</v>
      </c>
      <c r="R237" s="73" t="str">
        <f t="shared" si="20"/>
        <v>Renaissance Decorator Rod with Rings Cord DrawnWhiteBent</v>
      </c>
      <c r="S237" s="73" t="s">
        <v>223</v>
      </c>
      <c r="T237" s="73" t="s">
        <v>276</v>
      </c>
      <c r="U237" s="73">
        <v>200</v>
      </c>
      <c r="V237" s="73" t="s">
        <v>149</v>
      </c>
      <c r="BF237"/>
    </row>
    <row r="238" spans="15:58" ht="14.4">
      <c r="O238" s="113" t="s">
        <v>770</v>
      </c>
      <c r="P238" s="113" t="s">
        <v>219</v>
      </c>
      <c r="Q238" s="23" t="s">
        <v>198</v>
      </c>
      <c r="R238" s="73" t="str">
        <f t="shared" si="20"/>
        <v>Renaissance Decorator Rod with Rings Cord DrawnWhiteStraight</v>
      </c>
      <c r="S238" s="73" t="s">
        <v>223</v>
      </c>
      <c r="T238" s="73" t="s">
        <v>276</v>
      </c>
      <c r="U238" s="73">
        <v>200</v>
      </c>
      <c r="V238" s="73" t="s">
        <v>149</v>
      </c>
      <c r="BF238"/>
    </row>
    <row r="239" spans="15:58" ht="14.4">
      <c r="O239" s="113" t="s">
        <v>771</v>
      </c>
      <c r="P239" s="113" t="s">
        <v>244</v>
      </c>
      <c r="Q239" s="23" t="s">
        <v>817</v>
      </c>
      <c r="R239" s="73" t="str">
        <f t="shared" si="20"/>
        <v>Renaissance Decorator Rod with Rings Hand DrawnAntique BrassBent</v>
      </c>
      <c r="S239" s="73" t="s">
        <v>223</v>
      </c>
      <c r="T239" s="73" t="s">
        <v>276</v>
      </c>
      <c r="U239" s="73">
        <v>200</v>
      </c>
      <c r="V239" s="73" t="s">
        <v>149</v>
      </c>
      <c r="BF239"/>
    </row>
    <row r="240" spans="15:58" ht="14.4">
      <c r="O240" s="113" t="s">
        <v>771</v>
      </c>
      <c r="P240" s="113" t="s">
        <v>244</v>
      </c>
      <c r="Q240" s="23" t="s">
        <v>198</v>
      </c>
      <c r="R240" s="73" t="str">
        <f t="shared" si="20"/>
        <v>Renaissance Decorator Rod with Rings Hand DrawnAntique BrassStraight</v>
      </c>
      <c r="S240" s="73" t="s">
        <v>223</v>
      </c>
      <c r="T240" s="73" t="s">
        <v>276</v>
      </c>
      <c r="U240" s="73">
        <v>200</v>
      </c>
      <c r="V240" s="73" t="s">
        <v>149</v>
      </c>
      <c r="BF240"/>
    </row>
    <row r="241" spans="15:58" ht="14.4">
      <c r="O241" s="113" t="s">
        <v>771</v>
      </c>
      <c r="P241" s="113" t="s">
        <v>221</v>
      </c>
      <c r="Q241" s="23" t="s">
        <v>817</v>
      </c>
      <c r="R241" s="73" t="str">
        <f t="shared" si="20"/>
        <v>Renaissance Decorator Rod with Rings Hand DrawnBirch WhiteBent</v>
      </c>
      <c r="S241" s="73" t="s">
        <v>223</v>
      </c>
      <c r="T241" s="73" t="s">
        <v>276</v>
      </c>
      <c r="U241" s="73">
        <v>200</v>
      </c>
      <c r="V241" s="73" t="s">
        <v>149</v>
      </c>
      <c r="BF241"/>
    </row>
    <row r="242" spans="15:58" ht="14.4">
      <c r="O242" s="113" t="s">
        <v>771</v>
      </c>
      <c r="P242" s="113" t="s">
        <v>221</v>
      </c>
      <c r="Q242" s="23" t="s">
        <v>198</v>
      </c>
      <c r="R242" s="73" t="str">
        <f t="shared" si="20"/>
        <v>Renaissance Decorator Rod with Rings Hand DrawnBirch WhiteStraight</v>
      </c>
      <c r="S242" s="73" t="s">
        <v>223</v>
      </c>
      <c r="T242" s="73" t="s">
        <v>276</v>
      </c>
      <c r="U242" s="73">
        <v>200</v>
      </c>
      <c r="V242" s="73" t="s">
        <v>149</v>
      </c>
      <c r="BF242"/>
    </row>
    <row r="243" spans="15:58" ht="14.4">
      <c r="O243" s="113" t="s">
        <v>771</v>
      </c>
      <c r="P243" s="113" t="s">
        <v>222</v>
      </c>
      <c r="Q243" s="23" t="s">
        <v>817</v>
      </c>
      <c r="R243" s="73" t="str">
        <f t="shared" si="20"/>
        <v>Renaissance Decorator Rod with Rings Hand DrawnBlackBent</v>
      </c>
      <c r="S243" s="73" t="s">
        <v>223</v>
      </c>
      <c r="T243" s="73" t="s">
        <v>276</v>
      </c>
      <c r="U243" s="73">
        <v>200</v>
      </c>
      <c r="V243" s="73" t="s">
        <v>149</v>
      </c>
      <c r="BF243"/>
    </row>
    <row r="244" spans="15:58" ht="14.4">
      <c r="O244" s="113" t="s">
        <v>771</v>
      </c>
      <c r="P244" s="113" t="s">
        <v>222</v>
      </c>
      <c r="Q244" s="23" t="s">
        <v>198</v>
      </c>
      <c r="R244" s="73" t="str">
        <f t="shared" si="20"/>
        <v>Renaissance Decorator Rod with Rings Hand DrawnBlackStraight</v>
      </c>
      <c r="S244" s="73" t="s">
        <v>223</v>
      </c>
      <c r="T244" s="73" t="s">
        <v>276</v>
      </c>
      <c r="U244" s="73">
        <v>200</v>
      </c>
      <c r="V244" s="73" t="s">
        <v>149</v>
      </c>
      <c r="BF244"/>
    </row>
    <row r="245" spans="15:58" ht="14.4">
      <c r="O245" s="113" t="s">
        <v>771</v>
      </c>
      <c r="P245" s="113" t="s">
        <v>234</v>
      </c>
      <c r="Q245" s="23" t="s">
        <v>817</v>
      </c>
      <c r="R245" s="73" t="str">
        <f t="shared" si="20"/>
        <v>Renaissance Decorator Rod with Rings Hand DrawnChromeBent</v>
      </c>
      <c r="S245" s="73" t="s">
        <v>223</v>
      </c>
      <c r="T245" s="73" t="s">
        <v>276</v>
      </c>
      <c r="U245" s="73">
        <v>200</v>
      </c>
      <c r="V245" s="73" t="s">
        <v>149</v>
      </c>
      <c r="BF245"/>
    </row>
    <row r="246" spans="15:58" ht="14.4">
      <c r="O246" s="113" t="s">
        <v>771</v>
      </c>
      <c r="P246" s="113" t="s">
        <v>234</v>
      </c>
      <c r="Q246" s="23" t="s">
        <v>198</v>
      </c>
      <c r="R246" s="73" t="str">
        <f t="shared" si="20"/>
        <v>Renaissance Decorator Rod with Rings Hand DrawnChromeStraight</v>
      </c>
      <c r="S246" s="73" t="s">
        <v>223</v>
      </c>
      <c r="T246" s="73" t="s">
        <v>276</v>
      </c>
      <c r="U246" s="73">
        <v>200</v>
      </c>
      <c r="V246" s="73" t="s">
        <v>149</v>
      </c>
      <c r="BF246"/>
    </row>
    <row r="247" spans="15:58" ht="14.4">
      <c r="O247" s="113" t="s">
        <v>771</v>
      </c>
      <c r="P247" s="113" t="s">
        <v>370</v>
      </c>
      <c r="Q247" s="23" t="s">
        <v>817</v>
      </c>
      <c r="R247" s="73" t="str">
        <f t="shared" si="20"/>
        <v>Renaissance Decorator Rod with Rings Hand DrawnGoldBent</v>
      </c>
      <c r="S247" s="73" t="s">
        <v>223</v>
      </c>
      <c r="T247" s="73" t="s">
        <v>276</v>
      </c>
      <c r="U247" s="73">
        <v>200</v>
      </c>
      <c r="V247" s="73" t="s">
        <v>149</v>
      </c>
      <c r="BF247"/>
    </row>
    <row r="248" spans="15:58" ht="14.4">
      <c r="O248" s="113" t="s">
        <v>771</v>
      </c>
      <c r="P248" s="113" t="s">
        <v>370</v>
      </c>
      <c r="Q248" s="23" t="s">
        <v>198</v>
      </c>
      <c r="R248" s="73" t="str">
        <f t="shared" si="20"/>
        <v>Renaissance Decorator Rod with Rings Hand DrawnGoldStraight</v>
      </c>
      <c r="S248" s="73" t="s">
        <v>223</v>
      </c>
      <c r="T248" s="73" t="s">
        <v>276</v>
      </c>
      <c r="U248" s="73">
        <v>200</v>
      </c>
      <c r="V248" s="73" t="s">
        <v>149</v>
      </c>
      <c r="BF248"/>
    </row>
    <row r="249" spans="15:58" ht="14.4">
      <c r="O249" s="113" t="s">
        <v>771</v>
      </c>
      <c r="P249" s="113" t="s">
        <v>371</v>
      </c>
      <c r="Q249" s="23" t="s">
        <v>817</v>
      </c>
      <c r="R249" s="73" t="str">
        <f t="shared" si="20"/>
        <v>Renaissance Decorator Rod with Rings Hand DrawnMatt Black InkBent</v>
      </c>
      <c r="S249" s="73" t="s">
        <v>223</v>
      </c>
      <c r="T249" s="73" t="s">
        <v>276</v>
      </c>
      <c r="U249" s="73">
        <v>200</v>
      </c>
      <c r="V249" s="73" t="s">
        <v>149</v>
      </c>
      <c r="BF249"/>
    </row>
    <row r="250" spans="15:58" ht="14.4">
      <c r="O250" s="113" t="s">
        <v>771</v>
      </c>
      <c r="P250" s="113" t="s">
        <v>371</v>
      </c>
      <c r="Q250" s="23" t="s">
        <v>198</v>
      </c>
      <c r="R250" s="73" t="str">
        <f t="shared" si="20"/>
        <v>Renaissance Decorator Rod with Rings Hand DrawnMatt Black InkStraight</v>
      </c>
      <c r="S250" s="73" t="s">
        <v>223</v>
      </c>
      <c r="T250" s="73" t="s">
        <v>276</v>
      </c>
      <c r="U250" s="73">
        <v>200</v>
      </c>
      <c r="V250" s="73" t="s">
        <v>149</v>
      </c>
      <c r="BF250"/>
    </row>
    <row r="251" spans="15:58" ht="14.4">
      <c r="O251" s="113" t="s">
        <v>771</v>
      </c>
      <c r="P251" s="113" t="s">
        <v>238</v>
      </c>
      <c r="Q251" s="23" t="s">
        <v>817</v>
      </c>
      <c r="R251" s="73" t="str">
        <f t="shared" si="20"/>
        <v>Renaissance Decorator Rod with Rings Hand DrawnMatt SatinBent</v>
      </c>
      <c r="S251" s="73" t="s">
        <v>223</v>
      </c>
      <c r="T251" s="73" t="s">
        <v>276</v>
      </c>
      <c r="U251" s="73">
        <v>200</v>
      </c>
      <c r="V251" s="73" t="s">
        <v>149</v>
      </c>
      <c r="BF251"/>
    </row>
    <row r="252" spans="15:58" ht="14.4">
      <c r="O252" s="113" t="s">
        <v>771</v>
      </c>
      <c r="P252" s="113" t="s">
        <v>238</v>
      </c>
      <c r="Q252" s="23" t="s">
        <v>198</v>
      </c>
      <c r="R252" s="73" t="str">
        <f t="shared" si="20"/>
        <v>Renaissance Decorator Rod with Rings Hand DrawnMatt SatinStraight</v>
      </c>
      <c r="S252" s="73" t="s">
        <v>223</v>
      </c>
      <c r="T252" s="73" t="s">
        <v>276</v>
      </c>
      <c r="U252" s="73">
        <v>200</v>
      </c>
      <c r="V252" s="73" t="s">
        <v>149</v>
      </c>
      <c r="BF252"/>
    </row>
    <row r="253" spans="15:58" ht="14.4">
      <c r="O253" s="113" t="s">
        <v>771</v>
      </c>
      <c r="P253" s="113" t="s">
        <v>219</v>
      </c>
      <c r="Q253" s="23" t="s">
        <v>817</v>
      </c>
      <c r="R253" s="73" t="str">
        <f t="shared" si="20"/>
        <v>Renaissance Decorator Rod with Rings Hand DrawnWhiteBent</v>
      </c>
      <c r="S253" s="73" t="s">
        <v>223</v>
      </c>
      <c r="T253" s="73" t="s">
        <v>276</v>
      </c>
      <c r="U253" s="73">
        <v>200</v>
      </c>
      <c r="V253" s="73" t="s">
        <v>149</v>
      </c>
      <c r="BF253"/>
    </row>
    <row r="254" spans="15:58" ht="14.4">
      <c r="O254" s="113" t="s">
        <v>771</v>
      </c>
      <c r="P254" s="113" t="s">
        <v>219</v>
      </c>
      <c r="Q254" s="23" t="s">
        <v>198</v>
      </c>
      <c r="R254" s="73" t="str">
        <f t="shared" si="20"/>
        <v>Renaissance Decorator Rod with Rings Hand DrawnWhiteStraight</v>
      </c>
      <c r="S254" s="73" t="s">
        <v>223</v>
      </c>
      <c r="T254" s="73" t="s">
        <v>276</v>
      </c>
      <c r="U254" s="73">
        <v>200</v>
      </c>
      <c r="V254" s="73" t="s">
        <v>149</v>
      </c>
      <c r="BF254"/>
    </row>
    <row r="255" spans="15:58" ht="14.4">
      <c r="O255" s="113" t="s">
        <v>226</v>
      </c>
      <c r="P255" s="113" t="s">
        <v>222</v>
      </c>
      <c r="Q255" s="23" t="s">
        <v>817</v>
      </c>
      <c r="R255" s="73" t="str">
        <f t="shared" si="20"/>
        <v>S-Fold Cord OperationBlackBent</v>
      </c>
      <c r="S255" s="73" t="s">
        <v>223</v>
      </c>
      <c r="T255" s="73" t="s">
        <v>149</v>
      </c>
      <c r="U255" s="73">
        <v>0</v>
      </c>
      <c r="V255" s="73" t="s">
        <v>276</v>
      </c>
      <c r="BF255"/>
    </row>
    <row r="256" spans="15:58" ht="14.4">
      <c r="O256" s="113" t="s">
        <v>226</v>
      </c>
      <c r="P256" s="113" t="s">
        <v>222</v>
      </c>
      <c r="Q256" s="23" t="s">
        <v>198</v>
      </c>
      <c r="R256" s="73" t="str">
        <f t="shared" si="20"/>
        <v>S-Fold Cord OperationBlackStraight</v>
      </c>
      <c r="S256" s="73" t="s">
        <v>223</v>
      </c>
      <c r="T256" s="73" t="s">
        <v>149</v>
      </c>
      <c r="U256" s="73">
        <v>0</v>
      </c>
      <c r="V256" s="73" t="s">
        <v>276</v>
      </c>
      <c r="BF256"/>
    </row>
    <row r="257" spans="15:58" ht="14.4">
      <c r="O257" s="113" t="s">
        <v>226</v>
      </c>
      <c r="P257" s="113" t="s">
        <v>371</v>
      </c>
      <c r="Q257" s="23" t="s">
        <v>817</v>
      </c>
      <c r="R257" s="73" t="str">
        <f t="shared" si="20"/>
        <v>S-Fold Cord OperationMatt Black InkBent</v>
      </c>
      <c r="S257" s="73" t="s">
        <v>223</v>
      </c>
      <c r="T257" s="73" t="s">
        <v>149</v>
      </c>
      <c r="U257" s="73">
        <v>0</v>
      </c>
      <c r="V257" s="73" t="s">
        <v>276</v>
      </c>
      <c r="BF257"/>
    </row>
    <row r="258" spans="15:58" ht="14.4">
      <c r="O258" s="113" t="s">
        <v>226</v>
      </c>
      <c r="P258" s="113" t="s">
        <v>371</v>
      </c>
      <c r="Q258" s="23" t="s">
        <v>198</v>
      </c>
      <c r="R258" s="73" t="str">
        <f t="shared" si="20"/>
        <v>S-Fold Cord OperationMatt Black InkStraight</v>
      </c>
      <c r="S258" s="73" t="s">
        <v>223</v>
      </c>
      <c r="T258" s="73" t="s">
        <v>149</v>
      </c>
      <c r="U258" s="73">
        <v>0</v>
      </c>
      <c r="V258" s="73" t="s">
        <v>276</v>
      </c>
      <c r="BF258"/>
    </row>
    <row r="259" spans="15:58" ht="14.4">
      <c r="O259" s="113" t="s">
        <v>226</v>
      </c>
      <c r="P259" s="113" t="s">
        <v>238</v>
      </c>
      <c r="Q259" s="23" t="s">
        <v>817</v>
      </c>
      <c r="R259" s="73" t="str">
        <f t="shared" si="21" ref="R259:R322">O259&amp;P259&amp;Q259</f>
        <v>S-Fold Cord OperationMatt SatinBent</v>
      </c>
      <c r="S259" s="73" t="s">
        <v>223</v>
      </c>
      <c r="T259" s="73" t="s">
        <v>149</v>
      </c>
      <c r="U259" s="73">
        <v>0</v>
      </c>
      <c r="V259" s="73" t="s">
        <v>276</v>
      </c>
      <c r="BF259"/>
    </row>
    <row r="260" spans="15:58" ht="14.4">
      <c r="O260" s="113" t="s">
        <v>226</v>
      </c>
      <c r="P260" s="113" t="s">
        <v>238</v>
      </c>
      <c r="Q260" s="23" t="s">
        <v>198</v>
      </c>
      <c r="R260" s="73" t="str">
        <f t="shared" si="21"/>
        <v>S-Fold Cord OperationMatt SatinStraight</v>
      </c>
      <c r="S260" s="73" t="s">
        <v>223</v>
      </c>
      <c r="T260" s="73" t="s">
        <v>149</v>
      </c>
      <c r="U260" s="73">
        <v>0</v>
      </c>
      <c r="V260" s="73" t="s">
        <v>276</v>
      </c>
      <c r="BF260"/>
    </row>
    <row r="261" spans="15:58" ht="14.4">
      <c r="O261" s="113" t="s">
        <v>226</v>
      </c>
      <c r="P261" s="113" t="s">
        <v>219</v>
      </c>
      <c r="Q261" s="23" t="s">
        <v>817</v>
      </c>
      <c r="R261" s="73" t="str">
        <f t="shared" si="21"/>
        <v>S-Fold Cord OperationWhiteBent</v>
      </c>
      <c r="S261" s="73" t="s">
        <v>223</v>
      </c>
      <c r="T261" s="73" t="s">
        <v>149</v>
      </c>
      <c r="U261" s="73">
        <v>0</v>
      </c>
      <c r="V261" s="73" t="s">
        <v>276</v>
      </c>
      <c r="BF261"/>
    </row>
    <row r="262" spans="15:58" ht="14.4">
      <c r="O262" s="113" t="s">
        <v>226</v>
      </c>
      <c r="P262" s="113" t="s">
        <v>219</v>
      </c>
      <c r="Q262" s="23" t="s">
        <v>198</v>
      </c>
      <c r="R262" s="73" t="str">
        <f t="shared" si="21"/>
        <v>S-Fold Cord OperationWhiteStraight</v>
      </c>
      <c r="S262" s="73" t="s">
        <v>223</v>
      </c>
      <c r="T262" s="73" t="s">
        <v>149</v>
      </c>
      <c r="U262" s="73">
        <v>0</v>
      </c>
      <c r="V262" s="73" t="s">
        <v>276</v>
      </c>
      <c r="BF262"/>
    </row>
    <row r="263" spans="15:58" ht="14.4">
      <c r="O263" s="113" t="s">
        <v>227</v>
      </c>
      <c r="P263" s="113" t="s">
        <v>222</v>
      </c>
      <c r="Q263" s="23" t="s">
        <v>817</v>
      </c>
      <c r="R263" s="73" t="str">
        <f t="shared" si="21"/>
        <v>S-Fold Hand OperationBlackBent</v>
      </c>
      <c r="S263" s="73" t="s">
        <v>223</v>
      </c>
      <c r="T263" s="73" t="s">
        <v>149</v>
      </c>
      <c r="U263" s="73">
        <v>0</v>
      </c>
      <c r="V263" s="73" t="s">
        <v>276</v>
      </c>
      <c r="BF263"/>
    </row>
    <row r="264" spans="15:58" ht="14.4">
      <c r="O264" s="113" t="s">
        <v>227</v>
      </c>
      <c r="P264" s="113" t="s">
        <v>222</v>
      </c>
      <c r="Q264" s="23" t="s">
        <v>198</v>
      </c>
      <c r="R264" s="73" t="str">
        <f t="shared" si="21"/>
        <v>S-Fold Hand OperationBlackStraight</v>
      </c>
      <c r="S264" s="73" t="s">
        <v>223</v>
      </c>
      <c r="T264" s="73" t="s">
        <v>149</v>
      </c>
      <c r="U264" s="73">
        <v>0</v>
      </c>
      <c r="V264" s="73" t="s">
        <v>276</v>
      </c>
      <c r="BF264"/>
    </row>
    <row r="265" spans="15:58" ht="14.4">
      <c r="O265" s="113" t="s">
        <v>227</v>
      </c>
      <c r="P265" s="113" t="s">
        <v>371</v>
      </c>
      <c r="Q265" s="23" t="s">
        <v>817</v>
      </c>
      <c r="R265" s="73" t="str">
        <f t="shared" si="21"/>
        <v>S-Fold Hand OperationMatt Black InkBent</v>
      </c>
      <c r="S265" s="73" t="s">
        <v>223</v>
      </c>
      <c r="T265" s="73" t="s">
        <v>149</v>
      </c>
      <c r="U265" s="73">
        <v>0</v>
      </c>
      <c r="V265" s="73" t="s">
        <v>276</v>
      </c>
      <c r="BF265"/>
    </row>
    <row r="266" spans="15:58" ht="14.4">
      <c r="O266" s="113" t="s">
        <v>227</v>
      </c>
      <c r="P266" s="113" t="s">
        <v>371</v>
      </c>
      <c r="Q266" s="23" t="s">
        <v>198</v>
      </c>
      <c r="R266" s="73" t="str">
        <f t="shared" si="21"/>
        <v>S-Fold Hand OperationMatt Black InkStraight</v>
      </c>
      <c r="S266" s="73" t="s">
        <v>223</v>
      </c>
      <c r="T266" s="73" t="s">
        <v>149</v>
      </c>
      <c r="U266" s="73">
        <v>0</v>
      </c>
      <c r="V266" s="73" t="s">
        <v>276</v>
      </c>
      <c r="BF266"/>
    </row>
    <row r="267" spans="15:58" ht="14.4">
      <c r="O267" s="113" t="s">
        <v>227</v>
      </c>
      <c r="P267" s="113" t="s">
        <v>238</v>
      </c>
      <c r="Q267" s="23" t="s">
        <v>817</v>
      </c>
      <c r="R267" s="73" t="str">
        <f t="shared" si="21"/>
        <v>S-Fold Hand OperationMatt SatinBent</v>
      </c>
      <c r="S267" s="73" t="s">
        <v>223</v>
      </c>
      <c r="T267" s="73" t="s">
        <v>149</v>
      </c>
      <c r="U267" s="73">
        <v>0</v>
      </c>
      <c r="V267" s="73" t="s">
        <v>276</v>
      </c>
      <c r="BF267"/>
    </row>
    <row r="268" spans="15:58" ht="14.4">
      <c r="O268" s="112" t="s">
        <v>227</v>
      </c>
      <c r="P268" s="112" t="s">
        <v>238</v>
      </c>
      <c r="Q268" s="112" t="s">
        <v>198</v>
      </c>
      <c r="R268" s="73" t="str">
        <f t="shared" si="21"/>
        <v>S-Fold Hand OperationMatt SatinStraight</v>
      </c>
      <c r="S268" s="73" t="s">
        <v>223</v>
      </c>
      <c r="T268" s="73" t="s">
        <v>149</v>
      </c>
      <c r="U268" s="73">
        <v>0</v>
      </c>
      <c r="V268" s="73" t="s">
        <v>276</v>
      </c>
      <c r="BF268"/>
    </row>
    <row r="269" spans="15:58" ht="14.4">
      <c r="O269" s="112" t="s">
        <v>227</v>
      </c>
      <c r="P269" s="112" t="s">
        <v>219</v>
      </c>
      <c r="Q269" s="112" t="s">
        <v>817</v>
      </c>
      <c r="R269" s="73" t="str">
        <f t="shared" si="21"/>
        <v>S-Fold Hand OperationWhiteBent</v>
      </c>
      <c r="S269" s="73" t="s">
        <v>223</v>
      </c>
      <c r="T269" s="73" t="s">
        <v>149</v>
      </c>
      <c r="U269" s="73">
        <v>0</v>
      </c>
      <c r="V269" s="73" t="s">
        <v>276</v>
      </c>
      <c r="BF269"/>
    </row>
    <row r="270" spans="15:58" ht="14.4">
      <c r="O270" s="112" t="s">
        <v>227</v>
      </c>
      <c r="P270" s="112" t="s">
        <v>219</v>
      </c>
      <c r="Q270" s="112" t="s">
        <v>198</v>
      </c>
      <c r="R270" s="73" t="str">
        <f t="shared" si="21"/>
        <v>S-Fold Hand OperationWhiteStraight</v>
      </c>
      <c r="S270" s="73" t="s">
        <v>223</v>
      </c>
      <c r="T270" s="73" t="s">
        <v>149</v>
      </c>
      <c r="U270" s="73">
        <v>0</v>
      </c>
      <c r="V270" s="73" t="s">
        <v>276</v>
      </c>
      <c r="BF270"/>
    </row>
    <row r="271" spans="15:58" ht="14.4">
      <c r="O271" s="112" t="s">
        <v>254</v>
      </c>
      <c r="P271" s="112" t="s">
        <v>222</v>
      </c>
      <c r="Q271" s="112" t="s">
        <v>817</v>
      </c>
      <c r="R271" s="73" t="str">
        <f t="shared" si="21"/>
        <v>S-Fold Heavy Duty Cord OperationBlackBent</v>
      </c>
      <c r="S271" s="73" t="s">
        <v>223</v>
      </c>
      <c r="T271" s="73" t="s">
        <v>149</v>
      </c>
      <c r="U271" s="73">
        <v>0</v>
      </c>
      <c r="V271" s="73" t="s">
        <v>276</v>
      </c>
      <c r="BF271"/>
    </row>
    <row r="272" spans="15:58" ht="14.4">
      <c r="O272" s="112" t="s">
        <v>254</v>
      </c>
      <c r="P272" s="112" t="s">
        <v>222</v>
      </c>
      <c r="Q272" s="112" t="s">
        <v>198</v>
      </c>
      <c r="R272" s="73" t="str">
        <f t="shared" si="21"/>
        <v>S-Fold Heavy Duty Cord OperationBlackStraight</v>
      </c>
      <c r="S272" s="73" t="s">
        <v>223</v>
      </c>
      <c r="T272" s="73" t="s">
        <v>149</v>
      </c>
      <c r="U272" s="73">
        <v>0</v>
      </c>
      <c r="V272" s="73" t="s">
        <v>276</v>
      </c>
      <c r="BF272"/>
    </row>
    <row r="273" spans="15:58" ht="14.4">
      <c r="O273" s="113" t="s">
        <v>254</v>
      </c>
      <c r="P273" s="113" t="s">
        <v>238</v>
      </c>
      <c r="Q273" s="23" t="s">
        <v>817</v>
      </c>
      <c r="R273" s="73" t="str">
        <f t="shared" si="21"/>
        <v>S-Fold Heavy Duty Cord OperationMatt SatinBent</v>
      </c>
      <c r="S273" s="73" t="s">
        <v>223</v>
      </c>
      <c r="T273" s="73" t="s">
        <v>149</v>
      </c>
      <c r="U273" s="73">
        <v>0</v>
      </c>
      <c r="V273" s="73" t="s">
        <v>276</v>
      </c>
      <c r="BF273"/>
    </row>
    <row r="274" spans="15:58" ht="14.4">
      <c r="O274" s="113" t="s">
        <v>254</v>
      </c>
      <c r="P274" s="113" t="s">
        <v>238</v>
      </c>
      <c r="Q274" s="23" t="s">
        <v>198</v>
      </c>
      <c r="R274" s="73" t="str">
        <f t="shared" si="21"/>
        <v>S-Fold Heavy Duty Cord OperationMatt SatinStraight</v>
      </c>
      <c r="S274" s="73" t="s">
        <v>223</v>
      </c>
      <c r="T274" s="73" t="s">
        <v>149</v>
      </c>
      <c r="U274" s="73">
        <v>0</v>
      </c>
      <c r="V274" s="73" t="s">
        <v>276</v>
      </c>
      <c r="BF274"/>
    </row>
    <row r="275" spans="15:58" ht="14.4">
      <c r="O275" s="113" t="s">
        <v>254</v>
      </c>
      <c r="P275" s="113" t="s">
        <v>219</v>
      </c>
      <c r="Q275" s="23" t="s">
        <v>817</v>
      </c>
      <c r="R275" s="73" t="str">
        <f t="shared" si="21"/>
        <v>S-Fold Heavy Duty Cord OperationWhiteBent</v>
      </c>
      <c r="S275" s="73" t="s">
        <v>223</v>
      </c>
      <c r="T275" s="73" t="s">
        <v>149</v>
      </c>
      <c r="U275" s="73">
        <v>0</v>
      </c>
      <c r="V275" s="73" t="s">
        <v>276</v>
      </c>
      <c r="BF275"/>
    </row>
    <row r="276" spans="15:58" ht="14.4">
      <c r="O276" s="113" t="s">
        <v>254</v>
      </c>
      <c r="P276" s="113" t="s">
        <v>219</v>
      </c>
      <c r="Q276" s="23" t="s">
        <v>198</v>
      </c>
      <c r="R276" s="73" t="str">
        <f t="shared" si="21"/>
        <v>S-Fold Heavy Duty Cord OperationWhiteStraight</v>
      </c>
      <c r="S276" s="73" t="s">
        <v>223</v>
      </c>
      <c r="T276" s="73" t="s">
        <v>149</v>
      </c>
      <c r="U276" s="73">
        <v>0</v>
      </c>
      <c r="V276" s="73" t="s">
        <v>276</v>
      </c>
      <c r="BF276"/>
    </row>
    <row r="277" spans="15:58" ht="14.4">
      <c r="O277" s="113" t="s">
        <v>253</v>
      </c>
      <c r="P277" s="113" t="s">
        <v>222</v>
      </c>
      <c r="Q277" s="23" t="s">
        <v>817</v>
      </c>
      <c r="R277" s="73" t="str">
        <f t="shared" si="21"/>
        <v>S-Fold Heavy Duty Hand OperationBlackBent</v>
      </c>
      <c r="S277" s="73" t="s">
        <v>223</v>
      </c>
      <c r="T277" s="73" t="s">
        <v>149</v>
      </c>
      <c r="U277" s="73">
        <v>0</v>
      </c>
      <c r="V277" s="73" t="s">
        <v>276</v>
      </c>
      <c r="BF277"/>
    </row>
    <row r="278" spans="15:58" ht="14.4">
      <c r="O278" s="113" t="s">
        <v>253</v>
      </c>
      <c r="P278" s="113" t="s">
        <v>222</v>
      </c>
      <c r="Q278" s="23" t="s">
        <v>198</v>
      </c>
      <c r="R278" s="73" t="str">
        <f t="shared" si="21"/>
        <v>S-Fold Heavy Duty Hand OperationBlackStraight</v>
      </c>
      <c r="S278" s="73" t="s">
        <v>223</v>
      </c>
      <c r="T278" s="73" t="s">
        <v>149</v>
      </c>
      <c r="U278" s="73">
        <v>0</v>
      </c>
      <c r="V278" s="73" t="s">
        <v>276</v>
      </c>
      <c r="BF278"/>
    </row>
    <row r="279" spans="15:58" ht="14.4">
      <c r="O279" s="113" t="s">
        <v>253</v>
      </c>
      <c r="P279" s="113" t="s">
        <v>238</v>
      </c>
      <c r="Q279" s="23" t="s">
        <v>817</v>
      </c>
      <c r="R279" s="73" t="str">
        <f t="shared" si="21"/>
        <v>S-Fold Heavy Duty Hand OperationMatt SatinBent</v>
      </c>
      <c r="S279" s="73" t="s">
        <v>223</v>
      </c>
      <c r="T279" s="73" t="s">
        <v>149</v>
      </c>
      <c r="U279" s="73">
        <v>0</v>
      </c>
      <c r="V279" s="73" t="s">
        <v>276</v>
      </c>
      <c r="BF279"/>
    </row>
    <row r="280" spans="15:58" ht="14.4">
      <c r="O280" s="113" t="s">
        <v>253</v>
      </c>
      <c r="P280" s="113" t="s">
        <v>238</v>
      </c>
      <c r="Q280" s="23" t="s">
        <v>198</v>
      </c>
      <c r="R280" s="73" t="str">
        <f t="shared" si="21"/>
        <v>S-Fold Heavy Duty Hand OperationMatt SatinStraight</v>
      </c>
      <c r="S280" s="73" t="s">
        <v>223</v>
      </c>
      <c r="T280" s="73" t="s">
        <v>149</v>
      </c>
      <c r="U280" s="73">
        <v>0</v>
      </c>
      <c r="V280" s="73" t="s">
        <v>276</v>
      </c>
      <c r="BF280"/>
    </row>
    <row r="281" spans="15:58" ht="14.4">
      <c r="O281" s="113" t="s">
        <v>253</v>
      </c>
      <c r="P281" s="113" t="s">
        <v>219</v>
      </c>
      <c r="Q281" s="23" t="s">
        <v>817</v>
      </c>
      <c r="R281" s="73" t="str">
        <f t="shared" si="21"/>
        <v>S-Fold Heavy Duty Hand OperationWhiteBent</v>
      </c>
      <c r="S281" s="73" t="s">
        <v>223</v>
      </c>
      <c r="T281" s="73" t="s">
        <v>149</v>
      </c>
      <c r="U281" s="73">
        <v>0</v>
      </c>
      <c r="V281" s="73" t="s">
        <v>276</v>
      </c>
      <c r="BF281"/>
    </row>
    <row r="282" spans="15:58" ht="14.4">
      <c r="O282" s="113" t="s">
        <v>253</v>
      </c>
      <c r="P282" s="113" t="s">
        <v>219</v>
      </c>
      <c r="Q282" s="23" t="s">
        <v>198</v>
      </c>
      <c r="R282" s="73" t="str">
        <f t="shared" si="21"/>
        <v>S-Fold Heavy Duty Hand OperationWhiteStraight</v>
      </c>
      <c r="S282" s="73" t="s">
        <v>223</v>
      </c>
      <c r="T282" s="73" t="s">
        <v>149</v>
      </c>
      <c r="U282" s="73">
        <v>0</v>
      </c>
      <c r="V282" s="73" t="s">
        <v>276</v>
      </c>
      <c r="BF282"/>
    </row>
    <row r="283" spans="15:58" ht="14.4">
      <c r="O283" s="113" t="s">
        <v>735</v>
      </c>
      <c r="P283" s="113" t="s">
        <v>219</v>
      </c>
      <c r="Q283" s="23" t="s">
        <v>817</v>
      </c>
      <c r="R283" s="73" t="str">
        <f t="shared" si="21"/>
        <v>S-Fold Motorised Acmeda 12v Remote Curtain TrackWhiteBent</v>
      </c>
      <c r="S283" s="73" t="s">
        <v>223</v>
      </c>
      <c r="T283" s="73" t="s">
        <v>149</v>
      </c>
      <c r="U283" s="73">
        <v>0</v>
      </c>
      <c r="V283" s="73" t="s">
        <v>276</v>
      </c>
      <c r="BF283"/>
    </row>
    <row r="284" spans="15:58" ht="14.4">
      <c r="O284" s="113" t="s">
        <v>735</v>
      </c>
      <c r="P284" s="113" t="s">
        <v>219</v>
      </c>
      <c r="Q284" s="23" t="s">
        <v>198</v>
      </c>
      <c r="R284" s="73" t="str">
        <f t="shared" si="21"/>
        <v>S-Fold Motorised Acmeda 12v Remote Curtain TrackWhiteStraight</v>
      </c>
      <c r="S284" s="73" t="s">
        <v>223</v>
      </c>
      <c r="T284" s="73" t="s">
        <v>149</v>
      </c>
      <c r="U284" s="73">
        <v>0</v>
      </c>
      <c r="V284" s="73" t="s">
        <v>276</v>
      </c>
      <c r="BF284"/>
    </row>
    <row r="285" spans="15:58" ht="14.4">
      <c r="O285" s="113" t="s">
        <v>736</v>
      </c>
      <c r="P285" s="113" t="s">
        <v>219</v>
      </c>
      <c r="Q285" s="23" t="s">
        <v>817</v>
      </c>
      <c r="R285" s="73" t="str">
        <f t="shared" si="21"/>
        <v>S-Fold Motorised Acmeda 240v Remote Curtain TrackWhiteBent</v>
      </c>
      <c r="S285" s="73" t="s">
        <v>223</v>
      </c>
      <c r="T285" s="73" t="s">
        <v>149</v>
      </c>
      <c r="U285" s="73">
        <v>0</v>
      </c>
      <c r="V285" s="73" t="s">
        <v>276</v>
      </c>
      <c r="BF285"/>
    </row>
    <row r="286" spans="15:58" ht="14.4">
      <c r="O286" s="113" t="s">
        <v>736</v>
      </c>
      <c r="P286" s="113" t="s">
        <v>219</v>
      </c>
      <c r="Q286" s="23" t="s">
        <v>198</v>
      </c>
      <c r="R286" s="73" t="str">
        <f t="shared" si="21"/>
        <v>S-Fold Motorised Acmeda 240v Remote Curtain TrackWhiteStraight</v>
      </c>
      <c r="S286" s="73" t="s">
        <v>223</v>
      </c>
      <c r="T286" s="73" t="s">
        <v>149</v>
      </c>
      <c r="U286" s="73">
        <v>0</v>
      </c>
      <c r="V286" s="73" t="s">
        <v>276</v>
      </c>
      <c r="BF286"/>
    </row>
    <row r="287" spans="15:58" ht="14.4">
      <c r="O287" s="113" t="s">
        <v>745</v>
      </c>
      <c r="P287" s="113" t="s">
        <v>222</v>
      </c>
      <c r="Q287" s="23" t="s">
        <v>817</v>
      </c>
      <c r="R287" s="73" t="str">
        <f t="shared" si="21"/>
        <v>S-Fold Motorised Saber 12v Remote TrackBlackBent</v>
      </c>
      <c r="S287" s="73" t="s">
        <v>223</v>
      </c>
      <c r="T287" s="73" t="s">
        <v>149</v>
      </c>
      <c r="U287" s="73">
        <v>0</v>
      </c>
      <c r="V287" s="73" t="s">
        <v>276</v>
      </c>
      <c r="BF287"/>
    </row>
    <row r="288" spans="15:58" ht="14.4">
      <c r="O288" s="113" t="s">
        <v>745</v>
      </c>
      <c r="P288" s="113" t="s">
        <v>222</v>
      </c>
      <c r="Q288" s="23" t="s">
        <v>198</v>
      </c>
      <c r="R288" s="73" t="str">
        <f t="shared" si="21"/>
        <v>S-Fold Motorised Saber 12v Remote TrackBlackStraight</v>
      </c>
      <c r="S288" s="73" t="s">
        <v>223</v>
      </c>
      <c r="T288" s="73" t="s">
        <v>149</v>
      </c>
      <c r="U288" s="73">
        <v>0</v>
      </c>
      <c r="V288" s="73" t="s">
        <v>276</v>
      </c>
      <c r="BF288"/>
    </row>
    <row r="289" spans="15:58" ht="14.4">
      <c r="O289" s="113" t="s">
        <v>745</v>
      </c>
      <c r="P289" s="113" t="s">
        <v>219</v>
      </c>
      <c r="Q289" s="23" t="s">
        <v>817</v>
      </c>
      <c r="R289" s="73" t="str">
        <f t="shared" si="21"/>
        <v>S-Fold Motorised Saber 12v Remote TrackWhiteBent</v>
      </c>
      <c r="S289" s="73" t="s">
        <v>223</v>
      </c>
      <c r="T289" s="73" t="s">
        <v>149</v>
      </c>
      <c r="U289" s="73">
        <v>0</v>
      </c>
      <c r="V289" s="73" t="s">
        <v>276</v>
      </c>
      <c r="BF289"/>
    </row>
    <row r="290" spans="15:58" ht="14.4">
      <c r="O290" s="113" t="s">
        <v>745</v>
      </c>
      <c r="P290" s="113" t="s">
        <v>219</v>
      </c>
      <c r="Q290" s="23" t="s">
        <v>198</v>
      </c>
      <c r="R290" s="73" t="str">
        <f t="shared" si="21"/>
        <v>S-Fold Motorised Saber 12v Remote TrackWhiteStraight</v>
      </c>
      <c r="S290" s="73" t="s">
        <v>223</v>
      </c>
      <c r="T290" s="73" t="s">
        <v>149</v>
      </c>
      <c r="U290" s="73">
        <v>0</v>
      </c>
      <c r="V290" s="73" t="s">
        <v>276</v>
      </c>
      <c r="BF290"/>
    </row>
    <row r="291" spans="15:58" ht="14.4">
      <c r="O291" s="113" t="s">
        <v>743</v>
      </c>
      <c r="P291" s="113" t="s">
        <v>222</v>
      </c>
      <c r="Q291" s="23" t="s">
        <v>817</v>
      </c>
      <c r="R291" s="73" t="str">
        <f t="shared" si="21"/>
        <v>S-Fold Motorised Saber 240v Remote TrackBlackBent</v>
      </c>
      <c r="S291" s="73" t="s">
        <v>223</v>
      </c>
      <c r="T291" s="73" t="s">
        <v>149</v>
      </c>
      <c r="U291" s="73">
        <v>0</v>
      </c>
      <c r="V291" s="73" t="s">
        <v>276</v>
      </c>
      <c r="BF291"/>
    </row>
    <row r="292" spans="15:58" ht="14.4">
      <c r="O292" s="113" t="s">
        <v>743</v>
      </c>
      <c r="P292" s="113" t="s">
        <v>222</v>
      </c>
      <c r="Q292" s="23" t="s">
        <v>198</v>
      </c>
      <c r="R292" s="73" t="str">
        <f t="shared" si="21"/>
        <v>S-Fold Motorised Saber 240v Remote TrackBlackStraight</v>
      </c>
      <c r="S292" s="73" t="s">
        <v>223</v>
      </c>
      <c r="T292" s="73" t="s">
        <v>149</v>
      </c>
      <c r="U292" s="73">
        <v>0</v>
      </c>
      <c r="V292" s="73" t="s">
        <v>276</v>
      </c>
      <c r="BF292"/>
    </row>
    <row r="293" spans="15:58" ht="14.4">
      <c r="O293" s="113" t="s">
        <v>743</v>
      </c>
      <c r="P293" s="113" t="s">
        <v>219</v>
      </c>
      <c r="Q293" s="23" t="s">
        <v>817</v>
      </c>
      <c r="R293" s="73" t="str">
        <f t="shared" si="21"/>
        <v>S-Fold Motorised Saber 240v Remote TrackWhiteBent</v>
      </c>
      <c r="S293" s="73" t="s">
        <v>223</v>
      </c>
      <c r="T293" s="73" t="s">
        <v>149</v>
      </c>
      <c r="U293" s="73">
        <v>0</v>
      </c>
      <c r="V293" s="73" t="s">
        <v>276</v>
      </c>
      <c r="BF293"/>
    </row>
    <row r="294" spans="15:58" ht="14.4">
      <c r="O294" s="113" t="s">
        <v>743</v>
      </c>
      <c r="P294" s="113" t="s">
        <v>219</v>
      </c>
      <c r="Q294" s="23" t="s">
        <v>198</v>
      </c>
      <c r="R294" s="73" t="str">
        <f t="shared" si="21"/>
        <v>S-Fold Motorised Saber 240v Remote TrackWhiteStraight</v>
      </c>
      <c r="S294" s="73" t="s">
        <v>223</v>
      </c>
      <c r="T294" s="73" t="s">
        <v>149</v>
      </c>
      <c r="U294" s="73">
        <v>0</v>
      </c>
      <c r="V294" s="73" t="s">
        <v>276</v>
      </c>
      <c r="BF294"/>
    </row>
    <row r="295" spans="15:58" ht="14.4">
      <c r="O295" s="113" t="s">
        <v>744</v>
      </c>
      <c r="P295" s="113" t="s">
        <v>222</v>
      </c>
      <c r="Q295" s="23" t="s">
        <v>817</v>
      </c>
      <c r="R295" s="73" t="str">
        <f t="shared" si="21"/>
        <v>S-Fold Motorised Saber 240v Switch TrackBlackBent</v>
      </c>
      <c r="S295" s="73" t="s">
        <v>223</v>
      </c>
      <c r="T295" s="73" t="s">
        <v>149</v>
      </c>
      <c r="U295" s="73">
        <v>0</v>
      </c>
      <c r="V295" s="73" t="s">
        <v>276</v>
      </c>
      <c r="BF295"/>
    </row>
    <row r="296" spans="15:58" ht="14.4">
      <c r="O296" s="113" t="s">
        <v>744</v>
      </c>
      <c r="P296" s="113" t="s">
        <v>222</v>
      </c>
      <c r="Q296" s="23" t="s">
        <v>198</v>
      </c>
      <c r="R296" s="73" t="str">
        <f t="shared" si="21"/>
        <v>S-Fold Motorised Saber 240v Switch TrackBlackStraight</v>
      </c>
      <c r="S296" s="73" t="s">
        <v>223</v>
      </c>
      <c r="T296" s="73" t="s">
        <v>149</v>
      </c>
      <c r="U296" s="73">
        <v>0</v>
      </c>
      <c r="V296" s="73" t="s">
        <v>276</v>
      </c>
      <c r="BF296"/>
    </row>
    <row r="297" spans="15:58" ht="14.4">
      <c r="O297" s="113" t="s">
        <v>744</v>
      </c>
      <c r="P297" s="113" t="s">
        <v>219</v>
      </c>
      <c r="Q297" s="23" t="s">
        <v>817</v>
      </c>
      <c r="R297" s="73" t="str">
        <f t="shared" si="21"/>
        <v>S-Fold Motorised Saber 240v Switch TrackWhiteBent</v>
      </c>
      <c r="S297" s="73" t="s">
        <v>223</v>
      </c>
      <c r="T297" s="73" t="s">
        <v>149</v>
      </c>
      <c r="U297" s="73">
        <v>0</v>
      </c>
      <c r="V297" s="73" t="s">
        <v>276</v>
      </c>
      <c r="BF297"/>
    </row>
    <row r="298" spans="15:58" ht="14.4">
      <c r="O298" s="113" t="s">
        <v>744</v>
      </c>
      <c r="P298" s="113" t="s">
        <v>219</v>
      </c>
      <c r="Q298" s="23" t="s">
        <v>198</v>
      </c>
      <c r="R298" s="73" t="str">
        <f t="shared" si="21"/>
        <v>S-Fold Motorised Saber 240v Switch TrackWhiteStraight</v>
      </c>
      <c r="S298" s="73" t="s">
        <v>223</v>
      </c>
      <c r="T298" s="73" t="s">
        <v>149</v>
      </c>
      <c r="U298" s="73">
        <v>0</v>
      </c>
      <c r="V298" s="73" t="s">
        <v>276</v>
      </c>
      <c r="BF298"/>
    </row>
    <row r="299" spans="15:58" ht="14.4">
      <c r="O299" s="113" t="s">
        <v>737</v>
      </c>
      <c r="P299" s="113" t="s">
        <v>219</v>
      </c>
      <c r="Q299" s="23" t="s">
        <v>817</v>
      </c>
      <c r="R299" s="73" t="str">
        <f t="shared" si="21"/>
        <v>S-Fold Motorised Somfy 12v Remote Curtain TrackWhiteBent</v>
      </c>
      <c r="S299" s="73" t="s">
        <v>789</v>
      </c>
      <c r="T299" s="73" t="s">
        <v>149</v>
      </c>
      <c r="U299" s="73">
        <v>0</v>
      </c>
      <c r="V299" s="73" t="s">
        <v>276</v>
      </c>
      <c r="BF299"/>
    </row>
    <row r="300" spans="15:58" ht="14.4">
      <c r="O300" s="113" t="s">
        <v>737</v>
      </c>
      <c r="P300" s="113" t="s">
        <v>219</v>
      </c>
      <c r="Q300" s="23" t="s">
        <v>198</v>
      </c>
      <c r="R300" s="73" t="str">
        <f t="shared" si="21"/>
        <v>S-Fold Motorised Somfy 12v Remote Curtain TrackWhiteStraight</v>
      </c>
      <c r="S300" s="73" t="s">
        <v>789</v>
      </c>
      <c r="T300" s="73" t="s">
        <v>149</v>
      </c>
      <c r="U300" s="73">
        <v>0</v>
      </c>
      <c r="V300" s="73" t="s">
        <v>276</v>
      </c>
      <c r="BF300"/>
    </row>
    <row r="301" spans="15:58" ht="14.4">
      <c r="O301" s="113" t="s">
        <v>739</v>
      </c>
      <c r="P301" s="113" t="s">
        <v>219</v>
      </c>
      <c r="Q301" s="23" t="s">
        <v>817</v>
      </c>
      <c r="R301" s="73" t="str">
        <f t="shared" si="21"/>
        <v>S-Fold Motorised Somfy 240v Remote Curtain TrackWhiteBent</v>
      </c>
      <c r="S301" s="73" t="s">
        <v>789</v>
      </c>
      <c r="T301" s="73" t="s">
        <v>149</v>
      </c>
      <c r="U301" s="73">
        <v>0</v>
      </c>
      <c r="V301" s="73" t="s">
        <v>276</v>
      </c>
      <c r="BF301"/>
    </row>
    <row r="302" spans="15:58" ht="14.4">
      <c r="O302" s="113" t="s">
        <v>739</v>
      </c>
      <c r="P302" s="113" t="s">
        <v>219</v>
      </c>
      <c r="Q302" s="23" t="s">
        <v>198</v>
      </c>
      <c r="R302" s="73" t="str">
        <f t="shared" si="21"/>
        <v>S-Fold Motorised Somfy 240v Remote Curtain TrackWhiteStraight</v>
      </c>
      <c r="S302" s="73" t="s">
        <v>789</v>
      </c>
      <c r="T302" s="73" t="s">
        <v>149</v>
      </c>
      <c r="U302" s="73">
        <v>0</v>
      </c>
      <c r="V302" s="73" t="s">
        <v>276</v>
      </c>
      <c r="BF302"/>
    </row>
    <row r="303" spans="15:58" ht="14.4">
      <c r="O303" s="113" t="s">
        <v>738</v>
      </c>
      <c r="P303" s="113" t="s">
        <v>219</v>
      </c>
      <c r="Q303" s="23" t="s">
        <v>817</v>
      </c>
      <c r="R303" s="73" t="str">
        <f t="shared" si="21"/>
        <v>S-Fold Motorised Somfy 240v Switch Curtain TrackWhiteBent</v>
      </c>
      <c r="S303" s="73" t="s">
        <v>789</v>
      </c>
      <c r="T303" s="73" t="s">
        <v>149</v>
      </c>
      <c r="U303" s="73">
        <v>0</v>
      </c>
      <c r="V303" s="73" t="s">
        <v>276</v>
      </c>
      <c r="BF303"/>
    </row>
    <row r="304" spans="15:58" ht="14.4">
      <c r="O304" s="113" t="s">
        <v>738</v>
      </c>
      <c r="P304" s="113" t="s">
        <v>219</v>
      </c>
      <c r="Q304" s="23" t="s">
        <v>198</v>
      </c>
      <c r="R304" s="73" t="str">
        <f t="shared" si="21"/>
        <v>S-Fold Motorised Somfy 240v Switch Curtain TrackWhiteStraight</v>
      </c>
      <c r="S304" s="73" t="s">
        <v>789</v>
      </c>
      <c r="T304" s="73" t="s">
        <v>149</v>
      </c>
      <c r="U304" s="73">
        <v>0</v>
      </c>
      <c r="V304" s="73" t="s">
        <v>276</v>
      </c>
      <c r="BF304"/>
    </row>
    <row r="305" spans="15:58" ht="14.4">
      <c r="O305" s="113" t="s">
        <v>161</v>
      </c>
      <c r="P305" s="113" t="s">
        <v>221</v>
      </c>
      <c r="Q305" s="23" t="s">
        <v>817</v>
      </c>
      <c r="R305" s="73" t="str">
        <f t="shared" si="21"/>
        <v>Streamline Cord OperationBirch WhiteBent</v>
      </c>
      <c r="S305" s="73" t="s">
        <v>220</v>
      </c>
      <c r="T305" s="73" t="s">
        <v>276</v>
      </c>
      <c r="U305" s="73">
        <v>200</v>
      </c>
      <c r="V305" s="73" t="s">
        <v>149</v>
      </c>
      <c r="BF305"/>
    </row>
    <row r="306" spans="15:58" ht="14.4">
      <c r="O306" s="113" t="s">
        <v>161</v>
      </c>
      <c r="P306" s="113" t="s">
        <v>221</v>
      </c>
      <c r="Q306" s="23" t="s">
        <v>198</v>
      </c>
      <c r="R306" s="73" t="str">
        <f t="shared" si="21"/>
        <v>Streamline Cord OperationBirch WhiteStraight</v>
      </c>
      <c r="S306" s="73" t="s">
        <v>220</v>
      </c>
      <c r="T306" s="73" t="s">
        <v>276</v>
      </c>
      <c r="U306" s="73">
        <v>200</v>
      </c>
      <c r="V306" s="73" t="s">
        <v>149</v>
      </c>
      <c r="BF306"/>
    </row>
    <row r="307" spans="15:58" ht="14.4">
      <c r="O307" s="113" t="s">
        <v>161</v>
      </c>
      <c r="P307" s="113" t="s">
        <v>222</v>
      </c>
      <c r="Q307" s="23" t="s">
        <v>817</v>
      </c>
      <c r="R307" s="73" t="str">
        <f t="shared" si="21"/>
        <v>Streamline Cord OperationBlackBent</v>
      </c>
      <c r="S307" s="73" t="s">
        <v>220</v>
      </c>
      <c r="T307" s="73" t="s">
        <v>276</v>
      </c>
      <c r="U307" s="73">
        <v>200</v>
      </c>
      <c r="V307" s="73" t="s">
        <v>149</v>
      </c>
      <c r="BF307"/>
    </row>
    <row r="308" spans="15:58" ht="14.4">
      <c r="O308" s="113" t="s">
        <v>161</v>
      </c>
      <c r="P308" s="113" t="s">
        <v>222</v>
      </c>
      <c r="Q308" s="23" t="s">
        <v>198</v>
      </c>
      <c r="R308" s="73" t="str">
        <f t="shared" si="21"/>
        <v>Streamline Cord OperationBlackStraight</v>
      </c>
      <c r="S308" s="73" t="s">
        <v>220</v>
      </c>
      <c r="T308" s="73" t="s">
        <v>276</v>
      </c>
      <c r="U308" s="73">
        <v>200</v>
      </c>
      <c r="V308" s="73" t="s">
        <v>149</v>
      </c>
      <c r="BF308"/>
    </row>
    <row r="309" spans="15:58" ht="14.4">
      <c r="O309" s="113" t="s">
        <v>161</v>
      </c>
      <c r="P309" s="113" t="s">
        <v>371</v>
      </c>
      <c r="Q309" s="23" t="s">
        <v>817</v>
      </c>
      <c r="R309" s="73" t="str">
        <f t="shared" si="21"/>
        <v>Streamline Cord OperationMatt Black InkBent</v>
      </c>
      <c r="S309" s="73" t="s">
        <v>220</v>
      </c>
      <c r="T309" s="73" t="s">
        <v>276</v>
      </c>
      <c r="U309" s="73">
        <v>200</v>
      </c>
      <c r="V309" s="73" t="s">
        <v>149</v>
      </c>
      <c r="BF309"/>
    </row>
    <row r="310" spans="15:58" ht="14.4">
      <c r="O310" s="113" t="s">
        <v>161</v>
      </c>
      <c r="P310" s="113" t="s">
        <v>371</v>
      </c>
      <c r="Q310" s="23" t="s">
        <v>198</v>
      </c>
      <c r="R310" s="73" t="str">
        <f t="shared" si="21"/>
        <v>Streamline Cord OperationMatt Black InkStraight</v>
      </c>
      <c r="S310" s="73" t="s">
        <v>220</v>
      </c>
      <c r="T310" s="73" t="s">
        <v>276</v>
      </c>
      <c r="U310" s="73">
        <v>200</v>
      </c>
      <c r="V310" s="73" t="s">
        <v>149</v>
      </c>
      <c r="BF310"/>
    </row>
    <row r="311" spans="15:58" ht="14.4">
      <c r="O311" s="113" t="s">
        <v>161</v>
      </c>
      <c r="P311" s="113" t="s">
        <v>238</v>
      </c>
      <c r="Q311" s="23" t="s">
        <v>817</v>
      </c>
      <c r="R311" s="73" t="str">
        <f t="shared" si="21"/>
        <v>Streamline Cord OperationMatt SatinBent</v>
      </c>
      <c r="S311" s="73" t="s">
        <v>220</v>
      </c>
      <c r="T311" s="73" t="s">
        <v>276</v>
      </c>
      <c r="U311" s="73">
        <v>200</v>
      </c>
      <c r="V311" s="73" t="s">
        <v>149</v>
      </c>
      <c r="BF311"/>
    </row>
    <row r="312" spans="15:58" ht="14.4">
      <c r="O312" s="113" t="s">
        <v>161</v>
      </c>
      <c r="P312" s="113" t="s">
        <v>238</v>
      </c>
      <c r="Q312" s="23" t="s">
        <v>198</v>
      </c>
      <c r="R312" s="73" t="str">
        <f t="shared" si="21"/>
        <v>Streamline Cord OperationMatt SatinStraight</v>
      </c>
      <c r="S312" s="73" t="s">
        <v>220</v>
      </c>
      <c r="T312" s="73" t="s">
        <v>276</v>
      </c>
      <c r="U312" s="73">
        <v>200</v>
      </c>
      <c r="V312" s="73" t="s">
        <v>149</v>
      </c>
      <c r="BF312"/>
    </row>
    <row r="313" spans="15:58" ht="14.4">
      <c r="O313" s="113" t="s">
        <v>161</v>
      </c>
      <c r="P313" s="113" t="s">
        <v>219</v>
      </c>
      <c r="Q313" s="23" t="s">
        <v>817</v>
      </c>
      <c r="R313" s="73" t="str">
        <f t="shared" si="21"/>
        <v>Streamline Cord OperationWhiteBent</v>
      </c>
      <c r="S313" s="73" t="s">
        <v>220</v>
      </c>
      <c r="T313" s="73" t="s">
        <v>276</v>
      </c>
      <c r="U313" s="73">
        <v>200</v>
      </c>
      <c r="V313" s="73" t="s">
        <v>149</v>
      </c>
      <c r="BF313"/>
    </row>
    <row r="314" spans="15:58" ht="14.4">
      <c r="O314" s="113" t="s">
        <v>161</v>
      </c>
      <c r="P314" s="113" t="s">
        <v>219</v>
      </c>
      <c r="Q314" s="23" t="s">
        <v>198</v>
      </c>
      <c r="R314" s="73" t="str">
        <f t="shared" si="21"/>
        <v>Streamline Cord OperationWhiteStraight</v>
      </c>
      <c r="S314" s="73" t="s">
        <v>220</v>
      </c>
      <c r="T314" s="73" t="s">
        <v>276</v>
      </c>
      <c r="U314" s="73">
        <v>200</v>
      </c>
      <c r="V314" s="73" t="s">
        <v>149</v>
      </c>
      <c r="BF314"/>
    </row>
    <row r="315" spans="15:58" ht="14.4">
      <c r="O315" s="113" t="s">
        <v>174</v>
      </c>
      <c r="P315" s="113" t="s">
        <v>221</v>
      </c>
      <c r="Q315" s="23" t="s">
        <v>817</v>
      </c>
      <c r="R315" s="73" t="str">
        <f t="shared" si="21"/>
        <v>Streamline Hand OperationBirch WhiteBent</v>
      </c>
      <c r="S315" s="73" t="s">
        <v>220</v>
      </c>
      <c r="T315" s="73" t="s">
        <v>276</v>
      </c>
      <c r="U315" s="73">
        <v>200</v>
      </c>
      <c r="V315" s="73" t="s">
        <v>149</v>
      </c>
      <c r="BF315"/>
    </row>
    <row r="316" spans="15:58" ht="14.4">
      <c r="O316" s="113" t="s">
        <v>174</v>
      </c>
      <c r="P316" s="113" t="s">
        <v>221</v>
      </c>
      <c r="Q316" s="23" t="s">
        <v>198</v>
      </c>
      <c r="R316" s="73" t="str">
        <f t="shared" si="21"/>
        <v>Streamline Hand OperationBirch WhiteStraight</v>
      </c>
      <c r="S316" s="73" t="s">
        <v>220</v>
      </c>
      <c r="T316" s="73" t="s">
        <v>276</v>
      </c>
      <c r="U316" s="73">
        <v>200</v>
      </c>
      <c r="V316" s="73" t="s">
        <v>149</v>
      </c>
      <c r="BF316"/>
    </row>
    <row r="317" spans="15:58" ht="14.4">
      <c r="O317" s="113" t="s">
        <v>174</v>
      </c>
      <c r="P317" s="113" t="s">
        <v>222</v>
      </c>
      <c r="Q317" s="23" t="s">
        <v>817</v>
      </c>
      <c r="R317" s="73" t="str">
        <f t="shared" si="21"/>
        <v>Streamline Hand OperationBlackBent</v>
      </c>
      <c r="S317" s="73" t="s">
        <v>220</v>
      </c>
      <c r="T317" s="73" t="s">
        <v>276</v>
      </c>
      <c r="U317" s="73">
        <v>200</v>
      </c>
      <c r="V317" s="73" t="s">
        <v>149</v>
      </c>
      <c r="BF317"/>
    </row>
    <row r="318" spans="15:58" ht="14.4">
      <c r="O318" s="113" t="s">
        <v>174</v>
      </c>
      <c r="P318" s="113" t="s">
        <v>222</v>
      </c>
      <c r="Q318" s="23" t="s">
        <v>198</v>
      </c>
      <c r="R318" s="73" t="str">
        <f t="shared" si="21"/>
        <v>Streamline Hand OperationBlackStraight</v>
      </c>
      <c r="S318" s="73" t="s">
        <v>220</v>
      </c>
      <c r="T318" s="73" t="s">
        <v>276</v>
      </c>
      <c r="U318" s="73">
        <v>200</v>
      </c>
      <c r="V318" s="73" t="s">
        <v>149</v>
      </c>
      <c r="BF318"/>
    </row>
    <row r="319" spans="15:58" ht="14.4">
      <c r="O319" s="113" t="s">
        <v>174</v>
      </c>
      <c r="P319" s="113" t="s">
        <v>371</v>
      </c>
      <c r="Q319" s="23" t="s">
        <v>817</v>
      </c>
      <c r="R319" s="73" t="str">
        <f t="shared" si="21"/>
        <v>Streamline Hand OperationMatt Black InkBent</v>
      </c>
      <c r="S319" s="73" t="s">
        <v>220</v>
      </c>
      <c r="T319" s="73" t="s">
        <v>276</v>
      </c>
      <c r="U319" s="73">
        <v>200</v>
      </c>
      <c r="V319" s="73" t="s">
        <v>149</v>
      </c>
      <c r="BF319"/>
    </row>
    <row r="320" spans="15:58" ht="14.4">
      <c r="O320" s="113" t="s">
        <v>174</v>
      </c>
      <c r="P320" s="113" t="s">
        <v>371</v>
      </c>
      <c r="Q320" s="23" t="s">
        <v>198</v>
      </c>
      <c r="R320" s="73" t="str">
        <f t="shared" si="21"/>
        <v>Streamline Hand OperationMatt Black InkStraight</v>
      </c>
      <c r="S320" s="73" t="s">
        <v>220</v>
      </c>
      <c r="T320" s="73" t="s">
        <v>276</v>
      </c>
      <c r="U320" s="73">
        <v>200</v>
      </c>
      <c r="V320" s="73" t="s">
        <v>149</v>
      </c>
      <c r="BF320"/>
    </row>
    <row r="321" spans="15:58" ht="14.4">
      <c r="O321" s="113" t="s">
        <v>174</v>
      </c>
      <c r="P321" s="113" t="s">
        <v>238</v>
      </c>
      <c r="Q321" s="23" t="s">
        <v>817</v>
      </c>
      <c r="R321" s="73" t="str">
        <f t="shared" si="21"/>
        <v>Streamline Hand OperationMatt SatinBent</v>
      </c>
      <c r="S321" s="73" t="s">
        <v>220</v>
      </c>
      <c r="T321" s="73" t="s">
        <v>276</v>
      </c>
      <c r="U321" s="73">
        <v>200</v>
      </c>
      <c r="V321" s="73" t="s">
        <v>149</v>
      </c>
      <c r="BF321"/>
    </row>
    <row r="322" spans="15:58" ht="14.4">
      <c r="O322" s="113" t="s">
        <v>174</v>
      </c>
      <c r="P322" s="113" t="s">
        <v>238</v>
      </c>
      <c r="Q322" s="23" t="s">
        <v>198</v>
      </c>
      <c r="R322" s="73" t="str">
        <f t="shared" si="21"/>
        <v>Streamline Hand OperationMatt SatinStraight</v>
      </c>
      <c r="S322" s="73" t="s">
        <v>220</v>
      </c>
      <c r="T322" s="73" t="s">
        <v>276</v>
      </c>
      <c r="U322" s="73">
        <v>200</v>
      </c>
      <c r="V322" s="73" t="s">
        <v>149</v>
      </c>
      <c r="BF322"/>
    </row>
    <row r="323" spans="15:58" ht="14.4">
      <c r="O323" s="113" t="s">
        <v>174</v>
      </c>
      <c r="P323" s="113" t="s">
        <v>219</v>
      </c>
      <c r="Q323" s="23" t="s">
        <v>817</v>
      </c>
      <c r="R323" s="73" t="str">
        <f t="shared" si="22" ref="R323:R386">O323&amp;P323&amp;Q323</f>
        <v>Streamline Hand OperationWhiteBent</v>
      </c>
      <c r="S323" s="73" t="s">
        <v>220</v>
      </c>
      <c r="T323" s="73" t="s">
        <v>276</v>
      </c>
      <c r="U323" s="73">
        <v>200</v>
      </c>
      <c r="V323" s="73" t="s">
        <v>149</v>
      </c>
      <c r="BF323"/>
    </row>
    <row r="324" spans="15:58" ht="14.4">
      <c r="O324" s="113" t="s">
        <v>174</v>
      </c>
      <c r="P324" s="113" t="s">
        <v>219</v>
      </c>
      <c r="Q324" s="23" t="s">
        <v>198</v>
      </c>
      <c r="R324" s="73" t="str">
        <f t="shared" si="22"/>
        <v>Streamline Hand OperationWhiteStraight</v>
      </c>
      <c r="S324" s="73" t="s">
        <v>220</v>
      </c>
      <c r="T324" s="73" t="s">
        <v>276</v>
      </c>
      <c r="U324" s="73">
        <v>200</v>
      </c>
      <c r="V324" s="73" t="s">
        <v>149</v>
      </c>
      <c r="BF324"/>
    </row>
    <row r="325" spans="15:58" ht="14.4">
      <c r="O325" s="113" t="s">
        <v>241</v>
      </c>
      <c r="P325" s="113" t="s">
        <v>222</v>
      </c>
      <c r="Q325" s="23" t="s">
        <v>817</v>
      </c>
      <c r="R325" s="73" t="str">
        <f t="shared" si="22"/>
        <v>System 20 Light Commercial Track Cord DrawnBlackBent</v>
      </c>
      <c r="S325" s="73" t="s">
        <v>223</v>
      </c>
      <c r="T325" s="73" t="s">
        <v>276</v>
      </c>
      <c r="U325" s="73">
        <v>200</v>
      </c>
      <c r="V325" s="73" t="s">
        <v>149</v>
      </c>
      <c r="BF325"/>
    </row>
    <row r="326" spans="15:58" ht="14.4">
      <c r="O326" s="113" t="s">
        <v>241</v>
      </c>
      <c r="P326" s="113" t="s">
        <v>222</v>
      </c>
      <c r="Q326" s="23" t="s">
        <v>198</v>
      </c>
      <c r="R326" s="73" t="str">
        <f t="shared" si="22"/>
        <v>System 20 Light Commercial Track Cord DrawnBlackStraight</v>
      </c>
      <c r="S326" s="73" t="s">
        <v>220</v>
      </c>
      <c r="T326" s="73" t="s">
        <v>276</v>
      </c>
      <c r="U326" s="73">
        <v>200</v>
      </c>
      <c r="V326" s="73" t="s">
        <v>149</v>
      </c>
      <c r="BF326"/>
    </row>
    <row r="327" spans="15:58" ht="14.4">
      <c r="O327" s="113" t="s">
        <v>241</v>
      </c>
      <c r="P327" s="113" t="s">
        <v>371</v>
      </c>
      <c r="Q327" s="23" t="s">
        <v>817</v>
      </c>
      <c r="R327" s="73" t="str">
        <f t="shared" si="22"/>
        <v>System 20 Light Commercial Track Cord DrawnMatt Black InkBent</v>
      </c>
      <c r="S327" s="73" t="s">
        <v>223</v>
      </c>
      <c r="T327" s="73" t="s">
        <v>276</v>
      </c>
      <c r="U327" s="73">
        <v>200</v>
      </c>
      <c r="V327" s="73" t="s">
        <v>149</v>
      </c>
      <c r="BF327"/>
    </row>
    <row r="328" spans="15:58" ht="14.4">
      <c r="O328" s="113" t="s">
        <v>241</v>
      </c>
      <c r="P328" s="113" t="s">
        <v>371</v>
      </c>
      <c r="Q328" s="23" t="s">
        <v>198</v>
      </c>
      <c r="R328" s="73" t="str">
        <f t="shared" si="22"/>
        <v>System 20 Light Commercial Track Cord DrawnMatt Black InkStraight</v>
      </c>
      <c r="S328" s="73" t="s">
        <v>220</v>
      </c>
      <c r="T328" s="73" t="s">
        <v>276</v>
      </c>
      <c r="U328" s="73">
        <v>200</v>
      </c>
      <c r="V328" s="73" t="s">
        <v>149</v>
      </c>
      <c r="BF328"/>
    </row>
    <row r="329" spans="15:58" ht="14.4">
      <c r="O329" s="113" t="s">
        <v>241</v>
      </c>
      <c r="P329" s="113" t="s">
        <v>219</v>
      </c>
      <c r="Q329" s="23" t="s">
        <v>817</v>
      </c>
      <c r="R329" s="73" t="str">
        <f t="shared" si="22"/>
        <v>System 20 Light Commercial Track Cord DrawnWhiteBent</v>
      </c>
      <c r="S329" s="73" t="s">
        <v>223</v>
      </c>
      <c r="T329" s="73" t="s">
        <v>276</v>
      </c>
      <c r="U329" s="73">
        <v>200</v>
      </c>
      <c r="V329" s="73" t="s">
        <v>149</v>
      </c>
      <c r="BF329"/>
    </row>
    <row r="330" spans="15:58" ht="14.4">
      <c r="O330" s="113" t="s">
        <v>241</v>
      </c>
      <c r="P330" s="113" t="s">
        <v>219</v>
      </c>
      <c r="Q330" s="23" t="s">
        <v>198</v>
      </c>
      <c r="R330" s="73" t="str">
        <f t="shared" si="22"/>
        <v>System 20 Light Commercial Track Cord DrawnWhiteStraight</v>
      </c>
      <c r="S330" s="73" t="s">
        <v>220</v>
      </c>
      <c r="T330" s="73" t="s">
        <v>276</v>
      </c>
      <c r="U330" s="73">
        <v>200</v>
      </c>
      <c r="V330" s="73" t="s">
        <v>149</v>
      </c>
      <c r="BF330"/>
    </row>
    <row r="331" spans="15:58" ht="14.4">
      <c r="O331" s="113" t="s">
        <v>242</v>
      </c>
      <c r="P331" s="113" t="s">
        <v>222</v>
      </c>
      <c r="Q331" s="23" t="s">
        <v>817</v>
      </c>
      <c r="R331" s="73" t="str">
        <f t="shared" si="22"/>
        <v>System 20 Light Commercial Track Hand DrawnBlackBent</v>
      </c>
      <c r="S331" s="73" t="s">
        <v>223</v>
      </c>
      <c r="T331" s="73" t="s">
        <v>276</v>
      </c>
      <c r="U331" s="73">
        <v>200</v>
      </c>
      <c r="V331" s="73" t="s">
        <v>149</v>
      </c>
      <c r="BF331"/>
    </row>
    <row r="332" spans="15:58" ht="14.4">
      <c r="O332" s="113" t="s">
        <v>242</v>
      </c>
      <c r="P332" s="113" t="s">
        <v>222</v>
      </c>
      <c r="Q332" s="23" t="s">
        <v>198</v>
      </c>
      <c r="R332" s="73" t="str">
        <f t="shared" si="22"/>
        <v>System 20 Light Commercial Track Hand DrawnBlackStraight</v>
      </c>
      <c r="S332" s="73" t="s">
        <v>220</v>
      </c>
      <c r="T332" s="73" t="s">
        <v>276</v>
      </c>
      <c r="U332" s="73">
        <v>200</v>
      </c>
      <c r="V332" s="73" t="s">
        <v>149</v>
      </c>
      <c r="BF332"/>
    </row>
    <row r="333" spans="15:58" ht="14.4">
      <c r="O333" s="113" t="s">
        <v>242</v>
      </c>
      <c r="P333" s="113" t="s">
        <v>371</v>
      </c>
      <c r="Q333" s="23" t="s">
        <v>817</v>
      </c>
      <c r="R333" s="73" t="str">
        <f t="shared" si="22"/>
        <v>System 20 Light Commercial Track Hand DrawnMatt Black InkBent</v>
      </c>
      <c r="S333" s="73" t="s">
        <v>223</v>
      </c>
      <c r="T333" s="73" t="s">
        <v>276</v>
      </c>
      <c r="U333" s="73">
        <v>200</v>
      </c>
      <c r="V333" s="73" t="s">
        <v>149</v>
      </c>
      <c r="BF333"/>
    </row>
    <row r="334" spans="15:58" ht="14.4">
      <c r="O334" s="112" t="s">
        <v>242</v>
      </c>
      <c r="P334" s="112" t="s">
        <v>371</v>
      </c>
      <c r="Q334" s="112" t="s">
        <v>198</v>
      </c>
      <c r="R334" s="73" t="str">
        <f t="shared" si="22"/>
        <v>System 20 Light Commercial Track Hand DrawnMatt Black InkStraight</v>
      </c>
      <c r="S334" s="73" t="s">
        <v>220</v>
      </c>
      <c r="T334" s="73" t="s">
        <v>276</v>
      </c>
      <c r="U334" s="73">
        <v>200</v>
      </c>
      <c r="V334" s="73" t="s">
        <v>149</v>
      </c>
      <c r="BF334"/>
    </row>
    <row r="335" spans="15:58" ht="14.4">
      <c r="O335" s="112" t="s">
        <v>242</v>
      </c>
      <c r="P335" s="112" t="s">
        <v>219</v>
      </c>
      <c r="Q335" s="112" t="s">
        <v>817</v>
      </c>
      <c r="R335" s="73" t="str">
        <f t="shared" si="22"/>
        <v>System 20 Light Commercial Track Hand DrawnWhiteBent</v>
      </c>
      <c r="S335" s="73" t="s">
        <v>223</v>
      </c>
      <c r="T335" s="73" t="s">
        <v>276</v>
      </c>
      <c r="U335" s="73">
        <v>200</v>
      </c>
      <c r="V335" s="73" t="s">
        <v>149</v>
      </c>
      <c r="BF335"/>
    </row>
    <row r="336" spans="15:58" ht="14.4">
      <c r="O336" s="112" t="s">
        <v>242</v>
      </c>
      <c r="P336" s="112" t="s">
        <v>219</v>
      </c>
      <c r="Q336" s="112" t="s">
        <v>198</v>
      </c>
      <c r="R336" s="73" t="str">
        <f t="shared" si="22"/>
        <v>System 20 Light Commercial Track Hand DrawnWhiteStraight</v>
      </c>
      <c r="S336" s="73" t="s">
        <v>220</v>
      </c>
      <c r="T336" s="73" t="s">
        <v>276</v>
      </c>
      <c r="U336" s="73">
        <v>200</v>
      </c>
      <c r="V336" s="73" t="s">
        <v>149</v>
      </c>
      <c r="BF336"/>
    </row>
    <row r="337" spans="15:58" ht="14.4">
      <c r="O337" s="112" t="s">
        <v>233</v>
      </c>
      <c r="P337" s="112" t="s">
        <v>222</v>
      </c>
      <c r="Q337" s="112" t="s">
        <v>817</v>
      </c>
      <c r="R337" s="73" t="str">
        <f t="shared" si="22"/>
        <v>System 30 Heavy Duty Commercial Track Cord DrawnBlackBent</v>
      </c>
      <c r="S337" s="73" t="s">
        <v>223</v>
      </c>
      <c r="T337" s="73" t="s">
        <v>276</v>
      </c>
      <c r="U337" s="73">
        <v>200</v>
      </c>
      <c r="V337" s="73" t="s">
        <v>149</v>
      </c>
      <c r="BF337"/>
    </row>
    <row r="338" spans="15:58" ht="14.4">
      <c r="O338" s="112" t="s">
        <v>233</v>
      </c>
      <c r="P338" s="112" t="s">
        <v>222</v>
      </c>
      <c r="Q338" s="112" t="s">
        <v>198</v>
      </c>
      <c r="R338" s="73" t="str">
        <f t="shared" si="22"/>
        <v>System 30 Heavy Duty Commercial Track Cord DrawnBlackStraight</v>
      </c>
      <c r="S338" s="73" t="s">
        <v>223</v>
      </c>
      <c r="T338" s="73" t="s">
        <v>276</v>
      </c>
      <c r="U338" s="73">
        <v>200</v>
      </c>
      <c r="V338" s="73" t="s">
        <v>149</v>
      </c>
      <c r="BF338"/>
    </row>
    <row r="339" spans="15:58" ht="14.4">
      <c r="O339" s="112" t="s">
        <v>233</v>
      </c>
      <c r="P339" s="112" t="s">
        <v>219</v>
      </c>
      <c r="Q339" s="112" t="s">
        <v>817</v>
      </c>
      <c r="R339" s="73" t="str">
        <f t="shared" si="22"/>
        <v>System 30 Heavy Duty Commercial Track Cord DrawnWhiteBent</v>
      </c>
      <c r="S339" s="73" t="s">
        <v>223</v>
      </c>
      <c r="T339" s="73" t="s">
        <v>276</v>
      </c>
      <c r="U339" s="73">
        <v>200</v>
      </c>
      <c r="V339" s="73" t="s">
        <v>149</v>
      </c>
      <c r="BF339"/>
    </row>
    <row r="340" spans="15:58" ht="14.4">
      <c r="O340" s="113" t="s">
        <v>233</v>
      </c>
      <c r="P340" s="113" t="s">
        <v>219</v>
      </c>
      <c r="Q340" s="23" t="s">
        <v>198</v>
      </c>
      <c r="R340" s="73" t="str">
        <f t="shared" si="22"/>
        <v>System 30 Heavy Duty Commercial Track Cord DrawnWhiteStraight</v>
      </c>
      <c r="S340" s="73" t="s">
        <v>223</v>
      </c>
      <c r="T340" s="73" t="s">
        <v>276</v>
      </c>
      <c r="U340" s="73">
        <v>200</v>
      </c>
      <c r="V340" s="73" t="s">
        <v>149</v>
      </c>
      <c r="BF340"/>
    </row>
    <row r="341" spans="15:58" ht="14.4">
      <c r="O341" s="113" t="s">
        <v>240</v>
      </c>
      <c r="P341" s="113" t="s">
        <v>222</v>
      </c>
      <c r="Q341" s="23" t="s">
        <v>817</v>
      </c>
      <c r="R341" s="73" t="str">
        <f t="shared" si="22"/>
        <v>System 30 Heavy Duty Commercial Track Hand DrawnBlackBent</v>
      </c>
      <c r="S341" s="73" t="s">
        <v>223</v>
      </c>
      <c r="T341" s="73" t="s">
        <v>276</v>
      </c>
      <c r="U341" s="73">
        <v>200</v>
      </c>
      <c r="V341" s="73" t="s">
        <v>149</v>
      </c>
      <c r="BF341"/>
    </row>
    <row r="342" spans="15:58" ht="14.4">
      <c r="O342" s="113" t="s">
        <v>240</v>
      </c>
      <c r="P342" s="113" t="s">
        <v>222</v>
      </c>
      <c r="Q342" s="23" t="s">
        <v>198</v>
      </c>
      <c r="R342" s="73" t="str">
        <f t="shared" si="22"/>
        <v>System 30 Heavy Duty Commercial Track Hand DrawnBlackStraight</v>
      </c>
      <c r="S342" s="73" t="s">
        <v>223</v>
      </c>
      <c r="T342" s="73" t="s">
        <v>276</v>
      </c>
      <c r="U342" s="73">
        <v>200</v>
      </c>
      <c r="V342" s="73" t="s">
        <v>149</v>
      </c>
      <c r="BF342"/>
    </row>
    <row r="343" spans="15:58" ht="14.4">
      <c r="O343" s="113" t="s">
        <v>240</v>
      </c>
      <c r="P343" s="113" t="s">
        <v>219</v>
      </c>
      <c r="Q343" s="23" t="s">
        <v>817</v>
      </c>
      <c r="R343" s="73" t="str">
        <f t="shared" si="22"/>
        <v>System 30 Heavy Duty Commercial Track Hand DrawnWhiteBent</v>
      </c>
      <c r="S343" s="73" t="s">
        <v>223</v>
      </c>
      <c r="T343" s="73" t="s">
        <v>276</v>
      </c>
      <c r="U343" s="73">
        <v>200</v>
      </c>
      <c r="V343" s="73" t="s">
        <v>149</v>
      </c>
      <c r="BF343"/>
    </row>
    <row r="344" spans="15:58" ht="14.4">
      <c r="O344" s="113" t="s">
        <v>240</v>
      </c>
      <c r="P344" s="113" t="s">
        <v>219</v>
      </c>
      <c r="Q344" s="23" t="s">
        <v>198</v>
      </c>
      <c r="R344" s="73" t="str">
        <f t="shared" si="22"/>
        <v>System 30 Heavy Duty Commercial Track Hand DrawnWhiteStraight</v>
      </c>
      <c r="S344" s="73" t="s">
        <v>223</v>
      </c>
      <c r="T344" s="73" t="s">
        <v>276</v>
      </c>
      <c r="U344" s="73">
        <v>200</v>
      </c>
      <c r="V344" s="73" t="s">
        <v>149</v>
      </c>
      <c r="BF344"/>
    </row>
    <row r="345" spans="15:58" ht="14.4">
      <c r="O345" s="113" t="s">
        <v>283</v>
      </c>
      <c r="P345" s="113" t="s">
        <v>222</v>
      </c>
      <c r="Q345" s="23" t="s">
        <v>817</v>
      </c>
      <c r="R345" s="73" t="str">
        <f t="shared" si="22"/>
        <v>Vanda Boldtrak 25 S-FoldBlackBent</v>
      </c>
      <c r="S345" s="73" t="s">
        <v>284</v>
      </c>
      <c r="T345" s="73" t="s">
        <v>149</v>
      </c>
      <c r="U345" s="73">
        <v>0</v>
      </c>
      <c r="V345" s="73" t="s">
        <v>276</v>
      </c>
      <c r="BF345"/>
    </row>
    <row r="346" spans="15:58" ht="14.4">
      <c r="O346" s="113" t="s">
        <v>283</v>
      </c>
      <c r="P346" s="113" t="s">
        <v>222</v>
      </c>
      <c r="Q346" s="23" t="s">
        <v>198</v>
      </c>
      <c r="R346" s="73" t="str">
        <f t="shared" si="22"/>
        <v>Vanda Boldtrak 25 S-FoldBlackStraight</v>
      </c>
      <c r="S346" s="73" t="s">
        <v>284</v>
      </c>
      <c r="T346" s="73" t="s">
        <v>149</v>
      </c>
      <c r="U346" s="73">
        <v>0</v>
      </c>
      <c r="V346" s="73" t="s">
        <v>276</v>
      </c>
      <c r="BF346"/>
    </row>
    <row r="347" spans="15:58" ht="14.4">
      <c r="O347" s="113" t="s">
        <v>283</v>
      </c>
      <c r="P347" s="113" t="s">
        <v>287</v>
      </c>
      <c r="Q347" s="23" t="s">
        <v>817</v>
      </c>
      <c r="R347" s="73" t="str">
        <f t="shared" si="22"/>
        <v>Vanda Boldtrak 25 S-FoldBronzeBent</v>
      </c>
      <c r="S347" s="73" t="s">
        <v>284</v>
      </c>
      <c r="T347" s="73" t="s">
        <v>149</v>
      </c>
      <c r="U347" s="73">
        <v>0</v>
      </c>
      <c r="V347" s="73" t="s">
        <v>276</v>
      </c>
      <c r="BF347"/>
    </row>
    <row r="348" spans="15:58" ht="14.4">
      <c r="O348" s="113" t="s">
        <v>283</v>
      </c>
      <c r="P348" s="113" t="s">
        <v>287</v>
      </c>
      <c r="Q348" s="23" t="s">
        <v>198</v>
      </c>
      <c r="R348" s="73" t="str">
        <f t="shared" si="22"/>
        <v>Vanda Boldtrak 25 S-FoldBronzeStraight</v>
      </c>
      <c r="S348" s="73" t="s">
        <v>284</v>
      </c>
      <c r="T348" s="73" t="s">
        <v>149</v>
      </c>
      <c r="U348" s="73">
        <v>0</v>
      </c>
      <c r="V348" s="73" t="s">
        <v>276</v>
      </c>
      <c r="BF348"/>
    </row>
    <row r="349" spans="15:58" ht="14.4">
      <c r="O349" s="113" t="s">
        <v>283</v>
      </c>
      <c r="P349" s="113" t="s">
        <v>286</v>
      </c>
      <c r="Q349" s="23" t="s">
        <v>817</v>
      </c>
      <c r="R349" s="73" t="str">
        <f t="shared" si="22"/>
        <v>Vanda Boldtrak 25 S-FoldClassic WhiteBent</v>
      </c>
      <c r="S349" s="73" t="s">
        <v>284</v>
      </c>
      <c r="T349" s="73" t="s">
        <v>149</v>
      </c>
      <c r="U349" s="73">
        <v>0</v>
      </c>
      <c r="V349" s="73" t="s">
        <v>276</v>
      </c>
      <c r="BF349"/>
    </row>
    <row r="350" spans="15:58" ht="14.4">
      <c r="O350" s="113" t="s">
        <v>283</v>
      </c>
      <c r="P350" s="113" t="s">
        <v>286</v>
      </c>
      <c r="Q350" s="23" t="s">
        <v>198</v>
      </c>
      <c r="R350" s="73" t="str">
        <f t="shared" si="22"/>
        <v>Vanda Boldtrak 25 S-FoldClassic WhiteStraight</v>
      </c>
      <c r="S350" s="73" t="s">
        <v>284</v>
      </c>
      <c r="T350" s="73" t="s">
        <v>149</v>
      </c>
      <c r="U350" s="73">
        <v>0</v>
      </c>
      <c r="V350" s="73" t="s">
        <v>276</v>
      </c>
      <c r="BF350"/>
    </row>
    <row r="351" spans="15:58" ht="14.4">
      <c r="O351" s="113" t="s">
        <v>283</v>
      </c>
      <c r="P351" s="113" t="s">
        <v>228</v>
      </c>
      <c r="Q351" s="23" t="s">
        <v>817</v>
      </c>
      <c r="R351" s="73" t="str">
        <f t="shared" si="22"/>
        <v>Vanda Boldtrak 25 S-FoldIvoryBent</v>
      </c>
      <c r="S351" s="73" t="s">
        <v>284</v>
      </c>
      <c r="T351" s="73" t="s">
        <v>149</v>
      </c>
      <c r="U351" s="73">
        <v>0</v>
      </c>
      <c r="V351" s="73" t="s">
        <v>276</v>
      </c>
      <c r="BF351"/>
    </row>
    <row r="352" spans="15:58" ht="14.4">
      <c r="O352" s="113" t="s">
        <v>283</v>
      </c>
      <c r="P352" s="113" t="s">
        <v>228</v>
      </c>
      <c r="Q352" s="23" t="s">
        <v>198</v>
      </c>
      <c r="R352" s="73" t="str">
        <f t="shared" si="22"/>
        <v>Vanda Boldtrak 25 S-FoldIvoryStraight</v>
      </c>
      <c r="S352" s="73" t="s">
        <v>284</v>
      </c>
      <c r="T352" s="73" t="s">
        <v>149</v>
      </c>
      <c r="U352" s="73">
        <v>0</v>
      </c>
      <c r="V352" s="73" t="s">
        <v>276</v>
      </c>
      <c r="BF352"/>
    </row>
    <row r="353" spans="15:58" ht="14.4">
      <c r="O353" s="113" t="s">
        <v>283</v>
      </c>
      <c r="P353" s="113" t="s">
        <v>288</v>
      </c>
      <c r="Q353" s="23" t="s">
        <v>817</v>
      </c>
      <c r="R353" s="73" t="str">
        <f t="shared" si="22"/>
        <v>Vanda Boldtrak 25 S-FoldPewterBent</v>
      </c>
      <c r="S353" s="73" t="s">
        <v>284</v>
      </c>
      <c r="T353" s="73" t="s">
        <v>149</v>
      </c>
      <c r="U353" s="73">
        <v>0</v>
      </c>
      <c r="V353" s="73" t="s">
        <v>276</v>
      </c>
      <c r="BF353"/>
    </row>
    <row r="354" spans="15:58" ht="14.4">
      <c r="O354" s="113" t="s">
        <v>283</v>
      </c>
      <c r="P354" s="113" t="s">
        <v>288</v>
      </c>
      <c r="Q354" s="23" t="s">
        <v>198</v>
      </c>
      <c r="R354" s="73" t="str">
        <f t="shared" si="22"/>
        <v>Vanda Boldtrak 25 S-FoldPewterStraight</v>
      </c>
      <c r="S354" s="73" t="s">
        <v>284</v>
      </c>
      <c r="T354" s="73" t="s">
        <v>149</v>
      </c>
      <c r="U354" s="73">
        <v>0</v>
      </c>
      <c r="V354" s="73" t="s">
        <v>276</v>
      </c>
      <c r="BF354"/>
    </row>
    <row r="355" spans="15:58" ht="14.4">
      <c r="O355" s="113" t="s">
        <v>283</v>
      </c>
      <c r="P355" s="113" t="s">
        <v>285</v>
      </c>
      <c r="Q355" s="23" t="s">
        <v>817</v>
      </c>
      <c r="R355" s="73" t="str">
        <f t="shared" si="22"/>
        <v>Vanda Boldtrak 25 S-FoldRiverstoneBent</v>
      </c>
      <c r="S355" s="73" t="s">
        <v>284</v>
      </c>
      <c r="T355" s="73" t="s">
        <v>149</v>
      </c>
      <c r="U355" s="73">
        <v>0</v>
      </c>
      <c r="V355" s="73" t="s">
        <v>276</v>
      </c>
      <c r="BF355"/>
    </row>
    <row r="356" spans="15:58" ht="14.4">
      <c r="O356" s="113" t="s">
        <v>283</v>
      </c>
      <c r="P356" s="113" t="s">
        <v>285</v>
      </c>
      <c r="Q356" s="23" t="s">
        <v>198</v>
      </c>
      <c r="R356" s="73" t="str">
        <f t="shared" si="22"/>
        <v>Vanda Boldtrak 25 S-FoldRiverstoneStraight</v>
      </c>
      <c r="S356" s="73" t="s">
        <v>284</v>
      </c>
      <c r="T356" s="73" t="s">
        <v>149</v>
      </c>
      <c r="U356" s="73">
        <v>0</v>
      </c>
      <c r="V356" s="73" t="s">
        <v>276</v>
      </c>
      <c r="BF356"/>
    </row>
    <row r="357" spans="15:58" ht="14.4">
      <c r="O357" s="113" t="s">
        <v>283</v>
      </c>
      <c r="P357" s="113" t="s">
        <v>289</v>
      </c>
      <c r="Q357" s="23" t="s">
        <v>817</v>
      </c>
      <c r="R357" s="73" t="str">
        <f t="shared" si="22"/>
        <v>Vanda Boldtrak 25 S-FoldSilver PearlBent</v>
      </c>
      <c r="S357" s="73" t="s">
        <v>284</v>
      </c>
      <c r="T357" s="73" t="s">
        <v>149</v>
      </c>
      <c r="U357" s="73">
        <v>0</v>
      </c>
      <c r="V357" s="73" t="s">
        <v>276</v>
      </c>
      <c r="BF357"/>
    </row>
    <row r="358" spans="15:58" ht="14.4">
      <c r="O358" s="113" t="s">
        <v>283</v>
      </c>
      <c r="P358" s="113" t="s">
        <v>289</v>
      </c>
      <c r="Q358" s="23" t="s">
        <v>198</v>
      </c>
      <c r="R358" s="73" t="str">
        <f t="shared" si="22"/>
        <v>Vanda Boldtrak 25 S-FoldSilver PearlStraight</v>
      </c>
      <c r="S358" s="73" t="s">
        <v>284</v>
      </c>
      <c r="T358" s="73" t="s">
        <v>149</v>
      </c>
      <c r="U358" s="73">
        <v>0</v>
      </c>
      <c r="V358" s="73" t="s">
        <v>276</v>
      </c>
      <c r="BF358"/>
    </row>
    <row r="359" spans="15:58" ht="14.4">
      <c r="O359" s="113" t="s">
        <v>290</v>
      </c>
      <c r="P359" s="113" t="s">
        <v>222</v>
      </c>
      <c r="Q359" s="23" t="s">
        <v>817</v>
      </c>
      <c r="R359" s="73" t="str">
        <f t="shared" si="22"/>
        <v>Vanda Boldtrak 25 WavefoldBlackBent</v>
      </c>
      <c r="S359" s="73" t="s">
        <v>284</v>
      </c>
      <c r="T359" s="73" t="s">
        <v>149</v>
      </c>
      <c r="U359" s="73">
        <v>0</v>
      </c>
      <c r="V359" s="73" t="s">
        <v>276</v>
      </c>
      <c r="BF359"/>
    </row>
    <row r="360" spans="15:58" ht="14.4">
      <c r="O360" s="113" t="s">
        <v>290</v>
      </c>
      <c r="P360" s="113" t="s">
        <v>222</v>
      </c>
      <c r="Q360" s="23" t="s">
        <v>198</v>
      </c>
      <c r="R360" s="73" t="str">
        <f t="shared" si="22"/>
        <v>Vanda Boldtrak 25 WavefoldBlackStraight</v>
      </c>
      <c r="S360" s="73" t="s">
        <v>284</v>
      </c>
      <c r="T360" s="73" t="s">
        <v>149</v>
      </c>
      <c r="U360" s="73">
        <v>0</v>
      </c>
      <c r="V360" s="73" t="s">
        <v>276</v>
      </c>
      <c r="BF360"/>
    </row>
    <row r="361" spans="15:58" ht="14.4">
      <c r="O361" s="113" t="s">
        <v>290</v>
      </c>
      <c r="P361" s="113" t="s">
        <v>287</v>
      </c>
      <c r="Q361" s="23" t="s">
        <v>817</v>
      </c>
      <c r="R361" s="73" t="str">
        <f t="shared" si="22"/>
        <v>Vanda Boldtrak 25 WavefoldBronzeBent</v>
      </c>
      <c r="S361" s="73" t="s">
        <v>284</v>
      </c>
      <c r="T361" s="73" t="s">
        <v>149</v>
      </c>
      <c r="U361" s="73">
        <v>0</v>
      </c>
      <c r="V361" s="73" t="s">
        <v>276</v>
      </c>
      <c r="BF361"/>
    </row>
    <row r="362" spans="15:58" ht="14.4">
      <c r="O362" s="113" t="s">
        <v>290</v>
      </c>
      <c r="P362" s="113" t="s">
        <v>287</v>
      </c>
      <c r="Q362" s="23" t="s">
        <v>198</v>
      </c>
      <c r="R362" s="73" t="str">
        <f t="shared" si="22"/>
        <v>Vanda Boldtrak 25 WavefoldBronzeStraight</v>
      </c>
      <c r="S362" s="73" t="s">
        <v>284</v>
      </c>
      <c r="T362" s="73" t="s">
        <v>149</v>
      </c>
      <c r="U362" s="73">
        <v>0</v>
      </c>
      <c r="V362" s="73" t="s">
        <v>276</v>
      </c>
      <c r="BF362"/>
    </row>
    <row r="363" spans="15:58" ht="14.4">
      <c r="O363" s="113" t="s">
        <v>290</v>
      </c>
      <c r="P363" s="113" t="s">
        <v>286</v>
      </c>
      <c r="Q363" s="23" t="s">
        <v>817</v>
      </c>
      <c r="R363" s="73" t="str">
        <f t="shared" si="22"/>
        <v>Vanda Boldtrak 25 WavefoldClassic WhiteBent</v>
      </c>
      <c r="S363" s="73" t="s">
        <v>284</v>
      </c>
      <c r="T363" s="73" t="s">
        <v>149</v>
      </c>
      <c r="U363" s="73">
        <v>0</v>
      </c>
      <c r="V363" s="73" t="s">
        <v>276</v>
      </c>
      <c r="BF363"/>
    </row>
    <row r="364" spans="15:58" ht="14.4">
      <c r="O364" s="113" t="s">
        <v>290</v>
      </c>
      <c r="P364" s="113" t="s">
        <v>286</v>
      </c>
      <c r="Q364" s="23" t="s">
        <v>198</v>
      </c>
      <c r="R364" s="73" t="str">
        <f t="shared" si="22"/>
        <v>Vanda Boldtrak 25 WavefoldClassic WhiteStraight</v>
      </c>
      <c r="S364" s="73" t="s">
        <v>284</v>
      </c>
      <c r="T364" s="73" t="s">
        <v>149</v>
      </c>
      <c r="U364" s="73">
        <v>0</v>
      </c>
      <c r="V364" s="73" t="s">
        <v>276</v>
      </c>
      <c r="BF364"/>
    </row>
    <row r="365" spans="15:58" ht="14.4">
      <c r="O365" s="113" t="s">
        <v>290</v>
      </c>
      <c r="P365" s="113" t="s">
        <v>228</v>
      </c>
      <c r="Q365" s="23" t="s">
        <v>817</v>
      </c>
      <c r="R365" s="73" t="str">
        <f t="shared" si="22"/>
        <v>Vanda Boldtrak 25 WavefoldIvoryBent</v>
      </c>
      <c r="S365" s="73" t="s">
        <v>284</v>
      </c>
      <c r="T365" s="73" t="s">
        <v>149</v>
      </c>
      <c r="U365" s="73">
        <v>0</v>
      </c>
      <c r="V365" s="73" t="s">
        <v>276</v>
      </c>
      <c r="BF365"/>
    </row>
    <row r="366" spans="15:58" ht="14.4">
      <c r="O366" s="113" t="s">
        <v>290</v>
      </c>
      <c r="P366" s="113" t="s">
        <v>228</v>
      </c>
      <c r="Q366" s="23" t="s">
        <v>198</v>
      </c>
      <c r="R366" s="73" t="str">
        <f t="shared" si="22"/>
        <v>Vanda Boldtrak 25 WavefoldIvoryStraight</v>
      </c>
      <c r="S366" s="73" t="s">
        <v>284</v>
      </c>
      <c r="T366" s="73" t="s">
        <v>149</v>
      </c>
      <c r="U366" s="73">
        <v>0</v>
      </c>
      <c r="V366" s="73" t="s">
        <v>276</v>
      </c>
      <c r="BF366"/>
    </row>
    <row r="367" spans="15:58" ht="14.4">
      <c r="O367" s="113" t="s">
        <v>290</v>
      </c>
      <c r="P367" s="113" t="s">
        <v>288</v>
      </c>
      <c r="Q367" s="23" t="s">
        <v>817</v>
      </c>
      <c r="R367" s="73" t="str">
        <f t="shared" si="22"/>
        <v>Vanda Boldtrak 25 WavefoldPewterBent</v>
      </c>
      <c r="S367" s="73" t="s">
        <v>284</v>
      </c>
      <c r="T367" s="73" t="s">
        <v>149</v>
      </c>
      <c r="U367" s="73">
        <v>0</v>
      </c>
      <c r="V367" s="73" t="s">
        <v>276</v>
      </c>
      <c r="BF367"/>
    </row>
    <row r="368" spans="15:58" ht="14.4">
      <c r="O368" s="113" t="s">
        <v>290</v>
      </c>
      <c r="P368" s="113" t="s">
        <v>288</v>
      </c>
      <c r="Q368" s="23" t="s">
        <v>198</v>
      </c>
      <c r="R368" s="73" t="str">
        <f t="shared" si="22"/>
        <v>Vanda Boldtrak 25 WavefoldPewterStraight</v>
      </c>
      <c r="S368" s="73" t="s">
        <v>284</v>
      </c>
      <c r="T368" s="73" t="s">
        <v>149</v>
      </c>
      <c r="U368" s="73">
        <v>0</v>
      </c>
      <c r="V368" s="73" t="s">
        <v>276</v>
      </c>
      <c r="BF368"/>
    </row>
    <row r="369" spans="15:58" ht="14.4">
      <c r="O369" s="113" t="s">
        <v>290</v>
      </c>
      <c r="P369" s="113" t="s">
        <v>285</v>
      </c>
      <c r="Q369" s="23" t="s">
        <v>817</v>
      </c>
      <c r="R369" s="73" t="str">
        <f t="shared" si="22"/>
        <v>Vanda Boldtrak 25 WavefoldRiverstoneBent</v>
      </c>
      <c r="S369" s="73" t="s">
        <v>284</v>
      </c>
      <c r="T369" s="73" t="s">
        <v>149</v>
      </c>
      <c r="U369" s="73">
        <v>0</v>
      </c>
      <c r="V369" s="73" t="s">
        <v>276</v>
      </c>
      <c r="BF369"/>
    </row>
    <row r="370" spans="15:58" ht="14.4">
      <c r="O370" s="113" t="s">
        <v>290</v>
      </c>
      <c r="P370" s="113" t="s">
        <v>285</v>
      </c>
      <c r="Q370" s="23" t="s">
        <v>198</v>
      </c>
      <c r="R370" s="73" t="str">
        <f t="shared" si="22"/>
        <v>Vanda Boldtrak 25 WavefoldRiverstoneStraight</v>
      </c>
      <c r="S370" s="73" t="s">
        <v>284</v>
      </c>
      <c r="T370" s="73" t="s">
        <v>149</v>
      </c>
      <c r="U370" s="73">
        <v>0</v>
      </c>
      <c r="V370" s="73" t="s">
        <v>276</v>
      </c>
      <c r="BF370"/>
    </row>
    <row r="371" spans="15:58" ht="14.4">
      <c r="O371" s="113" t="s">
        <v>290</v>
      </c>
      <c r="P371" s="113" t="s">
        <v>289</v>
      </c>
      <c r="Q371" s="23" t="s">
        <v>817</v>
      </c>
      <c r="R371" s="73" t="str">
        <f t="shared" si="22"/>
        <v>Vanda Boldtrak 25 WavefoldSilver PearlBent</v>
      </c>
      <c r="S371" s="73" t="s">
        <v>284</v>
      </c>
      <c r="T371" s="73" t="s">
        <v>149</v>
      </c>
      <c r="U371" s="73">
        <v>0</v>
      </c>
      <c r="V371" s="73" t="s">
        <v>276</v>
      </c>
      <c r="BF371"/>
    </row>
    <row r="372" spans="15:58" ht="14.4">
      <c r="O372" s="113" t="s">
        <v>290</v>
      </c>
      <c r="P372" s="113" t="s">
        <v>289</v>
      </c>
      <c r="Q372" s="23" t="s">
        <v>198</v>
      </c>
      <c r="R372" s="73" t="str">
        <f t="shared" si="22"/>
        <v>Vanda Boldtrak 25 WavefoldSilver PearlStraight</v>
      </c>
      <c r="S372" s="73" t="s">
        <v>284</v>
      </c>
      <c r="T372" s="73" t="s">
        <v>149</v>
      </c>
      <c r="U372" s="73">
        <v>0</v>
      </c>
      <c r="V372" s="73" t="s">
        <v>276</v>
      </c>
      <c r="BF372"/>
    </row>
    <row r="373" spans="15:58" ht="14.4">
      <c r="O373" s="113" t="s">
        <v>291</v>
      </c>
      <c r="P373" s="113" t="s">
        <v>222</v>
      </c>
      <c r="Q373" s="23" t="s">
        <v>817</v>
      </c>
      <c r="R373" s="73" t="str">
        <f t="shared" si="22"/>
        <v>Vanda Boldtrak 25 with GlidesBlackBent</v>
      </c>
      <c r="S373" s="73" t="s">
        <v>284</v>
      </c>
      <c r="T373" s="73" t="s">
        <v>149</v>
      </c>
      <c r="U373" s="73">
        <v>0</v>
      </c>
      <c r="V373" s="73" t="s">
        <v>149</v>
      </c>
      <c r="BF373"/>
    </row>
    <row r="374" spans="15:58" ht="14.4">
      <c r="O374" s="113" t="s">
        <v>291</v>
      </c>
      <c r="P374" s="113" t="s">
        <v>222</v>
      </c>
      <c r="Q374" s="23" t="s">
        <v>198</v>
      </c>
      <c r="R374" s="73" t="str">
        <f t="shared" si="22"/>
        <v>Vanda Boldtrak 25 with GlidesBlackStraight</v>
      </c>
      <c r="S374" s="73" t="s">
        <v>284</v>
      </c>
      <c r="T374" s="73" t="s">
        <v>149</v>
      </c>
      <c r="U374" s="73">
        <v>0</v>
      </c>
      <c r="V374" s="73" t="s">
        <v>149</v>
      </c>
      <c r="BF374"/>
    </row>
    <row r="375" spans="15:58" ht="14.4">
      <c r="O375" s="113" t="s">
        <v>291</v>
      </c>
      <c r="P375" s="113" t="s">
        <v>287</v>
      </c>
      <c r="Q375" s="23" t="s">
        <v>817</v>
      </c>
      <c r="R375" s="73" t="str">
        <f t="shared" si="22"/>
        <v>Vanda Boldtrak 25 with GlidesBronzeBent</v>
      </c>
      <c r="S375" s="73" t="s">
        <v>284</v>
      </c>
      <c r="T375" s="73" t="s">
        <v>149</v>
      </c>
      <c r="U375" s="73">
        <v>0</v>
      </c>
      <c r="V375" s="73" t="s">
        <v>149</v>
      </c>
      <c r="BF375"/>
    </row>
    <row r="376" spans="15:58" ht="14.4">
      <c r="O376" s="113" t="s">
        <v>291</v>
      </c>
      <c r="P376" s="113" t="s">
        <v>287</v>
      </c>
      <c r="Q376" s="23" t="s">
        <v>198</v>
      </c>
      <c r="R376" s="73" t="str">
        <f t="shared" si="22"/>
        <v>Vanda Boldtrak 25 with GlidesBronzeStraight</v>
      </c>
      <c r="S376" s="73" t="s">
        <v>284</v>
      </c>
      <c r="T376" s="73" t="s">
        <v>149</v>
      </c>
      <c r="U376" s="73">
        <v>0</v>
      </c>
      <c r="V376" s="73" t="s">
        <v>149</v>
      </c>
      <c r="BF376"/>
    </row>
    <row r="377" spans="15:58" ht="14.4">
      <c r="O377" s="113" t="s">
        <v>291</v>
      </c>
      <c r="P377" s="113" t="s">
        <v>286</v>
      </c>
      <c r="Q377" s="23" t="s">
        <v>817</v>
      </c>
      <c r="R377" s="73" t="str">
        <f t="shared" si="22"/>
        <v>Vanda Boldtrak 25 with GlidesClassic WhiteBent</v>
      </c>
      <c r="S377" s="73" t="s">
        <v>284</v>
      </c>
      <c r="T377" s="73" t="s">
        <v>149</v>
      </c>
      <c r="U377" s="73">
        <v>0</v>
      </c>
      <c r="V377" s="73" t="s">
        <v>149</v>
      </c>
      <c r="BF377"/>
    </row>
    <row r="378" spans="15:58" ht="14.4">
      <c r="O378" s="113" t="s">
        <v>291</v>
      </c>
      <c r="P378" s="113" t="s">
        <v>286</v>
      </c>
      <c r="Q378" s="23" t="s">
        <v>198</v>
      </c>
      <c r="R378" s="73" t="str">
        <f t="shared" si="22"/>
        <v>Vanda Boldtrak 25 with GlidesClassic WhiteStraight</v>
      </c>
      <c r="S378" s="73" t="s">
        <v>284</v>
      </c>
      <c r="T378" s="73" t="s">
        <v>149</v>
      </c>
      <c r="U378" s="73">
        <v>0</v>
      </c>
      <c r="V378" s="73" t="s">
        <v>149</v>
      </c>
      <c r="BF378"/>
    </row>
    <row r="379" spans="15:58" ht="14.4">
      <c r="O379" s="113" t="s">
        <v>291</v>
      </c>
      <c r="P379" s="113" t="s">
        <v>228</v>
      </c>
      <c r="Q379" s="23" t="s">
        <v>817</v>
      </c>
      <c r="R379" s="73" t="str">
        <f t="shared" si="22"/>
        <v>Vanda Boldtrak 25 with GlidesIvoryBent</v>
      </c>
      <c r="S379" s="73" t="s">
        <v>284</v>
      </c>
      <c r="T379" s="73" t="s">
        <v>149</v>
      </c>
      <c r="U379" s="73">
        <v>0</v>
      </c>
      <c r="V379" s="73" t="s">
        <v>149</v>
      </c>
      <c r="BF379"/>
    </row>
    <row r="380" spans="15:58" ht="14.4">
      <c r="O380" s="113" t="s">
        <v>291</v>
      </c>
      <c r="P380" s="113" t="s">
        <v>228</v>
      </c>
      <c r="Q380" s="23" t="s">
        <v>198</v>
      </c>
      <c r="R380" s="73" t="str">
        <f t="shared" si="22"/>
        <v>Vanda Boldtrak 25 with GlidesIvoryStraight</v>
      </c>
      <c r="S380" s="73" t="s">
        <v>284</v>
      </c>
      <c r="T380" s="73" t="s">
        <v>149</v>
      </c>
      <c r="U380" s="73">
        <v>0</v>
      </c>
      <c r="V380" s="73" t="s">
        <v>149</v>
      </c>
      <c r="BF380"/>
    </row>
    <row r="381" spans="15:58" ht="14.4">
      <c r="O381" s="113" t="s">
        <v>291</v>
      </c>
      <c r="P381" s="113" t="s">
        <v>288</v>
      </c>
      <c r="Q381" s="23" t="s">
        <v>817</v>
      </c>
      <c r="R381" s="73" t="str">
        <f t="shared" si="22"/>
        <v>Vanda Boldtrak 25 with GlidesPewterBent</v>
      </c>
      <c r="S381" s="73" t="s">
        <v>284</v>
      </c>
      <c r="T381" s="73" t="s">
        <v>149</v>
      </c>
      <c r="U381" s="73">
        <v>0</v>
      </c>
      <c r="V381" s="73" t="s">
        <v>149</v>
      </c>
      <c r="BF381"/>
    </row>
    <row r="382" spans="15:58" ht="14.4">
      <c r="O382" s="113" t="s">
        <v>291</v>
      </c>
      <c r="P382" s="113" t="s">
        <v>288</v>
      </c>
      <c r="Q382" s="23" t="s">
        <v>198</v>
      </c>
      <c r="R382" s="73" t="str">
        <f t="shared" si="22"/>
        <v>Vanda Boldtrak 25 with GlidesPewterStraight</v>
      </c>
      <c r="S382" s="73" t="s">
        <v>284</v>
      </c>
      <c r="T382" s="73" t="s">
        <v>149</v>
      </c>
      <c r="U382" s="73">
        <v>0</v>
      </c>
      <c r="V382" s="73" t="s">
        <v>149</v>
      </c>
      <c r="BF382"/>
    </row>
    <row r="383" spans="15:58" ht="14.4">
      <c r="O383" s="113" t="s">
        <v>291</v>
      </c>
      <c r="P383" s="113" t="s">
        <v>285</v>
      </c>
      <c r="Q383" s="23" t="s">
        <v>817</v>
      </c>
      <c r="R383" s="73" t="str">
        <f t="shared" si="22"/>
        <v>Vanda Boldtrak 25 with GlidesRiverstoneBent</v>
      </c>
      <c r="S383" s="73" t="s">
        <v>284</v>
      </c>
      <c r="T383" s="73" t="s">
        <v>149</v>
      </c>
      <c r="U383" s="73">
        <v>0</v>
      </c>
      <c r="V383" s="73" t="s">
        <v>149</v>
      </c>
      <c r="BF383"/>
    </row>
    <row r="384" spans="15:58" ht="14.4">
      <c r="O384" s="113" t="s">
        <v>291</v>
      </c>
      <c r="P384" s="113" t="s">
        <v>285</v>
      </c>
      <c r="Q384" s="23" t="s">
        <v>198</v>
      </c>
      <c r="R384" s="73" t="str">
        <f t="shared" si="22"/>
        <v>Vanda Boldtrak 25 with GlidesRiverstoneStraight</v>
      </c>
      <c r="S384" s="73" t="s">
        <v>284</v>
      </c>
      <c r="T384" s="73" t="s">
        <v>149</v>
      </c>
      <c r="U384" s="73">
        <v>0</v>
      </c>
      <c r="V384" s="73" t="s">
        <v>149</v>
      </c>
      <c r="BF384"/>
    </row>
    <row r="385" spans="15:58" ht="14.4">
      <c r="O385" s="113" t="s">
        <v>291</v>
      </c>
      <c r="P385" s="113" t="s">
        <v>289</v>
      </c>
      <c r="Q385" s="23" t="s">
        <v>817</v>
      </c>
      <c r="R385" s="73" t="str">
        <f t="shared" si="22"/>
        <v>Vanda Boldtrak 25 with GlidesSilver PearlBent</v>
      </c>
      <c r="S385" s="73" t="s">
        <v>284</v>
      </c>
      <c r="T385" s="73" t="s">
        <v>149</v>
      </c>
      <c r="U385" s="73">
        <v>0</v>
      </c>
      <c r="V385" s="73" t="s">
        <v>149</v>
      </c>
      <c r="BF385"/>
    </row>
    <row r="386" spans="15:58" ht="14.4">
      <c r="O386" s="113" t="s">
        <v>291</v>
      </c>
      <c r="P386" s="113" t="s">
        <v>289</v>
      </c>
      <c r="Q386" s="23" t="s">
        <v>198</v>
      </c>
      <c r="R386" s="73" t="str">
        <f t="shared" si="22"/>
        <v>Vanda Boldtrak 25 with GlidesSilver PearlStraight</v>
      </c>
      <c r="S386" s="73" t="s">
        <v>284</v>
      </c>
      <c r="T386" s="73" t="s">
        <v>149</v>
      </c>
      <c r="U386" s="73">
        <v>0</v>
      </c>
      <c r="V386" s="73" t="s">
        <v>149</v>
      </c>
      <c r="BF386"/>
    </row>
    <row r="387" spans="15:58" ht="14.4">
      <c r="O387" s="113" t="s">
        <v>372</v>
      </c>
      <c r="P387" s="113" t="s">
        <v>222</v>
      </c>
      <c r="Q387" s="23" t="s">
        <v>817</v>
      </c>
      <c r="R387" s="73" t="str">
        <f t="shared" si="23" ref="R387:R450">O387&amp;P387&amp;Q387</f>
        <v>Vanda Boldtrak 32 with GlidesBlackBent</v>
      </c>
      <c r="S387" s="73" t="s">
        <v>284</v>
      </c>
      <c r="T387" s="73" t="s">
        <v>149</v>
      </c>
      <c r="U387" s="73">
        <v>0</v>
      </c>
      <c r="V387" s="73" t="s">
        <v>149</v>
      </c>
      <c r="BF387"/>
    </row>
    <row r="388" spans="15:58" ht="14.4">
      <c r="O388" s="113" t="s">
        <v>372</v>
      </c>
      <c r="P388" s="113" t="s">
        <v>222</v>
      </c>
      <c r="Q388" s="23" t="s">
        <v>198</v>
      </c>
      <c r="R388" s="73" t="str">
        <f t="shared" si="23"/>
        <v>Vanda Boldtrak 32 with GlidesBlackStraight</v>
      </c>
      <c r="S388" s="73" t="s">
        <v>284</v>
      </c>
      <c r="T388" s="73" t="s">
        <v>149</v>
      </c>
      <c r="U388" s="73">
        <v>0</v>
      </c>
      <c r="V388" s="73" t="s">
        <v>149</v>
      </c>
      <c r="BF388"/>
    </row>
    <row r="389" spans="15:58" ht="14.4">
      <c r="O389" s="113" t="s">
        <v>372</v>
      </c>
      <c r="P389" s="113" t="s">
        <v>287</v>
      </c>
      <c r="Q389" s="23" t="s">
        <v>817</v>
      </c>
      <c r="R389" s="73" t="str">
        <f t="shared" si="23"/>
        <v>Vanda Boldtrak 32 with GlidesBronzeBent</v>
      </c>
      <c r="S389" s="73" t="s">
        <v>284</v>
      </c>
      <c r="T389" s="73" t="s">
        <v>149</v>
      </c>
      <c r="U389" s="73">
        <v>0</v>
      </c>
      <c r="V389" s="73" t="s">
        <v>149</v>
      </c>
      <c r="BF389"/>
    </row>
    <row r="390" spans="15:58" ht="14.4">
      <c r="O390" s="113" t="s">
        <v>372</v>
      </c>
      <c r="P390" s="113" t="s">
        <v>287</v>
      </c>
      <c r="Q390" s="23" t="s">
        <v>198</v>
      </c>
      <c r="R390" s="73" t="str">
        <f t="shared" si="23"/>
        <v>Vanda Boldtrak 32 with GlidesBronzeStraight</v>
      </c>
      <c r="S390" s="73" t="s">
        <v>284</v>
      </c>
      <c r="T390" s="73" t="s">
        <v>149</v>
      </c>
      <c r="U390" s="73">
        <v>0</v>
      </c>
      <c r="V390" s="73" t="s">
        <v>149</v>
      </c>
      <c r="BF390"/>
    </row>
    <row r="391" spans="15:58" ht="14.4">
      <c r="O391" s="113" t="s">
        <v>372</v>
      </c>
      <c r="P391" s="113" t="s">
        <v>286</v>
      </c>
      <c r="Q391" s="23" t="s">
        <v>817</v>
      </c>
      <c r="R391" s="73" t="str">
        <f t="shared" si="23"/>
        <v>Vanda Boldtrak 32 with GlidesClassic WhiteBent</v>
      </c>
      <c r="S391" s="73" t="s">
        <v>284</v>
      </c>
      <c r="T391" s="73" t="s">
        <v>149</v>
      </c>
      <c r="U391" s="73">
        <v>0</v>
      </c>
      <c r="V391" s="73" t="s">
        <v>149</v>
      </c>
      <c r="BF391"/>
    </row>
    <row r="392" spans="15:58" ht="14.4">
      <c r="O392" s="113" t="s">
        <v>372</v>
      </c>
      <c r="P392" s="113" t="s">
        <v>286</v>
      </c>
      <c r="Q392" s="23" t="s">
        <v>198</v>
      </c>
      <c r="R392" s="73" t="str">
        <f t="shared" si="23"/>
        <v>Vanda Boldtrak 32 with GlidesClassic WhiteStraight</v>
      </c>
      <c r="S392" s="73" t="s">
        <v>284</v>
      </c>
      <c r="T392" s="73" t="s">
        <v>149</v>
      </c>
      <c r="U392" s="73">
        <v>0</v>
      </c>
      <c r="V392" s="73" t="s">
        <v>149</v>
      </c>
      <c r="BF392"/>
    </row>
    <row r="393" spans="15:58" ht="14.4">
      <c r="O393" s="113" t="s">
        <v>372</v>
      </c>
      <c r="P393" s="113" t="s">
        <v>228</v>
      </c>
      <c r="Q393" s="23" t="s">
        <v>817</v>
      </c>
      <c r="R393" s="73" t="str">
        <f t="shared" si="23"/>
        <v>Vanda Boldtrak 32 with GlidesIvoryBent</v>
      </c>
      <c r="S393" s="73" t="s">
        <v>284</v>
      </c>
      <c r="T393" s="73" t="s">
        <v>149</v>
      </c>
      <c r="U393" s="73">
        <v>0</v>
      </c>
      <c r="V393" s="73" t="s">
        <v>149</v>
      </c>
      <c r="BF393"/>
    </row>
    <row r="394" spans="15:58" ht="14.4">
      <c r="O394" s="113" t="s">
        <v>372</v>
      </c>
      <c r="P394" s="113" t="s">
        <v>228</v>
      </c>
      <c r="Q394" s="23" t="s">
        <v>198</v>
      </c>
      <c r="R394" s="73" t="str">
        <f t="shared" si="23"/>
        <v>Vanda Boldtrak 32 with GlidesIvoryStraight</v>
      </c>
      <c r="S394" s="73" t="s">
        <v>284</v>
      </c>
      <c r="T394" s="73" t="s">
        <v>149</v>
      </c>
      <c r="U394" s="73">
        <v>0</v>
      </c>
      <c r="V394" s="73" t="s">
        <v>149</v>
      </c>
      <c r="BF394"/>
    </row>
    <row r="395" spans="15:58" ht="14.4">
      <c r="O395" s="113" t="s">
        <v>372</v>
      </c>
      <c r="P395" s="113" t="s">
        <v>288</v>
      </c>
      <c r="Q395" s="23" t="s">
        <v>817</v>
      </c>
      <c r="R395" s="73" t="str">
        <f t="shared" si="23"/>
        <v>Vanda Boldtrak 32 with GlidesPewterBent</v>
      </c>
      <c r="S395" s="73" t="s">
        <v>284</v>
      </c>
      <c r="T395" s="73" t="s">
        <v>149</v>
      </c>
      <c r="U395" s="73">
        <v>0</v>
      </c>
      <c r="V395" s="73" t="s">
        <v>149</v>
      </c>
      <c r="BF395"/>
    </row>
    <row r="396" spans="15:58" ht="14.4">
      <c r="O396" s="113" t="s">
        <v>372</v>
      </c>
      <c r="P396" s="113" t="s">
        <v>288</v>
      </c>
      <c r="Q396" s="23" t="s">
        <v>198</v>
      </c>
      <c r="R396" s="73" t="str">
        <f t="shared" si="23"/>
        <v>Vanda Boldtrak 32 with GlidesPewterStraight</v>
      </c>
      <c r="S396" s="73" t="s">
        <v>284</v>
      </c>
      <c r="T396" s="73" t="s">
        <v>149</v>
      </c>
      <c r="U396" s="73">
        <v>0</v>
      </c>
      <c r="V396" s="73" t="s">
        <v>149</v>
      </c>
      <c r="BF396"/>
    </row>
    <row r="397" spans="15:58" ht="14.4">
      <c r="O397" s="113" t="s">
        <v>372</v>
      </c>
      <c r="P397" s="113" t="s">
        <v>285</v>
      </c>
      <c r="Q397" s="23" t="s">
        <v>817</v>
      </c>
      <c r="R397" s="73" t="str">
        <f t="shared" si="23"/>
        <v>Vanda Boldtrak 32 with GlidesRiverstoneBent</v>
      </c>
      <c r="S397" s="73" t="s">
        <v>284</v>
      </c>
      <c r="T397" s="73" t="s">
        <v>149</v>
      </c>
      <c r="U397" s="73">
        <v>0</v>
      </c>
      <c r="V397" s="73" t="s">
        <v>149</v>
      </c>
      <c r="BF397"/>
    </row>
    <row r="398" spans="15:58" ht="14.4">
      <c r="O398" s="113" t="s">
        <v>372</v>
      </c>
      <c r="P398" s="113" t="s">
        <v>285</v>
      </c>
      <c r="Q398" s="23" t="s">
        <v>198</v>
      </c>
      <c r="R398" s="73" t="str">
        <f t="shared" si="23"/>
        <v>Vanda Boldtrak 32 with GlidesRiverstoneStraight</v>
      </c>
      <c r="S398" s="73" t="s">
        <v>284</v>
      </c>
      <c r="T398" s="73" t="s">
        <v>149</v>
      </c>
      <c r="U398" s="73">
        <v>0</v>
      </c>
      <c r="V398" s="73" t="s">
        <v>149</v>
      </c>
      <c r="BF398"/>
    </row>
    <row r="399" spans="15:58" ht="14.4">
      <c r="O399" s="113" t="s">
        <v>372</v>
      </c>
      <c r="P399" s="113" t="s">
        <v>289</v>
      </c>
      <c r="Q399" s="23" t="s">
        <v>817</v>
      </c>
      <c r="R399" s="73" t="str">
        <f t="shared" si="23"/>
        <v>Vanda Boldtrak 32 with GlidesSilver PearlBent</v>
      </c>
      <c r="S399" s="73" t="s">
        <v>284</v>
      </c>
      <c r="T399" s="73" t="s">
        <v>149</v>
      </c>
      <c r="U399" s="73">
        <v>0</v>
      </c>
      <c r="V399" s="73" t="s">
        <v>149</v>
      </c>
      <c r="BF399"/>
    </row>
    <row r="400" spans="15:58" ht="14.4">
      <c r="O400" s="113" t="s">
        <v>372</v>
      </c>
      <c r="P400" s="113" t="s">
        <v>289</v>
      </c>
      <c r="Q400" s="23" t="s">
        <v>198</v>
      </c>
      <c r="R400" s="73" t="str">
        <f t="shared" si="23"/>
        <v>Vanda Boldtrak 32 with GlidesSilver PearlStraight</v>
      </c>
      <c r="S400" s="73" t="s">
        <v>284</v>
      </c>
      <c r="T400" s="73" t="s">
        <v>149</v>
      </c>
      <c r="U400" s="73">
        <v>0</v>
      </c>
      <c r="V400" s="73" t="s">
        <v>149</v>
      </c>
      <c r="BF400"/>
    </row>
    <row r="401" spans="15:58" ht="14.4">
      <c r="O401" s="113" t="s">
        <v>292</v>
      </c>
      <c r="P401" s="113" t="s">
        <v>222</v>
      </c>
      <c r="Q401" s="23" t="s">
        <v>817</v>
      </c>
      <c r="R401" s="73" t="str">
        <f t="shared" si="23"/>
        <v>Vanda Boldtrak 35 S-FoldBlackBent</v>
      </c>
      <c r="S401" s="73" t="s">
        <v>284</v>
      </c>
      <c r="T401" s="73" t="s">
        <v>149</v>
      </c>
      <c r="U401" s="73">
        <v>0</v>
      </c>
      <c r="V401" s="73" t="s">
        <v>276</v>
      </c>
      <c r="BF401"/>
    </row>
    <row r="402" spans="15:58" ht="14.4">
      <c r="O402" s="113" t="s">
        <v>292</v>
      </c>
      <c r="P402" s="113" t="s">
        <v>222</v>
      </c>
      <c r="Q402" s="23" t="s">
        <v>198</v>
      </c>
      <c r="R402" s="73" t="str">
        <f t="shared" si="23"/>
        <v>Vanda Boldtrak 35 S-FoldBlackStraight</v>
      </c>
      <c r="S402" s="73" t="s">
        <v>284</v>
      </c>
      <c r="T402" s="73" t="s">
        <v>149</v>
      </c>
      <c r="U402" s="73">
        <v>0</v>
      </c>
      <c r="V402" s="73" t="s">
        <v>276</v>
      </c>
      <c r="BF402"/>
    </row>
    <row r="403" spans="15:58" ht="14.4">
      <c r="O403" s="113" t="s">
        <v>292</v>
      </c>
      <c r="P403" s="113" t="s">
        <v>287</v>
      </c>
      <c r="Q403" s="23" t="s">
        <v>817</v>
      </c>
      <c r="R403" s="73" t="str">
        <f t="shared" si="23"/>
        <v>Vanda Boldtrak 35 S-FoldBronzeBent</v>
      </c>
      <c r="S403" s="73" t="s">
        <v>284</v>
      </c>
      <c r="T403" s="73" t="s">
        <v>149</v>
      </c>
      <c r="U403" s="73">
        <v>0</v>
      </c>
      <c r="V403" s="73" t="s">
        <v>276</v>
      </c>
      <c r="BF403"/>
    </row>
    <row r="404" spans="15:58" ht="14.4">
      <c r="O404" s="113" t="s">
        <v>292</v>
      </c>
      <c r="P404" s="113" t="s">
        <v>287</v>
      </c>
      <c r="Q404" s="23" t="s">
        <v>198</v>
      </c>
      <c r="R404" s="73" t="str">
        <f t="shared" si="23"/>
        <v>Vanda Boldtrak 35 S-FoldBronzeStraight</v>
      </c>
      <c r="S404" s="73" t="s">
        <v>284</v>
      </c>
      <c r="T404" s="73" t="s">
        <v>149</v>
      </c>
      <c r="U404" s="73">
        <v>0</v>
      </c>
      <c r="V404" s="73" t="s">
        <v>276</v>
      </c>
      <c r="BF404"/>
    </row>
    <row r="405" spans="15:58" ht="14.4">
      <c r="O405" s="113" t="s">
        <v>292</v>
      </c>
      <c r="P405" s="113" t="s">
        <v>286</v>
      </c>
      <c r="Q405" s="23" t="s">
        <v>817</v>
      </c>
      <c r="R405" s="73" t="str">
        <f t="shared" si="23"/>
        <v>Vanda Boldtrak 35 S-FoldClassic WhiteBent</v>
      </c>
      <c r="S405" s="73" t="s">
        <v>284</v>
      </c>
      <c r="T405" s="73" t="s">
        <v>149</v>
      </c>
      <c r="U405" s="73">
        <v>0</v>
      </c>
      <c r="V405" s="73" t="s">
        <v>276</v>
      </c>
      <c r="BF405"/>
    </row>
    <row r="406" spans="15:58" ht="14.4">
      <c r="O406" s="113" t="s">
        <v>292</v>
      </c>
      <c r="P406" s="113" t="s">
        <v>286</v>
      </c>
      <c r="Q406" s="23" t="s">
        <v>198</v>
      </c>
      <c r="R406" s="73" t="str">
        <f t="shared" si="23"/>
        <v>Vanda Boldtrak 35 S-FoldClassic WhiteStraight</v>
      </c>
      <c r="S406" s="73" t="s">
        <v>284</v>
      </c>
      <c r="T406" s="73" t="s">
        <v>149</v>
      </c>
      <c r="U406" s="73">
        <v>0</v>
      </c>
      <c r="V406" s="73" t="s">
        <v>276</v>
      </c>
      <c r="BF406"/>
    </row>
    <row r="407" spans="15:58" ht="14.4">
      <c r="O407" s="113" t="s">
        <v>292</v>
      </c>
      <c r="P407" s="113" t="s">
        <v>228</v>
      </c>
      <c r="Q407" s="23" t="s">
        <v>817</v>
      </c>
      <c r="R407" s="73" t="str">
        <f t="shared" si="23"/>
        <v>Vanda Boldtrak 35 S-FoldIvoryBent</v>
      </c>
      <c r="S407" s="73" t="s">
        <v>284</v>
      </c>
      <c r="T407" s="73" t="s">
        <v>149</v>
      </c>
      <c r="U407" s="73">
        <v>0</v>
      </c>
      <c r="V407" s="73" t="s">
        <v>276</v>
      </c>
      <c r="BF407"/>
    </row>
    <row r="408" spans="15:58" ht="14.4">
      <c r="O408" s="113" t="s">
        <v>292</v>
      </c>
      <c r="P408" s="113" t="s">
        <v>228</v>
      </c>
      <c r="Q408" s="23" t="s">
        <v>198</v>
      </c>
      <c r="R408" s="73" t="str">
        <f t="shared" si="23"/>
        <v>Vanda Boldtrak 35 S-FoldIvoryStraight</v>
      </c>
      <c r="S408" s="73" t="s">
        <v>284</v>
      </c>
      <c r="T408" s="73" t="s">
        <v>149</v>
      </c>
      <c r="U408" s="73">
        <v>0</v>
      </c>
      <c r="V408" s="73" t="s">
        <v>276</v>
      </c>
      <c r="BF408"/>
    </row>
    <row r="409" spans="15:58" ht="14.4">
      <c r="O409" s="113" t="s">
        <v>292</v>
      </c>
      <c r="P409" s="113" t="s">
        <v>288</v>
      </c>
      <c r="Q409" s="23" t="s">
        <v>817</v>
      </c>
      <c r="R409" s="73" t="str">
        <f t="shared" si="23"/>
        <v>Vanda Boldtrak 35 S-FoldPewterBent</v>
      </c>
      <c r="S409" s="73" t="s">
        <v>284</v>
      </c>
      <c r="T409" s="73" t="s">
        <v>149</v>
      </c>
      <c r="U409" s="73">
        <v>0</v>
      </c>
      <c r="V409" s="73" t="s">
        <v>276</v>
      </c>
      <c r="BF409"/>
    </row>
    <row r="410" spans="15:58" ht="14.4">
      <c r="O410" s="113" t="s">
        <v>292</v>
      </c>
      <c r="P410" s="113" t="s">
        <v>288</v>
      </c>
      <c r="Q410" s="23" t="s">
        <v>198</v>
      </c>
      <c r="R410" s="73" t="str">
        <f t="shared" si="23"/>
        <v>Vanda Boldtrak 35 S-FoldPewterStraight</v>
      </c>
      <c r="S410" s="73" t="s">
        <v>284</v>
      </c>
      <c r="T410" s="73" t="s">
        <v>149</v>
      </c>
      <c r="U410" s="73">
        <v>0</v>
      </c>
      <c r="V410" s="73" t="s">
        <v>276</v>
      </c>
      <c r="BF410"/>
    </row>
    <row r="411" spans="15:58" ht="14.4">
      <c r="O411" s="113" t="s">
        <v>292</v>
      </c>
      <c r="P411" s="113" t="s">
        <v>285</v>
      </c>
      <c r="Q411" s="23" t="s">
        <v>817</v>
      </c>
      <c r="R411" s="73" t="str">
        <f t="shared" si="23"/>
        <v>Vanda Boldtrak 35 S-FoldRiverstoneBent</v>
      </c>
      <c r="S411" s="73" t="s">
        <v>284</v>
      </c>
      <c r="T411" s="73" t="s">
        <v>149</v>
      </c>
      <c r="U411" s="73">
        <v>0</v>
      </c>
      <c r="V411" s="73" t="s">
        <v>276</v>
      </c>
      <c r="BF411"/>
    </row>
    <row r="412" spans="15:58" ht="14.4">
      <c r="O412" s="113" t="s">
        <v>292</v>
      </c>
      <c r="P412" s="113" t="s">
        <v>285</v>
      </c>
      <c r="Q412" s="23" t="s">
        <v>198</v>
      </c>
      <c r="R412" s="73" t="str">
        <f t="shared" si="23"/>
        <v>Vanda Boldtrak 35 S-FoldRiverstoneStraight</v>
      </c>
      <c r="S412" s="73" t="s">
        <v>284</v>
      </c>
      <c r="T412" s="73" t="s">
        <v>149</v>
      </c>
      <c r="U412" s="73">
        <v>0</v>
      </c>
      <c r="V412" s="73" t="s">
        <v>276</v>
      </c>
      <c r="BF412"/>
    </row>
    <row r="413" spans="15:58" ht="14.4">
      <c r="O413" s="113" t="s">
        <v>292</v>
      </c>
      <c r="P413" s="113" t="s">
        <v>289</v>
      </c>
      <c r="Q413" s="23" t="s">
        <v>817</v>
      </c>
      <c r="R413" s="73" t="str">
        <f t="shared" si="23"/>
        <v>Vanda Boldtrak 35 S-FoldSilver PearlBent</v>
      </c>
      <c r="S413" s="73" t="s">
        <v>284</v>
      </c>
      <c r="T413" s="73" t="s">
        <v>149</v>
      </c>
      <c r="U413" s="73">
        <v>0</v>
      </c>
      <c r="V413" s="73" t="s">
        <v>276</v>
      </c>
      <c r="BF413"/>
    </row>
    <row r="414" spans="15:58" ht="14.4">
      <c r="O414" s="113" t="s">
        <v>292</v>
      </c>
      <c r="P414" s="113" t="s">
        <v>289</v>
      </c>
      <c r="Q414" s="23" t="s">
        <v>198</v>
      </c>
      <c r="R414" s="73" t="str">
        <f t="shared" si="23"/>
        <v>Vanda Boldtrak 35 S-FoldSilver PearlStraight</v>
      </c>
      <c r="S414" s="73" t="s">
        <v>284</v>
      </c>
      <c r="T414" s="73" t="s">
        <v>149</v>
      </c>
      <c r="U414" s="73">
        <v>0</v>
      </c>
      <c r="V414" s="73" t="s">
        <v>276</v>
      </c>
      <c r="BF414"/>
    </row>
    <row r="415" spans="15:58" ht="14.4">
      <c r="O415" s="112" t="s">
        <v>293</v>
      </c>
      <c r="P415" s="112" t="s">
        <v>222</v>
      </c>
      <c r="Q415" s="112" t="s">
        <v>817</v>
      </c>
      <c r="R415" s="73" t="str">
        <f t="shared" si="23"/>
        <v>Vanda Boldtrak 35 WavefoldBlackBent</v>
      </c>
      <c r="S415" s="73" t="s">
        <v>284</v>
      </c>
      <c r="T415" s="73" t="s">
        <v>149</v>
      </c>
      <c r="U415" s="73">
        <v>0</v>
      </c>
      <c r="V415" s="73" t="s">
        <v>276</v>
      </c>
      <c r="BF415"/>
    </row>
    <row r="416" spans="15:58" ht="14.4">
      <c r="O416" s="112" t="s">
        <v>293</v>
      </c>
      <c r="P416" s="112" t="s">
        <v>222</v>
      </c>
      <c r="Q416" s="112" t="s">
        <v>198</v>
      </c>
      <c r="R416" s="73" t="str">
        <f t="shared" si="23"/>
        <v>Vanda Boldtrak 35 WavefoldBlackStraight</v>
      </c>
      <c r="S416" s="73" t="s">
        <v>284</v>
      </c>
      <c r="T416" s="73" t="s">
        <v>149</v>
      </c>
      <c r="U416" s="73">
        <v>0</v>
      </c>
      <c r="V416" s="73" t="s">
        <v>276</v>
      </c>
      <c r="BF416"/>
    </row>
    <row r="417" spans="15:58" ht="14.4">
      <c r="O417" s="112" t="s">
        <v>293</v>
      </c>
      <c r="P417" s="112" t="s">
        <v>287</v>
      </c>
      <c r="Q417" s="112" t="s">
        <v>817</v>
      </c>
      <c r="R417" s="73" t="str">
        <f t="shared" si="23"/>
        <v>Vanda Boldtrak 35 WavefoldBronzeBent</v>
      </c>
      <c r="S417" s="73" t="s">
        <v>284</v>
      </c>
      <c r="T417" s="73" t="s">
        <v>149</v>
      </c>
      <c r="U417" s="73">
        <v>0</v>
      </c>
      <c r="V417" s="73" t="s">
        <v>276</v>
      </c>
      <c r="BF417"/>
    </row>
    <row r="418" spans="15:58" ht="14.4">
      <c r="O418" s="112" t="s">
        <v>293</v>
      </c>
      <c r="P418" s="112" t="s">
        <v>287</v>
      </c>
      <c r="Q418" s="112" t="s">
        <v>198</v>
      </c>
      <c r="R418" s="73" t="str">
        <f t="shared" si="23"/>
        <v>Vanda Boldtrak 35 WavefoldBronzeStraight</v>
      </c>
      <c r="S418" s="73" t="s">
        <v>284</v>
      </c>
      <c r="T418" s="73" t="s">
        <v>149</v>
      </c>
      <c r="U418" s="73">
        <v>0</v>
      </c>
      <c r="V418" s="73" t="s">
        <v>276</v>
      </c>
      <c r="BF418"/>
    </row>
    <row r="419" spans="15:58" ht="14.4">
      <c r="O419" s="112" t="s">
        <v>293</v>
      </c>
      <c r="P419" s="112" t="s">
        <v>286</v>
      </c>
      <c r="Q419" s="112" t="s">
        <v>817</v>
      </c>
      <c r="R419" s="73" t="str">
        <f t="shared" si="23"/>
        <v>Vanda Boldtrak 35 WavefoldClassic WhiteBent</v>
      </c>
      <c r="S419" s="73" t="s">
        <v>284</v>
      </c>
      <c r="T419" s="73" t="s">
        <v>149</v>
      </c>
      <c r="U419" s="73">
        <v>0</v>
      </c>
      <c r="V419" s="73" t="s">
        <v>276</v>
      </c>
      <c r="BF419"/>
    </row>
    <row r="420" spans="15:58" ht="14.4">
      <c r="O420" s="112" t="s">
        <v>293</v>
      </c>
      <c r="P420" s="112" t="s">
        <v>286</v>
      </c>
      <c r="Q420" s="112" t="s">
        <v>198</v>
      </c>
      <c r="R420" s="73" t="str">
        <f t="shared" si="23"/>
        <v>Vanda Boldtrak 35 WavefoldClassic WhiteStraight</v>
      </c>
      <c r="S420" s="73" t="s">
        <v>284</v>
      </c>
      <c r="T420" s="73" t="s">
        <v>149</v>
      </c>
      <c r="U420" s="73">
        <v>0</v>
      </c>
      <c r="V420" s="73" t="s">
        <v>276</v>
      </c>
      <c r="BF420"/>
    </row>
    <row r="421" spans="15:58" ht="14.4">
      <c r="O421" s="113" t="s">
        <v>293</v>
      </c>
      <c r="P421" s="113" t="s">
        <v>228</v>
      </c>
      <c r="Q421" s="23" t="s">
        <v>817</v>
      </c>
      <c r="R421" s="73" t="str">
        <f t="shared" si="23"/>
        <v>Vanda Boldtrak 35 WavefoldIvoryBent</v>
      </c>
      <c r="S421" s="73" t="s">
        <v>284</v>
      </c>
      <c r="T421" s="73" t="s">
        <v>149</v>
      </c>
      <c r="U421" s="73">
        <v>0</v>
      </c>
      <c r="V421" s="73" t="s">
        <v>276</v>
      </c>
      <c r="BF421"/>
    </row>
    <row r="422" spans="15:58" ht="14.4">
      <c r="O422" s="113" t="s">
        <v>293</v>
      </c>
      <c r="P422" s="113" t="s">
        <v>228</v>
      </c>
      <c r="Q422" s="23" t="s">
        <v>198</v>
      </c>
      <c r="R422" s="73" t="str">
        <f t="shared" si="23"/>
        <v>Vanda Boldtrak 35 WavefoldIvoryStraight</v>
      </c>
      <c r="S422" s="73" t="s">
        <v>284</v>
      </c>
      <c r="T422" s="73" t="s">
        <v>149</v>
      </c>
      <c r="U422" s="73">
        <v>0</v>
      </c>
      <c r="V422" s="73" t="s">
        <v>276</v>
      </c>
      <c r="BF422"/>
    </row>
    <row r="423" spans="15:58" ht="14.4">
      <c r="O423" s="113" t="s">
        <v>293</v>
      </c>
      <c r="P423" s="113" t="s">
        <v>288</v>
      </c>
      <c r="Q423" s="23" t="s">
        <v>817</v>
      </c>
      <c r="R423" s="73" t="str">
        <f t="shared" si="23"/>
        <v>Vanda Boldtrak 35 WavefoldPewterBent</v>
      </c>
      <c r="S423" s="73" t="s">
        <v>284</v>
      </c>
      <c r="T423" s="73" t="s">
        <v>149</v>
      </c>
      <c r="U423" s="73">
        <v>0</v>
      </c>
      <c r="V423" s="73" t="s">
        <v>276</v>
      </c>
      <c r="BF423"/>
    </row>
    <row r="424" spans="15:58" ht="14.4">
      <c r="O424" s="113" t="s">
        <v>293</v>
      </c>
      <c r="P424" s="113" t="s">
        <v>288</v>
      </c>
      <c r="Q424" s="23" t="s">
        <v>198</v>
      </c>
      <c r="R424" s="73" t="str">
        <f t="shared" si="23"/>
        <v>Vanda Boldtrak 35 WavefoldPewterStraight</v>
      </c>
      <c r="S424" s="73" t="s">
        <v>284</v>
      </c>
      <c r="T424" s="73" t="s">
        <v>149</v>
      </c>
      <c r="U424" s="73">
        <v>0</v>
      </c>
      <c r="V424" s="73" t="s">
        <v>276</v>
      </c>
      <c r="BF424"/>
    </row>
    <row r="425" spans="15:58" ht="14.4">
      <c r="O425" s="113" t="s">
        <v>293</v>
      </c>
      <c r="P425" s="113" t="s">
        <v>285</v>
      </c>
      <c r="Q425" s="23" t="s">
        <v>817</v>
      </c>
      <c r="R425" s="73" t="str">
        <f t="shared" si="23"/>
        <v>Vanda Boldtrak 35 WavefoldRiverstoneBent</v>
      </c>
      <c r="S425" s="73" t="s">
        <v>284</v>
      </c>
      <c r="T425" s="73" t="s">
        <v>149</v>
      </c>
      <c r="U425" s="73">
        <v>0</v>
      </c>
      <c r="V425" s="73" t="s">
        <v>276</v>
      </c>
      <c r="BF425"/>
    </row>
    <row r="426" spans="15:58" ht="14.4">
      <c r="O426" s="113" t="s">
        <v>293</v>
      </c>
      <c r="P426" s="113" t="s">
        <v>285</v>
      </c>
      <c r="Q426" s="23" t="s">
        <v>198</v>
      </c>
      <c r="R426" s="73" t="str">
        <f t="shared" si="23"/>
        <v>Vanda Boldtrak 35 WavefoldRiverstoneStraight</v>
      </c>
      <c r="S426" s="73" t="s">
        <v>284</v>
      </c>
      <c r="T426" s="73" t="s">
        <v>149</v>
      </c>
      <c r="U426" s="73">
        <v>0</v>
      </c>
      <c r="V426" s="73" t="s">
        <v>276</v>
      </c>
      <c r="BF426"/>
    </row>
    <row r="427" spans="15:58" ht="14.4">
      <c r="O427" s="113" t="s">
        <v>293</v>
      </c>
      <c r="P427" s="113" t="s">
        <v>289</v>
      </c>
      <c r="Q427" s="23" t="s">
        <v>817</v>
      </c>
      <c r="R427" s="73" t="str">
        <f t="shared" si="23"/>
        <v>Vanda Boldtrak 35 WavefoldSilver PearlBent</v>
      </c>
      <c r="S427" s="73" t="s">
        <v>284</v>
      </c>
      <c r="T427" s="73" t="s">
        <v>149</v>
      </c>
      <c r="U427" s="73">
        <v>0</v>
      </c>
      <c r="V427" s="73" t="s">
        <v>276</v>
      </c>
      <c r="BF427"/>
    </row>
    <row r="428" spans="15:58" ht="14.4">
      <c r="O428" s="113" t="s">
        <v>293</v>
      </c>
      <c r="P428" s="113" t="s">
        <v>289</v>
      </c>
      <c r="Q428" s="23" t="s">
        <v>198</v>
      </c>
      <c r="R428" s="73" t="str">
        <f t="shared" si="23"/>
        <v>Vanda Boldtrak 35 WavefoldSilver PearlStraight</v>
      </c>
      <c r="S428" s="73" t="s">
        <v>284</v>
      </c>
      <c r="T428" s="73" t="s">
        <v>149</v>
      </c>
      <c r="U428" s="73">
        <v>0</v>
      </c>
      <c r="V428" s="73" t="s">
        <v>276</v>
      </c>
      <c r="BF428"/>
    </row>
    <row r="429" spans="15:58" ht="14.4">
      <c r="O429" s="113" t="s">
        <v>294</v>
      </c>
      <c r="P429" s="113" t="s">
        <v>222</v>
      </c>
      <c r="Q429" s="23" t="s">
        <v>817</v>
      </c>
      <c r="R429" s="73" t="str">
        <f t="shared" si="23"/>
        <v>Vanda Boldtrak 35 with GlidesBlackBent</v>
      </c>
      <c r="S429" s="73" t="s">
        <v>284</v>
      </c>
      <c r="T429" s="73" t="s">
        <v>149</v>
      </c>
      <c r="U429" s="73">
        <v>0</v>
      </c>
      <c r="V429" s="73" t="s">
        <v>149</v>
      </c>
      <c r="BF429"/>
    </row>
    <row r="430" spans="15:58" ht="14.4">
      <c r="O430" s="113" t="s">
        <v>294</v>
      </c>
      <c r="P430" s="113" t="s">
        <v>222</v>
      </c>
      <c r="Q430" s="23" t="s">
        <v>198</v>
      </c>
      <c r="R430" s="73" t="str">
        <f t="shared" si="23"/>
        <v>Vanda Boldtrak 35 with GlidesBlackStraight</v>
      </c>
      <c r="S430" s="73" t="s">
        <v>284</v>
      </c>
      <c r="T430" s="73" t="s">
        <v>149</v>
      </c>
      <c r="U430" s="73">
        <v>0</v>
      </c>
      <c r="V430" s="73" t="s">
        <v>149</v>
      </c>
      <c r="BF430"/>
    </row>
    <row r="431" spans="15:58" ht="14.4">
      <c r="O431" s="113" t="s">
        <v>294</v>
      </c>
      <c r="P431" s="113" t="s">
        <v>287</v>
      </c>
      <c r="Q431" s="23" t="s">
        <v>817</v>
      </c>
      <c r="R431" s="73" t="str">
        <f t="shared" si="23"/>
        <v>Vanda Boldtrak 35 with GlidesBronzeBent</v>
      </c>
      <c r="S431" s="73" t="s">
        <v>284</v>
      </c>
      <c r="T431" s="73" t="s">
        <v>149</v>
      </c>
      <c r="U431" s="73">
        <v>0</v>
      </c>
      <c r="V431" s="73" t="s">
        <v>149</v>
      </c>
      <c r="BF431"/>
    </row>
    <row r="432" spans="15:58" ht="14.4">
      <c r="O432" s="113" t="s">
        <v>294</v>
      </c>
      <c r="P432" s="113" t="s">
        <v>287</v>
      </c>
      <c r="Q432" s="23" t="s">
        <v>198</v>
      </c>
      <c r="R432" s="73" t="str">
        <f t="shared" si="23"/>
        <v>Vanda Boldtrak 35 with GlidesBronzeStraight</v>
      </c>
      <c r="S432" s="73" t="s">
        <v>284</v>
      </c>
      <c r="T432" s="73" t="s">
        <v>149</v>
      </c>
      <c r="U432" s="73">
        <v>0</v>
      </c>
      <c r="V432" s="73" t="s">
        <v>149</v>
      </c>
      <c r="BF432"/>
    </row>
    <row r="433" spans="15:58" ht="14.4">
      <c r="O433" s="113" t="s">
        <v>294</v>
      </c>
      <c r="P433" s="113" t="s">
        <v>286</v>
      </c>
      <c r="Q433" s="23" t="s">
        <v>817</v>
      </c>
      <c r="R433" s="73" t="str">
        <f t="shared" si="23"/>
        <v>Vanda Boldtrak 35 with GlidesClassic WhiteBent</v>
      </c>
      <c r="S433" s="73" t="s">
        <v>284</v>
      </c>
      <c r="T433" s="73" t="s">
        <v>149</v>
      </c>
      <c r="U433" s="73">
        <v>0</v>
      </c>
      <c r="V433" s="73" t="s">
        <v>149</v>
      </c>
      <c r="BF433"/>
    </row>
    <row r="434" spans="15:58" ht="14.4">
      <c r="O434" s="113" t="s">
        <v>294</v>
      </c>
      <c r="P434" s="113" t="s">
        <v>286</v>
      </c>
      <c r="Q434" s="23" t="s">
        <v>198</v>
      </c>
      <c r="R434" s="73" t="str">
        <f t="shared" si="23"/>
        <v>Vanda Boldtrak 35 with GlidesClassic WhiteStraight</v>
      </c>
      <c r="S434" s="73" t="s">
        <v>284</v>
      </c>
      <c r="T434" s="73" t="s">
        <v>149</v>
      </c>
      <c r="U434" s="73">
        <v>0</v>
      </c>
      <c r="V434" s="73" t="s">
        <v>149</v>
      </c>
      <c r="BF434"/>
    </row>
    <row r="435" spans="15:58" ht="14.4">
      <c r="O435" s="113" t="s">
        <v>294</v>
      </c>
      <c r="P435" s="113" t="s">
        <v>228</v>
      </c>
      <c r="Q435" s="23" t="s">
        <v>817</v>
      </c>
      <c r="R435" s="73" t="str">
        <f t="shared" si="23"/>
        <v>Vanda Boldtrak 35 with GlidesIvoryBent</v>
      </c>
      <c r="S435" s="73" t="s">
        <v>284</v>
      </c>
      <c r="T435" s="73" t="s">
        <v>149</v>
      </c>
      <c r="U435" s="73">
        <v>0</v>
      </c>
      <c r="V435" s="73" t="s">
        <v>149</v>
      </c>
      <c r="BF435"/>
    </row>
    <row r="436" spans="15:58" ht="14.4">
      <c r="O436" s="113" t="s">
        <v>294</v>
      </c>
      <c r="P436" s="113" t="s">
        <v>228</v>
      </c>
      <c r="Q436" s="23" t="s">
        <v>198</v>
      </c>
      <c r="R436" s="73" t="str">
        <f t="shared" si="23"/>
        <v>Vanda Boldtrak 35 with GlidesIvoryStraight</v>
      </c>
      <c r="S436" s="73" t="s">
        <v>284</v>
      </c>
      <c r="T436" s="73" t="s">
        <v>149</v>
      </c>
      <c r="U436" s="73">
        <v>0</v>
      </c>
      <c r="V436" s="73" t="s">
        <v>149</v>
      </c>
      <c r="BF436"/>
    </row>
    <row r="437" spans="15:58" ht="14.4">
      <c r="O437" s="113" t="s">
        <v>294</v>
      </c>
      <c r="P437" s="113" t="s">
        <v>288</v>
      </c>
      <c r="Q437" s="23" t="s">
        <v>817</v>
      </c>
      <c r="R437" s="73" t="str">
        <f t="shared" si="23"/>
        <v>Vanda Boldtrak 35 with GlidesPewterBent</v>
      </c>
      <c r="S437" s="73" t="s">
        <v>284</v>
      </c>
      <c r="T437" s="73" t="s">
        <v>149</v>
      </c>
      <c r="U437" s="73">
        <v>0</v>
      </c>
      <c r="V437" s="73" t="s">
        <v>149</v>
      </c>
      <c r="BF437"/>
    </row>
    <row r="438" spans="15:58" ht="14.4">
      <c r="O438" s="113" t="s">
        <v>294</v>
      </c>
      <c r="P438" s="113" t="s">
        <v>288</v>
      </c>
      <c r="Q438" s="23" t="s">
        <v>198</v>
      </c>
      <c r="R438" s="73" t="str">
        <f t="shared" si="23"/>
        <v>Vanda Boldtrak 35 with GlidesPewterStraight</v>
      </c>
      <c r="S438" s="73" t="s">
        <v>284</v>
      </c>
      <c r="T438" s="73" t="s">
        <v>149</v>
      </c>
      <c r="U438" s="73">
        <v>0</v>
      </c>
      <c r="V438" s="73" t="s">
        <v>149</v>
      </c>
      <c r="BF438"/>
    </row>
    <row r="439" spans="15:58" ht="14.4">
      <c r="O439" s="113" t="s">
        <v>294</v>
      </c>
      <c r="P439" s="113" t="s">
        <v>285</v>
      </c>
      <c r="Q439" s="23" t="s">
        <v>817</v>
      </c>
      <c r="R439" s="73" t="str">
        <f t="shared" si="23"/>
        <v>Vanda Boldtrak 35 with GlidesRiverstoneBent</v>
      </c>
      <c r="S439" s="73" t="s">
        <v>284</v>
      </c>
      <c r="T439" s="73" t="s">
        <v>149</v>
      </c>
      <c r="U439" s="73">
        <v>0</v>
      </c>
      <c r="V439" s="73" t="s">
        <v>149</v>
      </c>
      <c r="BF439"/>
    </row>
    <row r="440" spans="15:58" ht="14.4">
      <c r="O440" s="113" t="s">
        <v>294</v>
      </c>
      <c r="P440" s="113" t="s">
        <v>285</v>
      </c>
      <c r="Q440" s="23" t="s">
        <v>198</v>
      </c>
      <c r="R440" s="73" t="str">
        <f t="shared" si="23"/>
        <v>Vanda Boldtrak 35 with GlidesRiverstoneStraight</v>
      </c>
      <c r="S440" s="73" t="s">
        <v>284</v>
      </c>
      <c r="T440" s="73" t="s">
        <v>149</v>
      </c>
      <c r="U440" s="73">
        <v>0</v>
      </c>
      <c r="V440" s="73" t="s">
        <v>149</v>
      </c>
      <c r="BF440"/>
    </row>
    <row r="441" spans="15:58" ht="14.4">
      <c r="O441" s="113" t="s">
        <v>294</v>
      </c>
      <c r="P441" s="113" t="s">
        <v>289</v>
      </c>
      <c r="Q441" s="23" t="s">
        <v>817</v>
      </c>
      <c r="R441" s="73" t="str">
        <f t="shared" si="23"/>
        <v>Vanda Boldtrak 35 with GlidesSilver PearlBent</v>
      </c>
      <c r="S441" s="73" t="s">
        <v>284</v>
      </c>
      <c r="T441" s="73" t="s">
        <v>149</v>
      </c>
      <c r="U441" s="73">
        <v>0</v>
      </c>
      <c r="V441" s="73" t="s">
        <v>149</v>
      </c>
      <c r="BF441"/>
    </row>
    <row r="442" spans="15:58" ht="14.4">
      <c r="O442" s="113" t="s">
        <v>294</v>
      </c>
      <c r="P442" s="113" t="s">
        <v>289</v>
      </c>
      <c r="Q442" s="23" t="s">
        <v>198</v>
      </c>
      <c r="R442" s="73" t="str">
        <f t="shared" si="23"/>
        <v>Vanda Boldtrak 35 with GlidesSilver PearlStraight</v>
      </c>
      <c r="S442" s="73" t="s">
        <v>284</v>
      </c>
      <c r="T442" s="73" t="s">
        <v>149</v>
      </c>
      <c r="U442" s="73">
        <v>0</v>
      </c>
      <c r="V442" s="73" t="s">
        <v>149</v>
      </c>
      <c r="BF442"/>
    </row>
    <row r="443" spans="15:58" ht="14.4">
      <c r="O443" s="113" t="s">
        <v>297</v>
      </c>
      <c r="P443" s="113" t="s">
        <v>286</v>
      </c>
      <c r="Q443" s="23" t="s">
        <v>817</v>
      </c>
      <c r="R443" s="73" t="str">
        <f t="shared" si="23"/>
        <v>Vanda Flushfit Recessed Track WavefoldClassic WhiteBent</v>
      </c>
      <c r="S443" s="73" t="s">
        <v>284</v>
      </c>
      <c r="T443" s="73" t="s">
        <v>149</v>
      </c>
      <c r="U443" s="73">
        <v>0</v>
      </c>
      <c r="V443" s="73" t="s">
        <v>276</v>
      </c>
      <c r="BF443"/>
    </row>
    <row r="444" spans="15:58" ht="14.4">
      <c r="O444" s="113" t="s">
        <v>297</v>
      </c>
      <c r="P444" s="113" t="s">
        <v>286</v>
      </c>
      <c r="Q444" s="23" t="s">
        <v>198</v>
      </c>
      <c r="R444" s="73" t="str">
        <f t="shared" si="23"/>
        <v>Vanda Flushfit Recessed Track WavefoldClassic WhiteStraight</v>
      </c>
      <c r="S444" s="73" t="s">
        <v>284</v>
      </c>
      <c r="T444" s="73" t="s">
        <v>149</v>
      </c>
      <c r="U444" s="73">
        <v>0</v>
      </c>
      <c r="V444" s="73" t="s">
        <v>276</v>
      </c>
      <c r="BF444"/>
    </row>
    <row r="445" spans="15:58" ht="14.4">
      <c r="O445" s="113" t="s">
        <v>822</v>
      </c>
      <c r="P445" s="113" t="s">
        <v>286</v>
      </c>
      <c r="Q445" s="23" t="s">
        <v>817</v>
      </c>
      <c r="R445" s="73" t="str">
        <f t="shared" si="23"/>
        <v>Vanda Flushfit Recessed Track with RunnersClassic WhiteBent</v>
      </c>
      <c r="S445" s="73" t="s">
        <v>284</v>
      </c>
      <c r="T445" s="73" t="s">
        <v>149</v>
      </c>
      <c r="U445" s="73">
        <v>0</v>
      </c>
      <c r="V445" s="73" t="s">
        <v>149</v>
      </c>
      <c r="BF445"/>
    </row>
    <row r="446" spans="15:58" ht="14.4">
      <c r="O446" s="113" t="s">
        <v>822</v>
      </c>
      <c r="P446" s="113" t="s">
        <v>286</v>
      </c>
      <c r="Q446" s="23" t="s">
        <v>198</v>
      </c>
      <c r="R446" s="73" t="str">
        <f t="shared" si="23"/>
        <v>Vanda Flushfit Recessed Track with RunnersClassic WhiteStraight</v>
      </c>
      <c r="S446" s="73" t="s">
        <v>284</v>
      </c>
      <c r="T446" s="73" t="s">
        <v>149</v>
      </c>
      <c r="U446" s="73">
        <v>0</v>
      </c>
      <c r="V446" s="73" t="s">
        <v>149</v>
      </c>
      <c r="BF446"/>
    </row>
    <row r="447" spans="15:58" ht="14.4">
      <c r="O447" s="113" t="s">
        <v>726</v>
      </c>
      <c r="P447" s="113" t="s">
        <v>222</v>
      </c>
      <c r="Q447" s="23" t="s">
        <v>198</v>
      </c>
      <c r="R447" s="73" t="str">
        <f t="shared" si="23"/>
        <v>Vanda Vantage 25mm Eyelot RodBlackStraight</v>
      </c>
      <c r="S447" s="73" t="s">
        <v>284</v>
      </c>
      <c r="T447" s="73" t="s">
        <v>149</v>
      </c>
      <c r="U447" s="73">
        <v>0</v>
      </c>
      <c r="V447" s="73" t="s">
        <v>149</v>
      </c>
      <c r="BF447"/>
    </row>
    <row r="448" spans="15:58" ht="14.4">
      <c r="O448" s="113" t="s">
        <v>726</v>
      </c>
      <c r="P448" s="113" t="s">
        <v>287</v>
      </c>
      <c r="Q448" s="23" t="s">
        <v>198</v>
      </c>
      <c r="R448" s="73" t="str">
        <f t="shared" si="23"/>
        <v>Vanda Vantage 25mm Eyelot RodBronzeStraight</v>
      </c>
      <c r="S448" s="73" t="s">
        <v>284</v>
      </c>
      <c r="T448" s="73" t="s">
        <v>149</v>
      </c>
      <c r="U448" s="73">
        <v>0</v>
      </c>
      <c r="V448" s="73" t="s">
        <v>149</v>
      </c>
      <c r="BF448"/>
    </row>
    <row r="449" spans="15:58" ht="14.4">
      <c r="O449" s="113" t="s">
        <v>726</v>
      </c>
      <c r="P449" s="113" t="s">
        <v>286</v>
      </c>
      <c r="Q449" s="23" t="s">
        <v>198</v>
      </c>
      <c r="R449" s="73" t="str">
        <f t="shared" si="23"/>
        <v>Vanda Vantage 25mm Eyelot RodClassic WhiteStraight</v>
      </c>
      <c r="S449" s="73" t="s">
        <v>284</v>
      </c>
      <c r="T449" s="73" t="s">
        <v>149</v>
      </c>
      <c r="U449" s="73">
        <v>0</v>
      </c>
      <c r="V449" s="73" t="s">
        <v>149</v>
      </c>
      <c r="BF449"/>
    </row>
    <row r="450" spans="15:58" ht="14.4">
      <c r="O450" s="113" t="s">
        <v>726</v>
      </c>
      <c r="P450" s="113" t="s">
        <v>228</v>
      </c>
      <c r="Q450" s="23" t="s">
        <v>198</v>
      </c>
      <c r="R450" s="73" t="str">
        <f t="shared" si="23"/>
        <v>Vanda Vantage 25mm Eyelot RodIvoryStraight</v>
      </c>
      <c r="S450" s="73" t="s">
        <v>284</v>
      </c>
      <c r="T450" s="73" t="s">
        <v>149</v>
      </c>
      <c r="U450" s="73">
        <v>0</v>
      </c>
      <c r="V450" s="73" t="s">
        <v>149</v>
      </c>
      <c r="BF450"/>
    </row>
    <row r="451" spans="15:58" ht="14.4">
      <c r="O451" s="113" t="s">
        <v>726</v>
      </c>
      <c r="P451" s="113" t="s">
        <v>288</v>
      </c>
      <c r="Q451" s="23" t="s">
        <v>198</v>
      </c>
      <c r="R451" s="73" t="str">
        <f t="shared" si="24" ref="R451:R514">O451&amp;P451&amp;Q451</f>
        <v>Vanda Vantage 25mm Eyelot RodPewterStraight</v>
      </c>
      <c r="S451" s="73" t="s">
        <v>284</v>
      </c>
      <c r="T451" s="73" t="s">
        <v>149</v>
      </c>
      <c r="U451" s="73">
        <v>0</v>
      </c>
      <c r="V451" s="73" t="s">
        <v>149</v>
      </c>
      <c r="BF451"/>
    </row>
    <row r="452" spans="15:58" ht="14.4">
      <c r="O452" s="113" t="s">
        <v>726</v>
      </c>
      <c r="P452" s="113" t="s">
        <v>285</v>
      </c>
      <c r="Q452" s="23" t="s">
        <v>198</v>
      </c>
      <c r="R452" s="73" t="str">
        <f t="shared" si="24"/>
        <v>Vanda Vantage 25mm Eyelot RodRiverstoneStraight</v>
      </c>
      <c r="S452" s="73" t="s">
        <v>284</v>
      </c>
      <c r="T452" s="73" t="s">
        <v>149</v>
      </c>
      <c r="U452" s="73">
        <v>0</v>
      </c>
      <c r="V452" s="73" t="s">
        <v>149</v>
      </c>
      <c r="BF452"/>
    </row>
    <row r="453" spans="15:58" ht="14.4">
      <c r="O453" s="113" t="s">
        <v>726</v>
      </c>
      <c r="P453" s="113" t="s">
        <v>289</v>
      </c>
      <c r="Q453" s="23" t="s">
        <v>198</v>
      </c>
      <c r="R453" s="73" t="str">
        <f t="shared" si="24"/>
        <v>Vanda Vantage 25mm Eyelot RodSilver PearlStraight</v>
      </c>
      <c r="S453" s="73" t="s">
        <v>284</v>
      </c>
      <c r="T453" s="73" t="s">
        <v>149</v>
      </c>
      <c r="U453" s="73">
        <v>0</v>
      </c>
      <c r="V453" s="73" t="s">
        <v>149</v>
      </c>
      <c r="BF453"/>
    </row>
    <row r="454" spans="15:58" ht="14.4">
      <c r="O454" s="113"/>
      <c r="P454" s="113" t="s">
        <v>222</v>
      </c>
      <c r="Q454" s="23" t="s">
        <v>817</v>
      </c>
      <c r="R454" s="73" t="str">
        <f t="shared" si="24"/>
        <v>BlackBent</v>
      </c>
      <c r="S454" s="73" t="s">
        <v>284</v>
      </c>
      <c r="T454" s="73" t="s">
        <v>149</v>
      </c>
      <c r="U454" s="73">
        <v>0</v>
      </c>
      <c r="V454" s="73" t="s">
        <v>149</v>
      </c>
      <c r="BF454"/>
    </row>
    <row r="455" spans="15:58" ht="14.4">
      <c r="O455" s="113"/>
      <c r="P455" s="113" t="s">
        <v>222</v>
      </c>
      <c r="Q455" s="23" t="s">
        <v>198</v>
      </c>
      <c r="R455" s="73" t="str">
        <f t="shared" si="24"/>
        <v>BlackStraight</v>
      </c>
      <c r="S455" s="73" t="s">
        <v>284</v>
      </c>
      <c r="T455" s="73" t="s">
        <v>149</v>
      </c>
      <c r="U455" s="73">
        <v>0</v>
      </c>
      <c r="V455" s="73" t="s">
        <v>149</v>
      </c>
      <c r="BF455"/>
    </row>
    <row r="456" spans="15:58" ht="14.4">
      <c r="O456" s="113"/>
      <c r="P456" s="113" t="s">
        <v>287</v>
      </c>
      <c r="Q456" s="23" t="s">
        <v>817</v>
      </c>
      <c r="R456" s="73" t="str">
        <f t="shared" si="24"/>
        <v>BronzeBent</v>
      </c>
      <c r="S456" s="73" t="s">
        <v>284</v>
      </c>
      <c r="T456" s="73" t="s">
        <v>149</v>
      </c>
      <c r="U456" s="73">
        <v>0</v>
      </c>
      <c r="V456" s="73" t="s">
        <v>149</v>
      </c>
      <c r="BF456"/>
    </row>
    <row r="457" spans="15:58" ht="14.4">
      <c r="O457" s="113"/>
      <c r="P457" s="113" t="s">
        <v>287</v>
      </c>
      <c r="Q457" s="23" t="s">
        <v>198</v>
      </c>
      <c r="R457" s="73" t="str">
        <f t="shared" si="24"/>
        <v>BronzeStraight</v>
      </c>
      <c r="S457" s="73" t="s">
        <v>284</v>
      </c>
      <c r="T457" s="73" t="s">
        <v>149</v>
      </c>
      <c r="U457" s="73">
        <v>0</v>
      </c>
      <c r="V457" s="73" t="s">
        <v>149</v>
      </c>
      <c r="BF457"/>
    </row>
    <row r="458" spans="15:58" ht="14.4">
      <c r="O458" s="113"/>
      <c r="P458" s="113" t="s">
        <v>286</v>
      </c>
      <c r="Q458" s="23" t="s">
        <v>817</v>
      </c>
      <c r="R458" s="73" t="str">
        <f t="shared" si="24"/>
        <v>Classic WhiteBent</v>
      </c>
      <c r="S458" s="73" t="s">
        <v>284</v>
      </c>
      <c r="T458" s="73" t="s">
        <v>149</v>
      </c>
      <c r="U458" s="73">
        <v>0</v>
      </c>
      <c r="V458" s="73" t="s">
        <v>149</v>
      </c>
      <c r="BF458"/>
    </row>
    <row r="459" spans="15:58" ht="14.4">
      <c r="O459" s="113"/>
      <c r="P459" s="113" t="s">
        <v>286</v>
      </c>
      <c r="Q459" s="23" t="s">
        <v>198</v>
      </c>
      <c r="R459" s="73" t="str">
        <f t="shared" si="24"/>
        <v>Classic WhiteStraight</v>
      </c>
      <c r="S459" s="73" t="s">
        <v>284</v>
      </c>
      <c r="T459" s="73" t="s">
        <v>149</v>
      </c>
      <c r="U459" s="73">
        <v>0</v>
      </c>
      <c r="V459" s="73" t="s">
        <v>149</v>
      </c>
      <c r="BF459"/>
    </row>
    <row r="460" spans="15:58" ht="14.4">
      <c r="O460" s="113"/>
      <c r="P460" s="113" t="s">
        <v>228</v>
      </c>
      <c r="Q460" s="23" t="s">
        <v>817</v>
      </c>
      <c r="R460" s="73" t="str">
        <f t="shared" si="24"/>
        <v>IvoryBent</v>
      </c>
      <c r="S460" s="73" t="s">
        <v>284</v>
      </c>
      <c r="T460" s="73" t="s">
        <v>149</v>
      </c>
      <c r="U460" s="73">
        <v>0</v>
      </c>
      <c r="V460" s="73" t="s">
        <v>149</v>
      </c>
      <c r="BF460"/>
    </row>
    <row r="461" spans="15:58" ht="14.4">
      <c r="O461" s="113"/>
      <c r="P461" s="113" t="s">
        <v>228</v>
      </c>
      <c r="Q461" s="23" t="s">
        <v>198</v>
      </c>
      <c r="R461" s="73" t="str">
        <f t="shared" si="24"/>
        <v>IvoryStraight</v>
      </c>
      <c r="S461" s="73" t="s">
        <v>284</v>
      </c>
      <c r="T461" s="73" t="s">
        <v>149</v>
      </c>
      <c r="U461" s="73">
        <v>0</v>
      </c>
      <c r="V461" s="73" t="s">
        <v>149</v>
      </c>
      <c r="BF461"/>
    </row>
    <row r="462" spans="15:58" ht="14.4">
      <c r="O462" s="113"/>
      <c r="P462" s="113" t="s">
        <v>288</v>
      </c>
      <c r="Q462" s="23" t="s">
        <v>817</v>
      </c>
      <c r="R462" s="73" t="str">
        <f t="shared" si="24"/>
        <v>PewterBent</v>
      </c>
      <c r="S462" s="73" t="s">
        <v>284</v>
      </c>
      <c r="T462" s="73" t="s">
        <v>149</v>
      </c>
      <c r="U462" s="73">
        <v>0</v>
      </c>
      <c r="V462" s="73" t="s">
        <v>149</v>
      </c>
      <c r="BF462"/>
    </row>
    <row r="463" spans="15:58" ht="14.4">
      <c r="O463" s="113"/>
      <c r="P463" s="113" t="s">
        <v>288</v>
      </c>
      <c r="Q463" s="23" t="s">
        <v>198</v>
      </c>
      <c r="R463" s="73" t="str">
        <f t="shared" si="24"/>
        <v>PewterStraight</v>
      </c>
      <c r="S463" s="73" t="s">
        <v>284</v>
      </c>
      <c r="T463" s="73" t="s">
        <v>149</v>
      </c>
      <c r="U463" s="73">
        <v>0</v>
      </c>
      <c r="V463" s="73" t="s">
        <v>149</v>
      </c>
      <c r="BF463"/>
    </row>
    <row r="464" spans="15:58" ht="14.4">
      <c r="O464" s="113"/>
      <c r="P464" s="113" t="s">
        <v>285</v>
      </c>
      <c r="Q464" s="23" t="s">
        <v>817</v>
      </c>
      <c r="R464" s="73" t="str">
        <f t="shared" si="24"/>
        <v>RiverstoneBent</v>
      </c>
      <c r="S464" s="73" t="s">
        <v>284</v>
      </c>
      <c r="T464" s="73" t="s">
        <v>149</v>
      </c>
      <c r="U464" s="73">
        <v>0</v>
      </c>
      <c r="V464" s="73" t="s">
        <v>149</v>
      </c>
      <c r="BF464"/>
    </row>
    <row r="465" spans="15:58" ht="14.4">
      <c r="O465" s="113"/>
      <c r="P465" s="113" t="s">
        <v>285</v>
      </c>
      <c r="Q465" s="23" t="s">
        <v>198</v>
      </c>
      <c r="R465" s="73" t="str">
        <f t="shared" si="24"/>
        <v>RiverstoneStraight</v>
      </c>
      <c r="S465" s="73" t="s">
        <v>284</v>
      </c>
      <c r="T465" s="73" t="s">
        <v>149</v>
      </c>
      <c r="U465" s="73">
        <v>0</v>
      </c>
      <c r="V465" s="73" t="s">
        <v>149</v>
      </c>
      <c r="BF465"/>
    </row>
    <row r="466" spans="15:58" ht="14.4">
      <c r="O466" s="113"/>
      <c r="P466" s="113" t="s">
        <v>289</v>
      </c>
      <c r="Q466" s="23" t="s">
        <v>817</v>
      </c>
      <c r="R466" s="73" t="str">
        <f t="shared" si="24"/>
        <v>Silver PearlBent</v>
      </c>
      <c r="S466" s="73" t="s">
        <v>284</v>
      </c>
      <c r="T466" s="73" t="s">
        <v>149</v>
      </c>
      <c r="U466" s="73">
        <v>0</v>
      </c>
      <c r="V466" s="73" t="s">
        <v>149</v>
      </c>
      <c r="BF466"/>
    </row>
    <row r="467" spans="15:58" ht="14.4">
      <c r="O467" s="113"/>
      <c r="P467" s="113" t="s">
        <v>289</v>
      </c>
      <c r="Q467" s="23" t="s">
        <v>198</v>
      </c>
      <c r="R467" s="73" t="str">
        <f t="shared" si="24"/>
        <v>Silver PearlStraight</v>
      </c>
      <c r="S467" s="73" t="s">
        <v>284</v>
      </c>
      <c r="T467" s="73" t="s">
        <v>149</v>
      </c>
      <c r="U467" s="73">
        <v>0</v>
      </c>
      <c r="V467" s="73" t="s">
        <v>149</v>
      </c>
      <c r="BF467"/>
    </row>
    <row r="468" spans="15:58" ht="14.4">
      <c r="O468" s="113" t="s">
        <v>592</v>
      </c>
      <c r="P468" s="113" t="s">
        <v>222</v>
      </c>
      <c r="Q468" s="23" t="s">
        <v>817</v>
      </c>
      <c r="R468" s="73" t="str">
        <f t="shared" si="24"/>
        <v>Vanda Versatrak 16 Rod with RingsBlackBent</v>
      </c>
      <c r="S468" s="73" t="s">
        <v>284</v>
      </c>
      <c r="T468" s="73" t="s">
        <v>149</v>
      </c>
      <c r="U468" s="73">
        <v>0</v>
      </c>
      <c r="V468" s="73" t="s">
        <v>149</v>
      </c>
      <c r="BF468"/>
    </row>
    <row r="469" spans="15:58" ht="14.4">
      <c r="O469" s="113" t="s">
        <v>592</v>
      </c>
      <c r="P469" s="113" t="s">
        <v>222</v>
      </c>
      <c r="Q469" s="23" t="s">
        <v>198</v>
      </c>
      <c r="R469" s="73" t="str">
        <f t="shared" si="24"/>
        <v>Vanda Versatrak 16 Rod with RingsBlackStraight</v>
      </c>
      <c r="S469" s="73" t="s">
        <v>284</v>
      </c>
      <c r="T469" s="73" t="s">
        <v>149</v>
      </c>
      <c r="U469" s="73">
        <v>0</v>
      </c>
      <c r="V469" s="73" t="s">
        <v>149</v>
      </c>
      <c r="BF469"/>
    </row>
    <row r="470" spans="15:58" ht="14.4">
      <c r="O470" s="113" t="s">
        <v>592</v>
      </c>
      <c r="P470" s="113" t="s">
        <v>287</v>
      </c>
      <c r="Q470" s="23" t="s">
        <v>817</v>
      </c>
      <c r="R470" s="73" t="str">
        <f t="shared" si="24"/>
        <v>Vanda Versatrak 16 Rod with RingsBronzeBent</v>
      </c>
      <c r="S470" s="73" t="s">
        <v>284</v>
      </c>
      <c r="T470" s="73" t="s">
        <v>149</v>
      </c>
      <c r="U470" s="73">
        <v>0</v>
      </c>
      <c r="V470" s="73" t="s">
        <v>149</v>
      </c>
      <c r="BF470"/>
    </row>
    <row r="471" spans="15:58" ht="14.4">
      <c r="O471" s="113" t="s">
        <v>592</v>
      </c>
      <c r="P471" s="113" t="s">
        <v>287</v>
      </c>
      <c r="Q471" s="23" t="s">
        <v>198</v>
      </c>
      <c r="R471" s="73" t="str">
        <f t="shared" si="24"/>
        <v>Vanda Versatrak 16 Rod with RingsBronzeStraight</v>
      </c>
      <c r="S471" s="73" t="s">
        <v>284</v>
      </c>
      <c r="T471" s="73" t="s">
        <v>149</v>
      </c>
      <c r="U471" s="73">
        <v>0</v>
      </c>
      <c r="V471" s="73" t="s">
        <v>149</v>
      </c>
      <c r="BF471"/>
    </row>
    <row r="472" spans="15:58" ht="14.4">
      <c r="O472" s="113" t="s">
        <v>592</v>
      </c>
      <c r="P472" s="113" t="s">
        <v>286</v>
      </c>
      <c r="Q472" s="23" t="s">
        <v>817</v>
      </c>
      <c r="R472" s="73" t="str">
        <f t="shared" si="24"/>
        <v>Vanda Versatrak 16 Rod with RingsClassic WhiteBent</v>
      </c>
      <c r="S472" s="73" t="s">
        <v>284</v>
      </c>
      <c r="T472" s="73" t="s">
        <v>149</v>
      </c>
      <c r="U472" s="73">
        <v>0</v>
      </c>
      <c r="V472" s="73" t="s">
        <v>149</v>
      </c>
      <c r="BF472"/>
    </row>
    <row r="473" spans="15:58" ht="14.4">
      <c r="O473" s="113" t="s">
        <v>592</v>
      </c>
      <c r="P473" s="113" t="s">
        <v>286</v>
      </c>
      <c r="Q473" s="23" t="s">
        <v>198</v>
      </c>
      <c r="R473" s="73" t="str">
        <f t="shared" si="24"/>
        <v>Vanda Versatrak 16 Rod with RingsClassic WhiteStraight</v>
      </c>
      <c r="S473" s="73" t="s">
        <v>284</v>
      </c>
      <c r="T473" s="73" t="s">
        <v>149</v>
      </c>
      <c r="U473" s="73">
        <v>0</v>
      </c>
      <c r="V473" s="73" t="s">
        <v>149</v>
      </c>
      <c r="BF473"/>
    </row>
    <row r="474" spans="15:58" ht="14.4">
      <c r="O474" s="113" t="s">
        <v>592</v>
      </c>
      <c r="P474" s="113" t="s">
        <v>228</v>
      </c>
      <c r="Q474" s="23" t="s">
        <v>817</v>
      </c>
      <c r="R474" s="73" t="str">
        <f t="shared" si="24"/>
        <v>Vanda Versatrak 16 Rod with RingsIvoryBent</v>
      </c>
      <c r="S474" s="73" t="s">
        <v>284</v>
      </c>
      <c r="T474" s="73" t="s">
        <v>149</v>
      </c>
      <c r="U474" s="73">
        <v>0</v>
      </c>
      <c r="V474" s="73" t="s">
        <v>149</v>
      </c>
      <c r="BF474"/>
    </row>
    <row r="475" spans="15:58" ht="14.4">
      <c r="O475" s="113" t="s">
        <v>592</v>
      </c>
      <c r="P475" s="113" t="s">
        <v>228</v>
      </c>
      <c r="Q475" s="23" t="s">
        <v>198</v>
      </c>
      <c r="R475" s="73" t="str">
        <f t="shared" si="24"/>
        <v>Vanda Versatrak 16 Rod with RingsIvoryStraight</v>
      </c>
      <c r="S475" s="73" t="s">
        <v>284</v>
      </c>
      <c r="T475" s="73" t="s">
        <v>149</v>
      </c>
      <c r="U475" s="73">
        <v>0</v>
      </c>
      <c r="V475" s="73" t="s">
        <v>149</v>
      </c>
      <c r="BF475"/>
    </row>
    <row r="476" spans="15:58" ht="14.4">
      <c r="O476" s="113" t="s">
        <v>592</v>
      </c>
      <c r="P476" s="113" t="s">
        <v>288</v>
      </c>
      <c r="Q476" s="23" t="s">
        <v>817</v>
      </c>
      <c r="R476" s="73" t="str">
        <f t="shared" si="24"/>
        <v>Vanda Versatrak 16 Rod with RingsPewterBent</v>
      </c>
      <c r="S476" s="73" t="s">
        <v>284</v>
      </c>
      <c r="T476" s="73" t="s">
        <v>149</v>
      </c>
      <c r="U476" s="73">
        <v>0</v>
      </c>
      <c r="V476" s="73" t="s">
        <v>149</v>
      </c>
      <c r="BF476"/>
    </row>
    <row r="477" spans="15:58" ht="14.4">
      <c r="O477" s="113" t="s">
        <v>592</v>
      </c>
      <c r="P477" s="113" t="s">
        <v>288</v>
      </c>
      <c r="Q477" s="23" t="s">
        <v>198</v>
      </c>
      <c r="R477" s="73" t="str">
        <f t="shared" si="24"/>
        <v>Vanda Versatrak 16 Rod with RingsPewterStraight</v>
      </c>
      <c r="S477" s="73" t="s">
        <v>284</v>
      </c>
      <c r="T477" s="73" t="s">
        <v>149</v>
      </c>
      <c r="U477" s="73">
        <v>0</v>
      </c>
      <c r="V477" s="73" t="s">
        <v>149</v>
      </c>
      <c r="BF477"/>
    </row>
    <row r="478" spans="15:58" ht="14.4">
      <c r="O478" s="113" t="s">
        <v>592</v>
      </c>
      <c r="P478" s="113" t="s">
        <v>285</v>
      </c>
      <c r="Q478" s="23" t="s">
        <v>817</v>
      </c>
      <c r="R478" s="73" t="str">
        <f t="shared" si="24"/>
        <v>Vanda Versatrak 16 Rod with RingsRiverstoneBent</v>
      </c>
      <c r="S478" s="73" t="s">
        <v>284</v>
      </c>
      <c r="T478" s="73" t="s">
        <v>149</v>
      </c>
      <c r="U478" s="73">
        <v>0</v>
      </c>
      <c r="V478" s="73" t="s">
        <v>149</v>
      </c>
      <c r="BF478"/>
    </row>
    <row r="479" spans="15:58" ht="14.4">
      <c r="O479" s="113" t="s">
        <v>592</v>
      </c>
      <c r="P479" s="113" t="s">
        <v>285</v>
      </c>
      <c r="Q479" s="23" t="s">
        <v>198</v>
      </c>
      <c r="R479" s="73" t="str">
        <f t="shared" si="24"/>
        <v>Vanda Versatrak 16 Rod with RingsRiverstoneStraight</v>
      </c>
      <c r="S479" s="73" t="s">
        <v>284</v>
      </c>
      <c r="T479" s="73" t="s">
        <v>149</v>
      </c>
      <c r="U479" s="73">
        <v>0</v>
      </c>
      <c r="V479" s="73" t="s">
        <v>149</v>
      </c>
      <c r="BF479"/>
    </row>
    <row r="480" spans="15:58" ht="14.4">
      <c r="O480" s="113" t="s">
        <v>592</v>
      </c>
      <c r="P480" s="113" t="s">
        <v>289</v>
      </c>
      <c r="Q480" s="23" t="s">
        <v>817</v>
      </c>
      <c r="R480" s="73" t="str">
        <f t="shared" si="24"/>
        <v>Vanda Versatrak 16 Rod with RingsSilver PearlBent</v>
      </c>
      <c r="S480" s="73" t="s">
        <v>284</v>
      </c>
      <c r="T480" s="73" t="s">
        <v>149</v>
      </c>
      <c r="U480" s="73">
        <v>0</v>
      </c>
      <c r="V480" s="73" t="s">
        <v>149</v>
      </c>
      <c r="BF480"/>
    </row>
    <row r="481" spans="15:58" ht="14.4">
      <c r="O481" s="113" t="s">
        <v>592</v>
      </c>
      <c r="P481" s="113" t="s">
        <v>289</v>
      </c>
      <c r="Q481" s="23" t="s">
        <v>198</v>
      </c>
      <c r="R481" s="73" t="str">
        <f t="shared" si="24"/>
        <v>Vanda Versatrak 16 Rod with RingsSilver PearlStraight</v>
      </c>
      <c r="S481" s="73" t="s">
        <v>284</v>
      </c>
      <c r="T481" s="73" t="s">
        <v>149</v>
      </c>
      <c r="U481" s="73">
        <v>0</v>
      </c>
      <c r="V481" s="73" t="s">
        <v>149</v>
      </c>
      <c r="BF481"/>
    </row>
    <row r="482" spans="15:58" ht="14.4">
      <c r="O482" s="113" t="s">
        <v>295</v>
      </c>
      <c r="P482" s="113" t="s">
        <v>222</v>
      </c>
      <c r="Q482" s="23" t="s">
        <v>817</v>
      </c>
      <c r="R482" s="73" t="str">
        <f t="shared" si="24"/>
        <v>Vanda Versatrak 25 Rod with GlidesBlackBent</v>
      </c>
      <c r="S482" s="73" t="s">
        <v>284</v>
      </c>
      <c r="T482" s="73" t="s">
        <v>149</v>
      </c>
      <c r="U482" s="73">
        <v>0</v>
      </c>
      <c r="V482" s="73" t="s">
        <v>149</v>
      </c>
      <c r="BF482"/>
    </row>
    <row r="483" spans="15:58" ht="14.4">
      <c r="O483" s="113" t="s">
        <v>295</v>
      </c>
      <c r="P483" s="113" t="s">
        <v>222</v>
      </c>
      <c r="Q483" s="23" t="s">
        <v>198</v>
      </c>
      <c r="R483" s="73" t="str">
        <f t="shared" si="24"/>
        <v>Vanda Versatrak 25 Rod with GlidesBlackStraight</v>
      </c>
      <c r="S483" s="73" t="s">
        <v>284</v>
      </c>
      <c r="T483" s="73" t="s">
        <v>149</v>
      </c>
      <c r="U483" s="73">
        <v>0</v>
      </c>
      <c r="V483" s="73" t="s">
        <v>149</v>
      </c>
      <c r="BF483"/>
    </row>
    <row r="484" spans="15:58" ht="14.4">
      <c r="O484" s="113" t="s">
        <v>295</v>
      </c>
      <c r="P484" s="113" t="s">
        <v>287</v>
      </c>
      <c r="Q484" s="23" t="s">
        <v>817</v>
      </c>
      <c r="R484" s="73" t="str">
        <f t="shared" si="24"/>
        <v>Vanda Versatrak 25 Rod with GlidesBronzeBent</v>
      </c>
      <c r="S484" s="73" t="s">
        <v>284</v>
      </c>
      <c r="T484" s="73" t="s">
        <v>149</v>
      </c>
      <c r="U484" s="73">
        <v>0</v>
      </c>
      <c r="V484" s="73" t="s">
        <v>149</v>
      </c>
      <c r="BF484"/>
    </row>
    <row r="485" spans="15:58" ht="14.4">
      <c r="O485" s="113" t="s">
        <v>295</v>
      </c>
      <c r="P485" s="113" t="s">
        <v>287</v>
      </c>
      <c r="Q485" s="23" t="s">
        <v>198</v>
      </c>
      <c r="R485" s="73" t="str">
        <f t="shared" si="24"/>
        <v>Vanda Versatrak 25 Rod with GlidesBronzeStraight</v>
      </c>
      <c r="S485" s="73" t="s">
        <v>284</v>
      </c>
      <c r="T485" s="73" t="s">
        <v>149</v>
      </c>
      <c r="U485" s="73">
        <v>0</v>
      </c>
      <c r="V485" s="73" t="s">
        <v>149</v>
      </c>
      <c r="BF485"/>
    </row>
    <row r="486" spans="15:58" ht="14.4">
      <c r="O486" s="113" t="s">
        <v>295</v>
      </c>
      <c r="P486" s="113" t="s">
        <v>286</v>
      </c>
      <c r="Q486" s="23" t="s">
        <v>817</v>
      </c>
      <c r="R486" s="73" t="str">
        <f t="shared" si="24"/>
        <v>Vanda Versatrak 25 Rod with GlidesClassic WhiteBent</v>
      </c>
      <c r="S486" s="73" t="s">
        <v>284</v>
      </c>
      <c r="T486" s="73" t="s">
        <v>149</v>
      </c>
      <c r="U486" s="73">
        <v>0</v>
      </c>
      <c r="V486" s="73" t="s">
        <v>149</v>
      </c>
      <c r="BF486"/>
    </row>
    <row r="487" spans="15:58" ht="14.4">
      <c r="O487" s="113" t="s">
        <v>295</v>
      </c>
      <c r="P487" s="113" t="s">
        <v>286</v>
      </c>
      <c r="Q487" s="23" t="s">
        <v>198</v>
      </c>
      <c r="R487" s="73" t="str">
        <f t="shared" si="24"/>
        <v>Vanda Versatrak 25 Rod with GlidesClassic WhiteStraight</v>
      </c>
      <c r="S487" s="73" t="s">
        <v>284</v>
      </c>
      <c r="T487" s="73" t="s">
        <v>149</v>
      </c>
      <c r="U487" s="73">
        <v>0</v>
      </c>
      <c r="V487" s="73" t="s">
        <v>149</v>
      </c>
      <c r="BF487"/>
    </row>
    <row r="488" spans="15:58" ht="14.4">
      <c r="O488" s="113" t="s">
        <v>295</v>
      </c>
      <c r="P488" s="113" t="s">
        <v>228</v>
      </c>
      <c r="Q488" s="23" t="s">
        <v>817</v>
      </c>
      <c r="R488" s="73" t="str">
        <f t="shared" si="24"/>
        <v>Vanda Versatrak 25 Rod with GlidesIvoryBent</v>
      </c>
      <c r="S488" s="73" t="s">
        <v>284</v>
      </c>
      <c r="T488" s="73" t="s">
        <v>149</v>
      </c>
      <c r="U488" s="73">
        <v>0</v>
      </c>
      <c r="V488" s="73" t="s">
        <v>149</v>
      </c>
      <c r="BF488"/>
    </row>
    <row r="489" spans="15:58" ht="14.4">
      <c r="O489" s="113" t="s">
        <v>295</v>
      </c>
      <c r="P489" s="113" t="s">
        <v>228</v>
      </c>
      <c r="Q489" s="23" t="s">
        <v>198</v>
      </c>
      <c r="R489" s="73" t="str">
        <f t="shared" si="24"/>
        <v>Vanda Versatrak 25 Rod with GlidesIvoryStraight</v>
      </c>
      <c r="S489" s="73" t="s">
        <v>284</v>
      </c>
      <c r="T489" s="73" t="s">
        <v>149</v>
      </c>
      <c r="U489" s="73">
        <v>0</v>
      </c>
      <c r="V489" s="73" t="s">
        <v>149</v>
      </c>
      <c r="BF489"/>
    </row>
    <row r="490" spans="15:58" ht="14.4">
      <c r="O490" s="113" t="s">
        <v>295</v>
      </c>
      <c r="P490" s="113" t="s">
        <v>288</v>
      </c>
      <c r="Q490" s="23" t="s">
        <v>817</v>
      </c>
      <c r="R490" s="73" t="str">
        <f t="shared" si="24"/>
        <v>Vanda Versatrak 25 Rod with GlidesPewterBent</v>
      </c>
      <c r="S490" s="73" t="s">
        <v>284</v>
      </c>
      <c r="T490" s="73" t="s">
        <v>149</v>
      </c>
      <c r="U490" s="73">
        <v>0</v>
      </c>
      <c r="V490" s="73" t="s">
        <v>149</v>
      </c>
      <c r="BF490"/>
    </row>
    <row r="491" spans="15:58" ht="14.4">
      <c r="O491" s="112" t="s">
        <v>295</v>
      </c>
      <c r="P491" s="112" t="s">
        <v>288</v>
      </c>
      <c r="Q491" s="112" t="s">
        <v>198</v>
      </c>
      <c r="R491" s="73" t="str">
        <f t="shared" si="24"/>
        <v>Vanda Versatrak 25 Rod with GlidesPewterStraight</v>
      </c>
      <c r="S491" s="73" t="s">
        <v>284</v>
      </c>
      <c r="T491" s="73" t="s">
        <v>149</v>
      </c>
      <c r="U491" s="73">
        <v>0</v>
      </c>
      <c r="V491" s="73" t="s">
        <v>149</v>
      </c>
      <c r="BF491"/>
    </row>
    <row r="492" spans="15:58" ht="14.4">
      <c r="O492" s="112" t="s">
        <v>295</v>
      </c>
      <c r="P492" s="112" t="s">
        <v>285</v>
      </c>
      <c r="Q492" s="112" t="s">
        <v>817</v>
      </c>
      <c r="R492" s="73" t="str">
        <f t="shared" si="24"/>
        <v>Vanda Versatrak 25 Rod with GlidesRiverstoneBent</v>
      </c>
      <c r="S492" s="73" t="s">
        <v>284</v>
      </c>
      <c r="T492" s="73" t="s">
        <v>149</v>
      </c>
      <c r="U492" s="73">
        <v>0</v>
      </c>
      <c r="V492" s="73" t="s">
        <v>149</v>
      </c>
      <c r="BF492"/>
    </row>
    <row r="493" spans="15:58" ht="14.4">
      <c r="O493" s="112" t="s">
        <v>295</v>
      </c>
      <c r="P493" s="112" t="s">
        <v>285</v>
      </c>
      <c r="Q493" s="112" t="s">
        <v>198</v>
      </c>
      <c r="R493" s="73" t="str">
        <f t="shared" si="24"/>
        <v>Vanda Versatrak 25 Rod with GlidesRiverstoneStraight</v>
      </c>
      <c r="S493" s="73" t="s">
        <v>284</v>
      </c>
      <c r="T493" s="73" t="s">
        <v>149</v>
      </c>
      <c r="U493" s="73">
        <v>0</v>
      </c>
      <c r="V493" s="73" t="s">
        <v>149</v>
      </c>
      <c r="BF493"/>
    </row>
    <row r="494" spans="15:58" ht="14.4">
      <c r="O494" s="112" t="s">
        <v>295</v>
      </c>
      <c r="P494" s="112" t="s">
        <v>289</v>
      </c>
      <c r="Q494" s="112" t="s">
        <v>817</v>
      </c>
      <c r="R494" s="73" t="str">
        <f t="shared" si="24"/>
        <v>Vanda Versatrak 25 Rod with GlidesSilver PearlBent</v>
      </c>
      <c r="S494" s="73" t="s">
        <v>284</v>
      </c>
      <c r="T494" s="73" t="s">
        <v>149</v>
      </c>
      <c r="U494" s="73">
        <v>0</v>
      </c>
      <c r="V494" s="73" t="s">
        <v>149</v>
      </c>
      <c r="BF494"/>
    </row>
    <row r="495" spans="15:58" ht="14.4">
      <c r="O495" s="113" t="s">
        <v>295</v>
      </c>
      <c r="P495" s="113" t="s">
        <v>289</v>
      </c>
      <c r="Q495" s="23" t="s">
        <v>198</v>
      </c>
      <c r="R495" s="73" t="str">
        <f t="shared" si="24"/>
        <v>Vanda Versatrak 25 Rod with GlidesSilver PearlStraight</v>
      </c>
      <c r="S495" s="73" t="s">
        <v>284</v>
      </c>
      <c r="T495" s="73" t="s">
        <v>149</v>
      </c>
      <c r="U495" s="73">
        <v>0</v>
      </c>
      <c r="V495" s="73" t="s">
        <v>149</v>
      </c>
      <c r="BF495"/>
    </row>
    <row r="496" spans="15:58" ht="14.4">
      <c r="O496" s="113" t="s">
        <v>593</v>
      </c>
      <c r="P496" s="113" t="s">
        <v>222</v>
      </c>
      <c r="Q496" s="23" t="s">
        <v>817</v>
      </c>
      <c r="R496" s="73" t="str">
        <f t="shared" si="24"/>
        <v>Vanda Versatrak 25 Rod with RingsBlackBent</v>
      </c>
      <c r="S496" s="73" t="s">
        <v>284</v>
      </c>
      <c r="T496" s="73" t="s">
        <v>149</v>
      </c>
      <c r="U496" s="73">
        <v>0</v>
      </c>
      <c r="V496" s="73" t="s">
        <v>149</v>
      </c>
      <c r="BF496"/>
    </row>
    <row r="497" spans="15:58" ht="14.4">
      <c r="O497" s="113" t="s">
        <v>593</v>
      </c>
      <c r="P497" s="113" t="s">
        <v>222</v>
      </c>
      <c r="Q497" s="23" t="s">
        <v>198</v>
      </c>
      <c r="R497" s="73" t="str">
        <f t="shared" si="24"/>
        <v>Vanda Versatrak 25 Rod with RingsBlackStraight</v>
      </c>
      <c r="S497" s="73" t="s">
        <v>284</v>
      </c>
      <c r="T497" s="73" t="s">
        <v>149</v>
      </c>
      <c r="U497" s="73">
        <v>0</v>
      </c>
      <c r="V497" s="73" t="s">
        <v>149</v>
      </c>
      <c r="BF497"/>
    </row>
    <row r="498" spans="15:58" ht="14.4">
      <c r="O498" s="113" t="s">
        <v>593</v>
      </c>
      <c r="P498" s="113" t="s">
        <v>287</v>
      </c>
      <c r="Q498" s="23" t="s">
        <v>817</v>
      </c>
      <c r="R498" s="73" t="str">
        <f t="shared" si="24"/>
        <v>Vanda Versatrak 25 Rod with RingsBronzeBent</v>
      </c>
      <c r="S498" s="73" t="s">
        <v>284</v>
      </c>
      <c r="T498" s="73" t="s">
        <v>149</v>
      </c>
      <c r="U498" s="73">
        <v>0</v>
      </c>
      <c r="V498" s="73" t="s">
        <v>149</v>
      </c>
      <c r="BF498"/>
    </row>
    <row r="499" spans="15:58" ht="14.4">
      <c r="O499" s="113" t="s">
        <v>593</v>
      </c>
      <c r="P499" s="113" t="s">
        <v>287</v>
      </c>
      <c r="Q499" s="23" t="s">
        <v>198</v>
      </c>
      <c r="R499" s="73" t="str">
        <f t="shared" si="24"/>
        <v>Vanda Versatrak 25 Rod with RingsBronzeStraight</v>
      </c>
      <c r="S499" s="73" t="s">
        <v>284</v>
      </c>
      <c r="T499" s="73" t="s">
        <v>149</v>
      </c>
      <c r="U499" s="73">
        <v>0</v>
      </c>
      <c r="V499" s="73" t="s">
        <v>149</v>
      </c>
      <c r="BF499"/>
    </row>
    <row r="500" spans="15:58" ht="14.4">
      <c r="O500" s="113" t="s">
        <v>593</v>
      </c>
      <c r="P500" s="113" t="s">
        <v>286</v>
      </c>
      <c r="Q500" s="23" t="s">
        <v>817</v>
      </c>
      <c r="R500" s="73" t="str">
        <f t="shared" si="24"/>
        <v>Vanda Versatrak 25 Rod with RingsClassic WhiteBent</v>
      </c>
      <c r="S500" s="73" t="s">
        <v>284</v>
      </c>
      <c r="T500" s="73" t="s">
        <v>149</v>
      </c>
      <c r="U500" s="73">
        <v>0</v>
      </c>
      <c r="V500" s="73" t="s">
        <v>149</v>
      </c>
      <c r="BF500"/>
    </row>
    <row r="501" spans="15:58" ht="14.4">
      <c r="O501" s="113" t="s">
        <v>593</v>
      </c>
      <c r="P501" s="113" t="s">
        <v>286</v>
      </c>
      <c r="Q501" s="23" t="s">
        <v>198</v>
      </c>
      <c r="R501" s="73" t="str">
        <f t="shared" si="24"/>
        <v>Vanda Versatrak 25 Rod with RingsClassic WhiteStraight</v>
      </c>
      <c r="S501" s="73" t="s">
        <v>284</v>
      </c>
      <c r="T501" s="73" t="s">
        <v>149</v>
      </c>
      <c r="U501" s="73">
        <v>0</v>
      </c>
      <c r="V501" s="73" t="s">
        <v>149</v>
      </c>
      <c r="BF501"/>
    </row>
    <row r="502" spans="15:58" ht="14.4">
      <c r="O502" s="113" t="s">
        <v>593</v>
      </c>
      <c r="P502" s="113" t="s">
        <v>228</v>
      </c>
      <c r="Q502" s="23" t="s">
        <v>817</v>
      </c>
      <c r="R502" s="73" t="str">
        <f t="shared" si="24"/>
        <v>Vanda Versatrak 25 Rod with RingsIvoryBent</v>
      </c>
      <c r="S502" s="73" t="s">
        <v>284</v>
      </c>
      <c r="T502" s="73" t="s">
        <v>149</v>
      </c>
      <c r="U502" s="73">
        <v>0</v>
      </c>
      <c r="V502" s="73" t="s">
        <v>149</v>
      </c>
      <c r="BF502"/>
    </row>
    <row r="503" spans="15:58" ht="14.4">
      <c r="O503" s="113" t="s">
        <v>593</v>
      </c>
      <c r="P503" s="113" t="s">
        <v>228</v>
      </c>
      <c r="Q503" s="23" t="s">
        <v>198</v>
      </c>
      <c r="R503" s="73" t="str">
        <f t="shared" si="24"/>
        <v>Vanda Versatrak 25 Rod with RingsIvoryStraight</v>
      </c>
      <c r="S503" s="73" t="s">
        <v>284</v>
      </c>
      <c r="T503" s="73" t="s">
        <v>149</v>
      </c>
      <c r="U503" s="73">
        <v>0</v>
      </c>
      <c r="V503" s="73" t="s">
        <v>149</v>
      </c>
      <c r="BF503"/>
    </row>
    <row r="504" spans="15:58" ht="14.4">
      <c r="O504" s="113" t="s">
        <v>593</v>
      </c>
      <c r="P504" s="113" t="s">
        <v>288</v>
      </c>
      <c r="Q504" s="23" t="s">
        <v>817</v>
      </c>
      <c r="R504" s="73" t="str">
        <f t="shared" si="24"/>
        <v>Vanda Versatrak 25 Rod with RingsPewterBent</v>
      </c>
      <c r="S504" s="73" t="s">
        <v>284</v>
      </c>
      <c r="T504" s="73" t="s">
        <v>149</v>
      </c>
      <c r="U504" s="73">
        <v>0</v>
      </c>
      <c r="V504" s="73" t="s">
        <v>149</v>
      </c>
      <c r="BF504"/>
    </row>
    <row r="505" spans="15:58" ht="14.4">
      <c r="O505" s="113" t="s">
        <v>593</v>
      </c>
      <c r="P505" s="113" t="s">
        <v>288</v>
      </c>
      <c r="Q505" s="23" t="s">
        <v>198</v>
      </c>
      <c r="R505" s="73" t="str">
        <f t="shared" si="24"/>
        <v>Vanda Versatrak 25 Rod with RingsPewterStraight</v>
      </c>
      <c r="S505" s="73" t="s">
        <v>284</v>
      </c>
      <c r="T505" s="73" t="s">
        <v>149</v>
      </c>
      <c r="U505" s="73">
        <v>0</v>
      </c>
      <c r="V505" s="73" t="s">
        <v>149</v>
      </c>
      <c r="BF505"/>
    </row>
    <row r="506" spans="15:58" ht="14.4">
      <c r="O506" s="113" t="s">
        <v>593</v>
      </c>
      <c r="P506" s="113" t="s">
        <v>285</v>
      </c>
      <c r="Q506" s="23" t="s">
        <v>817</v>
      </c>
      <c r="R506" s="73" t="str">
        <f t="shared" si="24"/>
        <v>Vanda Versatrak 25 Rod with RingsRiverstoneBent</v>
      </c>
      <c r="S506" s="73" t="s">
        <v>284</v>
      </c>
      <c r="T506" s="73" t="s">
        <v>149</v>
      </c>
      <c r="U506" s="73">
        <v>0</v>
      </c>
      <c r="V506" s="73" t="s">
        <v>149</v>
      </c>
      <c r="BF506"/>
    </row>
    <row r="507" spans="15:58" ht="14.4">
      <c r="O507" s="113" t="s">
        <v>593</v>
      </c>
      <c r="P507" s="113" t="s">
        <v>285</v>
      </c>
      <c r="Q507" s="23" t="s">
        <v>198</v>
      </c>
      <c r="R507" s="73" t="str">
        <f t="shared" si="24"/>
        <v>Vanda Versatrak 25 Rod with RingsRiverstoneStraight</v>
      </c>
      <c r="S507" s="73" t="s">
        <v>284</v>
      </c>
      <c r="T507" s="73" t="s">
        <v>149</v>
      </c>
      <c r="U507" s="73">
        <v>0</v>
      </c>
      <c r="V507" s="73" t="s">
        <v>149</v>
      </c>
      <c r="BF507"/>
    </row>
    <row r="508" spans="15:58" ht="14.4">
      <c r="O508" s="113" t="s">
        <v>593</v>
      </c>
      <c r="P508" s="113" t="s">
        <v>289</v>
      </c>
      <c r="Q508" s="23" t="s">
        <v>817</v>
      </c>
      <c r="R508" s="73" t="str">
        <f t="shared" si="24"/>
        <v>Vanda Versatrak 25 Rod with RingsSilver PearlBent</v>
      </c>
      <c r="S508" s="73" t="s">
        <v>284</v>
      </c>
      <c r="T508" s="73" t="s">
        <v>149</v>
      </c>
      <c r="U508" s="73">
        <v>0</v>
      </c>
      <c r="V508" s="73" t="s">
        <v>149</v>
      </c>
      <c r="BF508"/>
    </row>
    <row r="509" spans="15:58" ht="14.4">
      <c r="O509" s="113" t="s">
        <v>593</v>
      </c>
      <c r="P509" s="113" t="s">
        <v>289</v>
      </c>
      <c r="Q509" s="23" t="s">
        <v>198</v>
      </c>
      <c r="R509" s="73" t="str">
        <f t="shared" si="24"/>
        <v>Vanda Versatrak 25 Rod with RingsSilver PearlStraight</v>
      </c>
      <c r="S509" s="73" t="s">
        <v>284</v>
      </c>
      <c r="T509" s="73" t="s">
        <v>149</v>
      </c>
      <c r="U509" s="73">
        <v>0</v>
      </c>
      <c r="V509" s="73" t="s">
        <v>149</v>
      </c>
      <c r="BF509"/>
    </row>
    <row r="510" spans="15:58" ht="14.4">
      <c r="O510" s="113" t="s">
        <v>275</v>
      </c>
      <c r="P510" s="113" t="s">
        <v>222</v>
      </c>
      <c r="Q510" s="23" t="s">
        <v>817</v>
      </c>
      <c r="R510" s="73" t="str">
        <f t="shared" si="24"/>
        <v>Wavefold Cord OperationBlackBent</v>
      </c>
      <c r="S510" s="73" t="s">
        <v>223</v>
      </c>
      <c r="T510" s="73" t="s">
        <v>149</v>
      </c>
      <c r="U510" s="73">
        <v>0</v>
      </c>
      <c r="V510" s="73" t="s">
        <v>276</v>
      </c>
      <c r="BF510"/>
    </row>
    <row r="511" spans="15:58" ht="14.4">
      <c r="O511" s="113" t="s">
        <v>275</v>
      </c>
      <c r="P511" s="113" t="s">
        <v>222</v>
      </c>
      <c r="Q511" s="23" t="s">
        <v>198</v>
      </c>
      <c r="R511" s="73" t="str">
        <f t="shared" si="24"/>
        <v>Wavefold Cord OperationBlackStraight</v>
      </c>
      <c r="S511" s="73" t="s">
        <v>220</v>
      </c>
      <c r="T511" s="73" t="s">
        <v>149</v>
      </c>
      <c r="U511" s="73">
        <v>0</v>
      </c>
      <c r="V511" s="73" t="s">
        <v>276</v>
      </c>
      <c r="BF511"/>
    </row>
    <row r="512" spans="15:58" ht="14.4">
      <c r="O512" s="113" t="s">
        <v>275</v>
      </c>
      <c r="P512" s="113" t="s">
        <v>371</v>
      </c>
      <c r="Q512" s="23" t="s">
        <v>817</v>
      </c>
      <c r="R512" s="73" t="str">
        <f t="shared" si="24"/>
        <v>Wavefold Cord OperationMatt Black InkBent</v>
      </c>
      <c r="S512" s="73" t="s">
        <v>223</v>
      </c>
      <c r="T512" s="73" t="s">
        <v>149</v>
      </c>
      <c r="U512" s="73">
        <v>0</v>
      </c>
      <c r="V512" s="73" t="s">
        <v>276</v>
      </c>
      <c r="BF512"/>
    </row>
    <row r="513" spans="15:58" ht="14.4">
      <c r="O513" s="113" t="s">
        <v>275</v>
      </c>
      <c r="P513" s="113" t="s">
        <v>371</v>
      </c>
      <c r="Q513" s="23" t="s">
        <v>198</v>
      </c>
      <c r="R513" s="73" t="str">
        <f t="shared" si="24"/>
        <v>Wavefold Cord OperationMatt Black InkStraight</v>
      </c>
      <c r="S513" s="73" t="s">
        <v>220</v>
      </c>
      <c r="T513" s="73" t="s">
        <v>149</v>
      </c>
      <c r="U513" s="73">
        <v>0</v>
      </c>
      <c r="V513" s="73" t="s">
        <v>276</v>
      </c>
      <c r="BF513"/>
    </row>
    <row r="514" spans="15:58" ht="14.4">
      <c r="O514" s="113" t="s">
        <v>275</v>
      </c>
      <c r="P514" s="113" t="s">
        <v>238</v>
      </c>
      <c r="Q514" s="23" t="s">
        <v>817</v>
      </c>
      <c r="R514" s="73" t="str">
        <f t="shared" si="24"/>
        <v>Wavefold Cord OperationMatt SatinBent</v>
      </c>
      <c r="S514" s="73" t="s">
        <v>223</v>
      </c>
      <c r="T514" s="73" t="s">
        <v>149</v>
      </c>
      <c r="U514" s="73">
        <v>0</v>
      </c>
      <c r="V514" s="73" t="s">
        <v>276</v>
      </c>
      <c r="BF514"/>
    </row>
    <row r="515" spans="15:58" ht="14.4">
      <c r="O515" s="113" t="s">
        <v>275</v>
      </c>
      <c r="P515" s="113" t="s">
        <v>238</v>
      </c>
      <c r="Q515" s="23" t="s">
        <v>198</v>
      </c>
      <c r="R515" s="73" t="str">
        <f t="shared" si="25" ref="R515:R557">O515&amp;P515&amp;Q515</f>
        <v>Wavefold Cord OperationMatt SatinStraight</v>
      </c>
      <c r="S515" s="73" t="s">
        <v>220</v>
      </c>
      <c r="T515" s="73" t="s">
        <v>149</v>
      </c>
      <c r="U515" s="73">
        <v>0</v>
      </c>
      <c r="V515" s="73" t="s">
        <v>276</v>
      </c>
      <c r="BF515"/>
    </row>
    <row r="516" spans="15:58" ht="14.4">
      <c r="O516" s="113" t="s">
        <v>275</v>
      </c>
      <c r="P516" s="113" t="s">
        <v>219</v>
      </c>
      <c r="Q516" s="23" t="s">
        <v>817</v>
      </c>
      <c r="R516" s="73" t="str">
        <f t="shared" si="25"/>
        <v>Wavefold Cord OperationWhiteBent</v>
      </c>
      <c r="S516" s="73" t="s">
        <v>223</v>
      </c>
      <c r="T516" s="73" t="s">
        <v>149</v>
      </c>
      <c r="U516" s="73">
        <v>0</v>
      </c>
      <c r="V516" s="73" t="s">
        <v>276</v>
      </c>
      <c r="BF516"/>
    </row>
    <row r="517" spans="15:58" ht="14.4">
      <c r="O517" s="113" t="s">
        <v>275</v>
      </c>
      <c r="P517" s="113" t="s">
        <v>219</v>
      </c>
      <c r="Q517" s="23" t="s">
        <v>198</v>
      </c>
      <c r="R517" s="73" t="str">
        <f t="shared" si="25"/>
        <v>Wavefold Cord OperationWhiteStraight</v>
      </c>
      <c r="S517" s="73" t="s">
        <v>220</v>
      </c>
      <c r="T517" s="73" t="s">
        <v>149</v>
      </c>
      <c r="U517" s="73">
        <v>0</v>
      </c>
      <c r="V517" s="73" t="s">
        <v>276</v>
      </c>
      <c r="BF517"/>
    </row>
    <row r="518" spans="15:58" ht="14.4">
      <c r="O518" s="113" t="s">
        <v>296</v>
      </c>
      <c r="P518" s="113" t="s">
        <v>222</v>
      </c>
      <c r="Q518" s="23" t="s">
        <v>817</v>
      </c>
      <c r="R518" s="73" t="str">
        <f t="shared" si="25"/>
        <v>Wavefold Hand OperationBlackBent</v>
      </c>
      <c r="S518" s="73" t="s">
        <v>223</v>
      </c>
      <c r="T518" s="73" t="s">
        <v>149</v>
      </c>
      <c r="U518" s="73">
        <v>0</v>
      </c>
      <c r="V518" s="73" t="s">
        <v>276</v>
      </c>
      <c r="BF518"/>
    </row>
    <row r="519" spans="15:58" ht="14.4">
      <c r="O519" s="113" t="s">
        <v>296</v>
      </c>
      <c r="P519" s="113" t="s">
        <v>222</v>
      </c>
      <c r="Q519" s="23" t="s">
        <v>198</v>
      </c>
      <c r="R519" s="73" t="str">
        <f t="shared" si="25"/>
        <v>Wavefold Hand OperationBlackStraight</v>
      </c>
      <c r="S519" s="73" t="s">
        <v>220</v>
      </c>
      <c r="T519" s="73" t="s">
        <v>149</v>
      </c>
      <c r="U519" s="73">
        <v>0</v>
      </c>
      <c r="V519" s="73" t="s">
        <v>276</v>
      </c>
      <c r="BF519"/>
    </row>
    <row r="520" spans="15:58" ht="14.4">
      <c r="O520" s="113" t="s">
        <v>296</v>
      </c>
      <c r="P520" s="113" t="s">
        <v>371</v>
      </c>
      <c r="Q520" s="23" t="s">
        <v>817</v>
      </c>
      <c r="R520" s="73" t="str">
        <f t="shared" si="25"/>
        <v>Wavefold Hand OperationMatt Black InkBent</v>
      </c>
      <c r="S520" s="73" t="s">
        <v>223</v>
      </c>
      <c r="T520" s="73" t="s">
        <v>149</v>
      </c>
      <c r="U520" s="73">
        <v>0</v>
      </c>
      <c r="V520" s="73" t="s">
        <v>276</v>
      </c>
      <c r="BF520"/>
    </row>
    <row r="521" spans="15:58" ht="14.4">
      <c r="O521" s="113" t="s">
        <v>296</v>
      </c>
      <c r="P521" s="113" t="s">
        <v>371</v>
      </c>
      <c r="Q521" s="23" t="s">
        <v>198</v>
      </c>
      <c r="R521" s="73" t="str">
        <f t="shared" si="25"/>
        <v>Wavefold Hand OperationMatt Black InkStraight</v>
      </c>
      <c r="S521" s="73" t="s">
        <v>220</v>
      </c>
      <c r="T521" s="73" t="s">
        <v>149</v>
      </c>
      <c r="U521" s="73">
        <v>0</v>
      </c>
      <c r="V521" s="73" t="s">
        <v>276</v>
      </c>
      <c r="BF521"/>
    </row>
    <row r="522" spans="15:58" ht="14.4">
      <c r="O522" s="113" t="s">
        <v>296</v>
      </c>
      <c r="P522" s="113" t="s">
        <v>238</v>
      </c>
      <c r="Q522" s="23" t="s">
        <v>817</v>
      </c>
      <c r="R522" s="73" t="str">
        <f t="shared" si="25"/>
        <v>Wavefold Hand OperationMatt SatinBent</v>
      </c>
      <c r="S522" s="73" t="s">
        <v>223</v>
      </c>
      <c r="T522" s="73" t="s">
        <v>149</v>
      </c>
      <c r="U522" s="73">
        <v>0</v>
      </c>
      <c r="V522" s="73" t="s">
        <v>276</v>
      </c>
      <c r="BF522"/>
    </row>
    <row r="523" spans="15:58" ht="14.4">
      <c r="O523" s="113" t="s">
        <v>296</v>
      </c>
      <c r="P523" s="113" t="s">
        <v>238</v>
      </c>
      <c r="Q523" s="23" t="s">
        <v>198</v>
      </c>
      <c r="R523" s="73" t="str">
        <f t="shared" si="25"/>
        <v>Wavefold Hand OperationMatt SatinStraight</v>
      </c>
      <c r="S523" s="73" t="s">
        <v>220</v>
      </c>
      <c r="T523" s="73" t="s">
        <v>149</v>
      </c>
      <c r="U523" s="73">
        <v>0</v>
      </c>
      <c r="V523" s="73" t="s">
        <v>276</v>
      </c>
      <c r="BF523"/>
    </row>
    <row r="524" spans="15:58" ht="14.4">
      <c r="O524" s="113" t="s">
        <v>296</v>
      </c>
      <c r="P524" s="113" t="s">
        <v>219</v>
      </c>
      <c r="Q524" s="23" t="s">
        <v>817</v>
      </c>
      <c r="R524" s="73" t="str">
        <f t="shared" si="25"/>
        <v>Wavefold Hand OperationWhiteBent</v>
      </c>
      <c r="S524" s="73" t="s">
        <v>223</v>
      </c>
      <c r="T524" s="73" t="s">
        <v>149</v>
      </c>
      <c r="U524" s="73">
        <v>0</v>
      </c>
      <c r="V524" s="73" t="s">
        <v>276</v>
      </c>
      <c r="BF524"/>
    </row>
    <row r="525" spans="15:58" ht="14.4">
      <c r="O525" s="113" t="s">
        <v>296</v>
      </c>
      <c r="P525" s="113" t="s">
        <v>219</v>
      </c>
      <c r="Q525" s="23" t="s">
        <v>198</v>
      </c>
      <c r="R525" s="73" t="str">
        <f t="shared" si="25"/>
        <v>Wavefold Hand OperationWhiteStraight</v>
      </c>
      <c r="S525" s="73" t="s">
        <v>220</v>
      </c>
      <c r="T525" s="73" t="s">
        <v>149</v>
      </c>
      <c r="U525" s="73">
        <v>0</v>
      </c>
      <c r="V525" s="73" t="s">
        <v>276</v>
      </c>
      <c r="BF525"/>
    </row>
    <row r="526" spans="15:58" ht="14.4">
      <c r="O526" s="113" t="s">
        <v>823</v>
      </c>
      <c r="P526" s="113" t="s">
        <v>222</v>
      </c>
      <c r="Q526" s="23" t="s">
        <v>817</v>
      </c>
      <c r="R526" s="73" t="str">
        <f t="shared" si="25"/>
        <v>Wavefold Motorised Acmeda 12v Remote TrackBlackBent</v>
      </c>
      <c r="S526" s="73" t="s">
        <v>223</v>
      </c>
      <c r="T526" s="73" t="s">
        <v>149</v>
      </c>
      <c r="U526" s="73">
        <v>0</v>
      </c>
      <c r="V526" s="73" t="s">
        <v>276</v>
      </c>
      <c r="BF526"/>
    </row>
    <row r="527" spans="15:58" ht="14.4">
      <c r="O527" s="113" t="s">
        <v>823</v>
      </c>
      <c r="P527" s="113" t="s">
        <v>222</v>
      </c>
      <c r="Q527" s="23" t="s">
        <v>198</v>
      </c>
      <c r="R527" s="73" t="str">
        <f t="shared" si="25"/>
        <v>Wavefold Motorised Acmeda 12v Remote TrackBlackStraight</v>
      </c>
      <c r="S527" s="73" t="s">
        <v>223</v>
      </c>
      <c r="T527" s="73" t="s">
        <v>149</v>
      </c>
      <c r="U527" s="73">
        <v>0</v>
      </c>
      <c r="V527" s="73" t="s">
        <v>276</v>
      </c>
      <c r="BF527"/>
    </row>
    <row r="528" spans="15:58" ht="14.4">
      <c r="O528" s="113" t="s">
        <v>823</v>
      </c>
      <c r="P528" s="113" t="s">
        <v>219</v>
      </c>
      <c r="Q528" s="23" t="s">
        <v>817</v>
      </c>
      <c r="R528" s="73" t="str">
        <f t="shared" si="25"/>
        <v>Wavefold Motorised Acmeda 12v Remote TrackWhiteBent</v>
      </c>
      <c r="S528" s="73" t="s">
        <v>223</v>
      </c>
      <c r="T528" s="73" t="s">
        <v>149</v>
      </c>
      <c r="U528" s="73">
        <v>0</v>
      </c>
      <c r="V528" s="73" t="s">
        <v>276</v>
      </c>
      <c r="BF528"/>
    </row>
    <row r="529" spans="15:58" ht="14.4">
      <c r="O529" s="113" t="s">
        <v>823</v>
      </c>
      <c r="P529" s="113" t="s">
        <v>219</v>
      </c>
      <c r="Q529" s="23" t="s">
        <v>198</v>
      </c>
      <c r="R529" s="73" t="str">
        <f t="shared" si="25"/>
        <v>Wavefold Motorised Acmeda 12v Remote TrackWhiteStraight</v>
      </c>
      <c r="S529" s="73" t="s">
        <v>223</v>
      </c>
      <c r="T529" s="73" t="s">
        <v>149</v>
      </c>
      <c r="U529" s="73">
        <v>0</v>
      </c>
      <c r="V529" s="73" t="s">
        <v>276</v>
      </c>
      <c r="BF529"/>
    </row>
    <row r="530" spans="15:58" ht="14.4">
      <c r="O530" s="113" t="s">
        <v>816</v>
      </c>
      <c r="P530" s="113" t="s">
        <v>222</v>
      </c>
      <c r="Q530" s="23" t="s">
        <v>198</v>
      </c>
      <c r="R530" s="73" t="str">
        <f t="shared" si="25"/>
        <v>Wavefold Motorised Acmeda 240v Remote TrackBlackStraight</v>
      </c>
      <c r="S530" s="73" t="s">
        <v>223</v>
      </c>
      <c r="T530" s="73" t="s">
        <v>149</v>
      </c>
      <c r="U530" s="73">
        <v>0</v>
      </c>
      <c r="V530" s="73" t="s">
        <v>276</v>
      </c>
      <c r="BF530"/>
    </row>
    <row r="531" spans="15:58" ht="14.4">
      <c r="O531" s="113" t="s">
        <v>816</v>
      </c>
      <c r="P531" s="113" t="s">
        <v>222</v>
      </c>
      <c r="Q531" s="23" t="s">
        <v>817</v>
      </c>
      <c r="R531" s="73" t="str">
        <f t="shared" si="25"/>
        <v>Wavefold Motorised Acmeda 240v Remote TrackBlackBent</v>
      </c>
      <c r="S531" s="73" t="s">
        <v>223</v>
      </c>
      <c r="T531" s="73" t="s">
        <v>149</v>
      </c>
      <c r="U531" s="73">
        <v>0</v>
      </c>
      <c r="V531" s="73" t="s">
        <v>276</v>
      </c>
      <c r="BF531"/>
    </row>
    <row r="532" spans="15:58" ht="14.4">
      <c r="O532" s="113" t="s">
        <v>816</v>
      </c>
      <c r="P532" s="113" t="s">
        <v>219</v>
      </c>
      <c r="Q532" s="23" t="s">
        <v>817</v>
      </c>
      <c r="R532" s="73" t="str">
        <f t="shared" si="25"/>
        <v>Wavefold Motorised Acmeda 240v Remote TrackWhiteBent</v>
      </c>
      <c r="S532" s="73" t="s">
        <v>223</v>
      </c>
      <c r="T532" s="73" t="s">
        <v>149</v>
      </c>
      <c r="U532" s="73">
        <v>0</v>
      </c>
      <c r="V532" s="73" t="s">
        <v>276</v>
      </c>
      <c r="BF532"/>
    </row>
    <row r="533" spans="15:58" ht="14.4">
      <c r="O533" s="113" t="s">
        <v>816</v>
      </c>
      <c r="P533" s="113" t="s">
        <v>219</v>
      </c>
      <c r="Q533" s="23" t="s">
        <v>198</v>
      </c>
      <c r="R533" s="73" t="str">
        <f t="shared" si="25"/>
        <v>Wavefold Motorised Acmeda 240v Remote TrackWhiteStraight</v>
      </c>
      <c r="S533" s="73" t="s">
        <v>223</v>
      </c>
      <c r="T533" s="73" t="s">
        <v>149</v>
      </c>
      <c r="U533" s="73">
        <v>0</v>
      </c>
      <c r="V533" s="73" t="s">
        <v>276</v>
      </c>
      <c r="BF533"/>
    </row>
    <row r="534" spans="15:58" ht="14.4">
      <c r="O534" s="113" t="s">
        <v>748</v>
      </c>
      <c r="P534" s="113" t="s">
        <v>222</v>
      </c>
      <c r="Q534" s="23" t="s">
        <v>817</v>
      </c>
      <c r="R534" s="73" t="str">
        <f t="shared" si="25"/>
        <v>Wavefold Motorised Saber 12v Remote TrackBlackBent</v>
      </c>
      <c r="S534" s="73" t="s">
        <v>223</v>
      </c>
      <c r="T534" s="73" t="s">
        <v>149</v>
      </c>
      <c r="U534" s="73">
        <v>0</v>
      </c>
      <c r="V534" s="73" t="s">
        <v>276</v>
      </c>
      <c r="BF534"/>
    </row>
    <row r="535" spans="15:58" ht="14.4">
      <c r="O535" s="113" t="s">
        <v>748</v>
      </c>
      <c r="P535" s="113" t="s">
        <v>222</v>
      </c>
      <c r="Q535" s="23" t="s">
        <v>198</v>
      </c>
      <c r="R535" s="73" t="str">
        <f t="shared" si="25"/>
        <v>Wavefold Motorised Saber 12v Remote TrackBlackStraight</v>
      </c>
      <c r="S535" s="73" t="s">
        <v>223</v>
      </c>
      <c r="T535" s="73" t="s">
        <v>149</v>
      </c>
      <c r="U535" s="73">
        <v>0</v>
      </c>
      <c r="V535" s="73" t="s">
        <v>276</v>
      </c>
      <c r="BF535"/>
    </row>
    <row r="536" spans="15:58" ht="14.4">
      <c r="O536" s="113" t="s">
        <v>748</v>
      </c>
      <c r="P536" s="113" t="s">
        <v>238</v>
      </c>
      <c r="Q536" s="23" t="s">
        <v>817</v>
      </c>
      <c r="R536" s="73" t="str">
        <f t="shared" si="25"/>
        <v>Wavefold Motorised Saber 12v Remote TrackMatt SatinBent</v>
      </c>
      <c r="S536" s="73" t="s">
        <v>223</v>
      </c>
      <c r="T536" s="73" t="s">
        <v>149</v>
      </c>
      <c r="U536" s="73">
        <v>0</v>
      </c>
      <c r="V536" s="73" t="s">
        <v>276</v>
      </c>
      <c r="BF536"/>
    </row>
    <row r="537" spans="15:58" ht="14.4">
      <c r="O537" s="113" t="s">
        <v>748</v>
      </c>
      <c r="P537" s="113" t="s">
        <v>238</v>
      </c>
      <c r="Q537" s="23" t="s">
        <v>198</v>
      </c>
      <c r="R537" s="73" t="str">
        <f t="shared" si="25"/>
        <v>Wavefold Motorised Saber 12v Remote TrackMatt SatinStraight</v>
      </c>
      <c r="S537" s="73" t="s">
        <v>223</v>
      </c>
      <c r="T537" s="73" t="s">
        <v>149</v>
      </c>
      <c r="U537" s="73">
        <v>0</v>
      </c>
      <c r="V537" s="73" t="s">
        <v>276</v>
      </c>
      <c r="BF537"/>
    </row>
    <row r="538" spans="15:58" ht="14.4">
      <c r="O538" s="113" t="s">
        <v>748</v>
      </c>
      <c r="P538" s="113" t="s">
        <v>219</v>
      </c>
      <c r="Q538" s="23" t="s">
        <v>817</v>
      </c>
      <c r="R538" s="73" t="str">
        <f t="shared" si="25"/>
        <v>Wavefold Motorised Saber 12v Remote TrackWhiteBent</v>
      </c>
      <c r="S538" s="73" t="s">
        <v>223</v>
      </c>
      <c r="T538" s="73" t="s">
        <v>149</v>
      </c>
      <c r="U538" s="73">
        <v>0</v>
      </c>
      <c r="V538" s="73" t="s">
        <v>276</v>
      </c>
      <c r="BF538"/>
    </row>
    <row r="539" spans="15:58" ht="14.4">
      <c r="O539" s="113" t="s">
        <v>748</v>
      </c>
      <c r="P539" s="113" t="s">
        <v>219</v>
      </c>
      <c r="Q539" s="23" t="s">
        <v>198</v>
      </c>
      <c r="R539" s="73" t="str">
        <f t="shared" si="25"/>
        <v>Wavefold Motorised Saber 12v Remote TrackWhiteStraight</v>
      </c>
      <c r="S539" s="73" t="s">
        <v>223</v>
      </c>
      <c r="T539" s="73" t="s">
        <v>149</v>
      </c>
      <c r="U539" s="73">
        <v>0</v>
      </c>
      <c r="V539" s="73" t="s">
        <v>276</v>
      </c>
      <c r="BF539"/>
    </row>
    <row r="540" spans="15:58" ht="14.4">
      <c r="O540" s="113" t="s">
        <v>746</v>
      </c>
      <c r="P540" s="113" t="s">
        <v>222</v>
      </c>
      <c r="Q540" s="23" t="s">
        <v>817</v>
      </c>
      <c r="R540" s="73" t="str">
        <f t="shared" si="25"/>
        <v>Wavefold Motorised Saber 240v Remote TrackBlackBent</v>
      </c>
      <c r="S540" s="73" t="s">
        <v>223</v>
      </c>
      <c r="T540" s="73" t="s">
        <v>149</v>
      </c>
      <c r="U540" s="73">
        <v>0</v>
      </c>
      <c r="V540" s="73" t="s">
        <v>276</v>
      </c>
      <c r="BF540"/>
    </row>
    <row r="541" spans="15:58" ht="14.4">
      <c r="O541" s="113" t="s">
        <v>746</v>
      </c>
      <c r="P541" s="113" t="s">
        <v>222</v>
      </c>
      <c r="Q541" s="23" t="s">
        <v>198</v>
      </c>
      <c r="R541" s="73" t="str">
        <f t="shared" si="25"/>
        <v>Wavefold Motorised Saber 240v Remote TrackBlackStraight</v>
      </c>
      <c r="S541" s="73" t="s">
        <v>223</v>
      </c>
      <c r="T541" s="73" t="s">
        <v>149</v>
      </c>
      <c r="U541" s="73">
        <v>0</v>
      </c>
      <c r="V541" s="73" t="s">
        <v>276</v>
      </c>
      <c r="BF541"/>
    </row>
    <row r="542" spans="15:58" ht="14.4">
      <c r="O542" s="113" t="s">
        <v>746</v>
      </c>
      <c r="P542" s="113" t="s">
        <v>238</v>
      </c>
      <c r="Q542" s="23" t="s">
        <v>817</v>
      </c>
      <c r="R542" s="73" t="str">
        <f t="shared" si="25"/>
        <v>Wavefold Motorised Saber 240v Remote TrackMatt SatinBent</v>
      </c>
      <c r="S542" s="73" t="s">
        <v>223</v>
      </c>
      <c r="T542" s="73" t="s">
        <v>149</v>
      </c>
      <c r="U542" s="73">
        <v>0</v>
      </c>
      <c r="V542" s="73" t="s">
        <v>276</v>
      </c>
      <c r="BF542"/>
    </row>
    <row r="543" spans="15:58" ht="14.4">
      <c r="O543" s="112" t="s">
        <v>746</v>
      </c>
      <c r="P543" s="112" t="s">
        <v>238</v>
      </c>
      <c r="Q543" s="112" t="s">
        <v>198</v>
      </c>
      <c r="R543" s="73" t="str">
        <f t="shared" si="25"/>
        <v>Wavefold Motorised Saber 240v Remote TrackMatt SatinStraight</v>
      </c>
      <c r="S543" s="73" t="s">
        <v>223</v>
      </c>
      <c r="T543" s="73" t="s">
        <v>149</v>
      </c>
      <c r="U543" s="73">
        <v>0</v>
      </c>
      <c r="V543" s="73" t="s">
        <v>276</v>
      </c>
      <c r="BF543"/>
    </row>
    <row r="544" spans="15:58" ht="14.4">
      <c r="O544" s="112" t="s">
        <v>746</v>
      </c>
      <c r="P544" s="112" t="s">
        <v>219</v>
      </c>
      <c r="Q544" s="112" t="s">
        <v>817</v>
      </c>
      <c r="R544" s="73" t="str">
        <f t="shared" si="25"/>
        <v>Wavefold Motorised Saber 240v Remote TrackWhiteBent</v>
      </c>
      <c r="S544" s="73" t="s">
        <v>223</v>
      </c>
      <c r="T544" s="73" t="s">
        <v>149</v>
      </c>
      <c r="U544" s="73">
        <v>0</v>
      </c>
      <c r="V544" s="73" t="s">
        <v>276</v>
      </c>
      <c r="BF544"/>
    </row>
    <row r="545" spans="15:58" ht="14.4">
      <c r="O545" s="112" t="s">
        <v>746</v>
      </c>
      <c r="P545" s="112" t="s">
        <v>219</v>
      </c>
      <c r="Q545" s="112" t="s">
        <v>198</v>
      </c>
      <c r="R545" s="73" t="str">
        <f t="shared" si="25"/>
        <v>Wavefold Motorised Saber 240v Remote TrackWhiteStraight</v>
      </c>
      <c r="S545" s="73" t="s">
        <v>223</v>
      </c>
      <c r="T545" s="73" t="s">
        <v>149</v>
      </c>
      <c r="U545" s="73">
        <v>0</v>
      </c>
      <c r="V545" s="73" t="s">
        <v>276</v>
      </c>
      <c r="BF545"/>
    </row>
    <row r="546" spans="15:58" ht="14.4">
      <c r="O546" s="112" t="s">
        <v>747</v>
      </c>
      <c r="P546" s="112" t="s">
        <v>222</v>
      </c>
      <c r="Q546" s="112" t="s">
        <v>817</v>
      </c>
      <c r="R546" s="73" t="str">
        <f t="shared" si="25"/>
        <v>Wavefold Motorised Saber 240v Switch TrackBlackBent</v>
      </c>
      <c r="S546" s="73" t="s">
        <v>223</v>
      </c>
      <c r="T546" s="73" t="s">
        <v>149</v>
      </c>
      <c r="U546" s="73">
        <v>0</v>
      </c>
      <c r="V546" s="73" t="s">
        <v>276</v>
      </c>
      <c r="BF546"/>
    </row>
    <row r="547" spans="15:58" ht="14.4">
      <c r="O547" s="113" t="s">
        <v>747</v>
      </c>
      <c r="P547" s="113" t="s">
        <v>222</v>
      </c>
      <c r="Q547" s="23" t="s">
        <v>198</v>
      </c>
      <c r="R547" s="73" t="str">
        <f t="shared" si="25"/>
        <v>Wavefold Motorised Saber 240v Switch TrackBlackStraight</v>
      </c>
      <c r="S547" s="73" t="s">
        <v>223</v>
      </c>
      <c r="T547" s="73" t="s">
        <v>149</v>
      </c>
      <c r="U547" s="73">
        <v>0</v>
      </c>
      <c r="V547" s="73" t="s">
        <v>276</v>
      </c>
      <c r="BF547"/>
    </row>
    <row r="548" spans="15:58" ht="14.4">
      <c r="O548" s="113" t="s">
        <v>747</v>
      </c>
      <c r="P548" s="113" t="s">
        <v>238</v>
      </c>
      <c r="Q548" s="23" t="s">
        <v>817</v>
      </c>
      <c r="R548" s="73" t="str">
        <f t="shared" si="25"/>
        <v>Wavefold Motorised Saber 240v Switch TrackMatt SatinBent</v>
      </c>
      <c r="S548" s="73" t="s">
        <v>223</v>
      </c>
      <c r="T548" s="73" t="s">
        <v>149</v>
      </c>
      <c r="U548" s="73">
        <v>0</v>
      </c>
      <c r="V548" s="73" t="s">
        <v>276</v>
      </c>
      <c r="BF548"/>
    </row>
    <row r="549" spans="15:58" ht="14.4">
      <c r="O549" s="113" t="s">
        <v>747</v>
      </c>
      <c r="P549" s="113" t="s">
        <v>238</v>
      </c>
      <c r="Q549" s="23" t="s">
        <v>198</v>
      </c>
      <c r="R549" s="73" t="str">
        <f t="shared" si="25"/>
        <v>Wavefold Motorised Saber 240v Switch TrackMatt SatinStraight</v>
      </c>
      <c r="S549" s="73" t="s">
        <v>223</v>
      </c>
      <c r="T549" s="73" t="s">
        <v>149</v>
      </c>
      <c r="U549" s="73">
        <v>0</v>
      </c>
      <c r="V549" s="73" t="s">
        <v>276</v>
      </c>
      <c r="BF549"/>
    </row>
    <row r="550" spans="15:58" ht="14.4">
      <c r="O550" s="113" t="s">
        <v>747</v>
      </c>
      <c r="P550" s="113" t="s">
        <v>219</v>
      </c>
      <c r="Q550" s="23" t="s">
        <v>817</v>
      </c>
      <c r="R550" s="73" t="str">
        <f t="shared" si="25"/>
        <v>Wavefold Motorised Saber 240v Switch TrackWhiteBent</v>
      </c>
      <c r="S550" s="73" t="s">
        <v>223</v>
      </c>
      <c r="T550" s="73" t="s">
        <v>149</v>
      </c>
      <c r="U550" s="73">
        <v>0</v>
      </c>
      <c r="V550" s="73" t="s">
        <v>276</v>
      </c>
      <c r="BF550"/>
    </row>
    <row r="551" spans="15:58" ht="14.4">
      <c r="O551" s="113" t="s">
        <v>747</v>
      </c>
      <c r="P551" s="113" t="s">
        <v>219</v>
      </c>
      <c r="Q551" s="23" t="s">
        <v>198</v>
      </c>
      <c r="R551" s="73" t="str">
        <f t="shared" si="25"/>
        <v>Wavefold Motorised Saber 240v Switch TrackWhiteStraight</v>
      </c>
      <c r="S551" s="73" t="s">
        <v>223</v>
      </c>
      <c r="T551" s="73" t="s">
        <v>149</v>
      </c>
      <c r="U551" s="73">
        <v>0</v>
      </c>
      <c r="V551" s="73" t="s">
        <v>276</v>
      </c>
      <c r="BF551"/>
    </row>
    <row r="552" spans="15:58" ht="14.4">
      <c r="O552" s="113" t="s">
        <v>741</v>
      </c>
      <c r="P552" s="113" t="s">
        <v>219</v>
      </c>
      <c r="Q552" s="23" t="s">
        <v>817</v>
      </c>
      <c r="R552" s="73" t="str">
        <f t="shared" si="25"/>
        <v>Wavefold Motorised Somfy 12v Remote Curtain TrackWhiteBent</v>
      </c>
      <c r="S552" s="73" t="s">
        <v>789</v>
      </c>
      <c r="T552" s="73" t="s">
        <v>149</v>
      </c>
      <c r="U552" s="73">
        <v>0</v>
      </c>
      <c r="V552" s="73" t="s">
        <v>276</v>
      </c>
      <c r="BF552"/>
    </row>
    <row r="553" spans="15:58" ht="14.4">
      <c r="O553" s="113" t="s">
        <v>741</v>
      </c>
      <c r="P553" s="113" t="s">
        <v>219</v>
      </c>
      <c r="Q553" s="23" t="s">
        <v>198</v>
      </c>
      <c r="R553" s="73" t="str">
        <f t="shared" si="25"/>
        <v>Wavefold Motorised Somfy 12v Remote Curtain TrackWhiteStraight</v>
      </c>
      <c r="S553" s="73" t="s">
        <v>789</v>
      </c>
      <c r="T553" s="73" t="s">
        <v>149</v>
      </c>
      <c r="U553" s="73">
        <v>0</v>
      </c>
      <c r="V553" s="73" t="s">
        <v>276</v>
      </c>
      <c r="BF553"/>
    </row>
    <row r="554" spans="15:58" ht="14.4">
      <c r="O554" s="113" t="s">
        <v>740</v>
      </c>
      <c r="P554" s="113" t="s">
        <v>219</v>
      </c>
      <c r="Q554" s="23" t="s">
        <v>817</v>
      </c>
      <c r="R554" s="73" t="str">
        <f t="shared" si="25"/>
        <v>Wavefold Motorised Somfy 240v Remote Curtain TrackWhiteBent</v>
      </c>
      <c r="S554" s="73" t="s">
        <v>789</v>
      </c>
      <c r="T554" s="73" t="s">
        <v>149</v>
      </c>
      <c r="U554" s="73">
        <v>0</v>
      </c>
      <c r="V554" s="73" t="s">
        <v>276</v>
      </c>
      <c r="BF554"/>
    </row>
    <row r="555" spans="15:58" ht="14.4">
      <c r="O555" s="113" t="s">
        <v>740</v>
      </c>
      <c r="P555" s="113" t="s">
        <v>219</v>
      </c>
      <c r="Q555" s="23" t="s">
        <v>198</v>
      </c>
      <c r="R555" s="73" t="str">
        <f t="shared" si="25"/>
        <v>Wavefold Motorised Somfy 240v Remote Curtain TrackWhiteStraight</v>
      </c>
      <c r="S555" s="73" t="s">
        <v>789</v>
      </c>
      <c r="T555" s="73" t="s">
        <v>149</v>
      </c>
      <c r="U555" s="73">
        <v>0</v>
      </c>
      <c r="V555" s="73" t="s">
        <v>276</v>
      </c>
      <c r="BF555"/>
    </row>
    <row r="556" spans="15:58" ht="14.4">
      <c r="O556" s="113" t="s">
        <v>742</v>
      </c>
      <c r="P556" s="113" t="s">
        <v>219</v>
      </c>
      <c r="Q556" s="23" t="s">
        <v>817</v>
      </c>
      <c r="R556" s="73" t="str">
        <f t="shared" si="25"/>
        <v>Wavefold Motorised Somfy 240v Switch Curtain TrackWhiteBent</v>
      </c>
      <c r="S556" s="73" t="s">
        <v>789</v>
      </c>
      <c r="T556" s="73" t="s">
        <v>149</v>
      </c>
      <c r="U556" s="73">
        <v>0</v>
      </c>
      <c r="V556" s="73" t="s">
        <v>276</v>
      </c>
      <c r="BF556"/>
    </row>
    <row r="557" spans="15:58" ht="14.4">
      <c r="O557" s="113" t="s">
        <v>742</v>
      </c>
      <c r="P557" s="113" t="s">
        <v>219</v>
      </c>
      <c r="Q557" s="23" t="s">
        <v>198</v>
      </c>
      <c r="R557" s="73" t="str">
        <f t="shared" si="25"/>
        <v>Wavefold Motorised Somfy 240v Switch Curtain TrackWhiteStraight</v>
      </c>
      <c r="S557" s="73" t="s">
        <v>789</v>
      </c>
      <c r="T557" s="73" t="s">
        <v>149</v>
      </c>
      <c r="U557" s="73">
        <v>0</v>
      </c>
      <c r="V557" s="73" t="s">
        <v>276</v>
      </c>
      <c r="BF557"/>
    </row>
    <row r="558" spans="15:58" ht="14.4">
      <c r="O558" s="113"/>
      <c r="P558" s="113"/>
      <c r="Q558" s="23"/>
      <c r="BF558"/>
    </row>
    <row r="559" spans="15:58" ht="14.4">
      <c r="O559" s="113"/>
      <c r="P559" s="113"/>
      <c r="Q559" s="23"/>
      <c r="BF559"/>
    </row>
    <row r="560" spans="15:58" ht="14.4">
      <c r="O560" s="113"/>
      <c r="P560" s="113"/>
      <c r="Q560" s="23"/>
      <c r="BF560"/>
    </row>
    <row r="561" spans="15:58" ht="14.4">
      <c r="O561" s="113"/>
      <c r="P561" s="113"/>
      <c r="Q561" s="23"/>
      <c r="BF561"/>
    </row>
    <row r="562" spans="15:58" ht="14.4">
      <c r="O562" s="113"/>
      <c r="P562" s="113"/>
      <c r="Q562" s="23"/>
      <c r="BF562"/>
    </row>
    <row r="563" spans="15:58" ht="14.4">
      <c r="O563" s="113"/>
      <c r="P563" s="113"/>
      <c r="Q563" s="23"/>
      <c r="BF563"/>
    </row>
    <row r="564" spans="15:58" ht="14.4">
      <c r="O564" s="113"/>
      <c r="P564" s="113"/>
      <c r="Q564" s="23"/>
      <c r="BF564"/>
    </row>
    <row r="565" spans="15:58" ht="14.4">
      <c r="O565" s="113"/>
      <c r="P565" s="113"/>
      <c r="Q565" s="23"/>
      <c r="BF565"/>
    </row>
    <row r="566" spans="15:58" ht="14.4">
      <c r="O566" s="113"/>
      <c r="P566" s="113"/>
      <c r="Q566" s="23"/>
      <c r="BF566"/>
    </row>
    <row r="567" spans="15:58" ht="14.4">
      <c r="O567" s="113"/>
      <c r="P567" s="113"/>
      <c r="Q567" s="23"/>
      <c r="BF567"/>
    </row>
    <row r="568" spans="15:58" ht="14.4">
      <c r="O568" s="113"/>
      <c r="P568" s="113"/>
      <c r="Q568" s="23"/>
      <c r="BF568"/>
    </row>
    <row r="569" spans="15:58" ht="14.4">
      <c r="O569" s="113"/>
      <c r="P569" s="113"/>
      <c r="Q569" s="23"/>
      <c r="BF569"/>
    </row>
    <row r="570" spans="15:58" ht="14.4">
      <c r="O570" s="113"/>
      <c r="P570" s="113"/>
      <c r="Q570" s="23"/>
      <c r="BF570"/>
    </row>
    <row r="571" spans="15:58" ht="14.4">
      <c r="O571" s="113"/>
      <c r="P571" s="113"/>
      <c r="Q571" s="23"/>
      <c r="BF571"/>
    </row>
    <row r="572" spans="15:58" ht="14.4">
      <c r="O572" s="113"/>
      <c r="P572" s="113"/>
      <c r="Q572" s="23"/>
      <c r="BF572"/>
    </row>
    <row r="573" spans="15:58" ht="14.4">
      <c r="O573" s="113"/>
      <c r="P573" s="113"/>
      <c r="Q573" s="23"/>
      <c r="BF573"/>
    </row>
    <row r="574" spans="15:58" ht="14.4">
      <c r="O574" s="113"/>
      <c r="P574" s="113"/>
      <c r="Q574" s="23"/>
      <c r="BF574"/>
    </row>
    <row r="575" spans="15:58" ht="14.4">
      <c r="O575" s="113"/>
      <c r="P575" s="113"/>
      <c r="Q575" s="23"/>
      <c r="BF575"/>
    </row>
    <row r="576" spans="15:58" ht="14.4">
      <c r="O576" s="113"/>
      <c r="P576" s="113"/>
      <c r="Q576" s="23"/>
      <c r="BF576"/>
    </row>
    <row r="577" spans="15:58" ht="14.4">
      <c r="O577" s="113"/>
      <c r="P577" s="113"/>
      <c r="Q577" s="23"/>
      <c r="BF577"/>
    </row>
    <row r="578" spans="15:58" ht="14.4">
      <c r="O578" s="113"/>
      <c r="P578" s="113"/>
      <c r="Q578" s="23"/>
      <c r="BF578"/>
    </row>
    <row r="579" spans="15:58" ht="14.4">
      <c r="O579" s="113"/>
      <c r="P579" s="113"/>
      <c r="Q579" s="23"/>
      <c r="BF579"/>
    </row>
    <row r="580" spans="15:58" ht="14.4">
      <c r="O580" s="113"/>
      <c r="P580" s="113"/>
      <c r="Q580" s="23"/>
      <c r="BF580"/>
    </row>
    <row r="581" spans="15:58" ht="14.4">
      <c r="O581" s="113"/>
      <c r="P581" s="113"/>
      <c r="Q581" s="23"/>
      <c r="BF581"/>
    </row>
    <row r="582" spans="15:58" ht="14.4">
      <c r="O582" s="113"/>
      <c r="P582" s="113"/>
      <c r="Q582" s="23"/>
      <c r="BF582"/>
    </row>
    <row r="583" spans="15:58" ht="14.4">
      <c r="O583" s="113"/>
      <c r="P583" s="113"/>
      <c r="Q583" s="23"/>
      <c r="BF583"/>
    </row>
    <row r="584" spans="15:58" ht="14.4">
      <c r="O584" s="113"/>
      <c r="P584" s="113"/>
      <c r="Q584" s="23"/>
      <c r="BF584"/>
    </row>
    <row r="585" spans="15:58" ht="14.4">
      <c r="O585" s="113"/>
      <c r="P585" s="113"/>
      <c r="Q585" s="23"/>
      <c r="BF585"/>
    </row>
    <row r="586" spans="15:58" ht="14.4">
      <c r="O586" s="113"/>
      <c r="P586" s="113"/>
      <c r="Q586" s="23"/>
      <c r="BF586"/>
    </row>
    <row r="587" spans="15:58" ht="14.4">
      <c r="O587" s="113"/>
      <c r="P587" s="113"/>
      <c r="Q587" s="23"/>
      <c r="BF587"/>
    </row>
    <row r="588" spans="15:58" ht="14.4">
      <c r="O588" s="113"/>
      <c r="P588" s="113"/>
      <c r="Q588" s="23"/>
      <c r="BF588"/>
    </row>
    <row r="589" spans="15:58" ht="14.4">
      <c r="O589" s="113"/>
      <c r="P589" s="113"/>
      <c r="Q589" s="23"/>
      <c r="BF589"/>
    </row>
    <row r="590" spans="15:58" ht="14.4">
      <c r="O590" s="113"/>
      <c r="P590" s="113"/>
      <c r="Q590" s="23"/>
      <c r="BF590"/>
    </row>
    <row r="591" spans="15:58" ht="14.4">
      <c r="O591" s="113"/>
      <c r="P591" s="113"/>
      <c r="Q591" s="23"/>
      <c r="BF591"/>
    </row>
    <row r="592" spans="15:58" ht="14.4">
      <c r="O592" s="113"/>
      <c r="P592" s="113"/>
      <c r="Q592" s="23"/>
      <c r="BF592"/>
    </row>
    <row r="593" spans="15:58" ht="14.4">
      <c r="O593" s="113"/>
      <c r="P593" s="113"/>
      <c r="Q593" s="23"/>
      <c r="BF593"/>
    </row>
    <row r="594" spans="15:58" ht="14.4">
      <c r="O594" s="113"/>
      <c r="P594" s="113"/>
      <c r="Q594" s="23"/>
      <c r="BF594"/>
    </row>
    <row r="595" ht="14.4">
      <c r="BF595"/>
    </row>
    <row r="596" ht="14.4">
      <c r="BF596"/>
    </row>
    <row r="597" ht="14.4">
      <c r="BF597"/>
    </row>
    <row r="598" ht="14.4">
      <c r="BF598"/>
    </row>
    <row r="599" spans="15:58" ht="14.4">
      <c r="O599" s="113"/>
      <c r="P599" s="113"/>
      <c r="Q599" s="23"/>
      <c r="BF599"/>
    </row>
    <row r="600" spans="15:58" ht="14.4">
      <c r="O600" s="113"/>
      <c r="P600" s="113"/>
      <c r="Q600" s="23"/>
      <c r="BF600"/>
    </row>
    <row r="601" spans="15:58" ht="14.4">
      <c r="O601" s="113"/>
      <c r="P601" s="113"/>
      <c r="Q601" s="23"/>
      <c r="BF601"/>
    </row>
    <row r="602" spans="15:58" ht="14.4">
      <c r="O602" s="113"/>
      <c r="P602" s="113"/>
      <c r="Q602" s="23"/>
      <c r="BF602"/>
    </row>
    <row r="603" spans="15:58" ht="14.4">
      <c r="O603" s="113"/>
      <c r="P603" s="113"/>
      <c r="Q603" s="23"/>
      <c r="BF603"/>
    </row>
    <row r="604" spans="15:58" ht="14.4">
      <c r="O604" s="113"/>
      <c r="P604" s="113"/>
      <c r="Q604" s="23"/>
      <c r="BF604"/>
    </row>
    <row r="605" spans="15:58" ht="14.4">
      <c r="O605" s="113"/>
      <c r="P605" s="113"/>
      <c r="Q605" s="23"/>
      <c r="BF605"/>
    </row>
    <row r="606" spans="15:58" ht="14.4">
      <c r="O606" s="113"/>
      <c r="P606" s="113"/>
      <c r="Q606" s="23"/>
      <c r="BF606"/>
    </row>
    <row r="607" spans="15:58" ht="14.4">
      <c r="O607" s="113"/>
      <c r="P607" s="113"/>
      <c r="Q607" s="23"/>
      <c r="BF607"/>
    </row>
    <row r="608" spans="15:58" ht="14.4">
      <c r="O608" s="113"/>
      <c r="P608" s="113"/>
      <c r="Q608" s="23"/>
      <c r="BF608"/>
    </row>
    <row r="609" spans="15:58" ht="14.4">
      <c r="O609" s="113"/>
      <c r="P609" s="113"/>
      <c r="Q609" s="23"/>
      <c r="BF609"/>
    </row>
    <row r="610" spans="15:58" ht="14.4">
      <c r="O610" s="113"/>
      <c r="P610" s="113"/>
      <c r="Q610" s="23"/>
      <c r="BF610"/>
    </row>
    <row r="611" spans="15:58" ht="14.4">
      <c r="O611" s="113"/>
      <c r="P611" s="113"/>
      <c r="Q611" s="23"/>
      <c r="BF611"/>
    </row>
    <row r="612" spans="15:58" ht="14.4">
      <c r="O612" s="113"/>
      <c r="P612" s="113"/>
      <c r="Q612" s="23"/>
      <c r="BF612"/>
    </row>
    <row r="613" spans="15:58" ht="14.4">
      <c r="O613" s="113"/>
      <c r="P613" s="113"/>
      <c r="Q613" s="23"/>
      <c r="BF613"/>
    </row>
    <row r="614" spans="15:58" ht="14.4">
      <c r="O614" s="113"/>
      <c r="P614" s="113"/>
      <c r="Q614" s="23"/>
      <c r="BF614"/>
    </row>
    <row r="615" spans="15:58" ht="14.4">
      <c r="O615" s="113"/>
      <c r="P615" s="113"/>
      <c r="Q615" s="23"/>
      <c r="BF615"/>
    </row>
    <row r="616" spans="15:58" ht="14.4">
      <c r="O616" s="113"/>
      <c r="P616" s="113"/>
      <c r="Q616" s="23"/>
      <c r="BF616"/>
    </row>
    <row r="617" spans="15:58" ht="14.4">
      <c r="O617" s="113"/>
      <c r="P617" s="113"/>
      <c r="Q617" s="23"/>
      <c r="BF617"/>
    </row>
    <row r="618" spans="15:58" ht="14.4">
      <c r="O618" s="113"/>
      <c r="P618" s="113"/>
      <c r="Q618" s="23"/>
      <c r="BF618"/>
    </row>
    <row r="619" spans="15:58" ht="14.4">
      <c r="O619" s="113"/>
      <c r="P619" s="113"/>
      <c r="Q619" s="23"/>
      <c r="BF619"/>
    </row>
    <row r="620" spans="15:58" ht="14.4">
      <c r="O620" s="113"/>
      <c r="P620" s="113"/>
      <c r="Q620" s="23"/>
      <c r="BF620"/>
    </row>
    <row r="621" spans="15:58" ht="14.4">
      <c r="O621" s="113"/>
      <c r="P621" s="113"/>
      <c r="Q621" s="23"/>
      <c r="BF621"/>
    </row>
    <row r="622" spans="15:58" ht="14.4">
      <c r="O622" s="113"/>
      <c r="P622" s="113"/>
      <c r="Q622" s="23"/>
      <c r="BF622"/>
    </row>
    <row r="623" spans="15:58" ht="14.4">
      <c r="O623" s="113"/>
      <c r="P623" s="113"/>
      <c r="Q623" s="23"/>
      <c r="BF623"/>
    </row>
    <row r="624" spans="15:58" ht="14.4">
      <c r="O624" s="113"/>
      <c r="P624" s="113"/>
      <c r="Q624" s="23"/>
      <c r="BF624"/>
    </row>
    <row r="625" spans="15:58" ht="14.4">
      <c r="O625" s="113"/>
      <c r="P625" s="113"/>
      <c r="Q625" s="23"/>
      <c r="BF625"/>
    </row>
    <row r="626" spans="15:58" ht="14.4">
      <c r="O626" s="113"/>
      <c r="P626" s="113"/>
      <c r="Q626" s="23"/>
      <c r="BF626"/>
    </row>
    <row r="627" spans="15:58" ht="14.4">
      <c r="O627" s="113"/>
      <c r="P627" s="113"/>
      <c r="Q627" s="23"/>
      <c r="BF627"/>
    </row>
    <row r="628" spans="15:58" ht="14.4">
      <c r="O628" s="113"/>
      <c r="P628" s="113"/>
      <c r="Q628" s="23"/>
      <c r="BF628"/>
    </row>
    <row r="629" spans="15:58" ht="14.4">
      <c r="O629" s="113"/>
      <c r="P629" s="113"/>
      <c r="Q629" s="23"/>
      <c r="BF629"/>
    </row>
    <row r="630" spans="15:58" ht="14.4">
      <c r="O630" s="113"/>
      <c r="P630" s="113"/>
      <c r="Q630" s="23"/>
      <c r="BF630"/>
    </row>
    <row r="631" spans="15:58" ht="14.4">
      <c r="O631" s="113"/>
      <c r="P631" s="113"/>
      <c r="Q631" s="23"/>
      <c r="BF631"/>
    </row>
    <row r="632" spans="15:58" ht="14.4">
      <c r="O632" s="113"/>
      <c r="P632" s="113"/>
      <c r="Q632" s="23"/>
      <c r="BF632"/>
    </row>
    <row r="633" spans="15:58" ht="14.4">
      <c r="O633" s="113"/>
      <c r="P633" s="113"/>
      <c r="Q633" s="23"/>
      <c r="BF633"/>
    </row>
    <row r="634" spans="15:58" ht="14.4">
      <c r="O634" s="113"/>
      <c r="P634" s="113"/>
      <c r="Q634" s="23"/>
      <c r="BF634"/>
    </row>
    <row r="635" spans="15:58" ht="14.4">
      <c r="O635" s="113"/>
      <c r="P635" s="113"/>
      <c r="Q635" s="23"/>
      <c r="BF635"/>
    </row>
    <row r="636" spans="15:58" ht="14.4">
      <c r="O636" s="113"/>
      <c r="P636" s="113"/>
      <c r="Q636" s="23"/>
      <c r="BF636"/>
    </row>
    <row r="637" spans="15:58" ht="14.4">
      <c r="O637" s="113"/>
      <c r="P637" s="113"/>
      <c r="Q637" s="23"/>
      <c r="BF637"/>
    </row>
    <row r="638" spans="15:58" ht="14.4">
      <c r="O638" s="113"/>
      <c r="P638" s="113"/>
      <c r="Q638" s="23"/>
      <c r="BF638"/>
    </row>
    <row r="639" spans="15:58" ht="14.4">
      <c r="O639" s="113"/>
      <c r="P639" s="113"/>
      <c r="Q639" s="23"/>
      <c r="BF639"/>
    </row>
    <row r="640" spans="15:58" ht="14.4">
      <c r="O640" s="113"/>
      <c r="P640" s="113"/>
      <c r="Q640" s="23"/>
      <c r="BF640"/>
    </row>
    <row r="641" spans="15:58" ht="14.4">
      <c r="O641" s="113"/>
      <c r="P641" s="113"/>
      <c r="Q641" s="23"/>
      <c r="BF641"/>
    </row>
    <row r="642" spans="15:58" ht="14.4">
      <c r="O642" s="113"/>
      <c r="P642" s="113"/>
      <c r="Q642" s="23"/>
      <c r="BF642"/>
    </row>
    <row r="643" spans="15:58" ht="14.4">
      <c r="O643" s="113"/>
      <c r="P643" s="113"/>
      <c r="Q643" s="23"/>
      <c r="BF643"/>
    </row>
    <row r="644" spans="15:58" ht="14.4">
      <c r="O644" s="113"/>
      <c r="P644" s="113"/>
      <c r="Q644" s="23"/>
      <c r="BF644"/>
    </row>
    <row r="645" spans="15:58" ht="14.4">
      <c r="O645" s="113"/>
      <c r="P645" s="113"/>
      <c r="Q645" s="23"/>
      <c r="BF645"/>
    </row>
    <row r="646" spans="15:58" ht="14.4">
      <c r="O646" s="113"/>
      <c r="P646" s="113"/>
      <c r="Q646" s="23"/>
      <c r="BF646"/>
    </row>
    <row r="647" ht="14.4">
      <c r="BF647"/>
    </row>
    <row r="648" ht="14.4">
      <c r="BF648"/>
    </row>
    <row r="649" ht="14.4">
      <c r="BF649"/>
    </row>
    <row r="650" ht="14.4">
      <c r="BF650"/>
    </row>
    <row r="651" spans="15:58" ht="14.4">
      <c r="O651" s="113"/>
      <c r="P651" s="113"/>
      <c r="Q651" s="23"/>
      <c r="BF651"/>
    </row>
    <row r="652" spans="15:58" ht="14.4">
      <c r="O652" s="113"/>
      <c r="P652" s="113"/>
      <c r="Q652" s="23"/>
      <c r="BF652"/>
    </row>
    <row r="653" spans="15:58" ht="14.4">
      <c r="O653" s="113"/>
      <c r="P653" s="113"/>
      <c r="Q653" s="23"/>
      <c r="BF653"/>
    </row>
    <row r="654" spans="15:58" ht="14.4">
      <c r="O654" s="113"/>
      <c r="P654" s="113"/>
      <c r="Q654" s="23"/>
      <c r="BF654"/>
    </row>
    <row r="655" spans="15:58" ht="14.4">
      <c r="O655" s="113"/>
      <c r="P655" s="113"/>
      <c r="Q655" s="23"/>
      <c r="BF655"/>
    </row>
    <row r="656" spans="15:58" ht="14.4">
      <c r="O656" s="113"/>
      <c r="P656" s="113"/>
      <c r="Q656" s="23"/>
      <c r="BF656"/>
    </row>
    <row r="657" spans="15:58" ht="14.4">
      <c r="O657" s="113"/>
      <c r="P657" s="113"/>
      <c r="Q657" s="23"/>
      <c r="BF657"/>
    </row>
    <row r="658" spans="15:58" ht="14.4">
      <c r="O658" s="113"/>
      <c r="P658" s="113"/>
      <c r="Q658" s="23"/>
      <c r="BF658"/>
    </row>
    <row r="659" spans="15:58" ht="14.4">
      <c r="O659" s="113"/>
      <c r="P659" s="113"/>
      <c r="Q659" s="23"/>
      <c r="BF659"/>
    </row>
    <row r="660" spans="15:58" ht="14.4">
      <c r="O660" s="113"/>
      <c r="P660" s="113"/>
      <c r="Q660" s="23"/>
      <c r="BF660"/>
    </row>
    <row r="661" spans="15:58" ht="14.4">
      <c r="O661" s="113"/>
      <c r="P661" s="113"/>
      <c r="Q661" s="23"/>
      <c r="BF661"/>
    </row>
    <row r="662" spans="15:58" ht="14.4">
      <c r="O662" s="113"/>
      <c r="P662" s="113"/>
      <c r="Q662" s="23"/>
      <c r="BF662"/>
    </row>
    <row r="663" spans="15:58" ht="14.4">
      <c r="O663" s="113"/>
      <c r="P663" s="113"/>
      <c r="Q663" s="23"/>
      <c r="BF663"/>
    </row>
    <row r="664" spans="15:58" ht="14.4">
      <c r="O664" s="113"/>
      <c r="P664" s="113"/>
      <c r="Q664" s="23"/>
      <c r="BF664"/>
    </row>
    <row r="665" spans="15:58" ht="14.4">
      <c r="O665" s="113"/>
      <c r="P665" s="113"/>
      <c r="Q665" s="23"/>
      <c r="BF665"/>
    </row>
    <row r="666" spans="15:58" ht="14.4">
      <c r="O666" s="113"/>
      <c r="P666" s="113"/>
      <c r="Q666" s="23"/>
      <c r="BF666"/>
    </row>
    <row r="667" spans="15:58" ht="14.4">
      <c r="O667" s="113"/>
      <c r="P667" s="113"/>
      <c r="Q667" s="23"/>
      <c r="BF667"/>
    </row>
    <row r="668" spans="15:58" ht="14.4">
      <c r="O668" s="113"/>
      <c r="P668" s="113"/>
      <c r="Q668" s="23"/>
      <c r="BF668"/>
    </row>
    <row r="669" spans="15:58" ht="14.4">
      <c r="O669" s="113"/>
      <c r="P669" s="113"/>
      <c r="Q669" s="23"/>
      <c r="BF669"/>
    </row>
    <row r="670" spans="15:58" ht="14.4">
      <c r="O670" s="113"/>
      <c r="P670" s="113"/>
      <c r="Q670" s="23"/>
      <c r="BF670"/>
    </row>
    <row r="671" spans="15:58" ht="14.4">
      <c r="O671" s="113"/>
      <c r="P671" s="113"/>
      <c r="Q671" s="23"/>
      <c r="BF671"/>
    </row>
    <row r="672" spans="15:58" ht="14.4">
      <c r="O672" s="113"/>
      <c r="P672" s="113"/>
      <c r="Q672" s="23"/>
      <c r="BF672"/>
    </row>
    <row r="673" spans="15:58" ht="14.4">
      <c r="O673" s="113"/>
      <c r="P673" s="113"/>
      <c r="Q673" s="23"/>
      <c r="BF673"/>
    </row>
    <row r="674" spans="15:58" ht="14.4">
      <c r="O674" s="113"/>
      <c r="P674" s="113"/>
      <c r="Q674" s="23"/>
      <c r="BF674"/>
    </row>
    <row r="675" spans="15:58" ht="14.4">
      <c r="O675" s="113"/>
      <c r="P675" s="113"/>
      <c r="Q675" s="23"/>
      <c r="BF675"/>
    </row>
    <row r="676" spans="15:58" ht="14.4">
      <c r="O676" s="113"/>
      <c r="P676" s="113"/>
      <c r="Q676" s="23"/>
      <c r="BF676"/>
    </row>
    <row r="677" spans="15:58" ht="14.4">
      <c r="O677" s="113"/>
      <c r="P677" s="113"/>
      <c r="Q677" s="23"/>
      <c r="BF677"/>
    </row>
    <row r="678" spans="15:58" ht="14.4">
      <c r="O678" s="113"/>
      <c r="P678" s="113"/>
      <c r="Q678" s="23"/>
      <c r="BF678"/>
    </row>
    <row r="679" spans="15:58" ht="14.4">
      <c r="O679" s="113"/>
      <c r="P679" s="113"/>
      <c r="Q679" s="23"/>
      <c r="BF679"/>
    </row>
    <row r="680" spans="15:58" ht="14.4">
      <c r="O680" s="113"/>
      <c r="P680" s="113"/>
      <c r="Q680" s="23"/>
      <c r="BF680"/>
    </row>
    <row r="681" spans="15:58" ht="14.4">
      <c r="O681" s="113"/>
      <c r="P681" s="113"/>
      <c r="Q681" s="23"/>
      <c r="BF681"/>
    </row>
    <row r="682" spans="15:58" ht="14.4">
      <c r="O682" s="113"/>
      <c r="P682" s="113"/>
      <c r="Q682" s="23"/>
      <c r="BF682"/>
    </row>
    <row r="683" spans="15:58" ht="14.4">
      <c r="O683" s="113"/>
      <c r="P683" s="113"/>
      <c r="Q683" s="23"/>
      <c r="BF683"/>
    </row>
    <row r="684" spans="15:58" ht="14.4">
      <c r="O684" s="113"/>
      <c r="P684" s="113"/>
      <c r="Q684" s="23"/>
      <c r="BF684"/>
    </row>
    <row r="685" spans="15:58" ht="14.4">
      <c r="O685" s="113"/>
      <c r="P685" s="113"/>
      <c r="Q685" s="23"/>
      <c r="BF685"/>
    </row>
    <row r="686" spans="15:58" ht="14.4">
      <c r="O686" s="113"/>
      <c r="P686" s="113"/>
      <c r="Q686" s="23"/>
      <c r="BF686"/>
    </row>
    <row r="687" spans="15:58" ht="14.4">
      <c r="O687" s="113"/>
      <c r="P687" s="113"/>
      <c r="Q687" s="23"/>
      <c r="BF687"/>
    </row>
    <row r="688" spans="15:58" ht="14.4">
      <c r="O688" s="113"/>
      <c r="P688" s="113"/>
      <c r="Q688" s="23"/>
      <c r="BF688"/>
    </row>
    <row r="689" spans="15:58" ht="14.4">
      <c r="O689" s="113"/>
      <c r="P689" s="113"/>
      <c r="Q689" s="23"/>
      <c r="BF689"/>
    </row>
    <row r="690" spans="15:58" ht="14.4">
      <c r="O690" s="113"/>
      <c r="P690" s="113"/>
      <c r="Q690" s="23"/>
      <c r="BF690"/>
    </row>
    <row r="691" spans="15:58" ht="14.4">
      <c r="O691" s="113"/>
      <c r="P691" s="113"/>
      <c r="Q691" s="23"/>
      <c r="BF691"/>
    </row>
    <row r="692" spans="15:58" ht="14.4">
      <c r="O692" s="113"/>
      <c r="P692" s="113"/>
      <c r="Q692" s="23"/>
      <c r="BF692"/>
    </row>
    <row r="693" spans="15:58" ht="14.4">
      <c r="O693" s="113"/>
      <c r="P693" s="113"/>
      <c r="Q693" s="23"/>
      <c r="BF693"/>
    </row>
    <row r="694" spans="15:58" ht="14.4">
      <c r="O694" s="113"/>
      <c r="P694" s="113"/>
      <c r="Q694" s="23"/>
      <c r="BF694"/>
    </row>
    <row r="695" spans="17:58" ht="14.4">
      <c r="Q695" s="23"/>
      <c r="BF695"/>
    </row>
    <row r="696" ht="14.4">
      <c r="BF696"/>
    </row>
    <row r="697" spans="17:58" ht="14.4">
      <c r="Q697" s="23"/>
      <c r="BF697"/>
    </row>
    <row r="698" spans="17:58" ht="14.4">
      <c r="Q698" s="23"/>
      <c r="BF698"/>
    </row>
    <row r="699" spans="17:58" ht="14.4">
      <c r="Q699" s="23"/>
      <c r="BF699"/>
    </row>
    <row r="700" spans="17:58" ht="14.4">
      <c r="Q700" s="23"/>
      <c r="BF700"/>
    </row>
    <row r="701" spans="17:58" ht="14.4">
      <c r="Q701" s="23"/>
      <c r="BF701"/>
    </row>
    <row r="702" spans="17:58" ht="14.4">
      <c r="Q702" s="23"/>
      <c r="BF702"/>
    </row>
    <row r="703" spans="17:58" ht="14.4">
      <c r="Q703" s="23"/>
      <c r="BF703"/>
    </row>
    <row r="704" spans="17:58" ht="14.4">
      <c r="Q704" s="23"/>
      <c r="BF704"/>
    </row>
    <row r="705" spans="17:58" ht="14.4">
      <c r="Q705" s="23"/>
      <c r="BF705"/>
    </row>
    <row r="706" spans="17:58" ht="14.4">
      <c r="Q706" s="23"/>
      <c r="BF706"/>
    </row>
    <row r="707" spans="17:58" ht="14.4">
      <c r="Q707" s="23"/>
      <c r="BF707"/>
    </row>
    <row r="708" spans="15:58" ht="14.4">
      <c r="O708" s="29"/>
      <c r="Q708" s="23"/>
      <c r="BF708"/>
    </row>
    <row r="709" ht="14.4">
      <c r="BF709"/>
    </row>
    <row r="710" spans="15:58" ht="14.4">
      <c r="O710" s="29"/>
      <c r="Q710" s="23"/>
      <c r="BF710"/>
    </row>
    <row r="711" spans="15:58" ht="14.4">
      <c r="O711" s="29"/>
      <c r="Q711" s="23"/>
      <c r="BF711"/>
    </row>
    <row r="712" spans="15:58" ht="14.4">
      <c r="O712" s="29"/>
      <c r="Q712" s="23"/>
      <c r="BF712"/>
    </row>
    <row r="713" spans="15:58" ht="14.4">
      <c r="O713" s="29"/>
      <c r="Q713" s="23"/>
      <c r="BF713"/>
    </row>
    <row r="714" spans="15:58" ht="14.4">
      <c r="O714" s="29"/>
      <c r="Q714" s="23"/>
      <c r="BF714"/>
    </row>
    <row r="715" spans="15:58" ht="14.4">
      <c r="O715" s="29"/>
      <c r="Q715" s="23"/>
      <c r="BF715"/>
    </row>
    <row r="716" spans="15:58" ht="14.4">
      <c r="O716" s="29"/>
      <c r="Q716" s="23"/>
      <c r="BF716"/>
    </row>
    <row r="717" spans="15:58" ht="14.4">
      <c r="O717" s="29"/>
      <c r="Q717" s="23"/>
      <c r="BF717"/>
    </row>
    <row r="718" spans="15:58" ht="14.4">
      <c r="O718" s="29"/>
      <c r="Q718" s="23"/>
      <c r="BF718"/>
    </row>
    <row r="719" spans="15:58" ht="14.4">
      <c r="O719" s="29"/>
      <c r="Q719" s="23"/>
      <c r="BF719"/>
    </row>
    <row r="720" spans="15:58" ht="14.4">
      <c r="O720" s="29"/>
      <c r="Q720" s="23"/>
      <c r="BF720"/>
    </row>
    <row r="721" spans="15:58" ht="14.4">
      <c r="O721" s="29"/>
      <c r="Q721" s="23"/>
      <c r="BF721"/>
    </row>
    <row r="722" ht="14.4">
      <c r="BF722"/>
    </row>
    <row r="723" spans="15:58" ht="14.4">
      <c r="O723" s="29"/>
      <c r="Q723" s="23"/>
      <c r="BF723"/>
    </row>
    <row r="724" spans="15:58" ht="14.4">
      <c r="O724" s="29"/>
      <c r="Q724" s="23"/>
      <c r="BF724"/>
    </row>
    <row r="725" spans="15:58" ht="14.4">
      <c r="O725" s="29"/>
      <c r="Q725" s="23"/>
      <c r="BF725"/>
    </row>
    <row r="726" spans="15:58" ht="14.4">
      <c r="O726" s="113"/>
      <c r="P726" s="113"/>
      <c r="Q726" s="23"/>
      <c r="BF726"/>
    </row>
    <row r="727" spans="15:58" ht="14.4">
      <c r="O727" s="29"/>
      <c r="Q727" s="23"/>
      <c r="BF727"/>
    </row>
    <row r="728" spans="15:58" ht="14.4">
      <c r="O728" s="29"/>
      <c r="Q728" s="23"/>
      <c r="BF728"/>
    </row>
    <row r="729" spans="15:58" ht="14.4">
      <c r="O729" s="29"/>
      <c r="Q729" s="23"/>
      <c r="BF729"/>
    </row>
    <row r="730" spans="15:58" ht="14.4">
      <c r="O730" s="29"/>
      <c r="Q730" s="23"/>
      <c r="BF730"/>
    </row>
    <row r="731" spans="15:58" ht="14.4">
      <c r="O731" s="29"/>
      <c r="Q731" s="23"/>
      <c r="BF731"/>
    </row>
    <row r="732" spans="15:58" ht="14.4">
      <c r="O732" s="113"/>
      <c r="P732" s="113"/>
      <c r="Q732" s="23"/>
      <c r="BF732"/>
    </row>
    <row r="733" spans="17:58" ht="14.4">
      <c r="Q733" s="23"/>
      <c r="BF733"/>
    </row>
    <row r="734" ht="14.4">
      <c r="BF734"/>
    </row>
    <row r="735" spans="17:58" ht="14.4">
      <c r="Q735" s="23"/>
      <c r="BF735"/>
    </row>
    <row r="736" spans="17:58" ht="14.4">
      <c r="Q736" s="23"/>
      <c r="BF736"/>
    </row>
    <row r="737" spans="17:58" ht="14.4">
      <c r="Q737" s="23"/>
      <c r="BF737"/>
    </row>
    <row r="738" spans="17:58" ht="14.4">
      <c r="Q738" s="23"/>
      <c r="BF738"/>
    </row>
    <row r="739" spans="17:58" ht="14.4">
      <c r="Q739" s="23"/>
      <c r="BF739"/>
    </row>
    <row r="740" spans="17:58" ht="14.4">
      <c r="Q740" s="23"/>
      <c r="BF740"/>
    </row>
    <row r="741" spans="17:58" ht="14.4">
      <c r="Q741" s="23"/>
      <c r="BF741"/>
    </row>
    <row r="742" spans="17:58" ht="14.4">
      <c r="Q742" s="23"/>
      <c r="BF742"/>
    </row>
    <row r="743" spans="17:58" ht="14.4">
      <c r="Q743" s="23"/>
      <c r="BF743"/>
    </row>
    <row r="744" spans="17:58" ht="14.4">
      <c r="Q744" s="23"/>
      <c r="BF744"/>
    </row>
    <row r="745" spans="17:58" ht="14.4">
      <c r="Q745" s="23"/>
      <c r="BF745"/>
    </row>
    <row r="746" spans="17:58" ht="14.4">
      <c r="Q746" s="23"/>
      <c r="BF746"/>
    </row>
    <row r="747" ht="14.4">
      <c r="BF747"/>
    </row>
    <row r="748" spans="17:58" ht="14.4">
      <c r="Q748" s="23"/>
      <c r="BF748"/>
    </row>
    <row r="749" spans="17:58" ht="14.4">
      <c r="Q749" s="23"/>
      <c r="BF749"/>
    </row>
    <row r="750" spans="17:58" ht="14.4">
      <c r="Q750" s="23"/>
      <c r="BF750"/>
    </row>
    <row r="751" spans="17:58" ht="14.4">
      <c r="Q751" s="23"/>
      <c r="BF751"/>
    </row>
    <row r="752" spans="17:58" ht="14.4">
      <c r="Q752" s="23"/>
      <c r="BF752"/>
    </row>
    <row r="753" spans="17:58" ht="14.4">
      <c r="Q753" s="23"/>
      <c r="BF753"/>
    </row>
    <row r="754" spans="17:58" ht="14.4">
      <c r="Q754" s="23"/>
      <c r="BF754"/>
    </row>
    <row r="755" spans="17:58" ht="14.4">
      <c r="Q755" s="23"/>
      <c r="BF755"/>
    </row>
    <row r="756" spans="17:58" ht="14.4">
      <c r="Q756" s="23"/>
      <c r="BF756"/>
    </row>
    <row r="757" spans="17:58" ht="14.4">
      <c r="Q757" s="23"/>
      <c r="BF757"/>
    </row>
    <row r="758" spans="17:58" ht="14.4">
      <c r="Q758" s="23"/>
      <c r="BF758"/>
    </row>
    <row r="759" spans="17:58" ht="14.4">
      <c r="Q759" s="23"/>
      <c r="BF759"/>
    </row>
    <row r="760" ht="14.4">
      <c r="BF760"/>
    </row>
    <row r="761" spans="17:58" ht="14.4">
      <c r="Q761" s="23"/>
      <c r="BF761"/>
    </row>
    <row r="762" spans="17:58" ht="14.4">
      <c r="Q762" s="23"/>
      <c r="BF762"/>
    </row>
    <row r="763" spans="17:58" ht="14.4">
      <c r="Q763" s="23"/>
      <c r="BF763"/>
    </row>
    <row r="764" spans="17:58" ht="14.4">
      <c r="Q764" s="23"/>
      <c r="BF764"/>
    </row>
    <row r="765" spans="17:58" ht="14.4">
      <c r="Q765" s="23"/>
      <c r="BF765"/>
    </row>
    <row r="766" spans="17:58" ht="14.4">
      <c r="Q766" s="23"/>
      <c r="BF766"/>
    </row>
    <row r="767" spans="17:58" ht="14.4">
      <c r="Q767" s="23"/>
      <c r="BF767"/>
    </row>
    <row r="768" spans="17:58" ht="14.4">
      <c r="Q768" s="23"/>
      <c r="BF768"/>
    </row>
    <row r="769" spans="17:58" ht="14.4">
      <c r="Q769" s="23"/>
      <c r="BF769"/>
    </row>
    <row r="770" spans="17:58" ht="14.4">
      <c r="Q770" s="23"/>
      <c r="BF770"/>
    </row>
    <row r="771" spans="17:58" ht="14.4">
      <c r="Q771" s="23"/>
      <c r="BF771"/>
    </row>
    <row r="772" spans="17:58" ht="14.4">
      <c r="Q772" s="23"/>
      <c r="BF772"/>
    </row>
    <row r="773" ht="14.4">
      <c r="BF773"/>
    </row>
    <row r="774" spans="17:58" ht="14.4">
      <c r="Q774" s="23"/>
      <c r="BF774"/>
    </row>
    <row r="775" spans="17:58" ht="14.4">
      <c r="Q775" s="23"/>
      <c r="BF775"/>
    </row>
    <row r="776" spans="17:58" ht="14.4">
      <c r="Q776" s="23"/>
      <c r="BF776"/>
    </row>
    <row r="777" spans="17:58" ht="14.4">
      <c r="Q777" s="23"/>
      <c r="BF777"/>
    </row>
    <row r="778" spans="17:58" ht="14.4">
      <c r="Q778" s="23"/>
      <c r="BF778"/>
    </row>
    <row r="779" spans="17:58" ht="14.4">
      <c r="Q779" s="23"/>
      <c r="BF779"/>
    </row>
    <row r="780" spans="17:58" ht="14.4">
      <c r="Q780" s="23"/>
      <c r="BF780"/>
    </row>
    <row r="781" spans="17:58" ht="14.4">
      <c r="Q781" s="23"/>
      <c r="BF781"/>
    </row>
    <row r="782" spans="17:58" ht="14.4">
      <c r="Q782" s="23"/>
      <c r="BF782"/>
    </row>
    <row r="783" spans="17:58" ht="14.4">
      <c r="Q783" s="23"/>
      <c r="BF783"/>
    </row>
    <row r="784" spans="17:58" ht="14.4">
      <c r="Q784" s="23"/>
      <c r="BF784"/>
    </row>
    <row r="785" spans="17:58" ht="14.4">
      <c r="Q785" s="23"/>
      <c r="BF785"/>
    </row>
    <row r="786" ht="14.4">
      <c r="BF786"/>
    </row>
    <row r="787" spans="17:58" ht="14.4">
      <c r="Q787" s="23"/>
      <c r="BF787"/>
    </row>
    <row r="788" spans="17:58" ht="14.4">
      <c r="Q788" s="23"/>
      <c r="BF788"/>
    </row>
    <row r="789" spans="17:58" ht="14.4">
      <c r="Q789" s="23"/>
      <c r="BF789"/>
    </row>
    <row r="790" spans="17:58" ht="14.4">
      <c r="Q790" s="23"/>
      <c r="BF790"/>
    </row>
    <row r="791" spans="17:58" ht="14.4">
      <c r="Q791" s="23"/>
      <c r="BF791"/>
    </row>
    <row r="792" spans="17:58" ht="14.4">
      <c r="Q792" s="23"/>
      <c r="BF792"/>
    </row>
    <row r="793" spans="17:58" ht="14.4">
      <c r="Q793" s="23"/>
      <c r="BF793"/>
    </row>
    <row r="794" spans="17:58" ht="14.4">
      <c r="Q794" s="23"/>
      <c r="BF794"/>
    </row>
    <row r="795" spans="17:58" ht="14.4">
      <c r="Q795" s="23"/>
      <c r="BF795"/>
    </row>
    <row r="796" spans="17:58" ht="14.4">
      <c r="Q796" s="23"/>
      <c r="BF796"/>
    </row>
    <row r="797" spans="17:58" ht="14.4">
      <c r="Q797" s="23"/>
      <c r="BF797"/>
    </row>
    <row r="798" spans="17:58" ht="14.4">
      <c r="Q798" s="23"/>
      <c r="BF798"/>
    </row>
    <row r="799" ht="14.4">
      <c r="BF799"/>
    </row>
    <row r="800" spans="17:58" ht="14.4">
      <c r="Q800" s="23"/>
      <c r="BF800"/>
    </row>
    <row r="801" spans="17:58" ht="14.4">
      <c r="Q801" s="23"/>
      <c r="BF801"/>
    </row>
    <row r="802" spans="17:58" ht="14.4">
      <c r="Q802" s="23"/>
      <c r="BF802"/>
    </row>
    <row r="803" spans="17:58" ht="14.4">
      <c r="Q803" s="23"/>
      <c r="BF803"/>
    </row>
    <row r="804" spans="17:58" ht="14.4">
      <c r="Q804" s="23"/>
      <c r="BF804"/>
    </row>
    <row r="805" spans="17:58" ht="14.4">
      <c r="Q805" s="23"/>
      <c r="BF805"/>
    </row>
    <row r="806" spans="17:58" ht="14.4">
      <c r="Q806" s="23"/>
      <c r="BF806"/>
    </row>
    <row r="807" spans="17:58" ht="14.4">
      <c r="Q807" s="23"/>
      <c r="BF807"/>
    </row>
    <row r="808" spans="17:58" ht="14.4">
      <c r="Q808" s="23"/>
      <c r="BF808"/>
    </row>
    <row r="809" spans="17:58" ht="14.4">
      <c r="Q809" s="23"/>
      <c r="BF809"/>
    </row>
    <row r="810" spans="17:58" ht="14.4">
      <c r="Q810" s="23"/>
      <c r="BF810"/>
    </row>
    <row r="811" spans="17:58" ht="14.4">
      <c r="Q811" s="23"/>
      <c r="BF811"/>
    </row>
    <row r="812" ht="14.4">
      <c r="BF812"/>
    </row>
    <row r="813" spans="17:58" ht="14.4">
      <c r="Q813" s="23"/>
      <c r="BF813"/>
    </row>
    <row r="814" spans="17:58" ht="14.4">
      <c r="Q814" s="23"/>
      <c r="BF814"/>
    </row>
    <row r="815" spans="17:58" ht="14.4">
      <c r="Q815" s="23"/>
      <c r="BF815"/>
    </row>
    <row r="816" spans="17:58" ht="14.4">
      <c r="Q816" s="23"/>
      <c r="BF816"/>
    </row>
    <row r="817" spans="17:58" ht="14.4">
      <c r="Q817" s="23"/>
      <c r="BF817"/>
    </row>
    <row r="818" spans="17:58" ht="14.4">
      <c r="Q818" s="23"/>
      <c r="BF818"/>
    </row>
    <row r="819" spans="17:58" ht="14.4">
      <c r="Q819" s="23"/>
      <c r="BF819"/>
    </row>
    <row r="820" spans="17:58" ht="14.4">
      <c r="Q820" s="23"/>
      <c r="BF820"/>
    </row>
    <row r="821" spans="17:58" ht="14.4">
      <c r="Q821" s="23"/>
      <c r="BF821"/>
    </row>
    <row r="822" spans="17:58" ht="14.4">
      <c r="Q822" s="23"/>
      <c r="BF822"/>
    </row>
    <row r="823" spans="17:58" ht="14.4">
      <c r="Q823" s="23"/>
      <c r="BF823"/>
    </row>
    <row r="824" spans="17:58" ht="14.4">
      <c r="Q824" s="23"/>
      <c r="BF824"/>
    </row>
    <row r="825" ht="14.4">
      <c r="BF825"/>
    </row>
    <row r="826" spans="17:58" ht="14.4">
      <c r="Q826" s="23"/>
      <c r="BF826"/>
    </row>
    <row r="827" spans="17:58" ht="14.4">
      <c r="Q827" s="23"/>
      <c r="BF827"/>
    </row>
    <row r="828" spans="17:58" ht="14.4">
      <c r="Q828" s="23"/>
      <c r="BF828"/>
    </row>
    <row r="829" spans="17:58" ht="14.4">
      <c r="Q829" s="23"/>
      <c r="BF829"/>
    </row>
    <row r="830" spans="17:58" ht="14.4">
      <c r="Q830" s="23"/>
      <c r="BF830"/>
    </row>
    <row r="831" spans="17:58" ht="14.4">
      <c r="Q831" s="23"/>
      <c r="BF831"/>
    </row>
    <row r="832" spans="17:58" ht="14.4">
      <c r="Q832" s="23"/>
      <c r="BF832"/>
    </row>
    <row r="833" spans="17:58" ht="14.4">
      <c r="Q833" s="23"/>
      <c r="BF833"/>
    </row>
    <row r="834" spans="17:58" ht="14.4">
      <c r="Q834" s="23"/>
      <c r="BF834"/>
    </row>
    <row r="835" spans="17:58" ht="14.4">
      <c r="Q835" s="23"/>
      <c r="BF835"/>
    </row>
    <row r="836" spans="17:58" ht="14.4">
      <c r="Q836" s="23"/>
      <c r="BF836"/>
    </row>
    <row r="837" spans="17:58" ht="14.4">
      <c r="Q837" s="23"/>
      <c r="BF837"/>
    </row>
    <row r="838" ht="14.4">
      <c r="BF838"/>
    </row>
    <row r="839" spans="17:58" ht="14.4">
      <c r="Q839" s="23"/>
      <c r="BF839"/>
    </row>
    <row r="840" spans="17:58" ht="14.4">
      <c r="Q840" s="23"/>
      <c r="BF840"/>
    </row>
    <row r="841" spans="17:58" ht="14.4">
      <c r="Q841" s="23"/>
      <c r="BF841"/>
    </row>
    <row r="842" spans="17:58" ht="14.4">
      <c r="Q842" s="23"/>
      <c r="BF842"/>
    </row>
    <row r="843" spans="17:58" ht="14.4">
      <c r="Q843" s="23"/>
      <c r="BF843"/>
    </row>
    <row r="844" spans="17:58" ht="14.4">
      <c r="Q844" s="23"/>
      <c r="BF844"/>
    </row>
    <row r="845" spans="17:58" ht="14.4">
      <c r="Q845" s="23"/>
      <c r="BF845"/>
    </row>
    <row r="846" spans="17:58" ht="14.4">
      <c r="Q846" s="23"/>
      <c r="BF846"/>
    </row>
    <row r="847" spans="17:58" ht="14.4">
      <c r="Q847" s="23"/>
      <c r="BF847"/>
    </row>
    <row r="848" spans="17:58" ht="14.4">
      <c r="Q848" s="23"/>
      <c r="BF848"/>
    </row>
    <row r="849" spans="17:58" ht="14.4">
      <c r="Q849" s="23"/>
      <c r="BF849"/>
    </row>
    <row r="850" spans="15:58" ht="14.4">
      <c r="O850" s="29"/>
      <c r="Q850" s="23"/>
      <c r="BF850"/>
    </row>
    <row r="851" spans="15:58" ht="14.4">
      <c r="O851" s="29"/>
      <c r="BF851"/>
    </row>
    <row r="852" spans="15:58" ht="14.4">
      <c r="O852" s="29"/>
      <c r="Q852" s="23"/>
      <c r="BF852"/>
    </row>
    <row r="853" spans="15:58" ht="14.4">
      <c r="O853" s="29"/>
      <c r="Q853" s="23"/>
      <c r="BF853"/>
    </row>
    <row r="854" spans="15:58" ht="14.4">
      <c r="O854" s="29"/>
      <c r="Q854" s="23"/>
      <c r="BF854"/>
    </row>
    <row r="855" spans="15:58" ht="14.4">
      <c r="O855" s="29"/>
      <c r="Q855" s="23"/>
      <c r="BF855"/>
    </row>
    <row r="856" spans="15:58" ht="14.4">
      <c r="O856" s="29"/>
      <c r="Q856" s="23"/>
      <c r="BF856"/>
    </row>
    <row r="857" spans="15:58" ht="14.4">
      <c r="O857" s="29"/>
      <c r="Q857" s="23"/>
      <c r="BF857"/>
    </row>
    <row r="858" spans="15:58" ht="14.4">
      <c r="O858" s="29"/>
      <c r="Q858" s="23"/>
      <c r="BF858"/>
    </row>
    <row r="859" spans="15:58" ht="14.4">
      <c r="O859" s="29"/>
      <c r="Q859" s="23"/>
      <c r="BF859"/>
    </row>
    <row r="860" spans="15:58" ht="14.4">
      <c r="O860" s="29"/>
      <c r="Q860" s="23"/>
      <c r="BF860"/>
    </row>
    <row r="861" spans="15:58" ht="14.4">
      <c r="O861" s="29"/>
      <c r="Q861" s="23"/>
      <c r="BF861"/>
    </row>
    <row r="862" spans="15:58" ht="14.4">
      <c r="O862" s="29"/>
      <c r="Q862" s="23"/>
      <c r="BF862"/>
    </row>
    <row r="863" spans="16:58" ht="14.4">
      <c r="P863" s="23"/>
      <c r="Q863" s="23"/>
      <c r="BF863"/>
    </row>
    <row r="864" spans="17:58" ht="14.4">
      <c r="Q864" s="23"/>
      <c r="BF864"/>
    </row>
    <row r="865" ht="14.4">
      <c r="BF865"/>
    </row>
    <row r="866" ht="14.4">
      <c r="BF866"/>
    </row>
    <row r="867" spans="16:58" ht="14.4">
      <c r="P867" s="23"/>
      <c r="Q867" s="23"/>
      <c r="BF867"/>
    </row>
    <row r="868" spans="17:58" ht="14.4">
      <c r="Q868" s="23"/>
      <c r="BF868"/>
    </row>
    <row r="869" spans="16:58" ht="14.4">
      <c r="P869" s="23"/>
      <c r="Q869" s="23"/>
      <c r="BF869"/>
    </row>
    <row r="870" spans="17:58" ht="14.4">
      <c r="Q870" s="23"/>
      <c r="BF870"/>
    </row>
    <row r="871" spans="16:58" ht="14.4">
      <c r="P871" s="23"/>
      <c r="Q871" s="23"/>
      <c r="BF871"/>
    </row>
    <row r="872" spans="17:58" ht="14.4">
      <c r="Q872" s="23"/>
      <c r="BF872"/>
    </row>
    <row r="873" spans="16:58" ht="14.4">
      <c r="P873" s="23"/>
      <c r="Q873" s="23"/>
      <c r="BF873"/>
    </row>
    <row r="874" spans="17:58" ht="14.4">
      <c r="Q874" s="23"/>
      <c r="BF874"/>
    </row>
    <row r="875" spans="16:58" ht="14.4">
      <c r="P875" s="23"/>
      <c r="Q875" s="23"/>
      <c r="BF875"/>
    </row>
    <row r="876" spans="17:58" ht="14.4">
      <c r="Q876" s="23"/>
      <c r="BF876"/>
    </row>
    <row r="877" spans="16:58" ht="14.4">
      <c r="P877" s="23"/>
      <c r="Q877" s="23"/>
      <c r="BF877"/>
    </row>
    <row r="878" spans="17:58" ht="14.4">
      <c r="Q878" s="23"/>
      <c r="BF878"/>
    </row>
    <row r="879" spans="16:58" ht="14.4">
      <c r="P879" s="23"/>
      <c r="Q879" s="23"/>
      <c r="BF879"/>
    </row>
    <row r="880" spans="17:58" ht="14.4">
      <c r="Q880" s="23"/>
      <c r="BF880"/>
    </row>
    <row r="881" spans="16:58" ht="14.4">
      <c r="P881" s="23"/>
      <c r="Q881" s="23"/>
      <c r="BF881"/>
    </row>
    <row r="882" spans="17:58" ht="14.4">
      <c r="Q882" s="23"/>
      <c r="BF882"/>
    </row>
    <row r="883" spans="16:58" ht="14.4">
      <c r="P883" s="23"/>
      <c r="Q883" s="23"/>
      <c r="BF883"/>
    </row>
    <row r="884" spans="17:58" ht="14.4">
      <c r="Q884" s="23"/>
      <c r="BF884"/>
    </row>
    <row r="885" spans="16:58" ht="14.4">
      <c r="P885" s="23"/>
      <c r="Q885" s="23"/>
      <c r="BF885"/>
    </row>
    <row r="886" spans="17:58" ht="14.4">
      <c r="Q886" s="23"/>
      <c r="BF886"/>
    </row>
    <row r="887" spans="16:58" ht="14.4">
      <c r="P887" s="23"/>
      <c r="Q887" s="23"/>
      <c r="BF887"/>
    </row>
    <row r="888" spans="17:58" ht="14.4">
      <c r="Q888" s="23"/>
      <c r="BF888"/>
    </row>
    <row r="889" spans="16:58" ht="14.4">
      <c r="P889" s="23"/>
      <c r="Q889" s="23"/>
      <c r="BF889"/>
    </row>
    <row r="890" spans="17:58" ht="14.4">
      <c r="Q890" s="23"/>
      <c r="BF890"/>
    </row>
    <row r="891" ht="14.4">
      <c r="BF891"/>
    </row>
    <row r="892" ht="14.4">
      <c r="BF892"/>
    </row>
    <row r="893" spans="16:58" ht="14.4">
      <c r="P893" s="23"/>
      <c r="Q893" s="23"/>
      <c r="BF893"/>
    </row>
    <row r="894" spans="17:58" ht="14.4">
      <c r="Q894" s="23"/>
      <c r="BF894"/>
    </row>
    <row r="895" spans="16:58" ht="14.4">
      <c r="P895" s="23"/>
      <c r="Q895" s="23"/>
      <c r="BF895"/>
    </row>
    <row r="896" spans="17:58" ht="14.4">
      <c r="Q896" s="23"/>
      <c r="BF896"/>
    </row>
    <row r="897" spans="16:58" ht="14.4">
      <c r="P897" s="23"/>
      <c r="Q897" s="23"/>
      <c r="BF897"/>
    </row>
    <row r="898" spans="17:58" ht="14.4">
      <c r="Q898" s="23"/>
      <c r="BF898"/>
    </row>
    <row r="899" spans="16:58" ht="14.4">
      <c r="P899" s="23"/>
      <c r="Q899" s="23"/>
      <c r="BF899"/>
    </row>
    <row r="900" spans="17:58" ht="14.4">
      <c r="Q900" s="23"/>
      <c r="BF900"/>
    </row>
    <row r="901" spans="16:58" ht="14.4">
      <c r="P901" s="23"/>
      <c r="Q901" s="23"/>
      <c r="BF901"/>
    </row>
    <row r="902" spans="17:58" ht="14.4">
      <c r="Q902" s="23"/>
      <c r="BF902"/>
    </row>
    <row r="903" spans="16:58" ht="14.4">
      <c r="P903" s="23"/>
      <c r="Q903" s="23"/>
      <c r="BF903"/>
    </row>
    <row r="904" spans="17:58" ht="14.4">
      <c r="Q904" s="23"/>
      <c r="BF904"/>
    </row>
    <row r="905" spans="16:58" ht="14.4">
      <c r="P905" s="23"/>
      <c r="Q905" s="23"/>
      <c r="BF905"/>
    </row>
    <row r="906" spans="17:58" ht="14.4">
      <c r="Q906" s="23"/>
      <c r="BF906"/>
    </row>
    <row r="907" spans="16:58" ht="14.4">
      <c r="P907" s="23"/>
      <c r="Q907" s="23"/>
      <c r="BF907"/>
    </row>
    <row r="908" spans="17:58" ht="14.4">
      <c r="Q908" s="23"/>
      <c r="BF908"/>
    </row>
    <row r="909" spans="16:58" ht="14.4">
      <c r="P909" s="23"/>
      <c r="Q909" s="23"/>
      <c r="BF909"/>
    </row>
    <row r="910" spans="17:58" ht="14.4">
      <c r="Q910" s="23"/>
      <c r="BF910"/>
    </row>
    <row r="911" spans="16:58" ht="14.4">
      <c r="P911" s="23"/>
      <c r="Q911" s="23"/>
      <c r="BF911"/>
    </row>
    <row r="912" spans="17:58" ht="14.4">
      <c r="Q912" s="23"/>
      <c r="BF912"/>
    </row>
    <row r="913" spans="16:58" ht="14.4">
      <c r="P913" s="23"/>
      <c r="Q913" s="23"/>
      <c r="BF913"/>
    </row>
    <row r="914" spans="17:58" ht="14.4">
      <c r="Q914" s="23"/>
      <c r="BF914"/>
    </row>
    <row r="915" spans="16:58" ht="14.4">
      <c r="P915" s="23"/>
      <c r="Q915" s="23"/>
      <c r="BF915"/>
    </row>
    <row r="916" spans="16:58" ht="14.4">
      <c r="P916" s="23"/>
      <c r="BF916"/>
    </row>
    <row r="917" spans="16:58" ht="14.4">
      <c r="P917" s="23"/>
      <c r="Q917" s="23"/>
      <c r="BF917"/>
    </row>
    <row r="918" spans="16:58" ht="14.4">
      <c r="P918" s="23"/>
      <c r="Q918" s="23"/>
      <c r="BF918"/>
    </row>
    <row r="919" spans="16:58" ht="14.4">
      <c r="P919" s="23"/>
      <c r="Q919" s="23"/>
      <c r="BF919"/>
    </row>
    <row r="920" spans="16:58" ht="14.4">
      <c r="P920" s="23"/>
      <c r="Q920" s="23"/>
      <c r="BF920"/>
    </row>
    <row r="921" spans="16:58" ht="14.4">
      <c r="P921" s="23"/>
      <c r="Q921" s="23"/>
      <c r="BF921"/>
    </row>
    <row r="922" spans="16:58" ht="14.4">
      <c r="P922" s="23"/>
      <c r="Q922" s="23"/>
      <c r="BF922"/>
    </row>
    <row r="923" spans="16:58" ht="14.4">
      <c r="P923" s="23"/>
      <c r="Q923" s="23"/>
      <c r="BF923"/>
    </row>
    <row r="924" spans="16:58" ht="14.4">
      <c r="P924" s="23"/>
      <c r="Q924" s="23"/>
      <c r="BF924"/>
    </row>
    <row r="925" spans="16:58" ht="14.4">
      <c r="P925" s="23"/>
      <c r="Q925" s="23"/>
      <c r="BF925"/>
    </row>
    <row r="926" spans="16:58" ht="14.4">
      <c r="P926" s="23"/>
      <c r="Q926" s="23"/>
      <c r="BF926"/>
    </row>
    <row r="927" spans="16:58" ht="14.4">
      <c r="P927" s="23"/>
      <c r="Q927" s="23"/>
      <c r="BF927"/>
    </row>
    <row r="928" spans="16:58" ht="14.4">
      <c r="P928" s="23"/>
      <c r="Q928" s="23"/>
      <c r="BF928"/>
    </row>
    <row r="929" spans="16:58" ht="14.4">
      <c r="P929" s="23"/>
      <c r="BF929"/>
    </row>
    <row r="930" spans="16:58" ht="14.4">
      <c r="P930" s="23"/>
      <c r="Q930" s="23"/>
      <c r="BF930"/>
    </row>
    <row r="931" spans="16:58" ht="14.4">
      <c r="P931" s="23"/>
      <c r="Q931" s="23"/>
      <c r="BF931"/>
    </row>
    <row r="932" spans="16:58" ht="14.4">
      <c r="P932" s="23"/>
      <c r="Q932" s="23"/>
      <c r="BF932"/>
    </row>
    <row r="933" spans="16:58" ht="14.4">
      <c r="P933" s="23"/>
      <c r="Q933" s="23"/>
      <c r="BF933"/>
    </row>
    <row r="934" spans="16:58" ht="14.4">
      <c r="P934" s="23"/>
      <c r="Q934" s="23"/>
      <c r="BF934"/>
    </row>
    <row r="935" spans="16:58" ht="14.4">
      <c r="P935" s="23"/>
      <c r="Q935" s="23"/>
      <c r="BF935"/>
    </row>
    <row r="936" spans="16:58" ht="14.4">
      <c r="P936" s="23"/>
      <c r="Q936" s="23"/>
      <c r="BF936"/>
    </row>
    <row r="937" spans="16:58" ht="14.4">
      <c r="P937" s="23"/>
      <c r="Q937" s="23"/>
      <c r="BF937"/>
    </row>
    <row r="938" spans="16:58" ht="14.4">
      <c r="P938" s="23"/>
      <c r="Q938" s="23"/>
      <c r="BF938"/>
    </row>
    <row r="939" spans="16:58" ht="14.4">
      <c r="P939" s="23"/>
      <c r="Q939" s="23"/>
      <c r="BF939"/>
    </row>
    <row r="940" spans="16:58" ht="14.4">
      <c r="P940" s="23"/>
      <c r="Q940" s="23"/>
      <c r="BF940"/>
    </row>
    <row r="941" spans="17:58" ht="14.4">
      <c r="Q941" s="23"/>
      <c r="BF941"/>
    </row>
    <row r="942" spans="16:58" ht="14.4">
      <c r="P942" s="23"/>
      <c r="Q942" s="23"/>
      <c r="BF942"/>
    </row>
    <row r="943" ht="14.4">
      <c r="BF943"/>
    </row>
    <row r="944" spans="16:58" ht="14.4">
      <c r="P944" s="23"/>
      <c r="BF944"/>
    </row>
    <row r="945" spans="17:58" ht="14.4">
      <c r="Q945" s="23"/>
      <c r="BF945"/>
    </row>
    <row r="946" spans="16:58" ht="14.4">
      <c r="P946" s="23"/>
      <c r="Q946" s="23"/>
      <c r="BF946"/>
    </row>
    <row r="947" spans="17:58" ht="14.4">
      <c r="Q947" s="23"/>
      <c r="BF947"/>
    </row>
    <row r="948" spans="16:58" ht="14.4">
      <c r="P948" s="23"/>
      <c r="Q948" s="23"/>
      <c r="BF948"/>
    </row>
    <row r="949" spans="17:58" ht="14.4">
      <c r="Q949" s="23"/>
      <c r="BF949"/>
    </row>
    <row r="950" spans="16:58" ht="14.4">
      <c r="P950" s="23"/>
      <c r="Q950" s="23"/>
      <c r="BF950"/>
    </row>
    <row r="951" spans="17:58" ht="14.4">
      <c r="Q951" s="23"/>
      <c r="BF951"/>
    </row>
    <row r="952" spans="16:58" ht="14.4">
      <c r="P952" s="23"/>
      <c r="Q952" s="23"/>
      <c r="BF952"/>
    </row>
    <row r="953" spans="17:58" ht="14.4">
      <c r="Q953" s="23"/>
      <c r="BF953"/>
    </row>
    <row r="954" spans="16:58" ht="14.4">
      <c r="P954" s="23"/>
      <c r="Q954" s="23"/>
      <c r="BF954"/>
    </row>
    <row r="955" spans="17:58" ht="14.4">
      <c r="Q955" s="23"/>
      <c r="BF955"/>
    </row>
    <row r="956" spans="16:58" ht="14.4">
      <c r="P956" s="23"/>
      <c r="Q956" s="23"/>
      <c r="BF956"/>
    </row>
    <row r="957" spans="17:58" ht="14.4">
      <c r="Q957" s="23"/>
      <c r="BF957"/>
    </row>
    <row r="958" spans="16:58" ht="14.4">
      <c r="P958" s="23"/>
      <c r="Q958" s="23"/>
      <c r="BF958"/>
    </row>
    <row r="959" spans="17:58" ht="14.4">
      <c r="Q959" s="23"/>
      <c r="BF959"/>
    </row>
    <row r="960" spans="16:58" ht="14.4">
      <c r="P960" s="23"/>
      <c r="Q960" s="23"/>
      <c r="BF960"/>
    </row>
    <row r="961" spans="17:58" ht="14.4">
      <c r="Q961" s="23"/>
      <c r="BF961"/>
    </row>
    <row r="962" spans="16:58" ht="14.4">
      <c r="P962" s="23"/>
      <c r="Q962" s="23"/>
      <c r="BF962"/>
    </row>
    <row r="963" spans="17:58" ht="14.4">
      <c r="Q963" s="23"/>
      <c r="BF963"/>
    </row>
    <row r="964" spans="16:58" ht="14.4">
      <c r="P964" s="23"/>
      <c r="Q964" s="23"/>
      <c r="BF964"/>
    </row>
    <row r="965" spans="17:58" ht="14.4">
      <c r="Q965" s="23"/>
      <c r="BF965"/>
    </row>
    <row r="966" spans="16:58" ht="14.4">
      <c r="P966" s="23"/>
      <c r="Q966" s="23"/>
      <c r="BF966"/>
    </row>
    <row r="967" spans="17:58" ht="14.4">
      <c r="Q967" s="23"/>
      <c r="BF967"/>
    </row>
    <row r="968" spans="16:58" ht="14.4">
      <c r="P968" s="23"/>
      <c r="Q968" s="23"/>
      <c r="BF968"/>
    </row>
    <row r="969" ht="14.4">
      <c r="BF969"/>
    </row>
    <row r="970" spans="16:58" ht="14.4">
      <c r="P970" s="23"/>
      <c r="BF970"/>
    </row>
    <row r="971" spans="17:58" ht="14.4">
      <c r="Q971" s="23"/>
      <c r="BF971"/>
    </row>
    <row r="972" spans="16:58" ht="14.4">
      <c r="P972" s="23"/>
      <c r="Q972" s="23"/>
      <c r="BF972"/>
    </row>
    <row r="973" spans="17:58" ht="14.4">
      <c r="Q973" s="23"/>
      <c r="BF973"/>
    </row>
    <row r="974" spans="16:58" ht="14.4">
      <c r="P974" s="23"/>
      <c r="Q974" s="23"/>
      <c r="BF974"/>
    </row>
    <row r="975" spans="17:58" ht="14.4">
      <c r="Q975" s="23"/>
      <c r="BF975"/>
    </row>
    <row r="976" spans="16:58" ht="14.4">
      <c r="P976" s="23"/>
      <c r="Q976" s="23"/>
      <c r="BF976"/>
    </row>
    <row r="977" spans="17:58" ht="14.4">
      <c r="Q977" s="23"/>
      <c r="BF977"/>
    </row>
    <row r="978" spans="16:58" ht="14.4">
      <c r="P978" s="23"/>
      <c r="Q978" s="23"/>
      <c r="BF978"/>
    </row>
    <row r="979" spans="17:58" ht="14.4">
      <c r="Q979" s="23"/>
      <c r="BF979"/>
    </row>
    <row r="980" spans="16:58" ht="14.4">
      <c r="P980" s="23"/>
      <c r="Q980" s="23"/>
      <c r="BF980"/>
    </row>
    <row r="981" spans="17:58" ht="14.4">
      <c r="Q981" s="23"/>
      <c r="BF981"/>
    </row>
    <row r="982" spans="16:58" ht="14.4">
      <c r="P982" s="23"/>
      <c r="Q982" s="23"/>
      <c r="BF982"/>
    </row>
    <row r="983" spans="17:58" ht="14.4">
      <c r="Q983" s="23"/>
      <c r="BF983"/>
    </row>
    <row r="984" spans="16:58" ht="14.4">
      <c r="P984" s="23"/>
      <c r="Q984" s="23"/>
      <c r="BF984"/>
    </row>
    <row r="985" spans="17:58" ht="14.4">
      <c r="Q985" s="23"/>
      <c r="BF985"/>
    </row>
    <row r="986" spans="16:58" ht="14.4">
      <c r="P986" s="23"/>
      <c r="Q986" s="23"/>
      <c r="BF986"/>
    </row>
    <row r="987" spans="17:58" ht="14.4">
      <c r="Q987" s="23"/>
      <c r="BF987"/>
    </row>
    <row r="988" spans="16:58" ht="14.4">
      <c r="P988" s="23"/>
      <c r="Q988" s="23"/>
      <c r="BF988"/>
    </row>
    <row r="989" spans="17:58" ht="14.4">
      <c r="Q989" s="23"/>
      <c r="BF989"/>
    </row>
    <row r="990" spans="16:58" ht="14.4">
      <c r="P990" s="23"/>
      <c r="Q990" s="23"/>
      <c r="BF990"/>
    </row>
    <row r="991" spans="17:58" ht="14.4">
      <c r="Q991" s="23"/>
      <c r="BF991"/>
    </row>
    <row r="992" spans="16:58" ht="14.4">
      <c r="P992" s="23"/>
      <c r="Q992" s="23"/>
      <c r="BF992"/>
    </row>
    <row r="993" spans="17:58" ht="14.4">
      <c r="Q993" s="23"/>
      <c r="BF993"/>
    </row>
    <row r="994" spans="16:58" ht="14.4">
      <c r="P994" s="23"/>
      <c r="Q994" s="23"/>
      <c r="BF994"/>
    </row>
    <row r="995" ht="14.4">
      <c r="BF995"/>
    </row>
    <row r="996" spans="16:58" ht="14.4">
      <c r="P996" s="23"/>
      <c r="BF996"/>
    </row>
    <row r="997" spans="17:58" ht="14.4">
      <c r="Q997" s="23"/>
      <c r="BF997"/>
    </row>
    <row r="998" spans="16:58" ht="14.4">
      <c r="P998" s="23"/>
      <c r="Q998" s="23"/>
      <c r="BF998"/>
    </row>
    <row r="999" spans="17:58" ht="14.4">
      <c r="Q999" s="23"/>
      <c r="BF999"/>
    </row>
    <row r="1000" spans="16:58" ht="14.4">
      <c r="P1000" s="23"/>
      <c r="Q1000" s="23"/>
      <c r="BF1000"/>
    </row>
    <row r="1001" spans="17:58" ht="14.4">
      <c r="Q1001" s="23"/>
      <c r="BF1001"/>
    </row>
    <row r="1002" spans="16:58" ht="14.4">
      <c r="P1002" s="23"/>
      <c r="Q1002" s="23"/>
      <c r="BF1002"/>
    </row>
    <row r="1003" spans="17:58" ht="14.4">
      <c r="Q1003" s="23"/>
      <c r="BF1003"/>
    </row>
    <row r="1004" spans="16:58" ht="14.4">
      <c r="P1004" s="23"/>
      <c r="Q1004" s="23"/>
      <c r="BF1004"/>
    </row>
    <row r="1005" spans="17:58" ht="14.4">
      <c r="Q1005" s="23"/>
      <c r="BF1005"/>
    </row>
    <row r="1006" spans="16:58" ht="14.4">
      <c r="P1006" s="23"/>
      <c r="Q1006" s="23"/>
      <c r="BF1006"/>
    </row>
    <row r="1007" spans="17:58" ht="14.4">
      <c r="Q1007" s="23"/>
      <c r="BF1007"/>
    </row>
    <row r="1008" spans="16:58" ht="14.4">
      <c r="P1008" s="23"/>
      <c r="Q1008" s="23"/>
      <c r="BF1008"/>
    </row>
    <row r="1009" spans="17:58" ht="14.4">
      <c r="Q1009" s="23"/>
      <c r="BF1009"/>
    </row>
    <row r="1010" spans="16:58" ht="14.4">
      <c r="P1010" s="23"/>
      <c r="Q1010" s="23"/>
      <c r="BF1010"/>
    </row>
    <row r="1011" spans="17:58" ht="14.4">
      <c r="Q1011" s="23"/>
      <c r="BF1011"/>
    </row>
    <row r="1012" spans="16:58" ht="14.4">
      <c r="P1012" s="23"/>
      <c r="Q1012" s="23"/>
      <c r="BF1012"/>
    </row>
    <row r="1013" spans="17:58" ht="14.4">
      <c r="Q1013" s="23"/>
      <c r="BF1013"/>
    </row>
    <row r="1014" spans="16:58" ht="14.4">
      <c r="P1014" s="23"/>
      <c r="Q1014" s="23"/>
      <c r="BF1014"/>
    </row>
    <row r="1015" spans="17:58" ht="14.4">
      <c r="Q1015" s="23"/>
      <c r="BF1015"/>
    </row>
    <row r="1016" spans="16:58" ht="14.4">
      <c r="P1016" s="23"/>
      <c r="Q1016" s="23"/>
      <c r="BF1016"/>
    </row>
    <row r="1017" spans="17:58" ht="14.4">
      <c r="Q1017" s="23"/>
      <c r="BF1017"/>
    </row>
    <row r="1018" spans="16:58" ht="14.4">
      <c r="P1018" s="23"/>
      <c r="Q1018" s="23"/>
      <c r="BF1018"/>
    </row>
    <row r="1019" spans="16:58" ht="14.4">
      <c r="P1019" s="23"/>
      <c r="Q1019" s="23"/>
      <c r="BF1019"/>
    </row>
    <row r="1020" spans="16:58" ht="14.4">
      <c r="P1020" s="23"/>
      <c r="BF1020"/>
    </row>
    <row r="1021" spans="16:58" ht="14.4">
      <c r="P1021" s="23"/>
      <c r="Q1021" s="23"/>
      <c r="BF1021"/>
    </row>
    <row r="1022" spans="16:58" ht="14.4">
      <c r="P1022" s="23"/>
      <c r="Q1022" s="23"/>
      <c r="BF1022"/>
    </row>
    <row r="1023" spans="16:58" ht="14.4">
      <c r="P1023" s="23"/>
      <c r="Q1023" s="23"/>
      <c r="BF1023"/>
    </row>
    <row r="1024" spans="16:58" ht="14.4">
      <c r="P1024" s="23"/>
      <c r="Q1024" s="23"/>
      <c r="BF1024"/>
    </row>
    <row r="1025" spans="16:58" ht="14.4">
      <c r="P1025" s="23"/>
      <c r="Q1025" s="23"/>
      <c r="BF1025"/>
    </row>
    <row r="1026" spans="16:58" ht="14.4">
      <c r="P1026" s="23"/>
      <c r="Q1026" s="23"/>
      <c r="BF1026"/>
    </row>
    <row r="1027" spans="16:58" ht="14.4">
      <c r="P1027" s="23"/>
      <c r="Q1027" s="23"/>
      <c r="BF1027"/>
    </row>
    <row r="1028" spans="16:58" ht="14.4">
      <c r="P1028" s="23"/>
      <c r="Q1028" s="23"/>
      <c r="BF1028"/>
    </row>
    <row r="1029" spans="16:58" ht="14.4">
      <c r="P1029" s="23"/>
      <c r="Q1029" s="23"/>
      <c r="BF1029"/>
    </row>
    <row r="1030" spans="16:58" ht="14.4">
      <c r="P1030" s="23"/>
      <c r="Q1030" s="23"/>
      <c r="BF1030"/>
    </row>
    <row r="1031" spans="16:58" ht="14.4">
      <c r="P1031" s="23"/>
      <c r="Q1031" s="23"/>
      <c r="BF1031"/>
    </row>
    <row r="1032" spans="16:58" ht="14.4">
      <c r="P1032" s="23"/>
      <c r="Q1032" s="23"/>
      <c r="BF1032"/>
    </row>
    <row r="1033" spans="16:58" ht="14.4">
      <c r="P1033" s="23"/>
      <c r="BF1033"/>
    </row>
    <row r="1034" spans="16:58" ht="14.4">
      <c r="P1034" s="23"/>
      <c r="Q1034" s="23"/>
      <c r="BF1034"/>
    </row>
    <row r="1035" spans="16:58" ht="14.4">
      <c r="P1035" s="23"/>
      <c r="Q1035" s="23"/>
      <c r="BF1035"/>
    </row>
    <row r="1036" spans="16:58" ht="14.4">
      <c r="P1036" s="23"/>
      <c r="Q1036" s="23"/>
      <c r="BF1036"/>
    </row>
    <row r="1037" spans="16:58" ht="14.4">
      <c r="P1037" s="23"/>
      <c r="Q1037" s="23"/>
      <c r="BF1037"/>
    </row>
    <row r="1038" spans="16:58" ht="14.4">
      <c r="P1038" s="23"/>
      <c r="Q1038" s="23"/>
      <c r="BF1038"/>
    </row>
    <row r="1039" spans="16:58" ht="14.4">
      <c r="P1039" s="23"/>
      <c r="Q1039" s="23"/>
      <c r="BF1039"/>
    </row>
    <row r="1040" spans="16:58" ht="14.4">
      <c r="P1040" s="23"/>
      <c r="Q1040" s="23"/>
      <c r="BF1040"/>
    </row>
    <row r="1041" spans="16:58" ht="14.4">
      <c r="P1041" s="23"/>
      <c r="Q1041" s="23"/>
      <c r="BF1041"/>
    </row>
    <row r="1042" spans="16:58" ht="14.4">
      <c r="P1042" s="23"/>
      <c r="Q1042" s="23"/>
      <c r="BF1042"/>
    </row>
    <row r="1043" spans="16:58" ht="14.4">
      <c r="P1043" s="23"/>
      <c r="Q1043" s="23"/>
      <c r="BF1043"/>
    </row>
    <row r="1044" spans="16:58" ht="14.4">
      <c r="P1044" s="23"/>
      <c r="Q1044" s="23"/>
      <c r="BF1044"/>
    </row>
    <row r="1045" spans="16:58" ht="14.4">
      <c r="P1045" s="23"/>
      <c r="Q1045" s="23"/>
      <c r="BF1045"/>
    </row>
    <row r="1046" spans="16:58" ht="14.4">
      <c r="P1046" s="23"/>
      <c r="BF1046"/>
    </row>
    <row r="1047" spans="16:58" ht="14.4">
      <c r="P1047" s="23"/>
      <c r="Q1047" s="23"/>
      <c r="BF1047"/>
    </row>
    <row r="1048" spans="16:58" ht="14.4">
      <c r="P1048" s="23"/>
      <c r="Q1048" s="23"/>
      <c r="BF1048"/>
    </row>
    <row r="1049" spans="16:58" ht="14.4">
      <c r="P1049" s="23"/>
      <c r="Q1049" s="23"/>
      <c r="BF1049"/>
    </row>
    <row r="1050" spans="16:58" ht="14.4">
      <c r="P1050" s="23"/>
      <c r="Q1050" s="23"/>
      <c r="BF1050"/>
    </row>
    <row r="1051" spans="16:58" ht="14.4">
      <c r="P1051" s="23"/>
      <c r="Q1051" s="23"/>
      <c r="BF1051"/>
    </row>
    <row r="1052" spans="16:58" ht="14.4">
      <c r="P1052" s="23"/>
      <c r="Q1052" s="23"/>
      <c r="BF1052"/>
    </row>
    <row r="1053" spans="16:58" ht="14.4">
      <c r="P1053" s="23"/>
      <c r="Q1053" s="23"/>
      <c r="BF1053"/>
    </row>
    <row r="1054" spans="16:58" ht="14.4">
      <c r="P1054" s="23"/>
      <c r="Q1054" s="23"/>
      <c r="BF1054"/>
    </row>
    <row r="1055" spans="16:58" ht="14.4">
      <c r="P1055" s="23"/>
      <c r="Q1055" s="23"/>
      <c r="BF1055"/>
    </row>
    <row r="1056" spans="16:58" ht="14.4">
      <c r="P1056" s="23"/>
      <c r="Q1056" s="23"/>
      <c r="BF1056"/>
    </row>
    <row r="1057" spans="16:58" ht="14.4">
      <c r="P1057" s="23"/>
      <c r="Q1057" s="23"/>
      <c r="BF1057"/>
    </row>
    <row r="1058" spans="15:58" ht="14.4">
      <c r="O1058"/>
      <c r="P1058"/>
      <c r="Q1058" s="23"/>
      <c r="BF1058"/>
    </row>
    <row r="1059" ht="14.4">
      <c r="BF1059"/>
    </row>
    <row r="1060" spans="15:58" ht="14.4">
      <c r="O1060"/>
      <c r="P1060"/>
      <c r="Q1060" s="23"/>
      <c r="BF1060"/>
    </row>
    <row r="1061" spans="15:58" ht="14.4">
      <c r="O1061"/>
      <c r="P1061"/>
      <c r="Q1061" s="23"/>
      <c r="BF1061"/>
    </row>
    <row r="1062" spans="15:58" ht="14.4">
      <c r="O1062"/>
      <c r="P1062"/>
      <c r="Q1062" s="23"/>
      <c r="BF1062"/>
    </row>
    <row r="1063" spans="15:58" ht="14.4">
      <c r="O1063"/>
      <c r="P1063"/>
      <c r="Q1063" s="23"/>
      <c r="BF1063"/>
    </row>
    <row r="1064" spans="15:58" ht="14.4">
      <c r="O1064"/>
      <c r="P1064"/>
      <c r="Q1064" s="23"/>
      <c r="BF1064"/>
    </row>
    <row r="1065" spans="15:58" ht="14.4">
      <c r="O1065"/>
      <c r="P1065"/>
      <c r="Q1065" s="23"/>
      <c r="BF1065"/>
    </row>
    <row r="1066" spans="15:58" ht="14.4">
      <c r="O1066"/>
      <c r="P1066"/>
      <c r="Q1066" s="23"/>
      <c r="BF1066"/>
    </row>
    <row r="1067" spans="15:58" ht="14.4">
      <c r="O1067"/>
      <c r="P1067"/>
      <c r="Q1067" s="23"/>
      <c r="BF1067"/>
    </row>
    <row r="1068" spans="15:58" ht="14.4">
      <c r="O1068"/>
      <c r="P1068"/>
      <c r="Q1068" s="23"/>
      <c r="BF1068"/>
    </row>
    <row r="1069" spans="15:58" ht="14.4">
      <c r="O1069"/>
      <c r="P1069"/>
      <c r="Q1069" s="23"/>
      <c r="BF1069"/>
    </row>
    <row r="1070" spans="15:58" ht="14.4">
      <c r="O1070" s="73"/>
      <c r="Q1070" s="23"/>
      <c r="BF1070"/>
    </row>
    <row r="1071" ht="14.4">
      <c r="BF1071"/>
    </row>
    <row r="1072" spans="15:58" ht="14.4">
      <c r="O1072" s="73"/>
      <c r="Q1072" s="23"/>
      <c r="BF1072"/>
    </row>
    <row r="1073" spans="15:58" ht="14.4">
      <c r="O1073" s="73"/>
      <c r="Q1073" s="23"/>
      <c r="BF1073"/>
    </row>
    <row r="1074" spans="15:58" ht="14.4">
      <c r="O1074" s="73"/>
      <c r="Q1074" s="23"/>
      <c r="BF1074"/>
    </row>
    <row r="1075" spans="15:58" ht="14.4">
      <c r="O1075" s="73"/>
      <c r="Q1075" s="23"/>
      <c r="BF1075"/>
    </row>
    <row r="1076" spans="15:58" ht="14.4">
      <c r="O1076" s="73"/>
      <c r="Q1076" s="23"/>
      <c r="BF1076"/>
    </row>
    <row r="1077" spans="15:58" ht="14.4">
      <c r="O1077" s="73"/>
      <c r="Q1077" s="23"/>
      <c r="BF1077"/>
    </row>
    <row r="1078" spans="15:58" ht="14.4">
      <c r="O1078" s="73"/>
      <c r="Q1078" s="23"/>
      <c r="BF1078"/>
    </row>
    <row r="1079" spans="15:58" ht="14.4">
      <c r="O1079" s="73"/>
      <c r="Q1079" s="23"/>
      <c r="BF1079"/>
    </row>
    <row r="1080" spans="15:58" ht="14.4">
      <c r="O1080" s="73"/>
      <c r="Q1080" s="23"/>
      <c r="BF1080"/>
    </row>
    <row r="1081" spans="15:58" ht="14.4">
      <c r="O1081" s="73"/>
      <c r="Q1081" s="23"/>
      <c r="BF1081"/>
    </row>
    <row r="1082" spans="15:58" ht="14.4">
      <c r="O1082"/>
      <c r="P1082"/>
      <c r="Q1082" s="23"/>
      <c r="BF1082"/>
    </row>
    <row r="1083" spans="15:58" ht="14.4">
      <c r="O1083"/>
      <c r="P1083"/>
      <c r="Q1083" s="23"/>
      <c r="BF1083"/>
    </row>
    <row r="1084" spans="15:58" ht="14.4">
      <c r="O1084"/>
      <c r="P1084"/>
      <c r="Q1084" s="23"/>
      <c r="BF1084"/>
    </row>
    <row r="1085" spans="15:58" ht="14.4">
      <c r="O1085" s="73"/>
      <c r="Q1085" s="23"/>
      <c r="BF1085"/>
    </row>
    <row r="1086" spans="15:58" ht="14.4">
      <c r="O1086"/>
      <c r="P1086"/>
      <c r="Q1086" s="23"/>
      <c r="BF1086"/>
    </row>
    <row r="1087" spans="15:58" ht="14.4">
      <c r="O1087"/>
      <c r="P1087"/>
      <c r="Q1087" s="23"/>
      <c r="BF1087"/>
    </row>
    <row r="1088" spans="15:58" ht="14.4">
      <c r="O1088"/>
      <c r="P1088"/>
      <c r="Q1088" s="23"/>
      <c r="BF1088"/>
    </row>
    <row r="1089" spans="15:58" ht="14.4">
      <c r="O1089"/>
      <c r="P1089"/>
      <c r="Q1089" s="23"/>
      <c r="BF1089"/>
    </row>
    <row r="1090" spans="15:58" ht="14.4">
      <c r="O1090"/>
      <c r="P1090"/>
      <c r="Q1090" s="23"/>
      <c r="BF1090"/>
    </row>
    <row r="1091" spans="15:58" ht="14.4">
      <c r="O1091" s="73"/>
      <c r="Q1091" s="23"/>
      <c r="BF1091"/>
    </row>
    <row r="1092" ht="14.4">
      <c r="BF1092"/>
    </row>
    <row r="1093" spans="15:58" ht="14.4">
      <c r="O1093" s="73"/>
      <c r="Q1093" s="23"/>
      <c r="BF1093"/>
    </row>
    <row r="1094" spans="15:58" ht="14.4">
      <c r="O1094" s="73"/>
      <c r="Q1094" s="23"/>
      <c r="BF1094"/>
    </row>
    <row r="1095" spans="15:58" ht="14.4">
      <c r="O1095" s="73"/>
      <c r="Q1095" s="23"/>
      <c r="BF1095"/>
    </row>
    <row r="1096" spans="15:58" ht="14.4">
      <c r="O1096" s="73"/>
      <c r="Q1096" s="23"/>
      <c r="BF1096"/>
    </row>
    <row r="1097" spans="15:58" ht="14.4">
      <c r="O1097" s="73"/>
      <c r="Q1097" s="23"/>
      <c r="BF1097"/>
    </row>
    <row r="1098" spans="15:58" ht="14.4">
      <c r="O1098" s="73"/>
      <c r="Q1098" s="23"/>
      <c r="BF1098"/>
    </row>
    <row r="1099" spans="15:58" ht="14.4">
      <c r="O1099" s="73"/>
      <c r="Q1099" s="23"/>
      <c r="BF1099"/>
    </row>
    <row r="1100" spans="15:58" ht="14.4">
      <c r="O1100" s="73"/>
      <c r="Q1100" s="23"/>
      <c r="BF1100"/>
    </row>
    <row r="1101" spans="15:58" ht="14.4">
      <c r="O1101" s="73"/>
      <c r="Q1101" s="23"/>
      <c r="BF1101"/>
    </row>
    <row r="1102" spans="15:58" ht="14.4">
      <c r="O1102" s="73"/>
      <c r="Q1102" s="23"/>
      <c r="BF1102"/>
    </row>
    <row r="1103" spans="15:58" ht="14.4">
      <c r="O1103"/>
      <c r="P1103"/>
      <c r="Q1103" s="23"/>
      <c r="BF1103"/>
    </row>
    <row r="1104" spans="15:58" ht="14.4">
      <c r="O1104"/>
      <c r="P1104"/>
      <c r="Q1104" s="23"/>
      <c r="BF1104"/>
    </row>
    <row r="1105" spans="15:58" ht="14.4">
      <c r="O1105"/>
      <c r="P1105"/>
      <c r="Q1105" s="23"/>
      <c r="BF1105"/>
    </row>
    <row r="1106" spans="15:58" ht="14.4">
      <c r="O1106" s="73"/>
      <c r="Q1106" s="23"/>
      <c r="BF1106"/>
    </row>
    <row r="1107" spans="15:58" ht="14.4">
      <c r="O1107"/>
      <c r="P1107"/>
      <c r="Q1107" s="23"/>
      <c r="BF1107"/>
    </row>
    <row r="1108" spans="15:58" ht="14.4">
      <c r="O1108"/>
      <c r="P1108"/>
      <c r="Q1108" s="23"/>
      <c r="BF1108"/>
    </row>
    <row r="1109" spans="15:58" ht="14.4">
      <c r="O1109"/>
      <c r="P1109"/>
      <c r="Q1109" s="23"/>
      <c r="BF1109"/>
    </row>
    <row r="1110" spans="15:58" ht="14.4">
      <c r="O1110"/>
      <c r="P1110"/>
      <c r="Q1110" s="23"/>
      <c r="BF1110"/>
    </row>
    <row r="1111" spans="15:58" ht="14.4">
      <c r="O1111"/>
      <c r="P1111"/>
      <c r="Q1111" s="23"/>
      <c r="BF1111"/>
    </row>
    <row r="1112" spans="15:58" ht="14.4">
      <c r="O1112"/>
      <c r="P1112"/>
      <c r="Q1112" s="23"/>
      <c r="BF1112"/>
    </row>
    <row r="1113" spans="15:58" ht="14.4">
      <c r="O1113"/>
      <c r="P1113"/>
      <c r="Q1113" s="23"/>
      <c r="BF1113"/>
    </row>
    <row r="1114" spans="15:58" ht="14.4">
      <c r="O1114"/>
      <c r="P1114"/>
      <c r="Q1114" s="23"/>
      <c r="BF1114"/>
    </row>
    <row r="1115" spans="15:58" ht="14.4">
      <c r="O1115"/>
      <c r="P1115"/>
      <c r="Q1115" s="23"/>
      <c r="BF1115"/>
    </row>
    <row r="1116" spans="15:58" ht="14.4">
      <c r="O1116"/>
      <c r="P1116"/>
      <c r="Q1116" s="23"/>
      <c r="BF1116"/>
    </row>
    <row r="1117" spans="15:58" ht="14.4">
      <c r="O1117"/>
      <c r="P1117"/>
      <c r="Q1117" s="23"/>
      <c r="BF1117"/>
    </row>
    <row r="1118" spans="15:58" ht="14.4">
      <c r="O1118"/>
      <c r="P1118"/>
      <c r="Q1118" s="23"/>
      <c r="BF1118"/>
    </row>
    <row r="1119" spans="15:58" ht="14.4">
      <c r="O1119"/>
      <c r="P1119"/>
      <c r="Q1119" s="23"/>
      <c r="BF1119"/>
    </row>
    <row r="1120" spans="15:58" ht="14.4">
      <c r="O1120"/>
      <c r="P1120"/>
      <c r="Q1120" s="23"/>
      <c r="BF1120"/>
    </row>
    <row r="1121" spans="15:58" ht="14.4">
      <c r="O1121"/>
      <c r="P1121"/>
      <c r="Q1121" s="23"/>
      <c r="BF1121"/>
    </row>
    <row r="1122" spans="15:58" ht="14.4">
      <c r="O1122"/>
      <c r="P1122"/>
      <c r="Q1122" s="23"/>
      <c r="BF1122"/>
    </row>
    <row r="1123" spans="15:58" ht="14.4">
      <c r="O1123"/>
      <c r="P1123"/>
      <c r="Q1123" s="23"/>
      <c r="BF1123"/>
    </row>
    <row r="1124" spans="15:58" ht="14.4">
      <c r="O1124"/>
      <c r="P1124"/>
      <c r="Q1124" s="23"/>
      <c r="BF1124"/>
    </row>
    <row r="1125" spans="15:58" ht="14.4">
      <c r="O1125"/>
      <c r="P1125"/>
      <c r="Q1125" s="23"/>
      <c r="BF1125"/>
    </row>
    <row r="1126" spans="15:58" ht="14.4">
      <c r="O1126"/>
      <c r="P1126"/>
      <c r="Q1126" s="23"/>
      <c r="BF1126"/>
    </row>
    <row r="1127" spans="15:58" ht="14.4">
      <c r="O1127"/>
      <c r="P1127"/>
      <c r="Q1127" s="23"/>
      <c r="BF1127"/>
    </row>
    <row r="1128" spans="17:58" ht="14.4">
      <c r="Q1128" s="23"/>
      <c r="BF1128"/>
    </row>
    <row r="1129" spans="16:58" ht="14.4">
      <c r="P1129" s="113"/>
      <c r="Q1129" s="23"/>
      <c r="BF1129"/>
    </row>
    <row r="1130" spans="17:58" ht="14.4">
      <c r="Q1130" s="23"/>
      <c r="BF1130"/>
    </row>
    <row r="1131" spans="17:58" ht="14.4">
      <c r="Q1131" s="23"/>
      <c r="BF1131"/>
    </row>
    <row r="1132" ht="14.4">
      <c r="BF1132"/>
    </row>
    <row r="1133" ht="14.4">
      <c r="BF1133"/>
    </row>
    <row r="1134" ht="14.4">
      <c r="BF1134"/>
    </row>
    <row r="1135" ht="14.4">
      <c r="BF1135"/>
    </row>
    <row r="1136" spans="17:58" ht="14.4">
      <c r="Q1136" s="23"/>
      <c r="BF1136"/>
    </row>
    <row r="1137" spans="16:58" ht="14.4">
      <c r="P1137" s="113"/>
      <c r="Q1137" s="23"/>
      <c r="BF1137"/>
    </row>
    <row r="1138" spans="17:58" ht="14.4">
      <c r="Q1138" s="23"/>
      <c r="BF1138"/>
    </row>
    <row r="1139" spans="17:58" ht="14.4">
      <c r="Q1139" s="23"/>
      <c r="BF1139"/>
    </row>
    <row r="1140" spans="17:58" ht="14.4">
      <c r="Q1140" s="23"/>
      <c r="BF1140"/>
    </row>
    <row r="1141" spans="16:58" ht="14.4">
      <c r="P1141" s="113"/>
      <c r="Q1141" s="23"/>
      <c r="BF1141"/>
    </row>
    <row r="1142" spans="17:58" ht="14.4">
      <c r="Q1142" s="23"/>
      <c r="BF1142"/>
    </row>
    <row r="1143" spans="17:58" ht="14.4">
      <c r="Q1143" s="23"/>
      <c r="BF1143"/>
    </row>
    <row r="1144" spans="17:58" ht="14.4">
      <c r="Q1144" s="23"/>
      <c r="BF1144"/>
    </row>
    <row r="1145" spans="16:58" ht="14.4">
      <c r="P1145" s="113"/>
      <c r="Q1145" s="23"/>
      <c r="BF1145"/>
    </row>
    <row r="1146" spans="17:58" ht="14.4">
      <c r="Q1146" s="23"/>
      <c r="BF1146"/>
    </row>
    <row r="1147" spans="17:58" ht="14.4">
      <c r="Q1147" s="23"/>
      <c r="BF1147"/>
    </row>
    <row r="1148" spans="17:58" ht="14.4">
      <c r="Q1148" s="23"/>
      <c r="BF1148"/>
    </row>
    <row r="1149" spans="16:58" ht="14.4">
      <c r="P1149" s="113"/>
      <c r="Q1149" s="23"/>
      <c r="BF1149"/>
    </row>
    <row r="1150" spans="17:58" ht="14.4">
      <c r="Q1150" s="23"/>
      <c r="BF1150"/>
    </row>
    <row r="1151" spans="17:58" ht="14.4">
      <c r="Q1151" s="23"/>
      <c r="BF1151"/>
    </row>
    <row r="1152" spans="17:58" ht="14.4">
      <c r="Q1152" s="23"/>
      <c r="BF1152"/>
    </row>
    <row r="1153" spans="16:58" ht="14.4">
      <c r="P1153" s="113"/>
      <c r="Q1153" s="23"/>
      <c r="BF1153"/>
    </row>
    <row r="1154" spans="17:58" ht="14.4">
      <c r="Q1154" s="23"/>
      <c r="BF1154"/>
    </row>
    <row r="1155" spans="17:58" ht="14.4">
      <c r="Q1155" s="23"/>
      <c r="BF1155"/>
    </row>
    <row r="1156" spans="17:58" ht="14.4">
      <c r="Q1156" s="23"/>
      <c r="BF1156"/>
    </row>
    <row r="1157" spans="16:58" ht="14.4">
      <c r="P1157" s="113"/>
      <c r="Q1157" s="23"/>
      <c r="BF1157"/>
    </row>
    <row r="1158" spans="17:58" ht="14.4">
      <c r="Q1158" s="23"/>
      <c r="BF1158"/>
    </row>
    <row r="1159" spans="17:58" ht="14.4">
      <c r="Q1159" s="23"/>
      <c r="BF1159"/>
    </row>
    <row r="1160" spans="17:58" ht="14.4">
      <c r="Q1160" s="23"/>
      <c r="BF1160"/>
    </row>
    <row r="1161" spans="16:58" ht="14.4">
      <c r="P1161" s="113"/>
      <c r="Q1161" s="23"/>
      <c r="BF1161"/>
    </row>
    <row r="1162" spans="17:58" ht="14.4">
      <c r="Q1162" s="23"/>
      <c r="BF1162"/>
    </row>
    <row r="1163" spans="17:58" ht="14.4">
      <c r="Q1163" s="23"/>
      <c r="BF1163"/>
    </row>
    <row r="1164" spans="17:58" ht="14.4">
      <c r="Q1164" s="23"/>
      <c r="BF1164"/>
    </row>
    <row r="1165" spans="16:58" ht="14.4">
      <c r="P1165" s="113"/>
      <c r="Q1165" s="23"/>
      <c r="BF1165"/>
    </row>
    <row r="1166" spans="17:58" ht="14.4">
      <c r="Q1166" s="23"/>
      <c r="BF1166"/>
    </row>
    <row r="1167" spans="17:58" ht="14.4">
      <c r="Q1167" s="23"/>
      <c r="BF1167"/>
    </row>
    <row r="1168" spans="17:58" ht="14.4">
      <c r="Q1168" s="23"/>
      <c r="BF1168"/>
    </row>
    <row r="1169" spans="16:58" ht="14.4">
      <c r="P1169" s="113"/>
      <c r="Q1169" s="23"/>
      <c r="BF1169"/>
    </row>
    <row r="1170" spans="17:58" ht="14.4">
      <c r="Q1170" s="23"/>
      <c r="BF1170"/>
    </row>
    <row r="1171" spans="17:58" ht="14.4">
      <c r="Q1171" s="23"/>
      <c r="BF1171"/>
    </row>
    <row r="1172" spans="17:58" ht="14.4">
      <c r="Q1172" s="23"/>
      <c r="BF1172"/>
    </row>
    <row r="1173" spans="16:58" ht="14.4">
      <c r="P1173" s="113"/>
      <c r="Q1173" s="23"/>
      <c r="BF1173"/>
    </row>
    <row r="1174" spans="17:58" ht="14.4">
      <c r="Q1174" s="23"/>
      <c r="BF1174"/>
    </row>
    <row r="1175" spans="17:58" ht="14.4">
      <c r="Q1175" s="23"/>
      <c r="BF1175"/>
    </row>
    <row r="1176" spans="17:58" ht="14.4">
      <c r="Q1176" s="23"/>
      <c r="BF1176"/>
    </row>
    <row r="1177" spans="16:58" ht="14.4">
      <c r="P1177" s="113"/>
      <c r="Q1177" s="23"/>
      <c r="BF1177"/>
    </row>
    <row r="1178" spans="17:58" ht="14.4">
      <c r="Q1178" s="23"/>
      <c r="BF1178"/>
    </row>
    <row r="1179" spans="17:58" ht="14.4">
      <c r="Q1179" s="23"/>
      <c r="BF1179"/>
    </row>
    <row r="1180" spans="17:58" ht="14.4">
      <c r="Q1180" s="23"/>
      <c r="BF1180"/>
    </row>
    <row r="1181" spans="16:58" ht="14.4">
      <c r="P1181" s="113"/>
      <c r="Q1181" s="23"/>
      <c r="BF1181"/>
    </row>
    <row r="1182" spans="17:58" ht="14.4">
      <c r="Q1182" s="23"/>
      <c r="BF1182"/>
    </row>
    <row r="1183" spans="17:58" ht="14.4">
      <c r="Q1183" s="23"/>
      <c r="BF1183"/>
    </row>
    <row r="1184" ht="14.4">
      <c r="BF1184"/>
    </row>
    <row r="1185" ht="14.4">
      <c r="BF1185"/>
    </row>
    <row r="1186" ht="14.4">
      <c r="BF1186"/>
    </row>
    <row r="1187" ht="14.4">
      <c r="BF1187"/>
    </row>
    <row r="1188" spans="17:58" ht="14.4">
      <c r="Q1188" s="23"/>
      <c r="BF1188"/>
    </row>
    <row r="1189" spans="16:58" ht="14.4">
      <c r="P1189" s="113"/>
      <c r="Q1189" s="23"/>
      <c r="BF1189"/>
    </row>
    <row r="1190" spans="17:58" ht="14.4">
      <c r="Q1190" s="23"/>
      <c r="BF1190"/>
    </row>
    <row r="1191" spans="17:58" ht="14.4">
      <c r="Q1191" s="23"/>
      <c r="BF1191"/>
    </row>
    <row r="1192" spans="17:58" ht="14.4">
      <c r="Q1192" s="23"/>
      <c r="BF1192"/>
    </row>
    <row r="1193" spans="16:58" ht="14.4">
      <c r="P1193" s="113"/>
      <c r="Q1193" s="23"/>
      <c r="BF1193"/>
    </row>
    <row r="1194" spans="17:58" ht="14.4">
      <c r="Q1194" s="23"/>
      <c r="BF1194"/>
    </row>
    <row r="1195" spans="17:58" ht="14.4">
      <c r="Q1195" s="23"/>
      <c r="BF1195"/>
    </row>
    <row r="1196" spans="17:58" ht="14.4">
      <c r="Q1196" s="23"/>
      <c r="BF1196"/>
    </row>
    <row r="1197" spans="16:58" ht="14.4">
      <c r="P1197" s="113"/>
      <c r="Q1197" s="23"/>
      <c r="BF1197"/>
    </row>
    <row r="1198" spans="17:58" ht="14.4">
      <c r="Q1198" s="23"/>
      <c r="BF1198"/>
    </row>
    <row r="1199" spans="17:58" ht="14.4">
      <c r="Q1199" s="23"/>
      <c r="BF1199"/>
    </row>
    <row r="1200" spans="17:58" ht="14.4">
      <c r="Q1200" s="23"/>
      <c r="BF1200"/>
    </row>
    <row r="1201" spans="16:58" ht="14.4">
      <c r="P1201" s="113"/>
      <c r="Q1201" s="23"/>
      <c r="BF1201"/>
    </row>
    <row r="1202" spans="17:58" ht="14.4">
      <c r="Q1202" s="23"/>
      <c r="BF1202"/>
    </row>
    <row r="1203" spans="17:58" ht="14.4">
      <c r="Q1203" s="23"/>
      <c r="BF1203"/>
    </row>
    <row r="1204" spans="17:58" ht="14.4">
      <c r="Q1204" s="23"/>
      <c r="BF1204"/>
    </row>
    <row r="1205" spans="16:58" ht="14.4">
      <c r="P1205" s="113"/>
      <c r="Q1205" s="23"/>
      <c r="BF1205"/>
    </row>
    <row r="1206" spans="17:58" ht="14.4">
      <c r="Q1206" s="23"/>
      <c r="BF1206"/>
    </row>
    <row r="1207" spans="17:58" ht="14.4">
      <c r="Q1207" s="23"/>
      <c r="BF1207"/>
    </row>
    <row r="1208" spans="17:58" ht="14.4">
      <c r="Q1208" s="23"/>
      <c r="BF1208"/>
    </row>
    <row r="1209" spans="16:58" ht="14.4">
      <c r="P1209" s="113"/>
      <c r="Q1209" s="23"/>
      <c r="BF1209"/>
    </row>
    <row r="1210" spans="17:58" ht="14.4">
      <c r="Q1210" s="23"/>
      <c r="BF1210"/>
    </row>
    <row r="1211" spans="17:58" ht="14.4">
      <c r="Q1211" s="23"/>
      <c r="BF1211"/>
    </row>
    <row r="1212" spans="17:58" ht="14.4">
      <c r="Q1212" s="23"/>
      <c r="BF1212"/>
    </row>
    <row r="1213" spans="16:58" ht="14.4">
      <c r="P1213" s="113"/>
      <c r="Q1213" s="23"/>
      <c r="BF1213"/>
    </row>
    <row r="1214" spans="17:58" ht="14.4">
      <c r="Q1214" s="23"/>
      <c r="BF1214"/>
    </row>
    <row r="1215" spans="17:58" ht="14.4">
      <c r="Q1215" s="23"/>
      <c r="BF1215"/>
    </row>
    <row r="1216" spans="17:58" ht="14.4">
      <c r="Q1216" s="23"/>
      <c r="BF1216"/>
    </row>
    <row r="1217" spans="16:58" ht="14.4">
      <c r="P1217" s="113"/>
      <c r="Q1217" s="23"/>
      <c r="BF1217"/>
    </row>
    <row r="1218" spans="17:58" ht="14.4">
      <c r="Q1218" s="23"/>
      <c r="BF1218"/>
    </row>
    <row r="1219" spans="17:58" ht="14.4">
      <c r="Q1219" s="23"/>
      <c r="BF1219"/>
    </row>
    <row r="1220" spans="17:58" ht="14.4">
      <c r="Q1220" s="23"/>
      <c r="BF1220"/>
    </row>
    <row r="1221" spans="16:58" ht="14.4">
      <c r="P1221" s="113"/>
      <c r="Q1221" s="23"/>
      <c r="BF1221"/>
    </row>
    <row r="1222" spans="17:58" ht="14.4">
      <c r="Q1222" s="23"/>
      <c r="BF1222"/>
    </row>
    <row r="1223" spans="17:58" ht="14.4">
      <c r="Q1223" s="23"/>
      <c r="BF1223"/>
    </row>
    <row r="1224" spans="17:58" ht="14.4">
      <c r="Q1224" s="23"/>
      <c r="BF1224"/>
    </row>
    <row r="1225" spans="16:58" ht="14.4">
      <c r="P1225" s="113"/>
      <c r="Q1225" s="23"/>
      <c r="BF1225"/>
    </row>
    <row r="1226" spans="17:58" ht="14.4">
      <c r="Q1226" s="23"/>
      <c r="BF1226"/>
    </row>
    <row r="1227" spans="17:58" ht="14.4">
      <c r="Q1227" s="23"/>
      <c r="BF1227"/>
    </row>
    <row r="1228" spans="17:58" ht="14.4">
      <c r="Q1228" s="23"/>
      <c r="BF1228"/>
    </row>
    <row r="1229" spans="16:58" ht="14.4">
      <c r="P1229" s="113"/>
      <c r="Q1229" s="23"/>
      <c r="BF1229"/>
    </row>
    <row r="1230" spans="17:58" ht="14.4">
      <c r="Q1230" s="23"/>
      <c r="BF1230"/>
    </row>
    <row r="1231" spans="17:58" ht="14.4">
      <c r="Q1231" s="23"/>
      <c r="BF1231"/>
    </row>
    <row r="1232" spans="15:58" ht="14.4">
      <c r="O1232" s="73"/>
      <c r="Q1232" s="23"/>
      <c r="BF1232"/>
    </row>
    <row r="1233" spans="15:58" ht="14.4">
      <c r="O1233" s="73"/>
      <c r="Q1233" s="23"/>
      <c r="BF1233"/>
    </row>
    <row r="1234" spans="15:58" ht="14.4">
      <c r="O1234" s="73"/>
      <c r="Q1234" s="23"/>
      <c r="BF1234"/>
    </row>
    <row r="1235" ht="14.4">
      <c r="BF1235"/>
    </row>
    <row r="1236" ht="14.4">
      <c r="BF1236"/>
    </row>
    <row r="1237" ht="14.4">
      <c r="BF1237"/>
    </row>
    <row r="1238" spans="15:58" ht="14.4">
      <c r="O1238" s="73"/>
      <c r="Q1238" s="23"/>
      <c r="BF1238"/>
    </row>
    <row r="1239" spans="15:58" ht="14.4">
      <c r="O1239" s="73"/>
      <c r="Q1239" s="23"/>
      <c r="BF1239"/>
    </row>
    <row r="1240" spans="15:58" ht="14.4">
      <c r="O1240" s="73"/>
      <c r="Q1240" s="23"/>
      <c r="BF1240"/>
    </row>
    <row r="1241" spans="15:58" ht="14.4">
      <c r="O1241" s="73"/>
      <c r="Q1241" s="23"/>
      <c r="BF1241"/>
    </row>
    <row r="1242" spans="15:58" ht="14.4">
      <c r="O1242" s="73"/>
      <c r="Q1242" s="23"/>
      <c r="BF1242"/>
    </row>
    <row r="1243" spans="15:58" ht="14.4">
      <c r="O1243" s="73"/>
      <c r="Q1243" s="23"/>
      <c r="BF1243"/>
    </row>
    <row r="1244" spans="15:58" ht="14.4">
      <c r="O1244" s="73"/>
      <c r="Q1244" s="23"/>
      <c r="BF1244"/>
    </row>
    <row r="1245" spans="15:58" ht="14.4">
      <c r="O1245" s="73"/>
      <c r="Q1245" s="23"/>
      <c r="BF1245"/>
    </row>
    <row r="1246" spans="15:58" ht="14.4">
      <c r="O1246" s="73"/>
      <c r="Q1246" s="23"/>
      <c r="BF1246"/>
    </row>
    <row r="1247" spans="15:58" ht="14.4">
      <c r="O1247" s="73"/>
      <c r="Q1247" s="23"/>
      <c r="BF1247"/>
    </row>
    <row r="1248" spans="15:58" ht="14.4">
      <c r="O1248" s="73"/>
      <c r="Q1248" s="23"/>
      <c r="BF1248"/>
    </row>
    <row r="1249" spans="15:58" ht="14.4">
      <c r="O1249" s="73"/>
      <c r="Q1249" s="23"/>
      <c r="BF1249"/>
    </row>
    <row r="1250" spans="15:58" ht="14.4">
      <c r="O1250" s="73"/>
      <c r="Q1250" s="23"/>
      <c r="BF1250"/>
    </row>
    <row r="1251" spans="15:58" ht="14.4">
      <c r="O1251" s="73"/>
      <c r="Q1251" s="23"/>
      <c r="BF1251"/>
    </row>
    <row r="1252" spans="15:58" ht="14.4">
      <c r="O1252" s="73"/>
      <c r="Q1252" s="23"/>
      <c r="BF1252"/>
    </row>
    <row r="1253" spans="15:58" ht="14.4">
      <c r="O1253" s="73"/>
      <c r="Q1253" s="23"/>
      <c r="BF1253"/>
    </row>
    <row r="1254" spans="15:58" ht="14.4">
      <c r="O1254" s="73"/>
      <c r="Q1254" s="23"/>
      <c r="BF1254"/>
    </row>
    <row r="1255" spans="15:58" ht="14.4">
      <c r="O1255" s="73"/>
      <c r="Q1255" s="23"/>
      <c r="BF1255"/>
    </row>
    <row r="1256" spans="15:58" ht="14.4">
      <c r="O1256" s="73"/>
      <c r="Q1256" s="23"/>
      <c r="BF1256"/>
    </row>
    <row r="1257" spans="15:58" ht="14.4">
      <c r="O1257" s="73"/>
      <c r="Q1257" s="23"/>
      <c r="BF1257"/>
    </row>
    <row r="1258" spans="15:58" ht="14.4">
      <c r="O1258" s="73"/>
      <c r="Q1258" s="23"/>
      <c r="BF1258"/>
    </row>
    <row r="1259" spans="15:58" ht="14.4">
      <c r="O1259" s="73"/>
      <c r="Q1259" s="23"/>
      <c r="BF1259"/>
    </row>
    <row r="1260" spans="15:58" ht="14.4">
      <c r="O1260" s="73"/>
      <c r="Q1260" s="23"/>
      <c r="BF1260"/>
    </row>
    <row r="1261" spans="15:58" ht="14.4">
      <c r="O1261" s="73"/>
      <c r="Q1261" s="23"/>
      <c r="BF1261"/>
    </row>
    <row r="1262" spans="15:58" ht="14.4">
      <c r="O1262" s="73"/>
      <c r="Q1262" s="23"/>
      <c r="BF1262"/>
    </row>
    <row r="1263" spans="15:58" ht="14.4">
      <c r="O1263" s="73"/>
      <c r="Q1263" s="23"/>
      <c r="BF1263"/>
    </row>
    <row r="1264" spans="15:58" ht="14.4">
      <c r="O1264" s="73"/>
      <c r="Q1264" s="23"/>
      <c r="BF1264"/>
    </row>
    <row r="1265" spans="15:58" ht="14.4">
      <c r="O1265" s="73"/>
      <c r="Q1265" s="23"/>
      <c r="BF1265"/>
    </row>
    <row r="1266" spans="15:58" ht="14.4">
      <c r="O1266" s="73"/>
      <c r="Q1266" s="23"/>
      <c r="BF1266"/>
    </row>
    <row r="1267" spans="15:58" ht="14.4">
      <c r="O1267" s="73"/>
      <c r="Q1267" s="23"/>
      <c r="BF1267"/>
    </row>
    <row r="1268" spans="15:58" ht="14.4">
      <c r="O1268" s="73"/>
      <c r="Q1268" s="23"/>
      <c r="BF1268"/>
    </row>
    <row r="1269" spans="15:58" ht="14.4">
      <c r="O1269" s="73"/>
      <c r="Q1269" s="23"/>
      <c r="BF1269"/>
    </row>
    <row r="1270" spans="15:58" ht="14.4">
      <c r="O1270" s="73"/>
      <c r="Q1270" s="23"/>
      <c r="BF1270"/>
    </row>
    <row r="1271" spans="15:58" ht="14.4">
      <c r="O1271" s="73"/>
      <c r="Q1271" s="23"/>
      <c r="BF1271"/>
    </row>
    <row r="1272" spans="15:58" ht="14.4">
      <c r="O1272" s="73"/>
      <c r="Q1272" s="23"/>
      <c r="BF1272"/>
    </row>
    <row r="1273" spans="15:58" ht="14.4">
      <c r="O1273" s="73"/>
      <c r="Q1273" s="23"/>
      <c r="BF1273"/>
    </row>
    <row r="1274" ht="14.4">
      <c r="BF1274"/>
    </row>
    <row r="1275" ht="14.4">
      <c r="BF1275"/>
    </row>
    <row r="1276" ht="14.4">
      <c r="BF1276"/>
    </row>
    <row r="1277" spans="15:58" ht="14.4">
      <c r="O1277" s="73"/>
      <c r="Q1277" s="23"/>
      <c r="BF1277"/>
    </row>
    <row r="1278" spans="15:58" ht="14.4">
      <c r="O1278" s="73"/>
      <c r="Q1278" s="23"/>
      <c r="BF1278"/>
    </row>
    <row r="1279" spans="15:58" ht="14.4">
      <c r="O1279" s="73"/>
      <c r="Q1279" s="23"/>
      <c r="BF1279"/>
    </row>
    <row r="1280" spans="15:58" ht="14.4">
      <c r="O1280" s="73"/>
      <c r="Q1280" s="23"/>
      <c r="BF1280"/>
    </row>
    <row r="1281" spans="15:58" ht="14.4">
      <c r="O1281" s="73"/>
      <c r="Q1281" s="23"/>
      <c r="BF1281"/>
    </row>
    <row r="1282" spans="15:58" ht="14.4">
      <c r="O1282" s="73"/>
      <c r="Q1282" s="23"/>
      <c r="BF1282"/>
    </row>
    <row r="1283" spans="15:58" ht="14.4">
      <c r="O1283" s="73"/>
      <c r="Q1283" s="23"/>
      <c r="BF1283"/>
    </row>
    <row r="1284" spans="15:58" ht="14.4">
      <c r="O1284" s="73"/>
      <c r="Q1284" s="23"/>
      <c r="BF1284"/>
    </row>
    <row r="1285" spans="15:58" ht="14.4">
      <c r="O1285" s="73"/>
      <c r="Q1285" s="23"/>
      <c r="BF1285"/>
    </row>
    <row r="1286" spans="15:58" ht="14.4">
      <c r="O1286" s="73"/>
      <c r="Q1286" s="23"/>
      <c r="BF1286"/>
    </row>
    <row r="1287" spans="15:58" ht="14.4">
      <c r="O1287" s="73"/>
      <c r="Q1287" s="23"/>
      <c r="BF1287"/>
    </row>
    <row r="1288" spans="15:58" ht="14.4">
      <c r="O1288" s="73"/>
      <c r="Q1288" s="23"/>
      <c r="BF1288"/>
    </row>
    <row r="1289" spans="15:58" ht="14.4">
      <c r="O1289" s="73"/>
      <c r="Q1289" s="23"/>
      <c r="BF1289"/>
    </row>
    <row r="1290" spans="15:58" ht="14.4">
      <c r="O1290" s="73"/>
      <c r="Q1290" s="23"/>
      <c r="BF1290"/>
    </row>
    <row r="1291" spans="15:58" ht="14.4">
      <c r="O1291" s="73"/>
      <c r="Q1291" s="23"/>
      <c r="BF1291"/>
    </row>
    <row r="1292" spans="15:58" ht="14.4">
      <c r="O1292" s="73"/>
      <c r="Q1292" s="23"/>
      <c r="BF1292"/>
    </row>
    <row r="1293" spans="15:58" ht="14.4">
      <c r="O1293" s="73"/>
      <c r="Q1293" s="23"/>
      <c r="BF1293"/>
    </row>
    <row r="1294" spans="15:58" ht="14.4">
      <c r="O1294" s="73"/>
      <c r="Q1294" s="23"/>
      <c r="BF1294"/>
    </row>
    <row r="1295" spans="15:58" ht="14.4">
      <c r="O1295" s="73"/>
      <c r="Q1295" s="23"/>
      <c r="BF1295"/>
    </row>
    <row r="1296" spans="15:58" ht="14.4">
      <c r="O1296" s="73"/>
      <c r="Q1296" s="23"/>
      <c r="BF1296"/>
    </row>
    <row r="1297" spans="15:58" ht="14.4">
      <c r="O1297" s="73"/>
      <c r="Q1297" s="23"/>
      <c r="BF1297"/>
    </row>
    <row r="1298" spans="15:58" ht="14.4">
      <c r="O1298" s="73"/>
      <c r="Q1298" s="23"/>
      <c r="BF1298"/>
    </row>
    <row r="1299" spans="15:58" ht="14.4">
      <c r="O1299" s="73"/>
      <c r="Q1299" s="23"/>
      <c r="BF1299"/>
    </row>
    <row r="1300" spans="15:58" ht="14.4">
      <c r="O1300" s="73"/>
      <c r="Q1300" s="23"/>
      <c r="BF1300"/>
    </row>
    <row r="1301" spans="15:58" ht="14.4">
      <c r="O1301" s="73"/>
      <c r="Q1301" s="23"/>
      <c r="BF1301"/>
    </row>
    <row r="1302" spans="15:58" ht="14.4">
      <c r="O1302" s="73"/>
      <c r="Q1302" s="23"/>
      <c r="BF1302"/>
    </row>
    <row r="1303" spans="15:58" ht="14.4">
      <c r="O1303" s="73"/>
      <c r="Q1303" s="23"/>
      <c r="BF1303"/>
    </row>
    <row r="1304" spans="15:58" ht="14.4">
      <c r="O1304" s="73"/>
      <c r="Q1304" s="23"/>
      <c r="BF1304"/>
    </row>
    <row r="1305" spans="15:58" ht="14.4">
      <c r="O1305" s="73"/>
      <c r="Q1305" s="23"/>
      <c r="BF1305"/>
    </row>
    <row r="1306" spans="15:58" ht="14.4">
      <c r="O1306" s="73"/>
      <c r="Q1306" s="23"/>
      <c r="BF1306"/>
    </row>
    <row r="1307" spans="15:58" ht="14.4">
      <c r="O1307" s="73"/>
      <c r="Q1307" s="23"/>
      <c r="BF1307"/>
    </row>
    <row r="1308" spans="15:58" ht="14.4">
      <c r="O1308" s="73"/>
      <c r="Q1308" s="23"/>
      <c r="BF1308"/>
    </row>
    <row r="1309" spans="15:58" ht="14.4">
      <c r="O1309" s="73"/>
      <c r="Q1309" s="23"/>
      <c r="BF1309"/>
    </row>
    <row r="1310" spans="16:58" ht="14.4">
      <c r="P1310" s="23"/>
      <c r="Q1310" s="23"/>
      <c r="BF1310"/>
    </row>
    <row r="1311" spans="16:58" ht="14.4">
      <c r="P1311" s="23"/>
      <c r="BF1311"/>
    </row>
    <row r="1312" spans="16:58" ht="14.4">
      <c r="P1312" s="23"/>
      <c r="Q1312" s="23"/>
      <c r="BF1312"/>
    </row>
    <row r="1313" spans="16:58" ht="14.4">
      <c r="P1313" s="23"/>
      <c r="Q1313" s="23"/>
      <c r="BF1313"/>
    </row>
    <row r="1314" spans="16:58" ht="14.4">
      <c r="P1314" s="23"/>
      <c r="Q1314" s="23"/>
      <c r="BF1314"/>
    </row>
    <row r="1315" spans="16:58" ht="14.4">
      <c r="P1315" s="23"/>
      <c r="Q1315" s="23"/>
      <c r="BF1315"/>
    </row>
    <row r="1316" spans="16:58" ht="14.4">
      <c r="P1316" s="23"/>
      <c r="Q1316" s="23"/>
      <c r="BF1316"/>
    </row>
    <row r="1317" spans="16:58" ht="14.4">
      <c r="P1317" s="23"/>
      <c r="Q1317" s="23"/>
      <c r="BF1317"/>
    </row>
    <row r="1318" spans="16:58" ht="14.4">
      <c r="P1318" s="23"/>
      <c r="Q1318" s="23"/>
      <c r="BF1318"/>
    </row>
    <row r="1319" spans="16:58" ht="14.4">
      <c r="P1319" s="23"/>
      <c r="Q1319" s="23"/>
      <c r="BF1319"/>
    </row>
    <row r="1320" spans="16:58" ht="14.4">
      <c r="P1320" s="23"/>
      <c r="Q1320" s="23"/>
      <c r="BF1320"/>
    </row>
    <row r="1321" spans="16:58" ht="14.4">
      <c r="P1321" s="23"/>
      <c r="Q1321" s="23"/>
      <c r="BF1321"/>
    </row>
    <row r="1322" spans="16:58" ht="14.4">
      <c r="P1322" s="23"/>
      <c r="Q1322" s="23"/>
      <c r="BF1322"/>
    </row>
    <row r="1323" spans="16:58" ht="14.4">
      <c r="P1323" s="23"/>
      <c r="Q1323" s="23"/>
      <c r="BF1323"/>
    </row>
    <row r="1324" spans="16:58" ht="14.4">
      <c r="P1324" s="23"/>
      <c r="BF1324"/>
    </row>
    <row r="1325" spans="16:58" ht="14.4">
      <c r="P1325" s="23"/>
      <c r="Q1325" s="23"/>
      <c r="BF1325"/>
    </row>
    <row r="1326" spans="16:58" ht="14.4">
      <c r="P1326" s="23"/>
      <c r="Q1326" s="23"/>
      <c r="BF1326"/>
    </row>
    <row r="1327" spans="16:58" ht="14.4">
      <c r="P1327" s="23"/>
      <c r="Q1327" s="23"/>
      <c r="BF1327"/>
    </row>
    <row r="1328" spans="16:58" ht="14.4">
      <c r="P1328" s="23"/>
      <c r="Q1328" s="23"/>
      <c r="BF1328"/>
    </row>
    <row r="1329" spans="16:58" ht="14.4">
      <c r="P1329" s="23"/>
      <c r="Q1329" s="23"/>
      <c r="BF1329"/>
    </row>
    <row r="1330" spans="16:58" ht="14.4">
      <c r="P1330" s="23"/>
      <c r="Q1330" s="23"/>
      <c r="BF1330"/>
    </row>
    <row r="1331" spans="16:58" ht="14.4">
      <c r="P1331" s="23"/>
      <c r="Q1331" s="23"/>
      <c r="BF1331"/>
    </row>
    <row r="1332" spans="16:58" ht="14.4">
      <c r="P1332" s="23"/>
      <c r="Q1332" s="23"/>
      <c r="BF1332"/>
    </row>
    <row r="1333" spans="16:58" ht="14.4">
      <c r="P1333" s="23"/>
      <c r="Q1333" s="23"/>
      <c r="BF1333"/>
    </row>
    <row r="1334" spans="16:58" ht="14.4">
      <c r="P1334" s="23"/>
      <c r="Q1334" s="23"/>
      <c r="BF1334"/>
    </row>
    <row r="1335" spans="16:58" ht="14.4">
      <c r="P1335" s="23"/>
      <c r="Q1335" s="23"/>
      <c r="BF1335"/>
    </row>
    <row r="1336" spans="17:58" ht="14.4">
      <c r="Q1336" s="23"/>
      <c r="BF1336"/>
    </row>
    <row r="1337" spans="16:58" ht="14.4">
      <c r="P1337" s="23"/>
      <c r="Q1337" s="23"/>
      <c r="BF1337"/>
    </row>
    <row r="1338" ht="14.4">
      <c r="BF1338"/>
    </row>
    <row r="1339" spans="16:58" ht="14.4">
      <c r="P1339" s="23"/>
      <c r="BF1339"/>
    </row>
    <row r="1340" spans="17:58" ht="14.4">
      <c r="Q1340" s="23"/>
      <c r="BF1340"/>
    </row>
    <row r="1341" spans="16:58" ht="14.4">
      <c r="P1341" s="23"/>
      <c r="Q1341" s="23"/>
      <c r="BF1341"/>
    </row>
    <row r="1342" spans="17:58" ht="14.4">
      <c r="Q1342" s="23"/>
      <c r="BF1342"/>
    </row>
    <row r="1343" spans="16:58" ht="14.4">
      <c r="P1343" s="23"/>
      <c r="Q1343" s="23"/>
      <c r="BF1343"/>
    </row>
    <row r="1344" spans="17:58" ht="14.4">
      <c r="Q1344" s="23"/>
      <c r="BF1344"/>
    </row>
    <row r="1345" spans="16:58" ht="14.4">
      <c r="P1345" s="23"/>
      <c r="Q1345" s="23"/>
      <c r="BF1345"/>
    </row>
    <row r="1346" spans="17:58" ht="14.4">
      <c r="Q1346" s="23"/>
      <c r="BF1346"/>
    </row>
    <row r="1347" spans="16:58" ht="14.4">
      <c r="P1347" s="23"/>
      <c r="Q1347" s="23"/>
      <c r="BF1347"/>
    </row>
    <row r="1348" spans="17:58" ht="14.4">
      <c r="Q1348" s="23"/>
      <c r="BF1348"/>
    </row>
    <row r="1349" spans="16:58" ht="14.4">
      <c r="P1349" s="23"/>
      <c r="Q1349" s="23"/>
      <c r="BF1349"/>
    </row>
    <row r="1350" spans="17:58" ht="14.4">
      <c r="Q1350" s="23"/>
      <c r="BF1350"/>
    </row>
    <row r="1351" spans="16:58" ht="14.4">
      <c r="P1351" s="23"/>
      <c r="Q1351" s="23"/>
      <c r="BF1351"/>
    </row>
    <row r="1352" spans="17:58" ht="14.4">
      <c r="Q1352" s="23"/>
      <c r="BF1352"/>
    </row>
    <row r="1353" spans="16:58" ht="14.4">
      <c r="P1353" s="23"/>
      <c r="Q1353" s="23"/>
      <c r="BF1353"/>
    </row>
    <row r="1354" spans="17:58" ht="14.4">
      <c r="Q1354" s="23"/>
      <c r="BF1354"/>
    </row>
    <row r="1355" spans="16:58" ht="14.4">
      <c r="P1355" s="23"/>
      <c r="Q1355" s="23"/>
      <c r="BF1355"/>
    </row>
    <row r="1356" spans="17:58" ht="14.4">
      <c r="Q1356" s="23"/>
      <c r="BF1356"/>
    </row>
    <row r="1357" spans="16:58" ht="14.4">
      <c r="P1357" s="23"/>
      <c r="Q1357" s="23"/>
      <c r="BF1357"/>
    </row>
    <row r="1358" spans="17:58" ht="14.4">
      <c r="Q1358" s="23"/>
      <c r="BF1358"/>
    </row>
    <row r="1359" spans="16:58" ht="14.4">
      <c r="P1359" s="23"/>
      <c r="Q1359" s="23"/>
      <c r="BF1359"/>
    </row>
    <row r="1360" spans="17:58" ht="14.4">
      <c r="Q1360" s="23"/>
      <c r="BF1360"/>
    </row>
    <row r="1361" spans="16:58" ht="14.4">
      <c r="P1361" s="23"/>
      <c r="Q1361" s="23"/>
      <c r="BF1361"/>
    </row>
    <row r="1362" ht="14.4">
      <c r="BF1362"/>
    </row>
    <row r="1363" spans="16:58" ht="14.4">
      <c r="P1363" s="23"/>
      <c r="BF1363"/>
    </row>
    <row r="1364" spans="17:58" ht="14.4">
      <c r="Q1364" s="23"/>
      <c r="BF1364"/>
    </row>
    <row r="1365" spans="16:58" ht="14.4">
      <c r="P1365" s="23"/>
      <c r="Q1365" s="23"/>
      <c r="BF1365"/>
    </row>
    <row r="1366" spans="17:58" ht="14.4">
      <c r="Q1366" s="23"/>
      <c r="BF1366"/>
    </row>
    <row r="1367" spans="16:58" ht="14.4">
      <c r="P1367" s="23"/>
      <c r="Q1367" s="23"/>
      <c r="BF1367"/>
    </row>
    <row r="1368" spans="17:58" ht="14.4">
      <c r="Q1368" s="23"/>
      <c r="BF1368"/>
    </row>
    <row r="1369" spans="16:58" ht="14.4">
      <c r="P1369" s="23"/>
      <c r="Q1369" s="23"/>
      <c r="BF1369"/>
    </row>
    <row r="1370" spans="17:58" ht="14.4">
      <c r="Q1370" s="23"/>
      <c r="BF1370"/>
    </row>
    <row r="1371" spans="16:58" ht="14.4">
      <c r="P1371" s="23"/>
      <c r="Q1371" s="23"/>
      <c r="BF1371"/>
    </row>
    <row r="1372" spans="17:58" ht="14.4">
      <c r="Q1372" s="23"/>
      <c r="BF1372"/>
    </row>
    <row r="1373" spans="16:58" ht="14.4">
      <c r="P1373" s="23"/>
      <c r="Q1373" s="23"/>
      <c r="BF1373"/>
    </row>
    <row r="1374" spans="17:58" ht="14.4">
      <c r="Q1374" s="23"/>
      <c r="BF1374"/>
    </row>
    <row r="1375" spans="16:58" ht="14.4">
      <c r="P1375" s="23"/>
      <c r="Q1375" s="23"/>
      <c r="BF1375"/>
    </row>
    <row r="1376" spans="17:58" ht="14.4">
      <c r="Q1376" s="23"/>
      <c r="BF1376"/>
    </row>
    <row r="1377" spans="16:58" ht="14.4">
      <c r="P1377" s="23"/>
      <c r="Q1377" s="23"/>
      <c r="BF1377"/>
    </row>
    <row r="1378" spans="17:58" ht="14.4">
      <c r="Q1378" s="23"/>
      <c r="BF1378"/>
    </row>
    <row r="1379" spans="16:58" ht="14.4">
      <c r="P1379" s="23"/>
      <c r="Q1379" s="23"/>
      <c r="BF1379"/>
    </row>
    <row r="1380" spans="17:58" ht="14.4">
      <c r="Q1380" s="23"/>
      <c r="BF1380"/>
    </row>
    <row r="1381" spans="16:58" ht="14.4">
      <c r="P1381" s="23"/>
      <c r="Q1381" s="23"/>
      <c r="BF1381"/>
    </row>
    <row r="1382" spans="17:58" ht="14.4">
      <c r="Q1382" s="23"/>
      <c r="BF1382"/>
    </row>
    <row r="1383" spans="16:58" ht="14.4">
      <c r="P1383" s="23"/>
      <c r="Q1383" s="23"/>
      <c r="BF1383"/>
    </row>
    <row r="1384" spans="17:58" ht="14.4">
      <c r="Q1384" s="23"/>
      <c r="BF1384"/>
    </row>
    <row r="1385" spans="16:58" ht="14.4">
      <c r="P1385" s="23"/>
      <c r="Q1385" s="23"/>
      <c r="BF1385"/>
    </row>
    <row r="1386" ht="14.4">
      <c r="BF1386"/>
    </row>
    <row r="1387" spans="16:58" ht="14.4">
      <c r="P1387" s="23"/>
      <c r="BF1387"/>
    </row>
    <row r="1388" spans="17:58" ht="14.4">
      <c r="Q1388" s="23"/>
      <c r="BF1388"/>
    </row>
    <row r="1389" spans="16:58" ht="14.4">
      <c r="P1389" s="23"/>
      <c r="Q1389" s="23"/>
      <c r="BF1389"/>
    </row>
    <row r="1390" spans="17:58" ht="14.4">
      <c r="Q1390" s="23"/>
      <c r="BF1390"/>
    </row>
    <row r="1391" spans="16:58" ht="14.4">
      <c r="P1391" s="23"/>
      <c r="Q1391" s="23"/>
      <c r="BF1391"/>
    </row>
    <row r="1392" spans="17:58" ht="14.4">
      <c r="Q1392" s="23"/>
      <c r="BF1392"/>
    </row>
    <row r="1393" spans="16:58" ht="14.4">
      <c r="P1393" s="23"/>
      <c r="Q1393" s="23"/>
      <c r="BF1393"/>
    </row>
    <row r="1394" spans="17:58" ht="14.4">
      <c r="Q1394" s="23"/>
      <c r="BF1394"/>
    </row>
    <row r="1395" spans="16:58" ht="14.4">
      <c r="P1395" s="23"/>
      <c r="Q1395" s="23"/>
      <c r="BF1395"/>
    </row>
    <row r="1396" spans="17:58" ht="14.4">
      <c r="Q1396" s="23"/>
      <c r="BF1396"/>
    </row>
    <row r="1397" spans="16:58" ht="14.4">
      <c r="P1397" s="23"/>
      <c r="Q1397" s="23"/>
      <c r="BF1397"/>
    </row>
    <row r="1398" spans="17:58" ht="14.4">
      <c r="Q1398" s="23"/>
      <c r="BF1398"/>
    </row>
    <row r="1399" spans="16:58" ht="14.4">
      <c r="P1399" s="23"/>
      <c r="Q1399" s="23"/>
      <c r="BF1399"/>
    </row>
    <row r="1400" spans="17:58" ht="14.4">
      <c r="Q1400" s="23"/>
      <c r="BF1400"/>
    </row>
    <row r="1401" spans="16:58" ht="14.4">
      <c r="P1401" s="23"/>
      <c r="Q1401" s="23"/>
      <c r="BF1401"/>
    </row>
    <row r="1402" spans="17:58" ht="14.4">
      <c r="Q1402" s="23"/>
      <c r="BF1402"/>
    </row>
    <row r="1403" spans="16:58" ht="14.4">
      <c r="P1403" s="23"/>
      <c r="Q1403" s="23"/>
      <c r="BF1403"/>
    </row>
    <row r="1404" spans="17:58" ht="14.4">
      <c r="Q1404" s="23"/>
      <c r="BF1404"/>
    </row>
    <row r="1405" spans="16:58" ht="14.4">
      <c r="P1405" s="23"/>
      <c r="Q1405" s="23"/>
      <c r="BF1405"/>
    </row>
    <row r="1406" spans="17:58" ht="14.4">
      <c r="Q1406" s="23"/>
      <c r="BF1406"/>
    </row>
    <row r="1407" spans="16:58" ht="14.4">
      <c r="P1407" s="23"/>
      <c r="Q1407" s="23"/>
      <c r="BF1407"/>
    </row>
    <row r="1408" spans="16:58" ht="14.4">
      <c r="P1408" s="23"/>
      <c r="Q1408" s="23"/>
      <c r="BF1408"/>
    </row>
    <row r="1409" spans="16:58" ht="14.4">
      <c r="P1409" s="23"/>
      <c r="BF1409"/>
    </row>
    <row r="1410" spans="16:58" ht="14.4">
      <c r="P1410" s="23"/>
      <c r="Q1410" s="23"/>
      <c r="BF1410"/>
    </row>
    <row r="1411" spans="16:58" ht="14.4">
      <c r="P1411" s="23"/>
      <c r="Q1411" s="23"/>
      <c r="BF1411"/>
    </row>
    <row r="1412" spans="16:58" ht="14.4">
      <c r="P1412" s="23"/>
      <c r="Q1412" s="23"/>
      <c r="BF1412"/>
    </row>
    <row r="1413" spans="16:58" ht="14.4">
      <c r="P1413" s="23"/>
      <c r="Q1413" s="23"/>
      <c r="BF1413"/>
    </row>
    <row r="1414" spans="16:58" ht="14.4">
      <c r="P1414" s="23"/>
      <c r="Q1414" s="23"/>
      <c r="BF1414"/>
    </row>
    <row r="1415" spans="16:58" ht="14.4">
      <c r="P1415" s="23"/>
      <c r="Q1415" s="23"/>
      <c r="BF1415"/>
    </row>
    <row r="1416" spans="16:58" ht="14.4">
      <c r="P1416" s="23"/>
      <c r="Q1416" s="23"/>
      <c r="BF1416"/>
    </row>
    <row r="1417" spans="16:58" ht="14.4">
      <c r="P1417" s="23"/>
      <c r="Q1417" s="23"/>
      <c r="BF1417"/>
    </row>
    <row r="1418" spans="16:58" ht="14.4">
      <c r="P1418" s="23"/>
      <c r="Q1418" s="23"/>
      <c r="BF1418"/>
    </row>
    <row r="1419" spans="16:58" ht="14.4">
      <c r="P1419" s="23"/>
      <c r="Q1419" s="23"/>
      <c r="BF1419"/>
    </row>
    <row r="1420" spans="16:58" ht="14.4">
      <c r="P1420" s="23"/>
      <c r="Q1420" s="23"/>
      <c r="BF1420"/>
    </row>
    <row r="1421" spans="16:58" ht="14.4">
      <c r="P1421" s="23"/>
      <c r="Q1421" s="23"/>
      <c r="BF1421"/>
    </row>
    <row r="1422" spans="16:58" ht="14.4">
      <c r="P1422" s="23"/>
      <c r="BF1422"/>
    </row>
    <row r="1423" spans="16:58" ht="14.4">
      <c r="P1423" s="23"/>
      <c r="Q1423" s="23"/>
      <c r="BF1423"/>
    </row>
    <row r="1424" spans="16:58" ht="14.4">
      <c r="P1424" s="23"/>
      <c r="Q1424" s="23"/>
      <c r="BF1424"/>
    </row>
    <row r="1425" spans="16:58" ht="14.4">
      <c r="P1425" s="23"/>
      <c r="Q1425" s="23"/>
      <c r="BF1425"/>
    </row>
    <row r="1426" spans="16:58" ht="14.4">
      <c r="P1426" s="23"/>
      <c r="Q1426" s="23"/>
      <c r="BF1426"/>
    </row>
    <row r="1427" spans="16:58" ht="14.4">
      <c r="P1427" s="23"/>
      <c r="Q1427" s="23"/>
      <c r="BF1427"/>
    </row>
    <row r="1428" spans="16:58" ht="14.4">
      <c r="P1428" s="23"/>
      <c r="Q1428" s="23"/>
      <c r="BF1428"/>
    </row>
    <row r="1429" spans="16:58" ht="14.4">
      <c r="P1429" s="23"/>
      <c r="Q1429" s="23"/>
      <c r="BF1429"/>
    </row>
    <row r="1430" spans="16:58" ht="14.4">
      <c r="P1430" s="23"/>
      <c r="Q1430" s="23"/>
      <c r="BF1430"/>
    </row>
    <row r="1431" spans="16:58" ht="14.4">
      <c r="P1431" s="23"/>
      <c r="Q1431" s="23"/>
      <c r="BF1431"/>
    </row>
    <row r="1432" spans="16:58" ht="14.4">
      <c r="P1432" s="23"/>
      <c r="Q1432" s="23"/>
      <c r="BF1432"/>
    </row>
    <row r="1433" spans="16:58" ht="14.4">
      <c r="P1433" s="23"/>
      <c r="Q1433" s="23"/>
      <c r="BF1433"/>
    </row>
    <row r="1434" spans="16:58" ht="14.4">
      <c r="P1434" s="23"/>
      <c r="Q1434" s="23"/>
      <c r="BF1434"/>
    </row>
    <row r="1435" spans="16:58" ht="14.4">
      <c r="P1435" s="23"/>
      <c r="BF1435"/>
    </row>
    <row r="1436" spans="16:58" ht="14.4">
      <c r="P1436" s="23"/>
      <c r="Q1436" s="23"/>
      <c r="BF1436"/>
    </row>
    <row r="1437" spans="16:58" ht="14.4">
      <c r="P1437" s="23"/>
      <c r="Q1437" s="23"/>
      <c r="BF1437"/>
    </row>
    <row r="1438" spans="16:58" ht="14.4">
      <c r="P1438" s="23"/>
      <c r="Q1438" s="23"/>
      <c r="BF1438"/>
    </row>
    <row r="1439" spans="16:58" ht="14.4">
      <c r="P1439" s="23"/>
      <c r="Q1439" s="23"/>
      <c r="BF1439"/>
    </row>
    <row r="1440" spans="16:58" ht="14.4">
      <c r="P1440" s="23"/>
      <c r="Q1440" s="23"/>
      <c r="BF1440"/>
    </row>
    <row r="1441" spans="16:58" ht="14.4">
      <c r="P1441" s="23"/>
      <c r="Q1441" s="23"/>
      <c r="BF1441"/>
    </row>
    <row r="1442" spans="16:58" ht="14.4">
      <c r="P1442" s="23"/>
      <c r="Q1442" s="23"/>
      <c r="BF1442"/>
    </row>
    <row r="1443" spans="16:58" ht="14.4">
      <c r="P1443" s="23"/>
      <c r="Q1443" s="23"/>
      <c r="BF1443"/>
    </row>
    <row r="1444" spans="16:58" ht="14.4">
      <c r="P1444" s="23"/>
      <c r="Q1444" s="23"/>
      <c r="BF1444"/>
    </row>
    <row r="1445" spans="16:58" ht="14.4">
      <c r="P1445" s="23"/>
      <c r="Q1445" s="23"/>
      <c r="BF1445"/>
    </row>
    <row r="1446" spans="16:58" ht="14.4">
      <c r="P1446" s="23"/>
      <c r="Q1446" s="23"/>
      <c r="BF1446"/>
    </row>
    <row r="1447" spans="17:58" ht="14.4">
      <c r="Q1447" s="23"/>
      <c r="BF1447"/>
    </row>
    <row r="1448" spans="16:58" ht="14.4">
      <c r="P1448" s="23"/>
      <c r="Q1448" s="23"/>
      <c r="BF1448"/>
    </row>
    <row r="1449" spans="17:58" ht="14.4">
      <c r="Q1449" s="23"/>
      <c r="BF1449"/>
    </row>
    <row r="1450" spans="16:58" ht="14.4">
      <c r="P1450" s="23"/>
      <c r="Q1450" s="23"/>
      <c r="BF1450"/>
    </row>
    <row r="1451" spans="15:58" ht="14.4">
      <c r="O1451" s="113"/>
      <c r="P1451" s="113"/>
      <c r="Q1451" s="23"/>
      <c r="BF1451"/>
    </row>
    <row r="1452" spans="15:58" ht="14.4">
      <c r="O1452" s="113"/>
      <c r="P1452" s="113"/>
      <c r="Q1452" s="23"/>
      <c r="BF1452"/>
    </row>
    <row r="1453" spans="15:58" ht="14.4">
      <c r="O1453" s="113"/>
      <c r="P1453" s="113"/>
      <c r="Q1453" s="23"/>
      <c r="BF1453"/>
    </row>
    <row r="1454" spans="15:58" ht="14.4">
      <c r="O1454" s="113"/>
      <c r="P1454" s="113"/>
      <c r="Q1454" s="23"/>
      <c r="BF1454"/>
    </row>
    <row r="1455" spans="15:58" ht="14.4">
      <c r="O1455" s="113"/>
      <c r="P1455" s="113"/>
      <c r="Q1455" s="23"/>
      <c r="BF1455"/>
    </row>
    <row r="1456" spans="15:58" ht="14.4">
      <c r="O1456" s="113"/>
      <c r="P1456" s="113"/>
      <c r="Q1456" s="23"/>
      <c r="BF1456"/>
    </row>
    <row r="1457" ht="14.4">
      <c r="BF1457"/>
    </row>
    <row r="1458" ht="14.4">
      <c r="BF1458"/>
    </row>
    <row r="1459" ht="14.4">
      <c r="BF1459"/>
    </row>
    <row r="1460" ht="14.4">
      <c r="BF1460"/>
    </row>
    <row r="1461" ht="14.4">
      <c r="BF1461"/>
    </row>
    <row r="1462" ht="14.4">
      <c r="BF1462"/>
    </row>
    <row r="1463" spans="15:58" ht="14.4">
      <c r="O1463" s="113"/>
      <c r="P1463" s="113"/>
      <c r="Q1463" s="23"/>
      <c r="BF1463"/>
    </row>
    <row r="1464" spans="15:58" ht="14.4">
      <c r="O1464" s="113"/>
      <c r="P1464" s="113"/>
      <c r="Q1464" s="23"/>
      <c r="BF1464"/>
    </row>
    <row r="1465" spans="15:58" ht="14.4">
      <c r="O1465" s="113"/>
      <c r="P1465" s="113"/>
      <c r="Q1465" s="23"/>
      <c r="BF1465"/>
    </row>
    <row r="1466" spans="15:58" ht="14.4">
      <c r="O1466" s="113"/>
      <c r="P1466" s="113"/>
      <c r="Q1466" s="23"/>
      <c r="BF1466"/>
    </row>
    <row r="1467" spans="15:58" ht="14.4">
      <c r="O1467" s="113"/>
      <c r="P1467" s="113"/>
      <c r="Q1467" s="23"/>
      <c r="BF1467"/>
    </row>
    <row r="1468" spans="15:58" ht="14.4">
      <c r="O1468" s="113"/>
      <c r="P1468" s="113"/>
      <c r="Q1468" s="23"/>
      <c r="BF1468"/>
    </row>
    <row r="1469" spans="15:58" ht="14.4">
      <c r="O1469" s="113"/>
      <c r="P1469" s="113"/>
      <c r="Q1469" s="23"/>
      <c r="BF1469"/>
    </row>
    <row r="1470" spans="15:58" ht="14.4">
      <c r="O1470" s="113"/>
      <c r="P1470" s="113"/>
      <c r="Q1470" s="23"/>
      <c r="BF1470"/>
    </row>
    <row r="1471" spans="15:58" ht="14.4">
      <c r="O1471" s="113"/>
      <c r="P1471" s="113"/>
      <c r="Q1471" s="23"/>
      <c r="BF1471"/>
    </row>
    <row r="1472" spans="15:58" ht="14.4">
      <c r="O1472" s="113"/>
      <c r="P1472" s="113"/>
      <c r="Q1472" s="23"/>
      <c r="BF1472"/>
    </row>
    <row r="1473" spans="15:58" ht="14.4">
      <c r="O1473" s="113"/>
      <c r="P1473" s="113"/>
      <c r="Q1473" s="23"/>
      <c r="BF1473"/>
    </row>
    <row r="1474" spans="15:58" ht="14.4">
      <c r="O1474" s="113"/>
      <c r="P1474" s="113"/>
      <c r="Q1474" s="23"/>
      <c r="BF1474"/>
    </row>
    <row r="1475" spans="15:58" ht="14.4">
      <c r="O1475" s="113"/>
      <c r="P1475" s="113"/>
      <c r="Q1475" s="23"/>
      <c r="BF1475"/>
    </row>
    <row r="1476" spans="15:58" ht="14.4">
      <c r="O1476" s="113"/>
      <c r="P1476" s="113"/>
      <c r="Q1476" s="23"/>
      <c r="BF1476"/>
    </row>
    <row r="1477" spans="15:58" ht="14.4">
      <c r="O1477" s="113"/>
      <c r="P1477" s="113"/>
      <c r="Q1477" s="23"/>
      <c r="BF1477"/>
    </row>
    <row r="1478" spans="15:58" ht="14.4">
      <c r="O1478" s="113"/>
      <c r="P1478" s="113"/>
      <c r="Q1478" s="23"/>
      <c r="BF1478"/>
    </row>
    <row r="1479" spans="15:58" ht="14.4">
      <c r="O1479" s="113"/>
      <c r="P1479" s="113"/>
      <c r="Q1479" s="23"/>
      <c r="BF1479"/>
    </row>
    <row r="1480" spans="15:58" ht="14.4">
      <c r="O1480" s="113"/>
      <c r="P1480" s="113"/>
      <c r="Q1480" s="23"/>
      <c r="BF1480"/>
    </row>
    <row r="1481" spans="15:58" ht="14.4">
      <c r="O1481" s="113"/>
      <c r="P1481" s="113"/>
      <c r="Q1481" s="23"/>
      <c r="BF1481"/>
    </row>
    <row r="1482" spans="15:58" ht="14.4">
      <c r="O1482" s="113"/>
      <c r="P1482" s="113"/>
      <c r="Q1482" s="23"/>
      <c r="BF1482"/>
    </row>
    <row r="1483" spans="15:58" ht="14.4">
      <c r="O1483" s="113"/>
      <c r="P1483" s="113"/>
      <c r="Q1483" s="23"/>
      <c r="BF1483"/>
    </row>
    <row r="1484" spans="15:58" ht="14.4">
      <c r="O1484" s="113"/>
      <c r="P1484" s="113"/>
      <c r="Q1484" s="23"/>
      <c r="BF1484"/>
    </row>
    <row r="1485" spans="15:58" ht="14.4">
      <c r="O1485" s="113"/>
      <c r="P1485" s="113"/>
      <c r="Q1485" s="23"/>
      <c r="BF1485"/>
    </row>
    <row r="1486" spans="15:58" ht="14.4">
      <c r="O1486" s="113"/>
      <c r="P1486" s="113"/>
      <c r="Q1486" s="23"/>
      <c r="BF1486"/>
    </row>
    <row r="1487" spans="15:58" ht="14.4">
      <c r="O1487" s="113"/>
      <c r="P1487" s="113"/>
      <c r="Q1487" s="23"/>
      <c r="BF1487"/>
    </row>
    <row r="1488" spans="15:58" ht="14.4">
      <c r="O1488" s="113"/>
      <c r="P1488" s="113"/>
      <c r="Q1488" s="23"/>
      <c r="BF1488"/>
    </row>
    <row r="1489" spans="15:58" ht="14.4">
      <c r="O1489" s="113"/>
      <c r="P1489" s="113"/>
      <c r="Q1489" s="23"/>
      <c r="BF1489"/>
    </row>
    <row r="1490" spans="15:58" ht="14.4">
      <c r="O1490" s="113"/>
      <c r="P1490" s="113"/>
      <c r="Q1490" s="23"/>
      <c r="BF1490"/>
    </row>
    <row r="1491" spans="15:58" ht="14.4">
      <c r="O1491" s="113"/>
      <c r="P1491" s="113"/>
      <c r="Q1491" s="23"/>
      <c r="BF1491"/>
    </row>
    <row r="1492" spans="15:58" ht="14.4">
      <c r="O1492" s="113"/>
      <c r="P1492" s="113"/>
      <c r="Q1492" s="23"/>
      <c r="BF1492"/>
    </row>
    <row r="1493" spans="15:58" ht="14.4">
      <c r="O1493" s="113"/>
      <c r="P1493" s="113"/>
      <c r="Q1493" s="23"/>
      <c r="BF1493"/>
    </row>
    <row r="1494" spans="15:58" ht="14.4">
      <c r="O1494" s="113"/>
      <c r="P1494" s="113"/>
      <c r="Q1494" s="23"/>
      <c r="BF1494"/>
    </row>
    <row r="1495" spans="15:58" ht="14.4">
      <c r="O1495" s="113"/>
      <c r="P1495" s="113"/>
      <c r="Q1495" s="23"/>
      <c r="BF1495"/>
    </row>
    <row r="1496" spans="15:58" ht="14.4">
      <c r="O1496" s="113"/>
      <c r="P1496" s="113"/>
      <c r="Q1496" s="23"/>
      <c r="BF1496"/>
    </row>
    <row r="1497" spans="15:58" ht="14.4">
      <c r="O1497" s="113"/>
      <c r="P1497" s="113"/>
      <c r="Q1497" s="23"/>
      <c r="BF1497"/>
    </row>
    <row r="1498" spans="15:58" ht="14.4">
      <c r="O1498" s="113"/>
      <c r="P1498" s="113"/>
      <c r="Q1498" s="23"/>
      <c r="BF1498"/>
    </row>
    <row r="1499" spans="15:58" ht="14.4">
      <c r="O1499" s="113"/>
      <c r="P1499" s="113"/>
      <c r="Q1499" s="23"/>
      <c r="BF1499"/>
    </row>
    <row r="1500" spans="15:58" ht="14.4">
      <c r="O1500" s="113"/>
      <c r="P1500" s="113"/>
      <c r="Q1500" s="23"/>
      <c r="BF1500"/>
    </row>
    <row r="1501" spans="15:58" ht="14.4">
      <c r="O1501" s="113"/>
      <c r="P1501" s="113"/>
      <c r="Q1501" s="23"/>
      <c r="BF1501"/>
    </row>
    <row r="1502" spans="15:58" ht="14.4">
      <c r="O1502" s="113"/>
      <c r="P1502" s="113"/>
      <c r="Q1502" s="23"/>
      <c r="BF1502"/>
    </row>
    <row r="1503" spans="15:58" ht="14.4">
      <c r="O1503" s="113"/>
      <c r="P1503" s="113"/>
      <c r="Q1503" s="23"/>
      <c r="BF1503"/>
    </row>
    <row r="1504" spans="15:58" ht="14.4">
      <c r="O1504" s="113"/>
      <c r="P1504" s="113"/>
      <c r="Q1504" s="23"/>
      <c r="BF1504"/>
    </row>
    <row r="1505" spans="15:58" ht="14.4">
      <c r="O1505" s="113"/>
      <c r="P1505" s="113"/>
      <c r="Q1505" s="23"/>
      <c r="BF1505"/>
    </row>
    <row r="1506" spans="15:58" ht="14.4">
      <c r="O1506" s="113"/>
      <c r="P1506" s="113"/>
      <c r="Q1506" s="23"/>
      <c r="BF1506"/>
    </row>
    <row r="1507" spans="15:58" ht="14.4">
      <c r="O1507" s="113"/>
      <c r="P1507" s="113"/>
      <c r="Q1507" s="23"/>
      <c r="BF1507"/>
    </row>
    <row r="1508" spans="15:58" ht="14.4">
      <c r="O1508" s="113"/>
      <c r="P1508" s="113"/>
      <c r="Q1508" s="23"/>
      <c r="BF1508"/>
    </row>
    <row r="1509" spans="15:58" ht="14.4">
      <c r="O1509" s="113"/>
      <c r="P1509" s="113"/>
      <c r="Q1509" s="23"/>
      <c r="BF1509"/>
    </row>
    <row r="1510" spans="15:58" ht="14.4">
      <c r="O1510" s="113"/>
      <c r="P1510" s="113"/>
      <c r="Q1510" s="23"/>
      <c r="BF1510"/>
    </row>
    <row r="1511" spans="15:58" ht="14.4">
      <c r="O1511" s="113"/>
      <c r="P1511" s="113"/>
      <c r="Q1511" s="23"/>
      <c r="BF1511"/>
    </row>
    <row r="1512" spans="15:58" ht="14.4">
      <c r="O1512" s="113"/>
      <c r="P1512" s="113"/>
      <c r="Q1512" s="23"/>
      <c r="BF1512"/>
    </row>
    <row r="1513" spans="15:58" ht="14.4">
      <c r="O1513" s="113"/>
      <c r="P1513" s="113"/>
      <c r="Q1513" s="23"/>
      <c r="BF1513"/>
    </row>
    <row r="1514" spans="15:58" ht="14.4">
      <c r="O1514" s="113"/>
      <c r="P1514" s="113"/>
      <c r="Q1514" s="23"/>
      <c r="BF1514"/>
    </row>
    <row r="1515" spans="15:58" ht="14.4">
      <c r="O1515" s="113"/>
      <c r="P1515" s="113"/>
      <c r="Q1515" s="23"/>
      <c r="BF1515"/>
    </row>
    <row r="1516" spans="15:58" ht="14.4">
      <c r="O1516" s="113"/>
      <c r="P1516" s="113"/>
      <c r="Q1516" s="23"/>
      <c r="BF1516"/>
    </row>
    <row r="1517" spans="15:58" ht="14.4">
      <c r="O1517" s="113"/>
      <c r="P1517" s="113"/>
      <c r="Q1517" s="23"/>
      <c r="BF1517"/>
    </row>
    <row r="1518" spans="15:58" ht="14.4">
      <c r="O1518" s="113"/>
      <c r="P1518" s="113"/>
      <c r="Q1518" s="23"/>
      <c r="BF1518"/>
    </row>
    <row r="1519" spans="15:58" ht="14.4">
      <c r="O1519" s="113"/>
      <c r="P1519" s="113"/>
      <c r="Q1519" s="23"/>
      <c r="BF1519"/>
    </row>
    <row r="1520" spans="15:58" ht="14.4">
      <c r="O1520" s="113"/>
      <c r="P1520" s="113"/>
      <c r="Q1520" s="23"/>
      <c r="BF1520"/>
    </row>
    <row r="1521" spans="15:58" ht="14.4">
      <c r="O1521" s="113"/>
      <c r="P1521" s="113"/>
      <c r="Q1521" s="23"/>
      <c r="BF1521"/>
    </row>
    <row r="1522" spans="15:58" ht="14.4">
      <c r="O1522" s="113"/>
      <c r="P1522" s="113"/>
      <c r="Q1522" s="23"/>
      <c r="BF1522"/>
    </row>
    <row r="1523" spans="15:58" ht="14.4">
      <c r="O1523" s="113"/>
      <c r="P1523" s="113"/>
      <c r="Q1523" s="23"/>
      <c r="BF1523"/>
    </row>
    <row r="1524" spans="15:58" ht="14.4">
      <c r="O1524" s="113"/>
      <c r="P1524" s="113"/>
      <c r="Q1524" s="23"/>
      <c r="BF1524"/>
    </row>
    <row r="1525" spans="15:58" ht="14.4">
      <c r="O1525" s="113"/>
      <c r="P1525" s="113"/>
      <c r="Q1525" s="23"/>
      <c r="BF1525"/>
    </row>
    <row r="1526" spans="15:58" ht="14.4">
      <c r="O1526" s="113"/>
      <c r="P1526" s="113"/>
      <c r="Q1526" s="23"/>
      <c r="BF1526"/>
    </row>
    <row r="1527" spans="15:58" ht="14.4">
      <c r="O1527" s="113"/>
      <c r="P1527" s="113"/>
      <c r="Q1527" s="23"/>
      <c r="BF1527"/>
    </row>
    <row r="1528" spans="15:58" ht="14.4">
      <c r="O1528" s="113"/>
      <c r="P1528" s="113"/>
      <c r="Q1528" s="23"/>
      <c r="BF1528"/>
    </row>
    <row r="1529" spans="15:58" ht="14.4">
      <c r="O1529" s="113"/>
      <c r="P1529" s="113"/>
      <c r="Q1529" s="23"/>
      <c r="BF1529"/>
    </row>
    <row r="1530" spans="15:58" ht="14.4">
      <c r="O1530" s="113"/>
      <c r="P1530" s="113"/>
      <c r="Q1530" s="23"/>
      <c r="BF1530"/>
    </row>
    <row r="1531" spans="15:58" ht="14.4">
      <c r="O1531" s="113"/>
      <c r="P1531" s="113"/>
      <c r="Q1531" s="23"/>
      <c r="BF1531"/>
    </row>
    <row r="1532" spans="15:58" ht="14.4">
      <c r="O1532" s="113"/>
      <c r="P1532" s="113"/>
      <c r="Q1532" s="23"/>
      <c r="BF1532"/>
    </row>
    <row r="1533" spans="15:58" ht="14.4">
      <c r="O1533" s="113"/>
      <c r="P1533" s="113"/>
      <c r="Q1533" s="23"/>
      <c r="BF1533"/>
    </row>
    <row r="1534" spans="15:58" ht="14.4">
      <c r="O1534" s="113"/>
      <c r="P1534" s="113"/>
      <c r="Q1534" s="23"/>
      <c r="BF1534"/>
    </row>
    <row r="1535" ht="14.4">
      <c r="BF1535"/>
    </row>
    <row r="1536" ht="14.4">
      <c r="BF1536"/>
    </row>
    <row r="1537" ht="14.4">
      <c r="BF1537"/>
    </row>
    <row r="1538" ht="14.4">
      <c r="BF1538"/>
    </row>
    <row r="1539" ht="14.4">
      <c r="BF1539"/>
    </row>
    <row r="1540" ht="14.4">
      <c r="BF1540"/>
    </row>
    <row r="1541" spans="15:58" ht="14.4">
      <c r="O1541" s="113"/>
      <c r="P1541" s="113"/>
      <c r="Q1541" s="23"/>
      <c r="BF1541"/>
    </row>
    <row r="1542" spans="15:58" ht="14.4">
      <c r="O1542" s="113"/>
      <c r="P1542" s="113"/>
      <c r="Q1542" s="23"/>
      <c r="BF1542"/>
    </row>
    <row r="1543" spans="15:58" ht="14.4">
      <c r="O1543" s="113"/>
      <c r="P1543" s="113"/>
      <c r="Q1543" s="23"/>
      <c r="BF1543"/>
    </row>
    <row r="1544" spans="15:58" ht="14.4">
      <c r="O1544" s="113"/>
      <c r="P1544" s="113"/>
      <c r="Q1544" s="23"/>
      <c r="BF1544"/>
    </row>
    <row r="1545" spans="15:58" ht="14.4">
      <c r="O1545" s="113"/>
      <c r="P1545" s="113"/>
      <c r="Q1545" s="23"/>
      <c r="BF1545"/>
    </row>
    <row r="1546" spans="15:58" ht="14.4">
      <c r="O1546" s="113"/>
      <c r="P1546" s="113"/>
      <c r="Q1546" s="23"/>
      <c r="BF1546"/>
    </row>
    <row r="1547" spans="15:58" ht="14.4">
      <c r="O1547" s="113"/>
      <c r="P1547" s="113"/>
      <c r="Q1547" s="23"/>
      <c r="BF1547"/>
    </row>
    <row r="1548" spans="15:58" ht="14.4">
      <c r="O1548" s="113"/>
      <c r="P1548" s="113"/>
      <c r="Q1548" s="23"/>
      <c r="BF1548"/>
    </row>
    <row r="1549" spans="15:58" ht="14.4">
      <c r="O1549" s="113"/>
      <c r="P1549" s="113"/>
      <c r="Q1549" s="23"/>
      <c r="BF1549"/>
    </row>
    <row r="1550" spans="15:58" ht="14.4">
      <c r="O1550" s="113"/>
      <c r="P1550" s="113"/>
      <c r="Q1550" s="23"/>
      <c r="BF1550"/>
    </row>
    <row r="1551" spans="15:58" ht="14.4">
      <c r="O1551" s="113"/>
      <c r="P1551" s="113"/>
      <c r="Q1551" s="23"/>
      <c r="BF1551"/>
    </row>
    <row r="1552" spans="15:58" ht="14.4">
      <c r="O1552" s="113"/>
      <c r="P1552" s="113"/>
      <c r="Q1552" s="23"/>
      <c r="BF1552"/>
    </row>
    <row r="1553" spans="15:58" ht="14.4">
      <c r="O1553" s="113"/>
      <c r="P1553" s="113"/>
      <c r="Q1553" s="23"/>
      <c r="BF1553"/>
    </row>
    <row r="1554" spans="15:58" ht="14.4">
      <c r="O1554" s="113"/>
      <c r="P1554" s="113"/>
      <c r="Q1554" s="23"/>
      <c r="BF1554"/>
    </row>
    <row r="1555" spans="15:58" ht="14.4">
      <c r="O1555" s="113"/>
      <c r="P1555" s="113"/>
      <c r="Q1555" s="23"/>
      <c r="BF1555"/>
    </row>
    <row r="1556" spans="15:58" ht="14.4">
      <c r="O1556" s="113"/>
      <c r="P1556" s="113"/>
      <c r="Q1556" s="23"/>
      <c r="BF1556"/>
    </row>
    <row r="1557" spans="15:58" ht="14.4">
      <c r="O1557" s="113"/>
      <c r="P1557" s="113"/>
      <c r="Q1557" s="23"/>
      <c r="BF1557"/>
    </row>
    <row r="1558" spans="15:58" ht="14.4">
      <c r="O1558" s="113"/>
      <c r="P1558" s="113"/>
      <c r="Q1558" s="23"/>
      <c r="BF1558"/>
    </row>
    <row r="1559" spans="15:58" ht="14.4">
      <c r="O1559" s="113"/>
      <c r="P1559" s="113"/>
      <c r="Q1559" s="23"/>
      <c r="BF1559"/>
    </row>
    <row r="1560" spans="15:58" ht="14.4">
      <c r="O1560" s="113"/>
      <c r="P1560" s="113"/>
      <c r="Q1560" s="23"/>
      <c r="BF1560"/>
    </row>
    <row r="1561" spans="15:58" ht="14.4">
      <c r="O1561" s="113"/>
      <c r="P1561" s="113"/>
      <c r="Q1561" s="23"/>
      <c r="BF1561"/>
    </row>
    <row r="1562" spans="15:58" ht="14.4">
      <c r="O1562" s="113"/>
      <c r="P1562" s="113"/>
      <c r="Q1562" s="23"/>
      <c r="BF1562"/>
    </row>
    <row r="1563" spans="15:58" ht="14.4">
      <c r="O1563" s="113"/>
      <c r="P1563" s="113"/>
      <c r="Q1563" s="23"/>
      <c r="BF1563"/>
    </row>
    <row r="1564" spans="15:58" ht="14.4">
      <c r="O1564" s="113"/>
      <c r="P1564" s="113"/>
      <c r="Q1564" s="23"/>
      <c r="BF1564"/>
    </row>
    <row r="1565" spans="15:58" ht="14.4">
      <c r="O1565" s="113"/>
      <c r="P1565" s="113"/>
      <c r="Q1565" s="23"/>
      <c r="BF1565"/>
    </row>
    <row r="1566" spans="15:58" ht="14.4">
      <c r="O1566" s="113"/>
      <c r="P1566" s="113"/>
      <c r="Q1566" s="23"/>
      <c r="BF1566"/>
    </row>
    <row r="1567" spans="15:58" ht="14.4">
      <c r="O1567" s="113"/>
      <c r="P1567" s="113"/>
      <c r="Q1567" s="23"/>
      <c r="BF1567"/>
    </row>
    <row r="1568" spans="15:58" ht="14.4">
      <c r="O1568" s="113"/>
      <c r="P1568" s="113"/>
      <c r="Q1568" s="23"/>
      <c r="BF1568"/>
    </row>
    <row r="1569" spans="15:58" ht="14.4">
      <c r="O1569" s="113"/>
      <c r="P1569" s="113"/>
      <c r="Q1569" s="23"/>
      <c r="BF1569"/>
    </row>
    <row r="1570" spans="15:58" ht="14.4">
      <c r="O1570" s="113"/>
      <c r="P1570" s="113"/>
      <c r="Q1570" s="23"/>
      <c r="BF1570"/>
    </row>
    <row r="1571" spans="15:58" ht="14.4">
      <c r="O1571" s="113"/>
      <c r="P1571" s="113"/>
      <c r="Q1571" s="23"/>
      <c r="BF1571"/>
    </row>
    <row r="1572" spans="15:58" ht="14.4">
      <c r="O1572" s="113"/>
      <c r="P1572" s="113"/>
      <c r="Q1572" s="23"/>
      <c r="BF1572"/>
    </row>
    <row r="1573" spans="15:58" ht="14.4">
      <c r="O1573" s="113"/>
      <c r="P1573" s="113"/>
      <c r="Q1573" s="23"/>
      <c r="BF1573"/>
    </row>
    <row r="1574" spans="15:58" ht="14.4">
      <c r="O1574" s="113"/>
      <c r="P1574" s="113"/>
      <c r="Q1574" s="23"/>
      <c r="BF1574"/>
    </row>
    <row r="1575" spans="15:58" ht="14.4">
      <c r="O1575" s="113"/>
      <c r="P1575" s="113"/>
      <c r="Q1575" s="23"/>
      <c r="BF1575"/>
    </row>
    <row r="1576" spans="15:58" ht="14.4">
      <c r="O1576" s="113"/>
      <c r="P1576" s="113"/>
      <c r="Q1576" s="23"/>
      <c r="BF1576"/>
    </row>
    <row r="1577" spans="15:58" ht="14.4">
      <c r="O1577" s="113"/>
      <c r="P1577" s="113"/>
      <c r="Q1577" s="23"/>
      <c r="BF1577"/>
    </row>
    <row r="1578" spans="15:58" ht="14.4">
      <c r="O1578" s="113"/>
      <c r="P1578" s="113"/>
      <c r="Q1578" s="23"/>
      <c r="BF1578"/>
    </row>
    <row r="1579" spans="15:58" ht="14.4">
      <c r="O1579" s="113"/>
      <c r="P1579" s="113"/>
      <c r="Q1579" s="23"/>
      <c r="BF1579"/>
    </row>
    <row r="1580" spans="15:58" ht="14.4">
      <c r="O1580" s="113"/>
      <c r="P1580" s="113"/>
      <c r="Q1580" s="23"/>
      <c r="BF1580"/>
    </row>
    <row r="1581" spans="15:58" ht="14.4">
      <c r="O1581" s="113"/>
      <c r="P1581" s="113"/>
      <c r="Q1581" s="23"/>
      <c r="BF1581"/>
    </row>
    <row r="1582" spans="15:58" ht="14.4">
      <c r="O1582" s="113"/>
      <c r="P1582" s="113"/>
      <c r="Q1582" s="23"/>
      <c r="BF1582"/>
    </row>
    <row r="1583" spans="15:58" ht="14.4">
      <c r="O1583" s="113"/>
      <c r="P1583" s="113"/>
      <c r="Q1583" s="23"/>
      <c r="BF1583"/>
    </row>
    <row r="1584" spans="15:58" ht="14.4">
      <c r="O1584" s="113"/>
      <c r="P1584" s="113"/>
      <c r="Q1584" s="23"/>
      <c r="BF1584"/>
    </row>
    <row r="1585" spans="15:58" ht="14.4">
      <c r="O1585" s="113"/>
      <c r="P1585" s="113"/>
      <c r="Q1585" s="23"/>
      <c r="BF1585"/>
    </row>
    <row r="1586" spans="15:58" ht="14.4">
      <c r="O1586" s="113"/>
      <c r="P1586" s="113"/>
      <c r="Q1586" s="23"/>
      <c r="BF1586"/>
    </row>
    <row r="1587" spans="15:58" ht="14.4">
      <c r="O1587" s="113"/>
      <c r="P1587" s="113"/>
      <c r="Q1587" s="23"/>
      <c r="BF1587"/>
    </row>
    <row r="1588" spans="15:58" ht="14.4">
      <c r="O1588" s="113"/>
      <c r="P1588" s="113"/>
      <c r="Q1588" s="23"/>
      <c r="BF1588"/>
    </row>
    <row r="1589" spans="15:58" ht="14.4">
      <c r="O1589" s="113"/>
      <c r="P1589" s="113"/>
      <c r="Q1589" s="23"/>
      <c r="BF1589"/>
    </row>
    <row r="1590" spans="15:58" ht="14.4">
      <c r="O1590" s="113"/>
      <c r="P1590" s="113"/>
      <c r="Q1590" s="23"/>
      <c r="BF1590"/>
    </row>
    <row r="1591" spans="15:58" ht="14.4">
      <c r="O1591" s="113"/>
      <c r="P1591" s="113"/>
      <c r="Q1591" s="23"/>
      <c r="BF1591"/>
    </row>
    <row r="1592" spans="15:58" ht="14.4">
      <c r="O1592" s="113"/>
      <c r="P1592" s="113"/>
      <c r="Q1592" s="23"/>
      <c r="BF1592"/>
    </row>
    <row r="1593" spans="15:58" ht="14.4">
      <c r="O1593" s="113"/>
      <c r="P1593" s="113"/>
      <c r="Q1593" s="23"/>
      <c r="BF1593"/>
    </row>
    <row r="1594" spans="15:58" ht="14.4">
      <c r="O1594" s="113"/>
      <c r="P1594" s="113"/>
      <c r="Q1594" s="23"/>
      <c r="BF1594"/>
    </row>
    <row r="1595" spans="15:58" ht="14.4">
      <c r="O1595" s="113"/>
      <c r="P1595" s="113"/>
      <c r="Q1595" s="23"/>
      <c r="BF1595"/>
    </row>
    <row r="1596" spans="15:58" ht="14.4">
      <c r="O1596" s="113"/>
      <c r="P1596" s="113"/>
      <c r="Q1596" s="23"/>
      <c r="BF1596"/>
    </row>
    <row r="1597" spans="15:58" ht="14.4">
      <c r="O1597" s="113"/>
      <c r="P1597" s="113"/>
      <c r="Q1597" s="23"/>
      <c r="BF1597"/>
    </row>
    <row r="1598" spans="15:58" ht="14.4">
      <c r="O1598" s="113"/>
      <c r="P1598" s="113"/>
      <c r="Q1598" s="23"/>
      <c r="BF1598"/>
    </row>
    <row r="1599" spans="15:58" ht="14.4">
      <c r="O1599" s="113"/>
      <c r="P1599" s="113"/>
      <c r="Q1599" s="23"/>
      <c r="BF1599"/>
    </row>
    <row r="1600" spans="15:58" ht="14.4">
      <c r="O1600" s="113"/>
      <c r="P1600" s="113"/>
      <c r="Q1600" s="23"/>
      <c r="BF1600"/>
    </row>
    <row r="1601" spans="15:58" ht="14.4">
      <c r="O1601" s="113"/>
      <c r="P1601" s="113"/>
      <c r="Q1601" s="23"/>
      <c r="BF1601"/>
    </row>
    <row r="1602" spans="15:58" ht="14.4">
      <c r="O1602" s="113"/>
      <c r="P1602" s="113"/>
      <c r="Q1602" s="23"/>
      <c r="BF1602"/>
    </row>
    <row r="1603" spans="15:58" ht="14.4">
      <c r="O1603" s="113"/>
      <c r="P1603" s="113"/>
      <c r="Q1603" s="23"/>
      <c r="BF1603"/>
    </row>
    <row r="1604" spans="15:58" ht="14.4">
      <c r="O1604" s="113"/>
      <c r="P1604" s="113"/>
      <c r="Q1604" s="23"/>
      <c r="BF1604"/>
    </row>
    <row r="1605" spans="15:58" ht="14.4">
      <c r="O1605" s="113"/>
      <c r="P1605" s="113"/>
      <c r="Q1605" s="23"/>
      <c r="BF1605"/>
    </row>
    <row r="1606" spans="15:58" ht="14.4">
      <c r="O1606" s="113"/>
      <c r="P1606" s="113"/>
      <c r="Q1606" s="23"/>
      <c r="BF1606"/>
    </row>
    <row r="1607" spans="15:58" ht="14.4">
      <c r="O1607" s="113"/>
      <c r="P1607" s="113"/>
      <c r="Q1607" s="23"/>
      <c r="BF1607"/>
    </row>
    <row r="1608" spans="16:58" ht="14.4">
      <c r="P1608" s="23"/>
      <c r="Q1608" s="23"/>
      <c r="BF1608"/>
    </row>
    <row r="1609" spans="16:58" ht="14.4">
      <c r="P1609" s="23"/>
      <c r="Q1609" s="23"/>
      <c r="BF1609"/>
    </row>
    <row r="1610" spans="16:58" ht="14.4">
      <c r="P1610" s="23"/>
      <c r="Q1610" s="23"/>
      <c r="BF1610"/>
    </row>
    <row r="1611" ht="14.4">
      <c r="BF1611"/>
    </row>
    <row r="1612" ht="14.4">
      <c r="BF1612"/>
    </row>
    <row r="1613" ht="14.4">
      <c r="BF1613"/>
    </row>
    <row r="1614" spans="16:58" ht="14.4">
      <c r="P1614" s="23"/>
      <c r="Q1614" s="23"/>
      <c r="BF1614"/>
    </row>
    <row r="1615" spans="16:58" ht="14.4">
      <c r="P1615" s="23"/>
      <c r="Q1615" s="23"/>
      <c r="BF1615"/>
    </row>
    <row r="1616" spans="16:58" ht="14.4">
      <c r="P1616" s="23"/>
      <c r="Q1616" s="23"/>
      <c r="BF1616"/>
    </row>
    <row r="1617" spans="16:58" ht="14.4">
      <c r="P1617" s="23"/>
      <c r="Q1617" s="23"/>
      <c r="BF1617"/>
    </row>
    <row r="1618" spans="16:58" ht="14.4">
      <c r="P1618" s="23"/>
      <c r="Q1618" s="23"/>
      <c r="BF1618"/>
    </row>
    <row r="1619" spans="16:58" ht="14.4">
      <c r="P1619" s="23"/>
      <c r="Q1619" s="23"/>
      <c r="BF1619"/>
    </row>
    <row r="1620" spans="16:58" ht="14.4">
      <c r="P1620" s="23"/>
      <c r="Q1620" s="23"/>
      <c r="BF1620"/>
    </row>
    <row r="1621" spans="16:58" ht="14.4">
      <c r="P1621" s="23"/>
      <c r="Q1621" s="23"/>
      <c r="BF1621"/>
    </row>
    <row r="1622" spans="16:58" ht="14.4">
      <c r="P1622" s="23"/>
      <c r="Q1622" s="23"/>
      <c r="BF1622"/>
    </row>
    <row r="1623" spans="16:58" ht="14.4">
      <c r="P1623" s="23"/>
      <c r="Q1623" s="23"/>
      <c r="BF1623"/>
    </row>
    <row r="1624" spans="16:58" ht="14.4">
      <c r="P1624" s="23"/>
      <c r="Q1624" s="23"/>
      <c r="BF1624"/>
    </row>
    <row r="1625" spans="16:58" ht="14.4">
      <c r="P1625" s="23"/>
      <c r="Q1625" s="23"/>
      <c r="BF1625"/>
    </row>
    <row r="1626" spans="16:58" ht="14.4">
      <c r="P1626" s="23"/>
      <c r="Q1626" s="23"/>
      <c r="BF1626"/>
    </row>
    <row r="1627" spans="16:58" ht="14.4">
      <c r="P1627" s="23"/>
      <c r="Q1627" s="23"/>
      <c r="BF1627"/>
    </row>
    <row r="1628" spans="16:58" ht="14.4">
      <c r="P1628" s="23"/>
      <c r="Q1628" s="23"/>
      <c r="BF1628"/>
    </row>
    <row r="1629" spans="16:58" ht="14.4">
      <c r="P1629" s="23"/>
      <c r="Q1629" s="23"/>
      <c r="BF1629"/>
    </row>
    <row r="1630" spans="16:58" ht="14.4">
      <c r="P1630" s="23"/>
      <c r="Q1630" s="23"/>
      <c r="BF1630"/>
    </row>
    <row r="1631" spans="16:58" ht="14.4">
      <c r="P1631" s="23"/>
      <c r="Q1631" s="23"/>
      <c r="BF1631"/>
    </row>
    <row r="1632" spans="16:58" ht="14.4">
      <c r="P1632" s="23"/>
      <c r="Q1632" s="23"/>
      <c r="BF1632"/>
    </row>
    <row r="1633" spans="16:58" ht="14.4">
      <c r="P1633" s="23"/>
      <c r="Q1633" s="23"/>
      <c r="BF1633"/>
    </row>
    <row r="1634" spans="16:58" ht="14.4">
      <c r="P1634" s="23"/>
      <c r="Q1634" s="23"/>
      <c r="BF1634"/>
    </row>
    <row r="1635" spans="16:58" ht="14.4">
      <c r="P1635" s="23"/>
      <c r="Q1635" s="23"/>
      <c r="BF1635"/>
    </row>
    <row r="1636" spans="16:58" ht="14.4">
      <c r="P1636" s="23"/>
      <c r="Q1636" s="23"/>
      <c r="BF1636"/>
    </row>
    <row r="1637" spans="16:58" ht="14.4">
      <c r="P1637" s="23"/>
      <c r="Q1637" s="23"/>
      <c r="BF1637"/>
    </row>
    <row r="1638" spans="16:58" ht="14.4">
      <c r="P1638" s="23"/>
      <c r="Q1638" s="23"/>
      <c r="BF1638"/>
    </row>
    <row r="1639" spans="16:58" ht="14.4">
      <c r="P1639" s="23"/>
      <c r="Q1639" s="23"/>
      <c r="BF1639"/>
    </row>
    <row r="1640" spans="16:58" ht="14.4">
      <c r="P1640" s="23"/>
      <c r="Q1640" s="23"/>
      <c r="BF1640"/>
    </row>
    <row r="1641" spans="16:58" ht="14.4">
      <c r="P1641" s="23"/>
      <c r="Q1641" s="23"/>
      <c r="BF1641"/>
    </row>
    <row r="1642" spans="16:58" ht="14.4">
      <c r="P1642" s="23"/>
      <c r="Q1642" s="23"/>
      <c r="BF1642"/>
    </row>
    <row r="1643" spans="16:58" ht="14.4">
      <c r="P1643" s="23"/>
      <c r="Q1643" s="23"/>
      <c r="BF1643"/>
    </row>
    <row r="1644" spans="16:58" ht="14.4">
      <c r="P1644" s="23"/>
      <c r="Q1644" s="23"/>
      <c r="BF1644"/>
    </row>
    <row r="1645" spans="16:58" ht="14.4">
      <c r="P1645" s="23"/>
      <c r="Q1645" s="23"/>
      <c r="BF1645"/>
    </row>
    <row r="1646" spans="16:58" ht="14.4">
      <c r="P1646" s="23"/>
      <c r="Q1646" s="23"/>
      <c r="BF1646"/>
    </row>
    <row r="1647" spans="16:58" ht="14.4">
      <c r="P1647" s="23"/>
      <c r="Q1647" s="23"/>
      <c r="BF1647"/>
    </row>
    <row r="1648" spans="16:58" ht="14.4">
      <c r="P1648" s="23"/>
      <c r="Q1648" s="23"/>
      <c r="BF1648"/>
    </row>
    <row r="1649" spans="16:58" ht="14.4">
      <c r="P1649" s="23"/>
      <c r="Q1649" s="23"/>
      <c r="BF1649"/>
    </row>
    <row r="1650" ht="14.4">
      <c r="BF1650"/>
    </row>
    <row r="1651" ht="14.4">
      <c r="BF1651"/>
    </row>
    <row r="1652" ht="14.4">
      <c r="BF1652"/>
    </row>
    <row r="1653" spans="16:58" ht="14.4">
      <c r="P1653" s="23"/>
      <c r="Q1653" s="23"/>
      <c r="BF1653"/>
    </row>
    <row r="1654" spans="16:58" ht="14.4">
      <c r="P1654" s="23"/>
      <c r="Q1654" s="23"/>
      <c r="BF1654"/>
    </row>
    <row r="1655" spans="16:58" ht="14.4">
      <c r="P1655" s="23"/>
      <c r="Q1655" s="23"/>
      <c r="BF1655"/>
    </row>
    <row r="1656" spans="16:58" ht="14.4">
      <c r="P1656" s="23"/>
      <c r="Q1656" s="23"/>
      <c r="BF1656"/>
    </row>
    <row r="1657" spans="16:58" ht="14.4">
      <c r="P1657" s="23"/>
      <c r="Q1657" s="23"/>
      <c r="BF1657"/>
    </row>
    <row r="1658" spans="16:58" ht="14.4">
      <c r="P1658" s="23"/>
      <c r="Q1658" s="23"/>
      <c r="BF1658"/>
    </row>
    <row r="1659" spans="16:58" ht="14.4">
      <c r="P1659" s="23"/>
      <c r="Q1659" s="23"/>
      <c r="BF1659"/>
    </row>
    <row r="1660" spans="16:58" ht="14.4">
      <c r="P1660" s="23"/>
      <c r="Q1660" s="23"/>
      <c r="BF1660"/>
    </row>
    <row r="1661" spans="16:58" ht="14.4">
      <c r="P1661" s="23"/>
      <c r="Q1661" s="23"/>
      <c r="BF1661"/>
    </row>
    <row r="1662" spans="16:58" ht="14.4">
      <c r="P1662" s="23"/>
      <c r="Q1662" s="23"/>
      <c r="BF1662"/>
    </row>
    <row r="1663" spans="16:58" ht="14.4">
      <c r="P1663" s="23"/>
      <c r="Q1663" s="23"/>
      <c r="BF1663"/>
    </row>
    <row r="1664" spans="16:58" ht="14.4">
      <c r="P1664" s="23"/>
      <c r="Q1664" s="23"/>
      <c r="BF1664"/>
    </row>
    <row r="1665" spans="16:58" ht="14.4">
      <c r="P1665" s="23"/>
      <c r="Q1665" s="23"/>
      <c r="BF1665"/>
    </row>
    <row r="1666" spans="16:58" ht="14.4">
      <c r="P1666" s="23"/>
      <c r="Q1666" s="23"/>
      <c r="BF1666"/>
    </row>
    <row r="1667" spans="16:58" ht="14.4">
      <c r="P1667" s="23"/>
      <c r="Q1667" s="23"/>
      <c r="BF1667"/>
    </row>
    <row r="1668" spans="16:58" ht="14.4">
      <c r="P1668" s="23"/>
      <c r="Q1668" s="23"/>
      <c r="BF1668"/>
    </row>
    <row r="1669" spans="16:58" ht="14.4">
      <c r="P1669" s="23"/>
      <c r="Q1669" s="23"/>
      <c r="BF1669"/>
    </row>
    <row r="1670" spans="16:58" ht="14.4">
      <c r="P1670" s="23"/>
      <c r="Q1670" s="23"/>
      <c r="BF1670"/>
    </row>
    <row r="1671" spans="16:58" ht="14.4">
      <c r="P1671" s="23"/>
      <c r="Q1671" s="23"/>
      <c r="BF1671"/>
    </row>
    <row r="1672" spans="16:58" ht="14.4">
      <c r="P1672" s="23"/>
      <c r="Q1672" s="23"/>
      <c r="BF1672"/>
    </row>
    <row r="1673" spans="16:58" ht="14.4">
      <c r="P1673" s="23"/>
      <c r="Q1673" s="23"/>
      <c r="BF1673"/>
    </row>
    <row r="1674" spans="16:58" ht="14.4">
      <c r="P1674" s="23"/>
      <c r="Q1674" s="23"/>
      <c r="BF1674"/>
    </row>
    <row r="1675" spans="16:58" ht="14.4">
      <c r="P1675" s="23"/>
      <c r="Q1675" s="23"/>
      <c r="BF1675"/>
    </row>
    <row r="1676" spans="16:58" ht="14.4">
      <c r="P1676" s="23"/>
      <c r="Q1676" s="23"/>
      <c r="BF1676"/>
    </row>
    <row r="1677" spans="16:58" ht="14.4">
      <c r="P1677" s="23"/>
      <c r="Q1677" s="23"/>
      <c r="BF1677"/>
    </row>
    <row r="1678" spans="16:58" ht="14.4">
      <c r="P1678" s="23"/>
      <c r="Q1678" s="23"/>
      <c r="BF1678"/>
    </row>
    <row r="1679" spans="16:58" ht="14.4">
      <c r="P1679" s="23"/>
      <c r="Q1679" s="23"/>
      <c r="BF1679"/>
    </row>
    <row r="1680" spans="16:58" ht="14.4">
      <c r="P1680" s="23"/>
      <c r="Q1680" s="23"/>
      <c r="BF1680"/>
    </row>
    <row r="1681" spans="16:58" ht="14.4">
      <c r="P1681" s="23"/>
      <c r="Q1681" s="23"/>
      <c r="BF1681"/>
    </row>
    <row r="1682" spans="16:58" ht="14.4">
      <c r="P1682" s="23"/>
      <c r="Q1682" s="23"/>
      <c r="BF1682"/>
    </row>
    <row r="1683" spans="16:58" ht="14.4">
      <c r="P1683" s="23"/>
      <c r="Q1683" s="23"/>
      <c r="BF1683"/>
    </row>
    <row r="1684" spans="16:58" ht="14.4">
      <c r="P1684" s="23"/>
      <c r="Q1684" s="23"/>
      <c r="BF1684"/>
    </row>
    <row r="1685" spans="16:58" ht="14.4">
      <c r="P1685" s="23"/>
      <c r="Q1685" s="23"/>
      <c r="BF1685"/>
    </row>
    <row r="1686" spans="16:58" ht="14.4">
      <c r="P1686" s="23"/>
      <c r="Q1686" s="23"/>
      <c r="BF1686"/>
    </row>
    <row r="1687" spans="16:58" ht="14.4">
      <c r="P1687" s="23"/>
      <c r="Q1687" s="23"/>
      <c r="BF1687"/>
    </row>
    <row r="1688" ht="14.4">
      <c r="BF1688"/>
    </row>
    <row r="1689" ht="14.4">
      <c r="BF1689"/>
    </row>
    <row r="1690" spans="16:58" ht="14.4">
      <c r="P1690" s="23"/>
      <c r="Q1690" s="23"/>
      <c r="BF1690"/>
    </row>
    <row r="1691" spans="16:58" ht="14.4">
      <c r="P1691" s="23"/>
      <c r="Q1691" s="23"/>
      <c r="BF1691"/>
    </row>
    <row r="1692" spans="16:58" ht="14.4">
      <c r="P1692" s="23"/>
      <c r="Q1692" s="23"/>
      <c r="BF1692"/>
    </row>
    <row r="1693" spans="16:58" ht="14.4">
      <c r="P1693" s="23"/>
      <c r="Q1693" s="23"/>
      <c r="BF1693"/>
    </row>
    <row r="1694" spans="16:58" ht="14.4">
      <c r="P1694" s="23"/>
      <c r="Q1694" s="23"/>
      <c r="BF1694"/>
    </row>
    <row r="1695" spans="16:58" ht="14.4">
      <c r="P1695" s="23"/>
      <c r="Q1695" s="23"/>
      <c r="BF1695"/>
    </row>
    <row r="1696" spans="16:58" ht="14.4">
      <c r="P1696" s="23"/>
      <c r="Q1696" s="23"/>
      <c r="BF1696"/>
    </row>
    <row r="1697" spans="16:58" ht="14.4">
      <c r="P1697" s="23"/>
      <c r="Q1697" s="23"/>
      <c r="BF1697"/>
    </row>
    <row r="1698" spans="16:58" ht="14.4">
      <c r="P1698" s="23"/>
      <c r="Q1698" s="23"/>
      <c r="BF1698"/>
    </row>
    <row r="1699" spans="16:58" ht="14.4">
      <c r="P1699" s="23"/>
      <c r="Q1699" s="23"/>
      <c r="BF1699"/>
    </row>
    <row r="1700" spans="16:58" ht="14.4">
      <c r="P1700" s="23"/>
      <c r="Q1700" s="23"/>
      <c r="BF1700"/>
    </row>
    <row r="1701" spans="16:58" ht="14.4">
      <c r="P1701" s="23"/>
      <c r="Q1701" s="23"/>
      <c r="BF1701"/>
    </row>
    <row r="1702" spans="16:58" ht="14.4">
      <c r="P1702" s="23"/>
      <c r="Q1702" s="23"/>
      <c r="BF1702"/>
    </row>
    <row r="1703" spans="16:58" ht="14.4">
      <c r="P1703" s="23"/>
      <c r="Q1703" s="23"/>
      <c r="BF1703"/>
    </row>
    <row r="1704" spans="16:58" ht="14.4">
      <c r="P1704" s="23"/>
      <c r="Q1704" s="23"/>
      <c r="BF1704"/>
    </row>
    <row r="1705" spans="16:58" ht="14.4">
      <c r="P1705" s="23"/>
      <c r="Q1705" s="23"/>
      <c r="BF1705"/>
    </row>
    <row r="1706" spans="16:58" ht="14.4">
      <c r="P1706" s="23"/>
      <c r="Q1706" s="23"/>
      <c r="BF1706"/>
    </row>
    <row r="1707" spans="16:58" ht="14.4">
      <c r="P1707" s="23"/>
      <c r="Q1707" s="23"/>
      <c r="BF1707"/>
    </row>
    <row r="1708" spans="16:58" ht="14.4">
      <c r="P1708" s="23"/>
      <c r="Q1708" s="23"/>
      <c r="BF1708"/>
    </row>
    <row r="1709" spans="16:58" ht="14.4">
      <c r="P1709" s="23"/>
      <c r="Q1709" s="23"/>
      <c r="BF1709"/>
    </row>
    <row r="1710" spans="16:58" ht="14.4">
      <c r="P1710" s="23"/>
      <c r="Q1710" s="23"/>
      <c r="BF1710"/>
    </row>
    <row r="1711" spans="16:58" ht="14.4">
      <c r="P1711" s="23"/>
      <c r="Q1711" s="23"/>
      <c r="BF1711"/>
    </row>
    <row r="1712" spans="16:58" ht="14.4">
      <c r="P1712" s="23"/>
      <c r="Q1712" s="23"/>
      <c r="BF1712"/>
    </row>
    <row r="1713" spans="16:58" ht="14.4">
      <c r="P1713" s="23"/>
      <c r="Q1713" s="23"/>
      <c r="BF1713"/>
    </row>
    <row r="1714" ht="14.4">
      <c r="BF1714"/>
    </row>
    <row r="1715" ht="14.4">
      <c r="BF1715"/>
    </row>
    <row r="1716" spans="16:58" ht="14.4">
      <c r="P1716" s="23"/>
      <c r="Q1716" s="23"/>
      <c r="BF1716"/>
    </row>
    <row r="1717" spans="16:58" ht="14.4">
      <c r="P1717" s="23"/>
      <c r="Q1717" s="23"/>
      <c r="BF1717"/>
    </row>
    <row r="1718" spans="16:58" ht="14.4">
      <c r="P1718" s="23"/>
      <c r="Q1718" s="23"/>
      <c r="BF1718"/>
    </row>
    <row r="1719" spans="16:58" ht="14.4">
      <c r="P1719" s="23"/>
      <c r="Q1719" s="23"/>
      <c r="BF1719"/>
    </row>
    <row r="1720" spans="16:58" ht="14.4">
      <c r="P1720" s="23"/>
      <c r="Q1720" s="23"/>
      <c r="BF1720"/>
    </row>
    <row r="1721" spans="16:58" ht="14.4">
      <c r="P1721" s="23"/>
      <c r="Q1721" s="23"/>
      <c r="BF1721"/>
    </row>
    <row r="1722" spans="16:58" ht="14.4">
      <c r="P1722" s="23"/>
      <c r="Q1722" s="23"/>
      <c r="BF1722"/>
    </row>
    <row r="1723" spans="16:58" ht="14.4">
      <c r="P1723" s="23"/>
      <c r="Q1723" s="23"/>
      <c r="BF1723"/>
    </row>
    <row r="1724" spans="16:58" ht="14.4">
      <c r="P1724" s="23"/>
      <c r="Q1724" s="23"/>
      <c r="BF1724"/>
    </row>
    <row r="1725" spans="16:58" ht="14.4">
      <c r="P1725" s="23"/>
      <c r="Q1725" s="23"/>
      <c r="BF1725"/>
    </row>
    <row r="1726" spans="16:58" ht="14.4">
      <c r="P1726" s="23"/>
      <c r="Q1726" s="23"/>
      <c r="BF1726"/>
    </row>
    <row r="1727" spans="16:58" ht="14.4">
      <c r="P1727" s="23"/>
      <c r="Q1727" s="23"/>
      <c r="BF1727"/>
    </row>
    <row r="1728" spans="16:58" ht="14.4">
      <c r="P1728" s="23"/>
      <c r="Q1728" s="23"/>
      <c r="BF1728"/>
    </row>
    <row r="1729" spans="16:58" ht="14.4">
      <c r="P1729" s="23"/>
      <c r="Q1729" s="23"/>
      <c r="BF1729"/>
    </row>
    <row r="1730" spans="16:58" ht="14.4">
      <c r="P1730" s="23"/>
      <c r="Q1730" s="23"/>
      <c r="BF1730"/>
    </row>
    <row r="1731" spans="16:58" ht="14.4">
      <c r="P1731" s="23"/>
      <c r="Q1731" s="23"/>
      <c r="BF1731"/>
    </row>
    <row r="1732" spans="16:58" ht="14.4">
      <c r="P1732" s="23"/>
      <c r="Q1732" s="23"/>
      <c r="BF1732"/>
    </row>
    <row r="1733" spans="16:58" ht="14.4">
      <c r="P1733" s="23"/>
      <c r="Q1733" s="23"/>
      <c r="BF1733"/>
    </row>
    <row r="1734" spans="16:58" ht="14.4">
      <c r="P1734" s="23"/>
      <c r="Q1734" s="23"/>
      <c r="BF1734"/>
    </row>
    <row r="1735" spans="16:58" ht="14.4">
      <c r="P1735" s="23"/>
      <c r="Q1735" s="23"/>
      <c r="BF1735"/>
    </row>
    <row r="1736" spans="16:58" ht="14.4">
      <c r="P1736" s="23"/>
      <c r="Q1736" s="23"/>
      <c r="BF1736"/>
    </row>
    <row r="1737" spans="16:58" ht="14.4">
      <c r="P1737" s="23"/>
      <c r="Q1737" s="23"/>
      <c r="BF1737"/>
    </row>
    <row r="1738" spans="16:58" ht="14.4">
      <c r="P1738"/>
      <c r="Q1738" s="23"/>
      <c r="BF1738"/>
    </row>
    <row r="1739" spans="16:58" ht="14.4">
      <c r="P1739"/>
      <c r="Q1739" s="23"/>
      <c r="BF1739"/>
    </row>
    <row r="1740" spans="16:58" ht="14.4">
      <c r="P1740"/>
      <c r="Q1740" s="23"/>
      <c r="BF1740"/>
    </row>
    <row r="1741" spans="16:58" ht="14.4">
      <c r="P1741"/>
      <c r="Q1741" s="23"/>
      <c r="BF1741"/>
    </row>
    <row r="1742" spans="16:58" ht="14.4">
      <c r="P1742"/>
      <c r="Q1742" s="23"/>
      <c r="BF1742"/>
    </row>
    <row r="1743" spans="16:58" ht="14.4">
      <c r="P1743"/>
      <c r="Q1743" s="23"/>
      <c r="BF1743"/>
    </row>
    <row r="1744" spans="16:58" ht="14.4">
      <c r="P1744"/>
      <c r="Q1744" s="23"/>
      <c r="BF1744"/>
    </row>
    <row r="1745" ht="14.4">
      <c r="BF1745"/>
    </row>
    <row r="1746" ht="14.4">
      <c r="BF1746"/>
    </row>
    <row r="1747" ht="14.4">
      <c r="BF1747"/>
    </row>
    <row r="1748" ht="14.4">
      <c r="BF1748"/>
    </row>
    <row r="1749" ht="14.4">
      <c r="BF1749"/>
    </row>
    <row r="1750" ht="14.4">
      <c r="BF1750"/>
    </row>
    <row r="1751" ht="14.4">
      <c r="BF1751"/>
    </row>
    <row r="1752" spans="16:58" ht="14.4">
      <c r="P1752"/>
      <c r="Q1752" s="23"/>
      <c r="BF1752"/>
    </row>
    <row r="1753" spans="16:58" ht="14.4">
      <c r="P1753"/>
      <c r="Q1753" s="23"/>
      <c r="BF1753"/>
    </row>
    <row r="1754" spans="16:58" ht="14.4">
      <c r="P1754"/>
      <c r="Q1754" s="23"/>
      <c r="BF1754"/>
    </row>
    <row r="1755" spans="16:58" ht="14.4">
      <c r="P1755"/>
      <c r="Q1755" s="23"/>
      <c r="BF1755"/>
    </row>
    <row r="1756" spans="16:58" ht="14.4">
      <c r="P1756"/>
      <c r="Q1756" s="23"/>
      <c r="BF1756"/>
    </row>
    <row r="1757" spans="16:58" ht="14.4">
      <c r="P1757"/>
      <c r="Q1757" s="23"/>
      <c r="BF1757"/>
    </row>
    <row r="1758" spans="16:58" ht="14.4">
      <c r="P1758"/>
      <c r="Q1758" s="23"/>
      <c r="BF1758"/>
    </row>
    <row r="1759" spans="16:58" ht="14.4">
      <c r="P1759"/>
      <c r="Q1759" s="23"/>
      <c r="BF1759"/>
    </row>
    <row r="1760" spans="16:58" ht="14.4">
      <c r="P1760"/>
      <c r="Q1760" s="23"/>
      <c r="BF1760"/>
    </row>
    <row r="1761" spans="16:58" ht="14.4">
      <c r="P1761"/>
      <c r="Q1761" s="23"/>
      <c r="BF1761"/>
    </row>
    <row r="1762" spans="16:58" ht="14.4">
      <c r="P1762"/>
      <c r="Q1762" s="23"/>
      <c r="BF1762"/>
    </row>
    <row r="1763" spans="16:58" ht="14.4">
      <c r="P1763"/>
      <c r="Q1763" s="23"/>
      <c r="BF1763"/>
    </row>
    <row r="1764" spans="16:58" ht="14.4">
      <c r="P1764"/>
      <c r="Q1764" s="23"/>
      <c r="BF1764"/>
    </row>
    <row r="1765" spans="16:58" ht="14.4">
      <c r="P1765"/>
      <c r="Q1765" s="23"/>
      <c r="BF1765"/>
    </row>
    <row r="1766" spans="16:58" ht="14.4">
      <c r="P1766"/>
      <c r="Q1766" s="23"/>
      <c r="BF1766"/>
    </row>
    <row r="1767" spans="16:58" ht="14.4">
      <c r="P1767"/>
      <c r="Q1767" s="23"/>
      <c r="BF1767"/>
    </row>
    <row r="1768" spans="16:58" ht="14.4">
      <c r="P1768"/>
      <c r="Q1768" s="23"/>
      <c r="BF1768"/>
    </row>
    <row r="1769" spans="16:58" ht="14.4">
      <c r="P1769"/>
      <c r="Q1769" s="23"/>
      <c r="BF1769"/>
    </row>
    <row r="1770" spans="16:58" ht="14.4">
      <c r="P1770"/>
      <c r="Q1770" s="23"/>
      <c r="BF1770"/>
    </row>
    <row r="1771" spans="16:58" ht="14.4">
      <c r="P1771"/>
      <c r="Q1771" s="23"/>
      <c r="BF1771"/>
    </row>
    <row r="1772" spans="16:58" ht="14.4">
      <c r="P1772"/>
      <c r="Q1772" s="23"/>
      <c r="BF1772"/>
    </row>
    <row r="1773" spans="16:58" ht="14.4">
      <c r="P1773"/>
      <c r="Q1773" s="23"/>
      <c r="BF1773"/>
    </row>
    <row r="1774" spans="16:58" ht="14.4">
      <c r="P1774"/>
      <c r="Q1774" s="23"/>
      <c r="BF1774"/>
    </row>
    <row r="1775" spans="16:58" ht="14.4">
      <c r="P1775"/>
      <c r="Q1775" s="23"/>
      <c r="BF1775"/>
    </row>
    <row r="1776" spans="16:58" ht="14.4">
      <c r="P1776"/>
      <c r="Q1776" s="23"/>
      <c r="BF1776"/>
    </row>
    <row r="1777" spans="16:58" ht="14.4">
      <c r="P1777"/>
      <c r="Q1777" s="23"/>
      <c r="BF1777"/>
    </row>
    <row r="1778" spans="16:58" ht="14.4">
      <c r="P1778"/>
      <c r="Q1778" s="23"/>
      <c r="BF1778"/>
    </row>
    <row r="1779" spans="16:58" ht="14.4">
      <c r="P1779"/>
      <c r="Q1779" s="23"/>
      <c r="BF1779"/>
    </row>
    <row r="1780" spans="16:58" ht="14.4">
      <c r="P1780"/>
      <c r="Q1780" s="23"/>
      <c r="BF1780"/>
    </row>
    <row r="1781" spans="16:58" ht="14.4">
      <c r="P1781"/>
      <c r="Q1781" s="23"/>
      <c r="BF1781"/>
    </row>
    <row r="1782" spans="16:58" ht="14.4">
      <c r="P1782"/>
      <c r="Q1782" s="23"/>
      <c r="BF1782"/>
    </row>
    <row r="1783" spans="16:58" ht="14.4">
      <c r="P1783"/>
      <c r="Q1783" s="23"/>
      <c r="BF1783"/>
    </row>
    <row r="1784" spans="16:58" ht="14.4">
      <c r="P1784"/>
      <c r="Q1784" s="23"/>
      <c r="BF1784"/>
    </row>
    <row r="1785" spans="16:58" ht="14.4">
      <c r="P1785"/>
      <c r="Q1785" s="23"/>
      <c r="BF1785"/>
    </row>
    <row r="1786" spans="16:58" ht="14.4">
      <c r="P1786"/>
      <c r="Q1786" s="23"/>
      <c r="BF1786"/>
    </row>
    <row r="1787" spans="16:58" ht="14.4">
      <c r="P1787"/>
      <c r="Q1787" s="23"/>
      <c r="BF1787"/>
    </row>
    <row r="1788" spans="16:58" ht="14.4">
      <c r="P1788"/>
      <c r="Q1788" s="23"/>
      <c r="BF1788"/>
    </row>
    <row r="1789" spans="16:58" ht="14.4">
      <c r="P1789"/>
      <c r="Q1789" s="23"/>
      <c r="BF1789"/>
    </row>
    <row r="1790" spans="16:58" ht="14.4">
      <c r="P1790"/>
      <c r="Q1790" s="23"/>
      <c r="BF1790"/>
    </row>
    <row r="1791" spans="16:58" ht="14.4">
      <c r="P1791"/>
      <c r="Q1791" s="23"/>
      <c r="BF1791"/>
    </row>
    <row r="1792" spans="16:58" ht="14.4">
      <c r="P1792"/>
      <c r="Q1792" s="23"/>
      <c r="BF1792"/>
    </row>
    <row r="1793" spans="16:58" ht="14.4">
      <c r="P1793"/>
      <c r="Q1793" s="23"/>
      <c r="BF1793"/>
    </row>
    <row r="1794" spans="16:58" ht="14.4">
      <c r="P1794"/>
      <c r="Q1794" s="23"/>
      <c r="BF1794"/>
    </row>
    <row r="1795" spans="16:58" ht="14.4">
      <c r="P1795"/>
      <c r="Q1795" s="23"/>
      <c r="BF1795"/>
    </row>
    <row r="1796" spans="16:58" ht="14.4">
      <c r="P1796"/>
      <c r="Q1796" s="23"/>
      <c r="BF1796"/>
    </row>
    <row r="1797" spans="16:58" ht="14.4">
      <c r="P1797"/>
      <c r="Q1797" s="23"/>
      <c r="BF1797"/>
    </row>
    <row r="1798" spans="16:58" ht="14.4">
      <c r="P1798"/>
      <c r="Q1798" s="23"/>
      <c r="BF1798"/>
    </row>
    <row r="1799" spans="16:58" ht="14.4">
      <c r="P1799"/>
      <c r="Q1799" s="23"/>
      <c r="BF1799"/>
    </row>
    <row r="1800" spans="16:58" ht="14.4">
      <c r="P1800"/>
      <c r="Q1800" s="23"/>
      <c r="BF1800"/>
    </row>
    <row r="1801" spans="16:58" ht="14.4">
      <c r="P1801"/>
      <c r="Q1801" s="23"/>
      <c r="BF1801"/>
    </row>
    <row r="1802" spans="16:58" ht="14.4">
      <c r="P1802"/>
      <c r="Q1802" s="23"/>
      <c r="BF1802"/>
    </row>
    <row r="1803" spans="16:58" ht="14.4">
      <c r="P1803"/>
      <c r="Q1803" s="23"/>
      <c r="BF1803"/>
    </row>
    <row r="1804" spans="16:58" ht="14.4">
      <c r="P1804"/>
      <c r="Q1804" s="23"/>
      <c r="BF1804"/>
    </row>
    <row r="1805" spans="16:58" ht="14.4">
      <c r="P1805"/>
      <c r="Q1805" s="23"/>
      <c r="BF1805"/>
    </row>
    <row r="1806" spans="16:58" ht="14.4">
      <c r="P1806"/>
      <c r="Q1806" s="23"/>
      <c r="BF1806"/>
    </row>
    <row r="1807" spans="16:58" ht="14.4">
      <c r="P1807"/>
      <c r="Q1807" s="23"/>
      <c r="BF1807"/>
    </row>
    <row r="1808" spans="16:58" ht="14.4">
      <c r="P1808"/>
      <c r="Q1808" s="23"/>
      <c r="BF1808"/>
    </row>
    <row r="1809" spans="16:58" ht="14.4">
      <c r="P1809"/>
      <c r="Q1809" s="23"/>
      <c r="BF1809"/>
    </row>
    <row r="1810" spans="16:58" ht="14.4">
      <c r="P1810"/>
      <c r="Q1810" s="23"/>
      <c r="BF1810"/>
    </row>
    <row r="1811" spans="16:58" ht="14.4">
      <c r="P1811"/>
      <c r="Q1811" s="23"/>
      <c r="BF1811"/>
    </row>
    <row r="1812" spans="16:58" ht="14.4">
      <c r="P1812"/>
      <c r="Q1812" s="23"/>
      <c r="BF1812"/>
    </row>
    <row r="1813" spans="16:58" ht="14.4">
      <c r="P1813"/>
      <c r="Q1813" s="23"/>
      <c r="BF1813"/>
    </row>
    <row r="1814" spans="16:58" ht="14.4">
      <c r="P1814"/>
      <c r="Q1814" s="23"/>
      <c r="BF1814"/>
    </row>
    <row r="1815" spans="16:58" ht="14.4">
      <c r="P1815"/>
      <c r="Q1815" s="23"/>
      <c r="BF1815"/>
    </row>
    <row r="1816" spans="16:58" ht="14.4">
      <c r="P1816"/>
      <c r="Q1816" s="23"/>
      <c r="BF1816"/>
    </row>
    <row r="1817" spans="16:58" ht="14.4">
      <c r="P1817"/>
      <c r="Q1817" s="23"/>
      <c r="BF1817"/>
    </row>
    <row r="1818" spans="16:58" ht="14.4">
      <c r="P1818"/>
      <c r="Q1818" s="23"/>
      <c r="BF1818"/>
    </row>
    <row r="1819" spans="16:58" ht="14.4">
      <c r="P1819"/>
      <c r="Q1819" s="23"/>
      <c r="BF1819"/>
    </row>
    <row r="1820" spans="16:58" ht="14.4">
      <c r="P1820"/>
      <c r="Q1820" s="23"/>
      <c r="BF1820"/>
    </row>
    <row r="1821" spans="16:58" ht="14.4">
      <c r="P1821"/>
      <c r="Q1821" s="23"/>
      <c r="BF1821"/>
    </row>
    <row r="1822" spans="16:58" ht="14.4">
      <c r="P1822"/>
      <c r="Q1822" s="23"/>
      <c r="BF1822"/>
    </row>
    <row r="1823" spans="16:58" ht="14.4">
      <c r="P1823"/>
      <c r="Q1823" s="23"/>
      <c r="BF1823"/>
    </row>
    <row r="1824" spans="16:58" ht="14.4">
      <c r="P1824"/>
      <c r="Q1824" s="23"/>
      <c r="BF1824"/>
    </row>
    <row r="1825" spans="16:58" ht="14.4">
      <c r="P1825"/>
      <c r="Q1825" s="23"/>
      <c r="BF1825"/>
    </row>
    <row r="1826" spans="16:58" ht="14.4">
      <c r="P1826"/>
      <c r="Q1826" s="23"/>
      <c r="BF1826"/>
    </row>
    <row r="1827" spans="16:58" ht="14.4">
      <c r="P1827"/>
      <c r="Q1827" s="23"/>
      <c r="BF1827"/>
    </row>
    <row r="1828" spans="16:58" ht="14.4">
      <c r="P1828"/>
      <c r="Q1828" s="23"/>
      <c r="BF1828"/>
    </row>
    <row r="1829" spans="16:58" ht="14.4">
      <c r="P1829"/>
      <c r="Q1829" s="23"/>
      <c r="BF1829"/>
    </row>
    <row r="1830" spans="16:58" ht="14.4">
      <c r="P1830"/>
      <c r="Q1830" s="23"/>
      <c r="BF1830"/>
    </row>
    <row r="1831" spans="16:58" ht="14.4">
      <c r="P1831"/>
      <c r="Q1831" s="23"/>
      <c r="BF1831"/>
    </row>
    <row r="1832" spans="16:58" ht="14.4">
      <c r="P1832"/>
      <c r="Q1832" s="23"/>
      <c r="BF1832"/>
    </row>
    <row r="1833" spans="16:58" ht="14.4">
      <c r="P1833"/>
      <c r="Q1833" s="23"/>
      <c r="BF1833"/>
    </row>
    <row r="1834" spans="16:58" ht="14.4">
      <c r="P1834"/>
      <c r="Q1834" s="23"/>
      <c r="BF1834"/>
    </row>
    <row r="1835" spans="16:58" ht="14.4">
      <c r="P1835"/>
      <c r="Q1835" s="23"/>
      <c r="BF1835"/>
    </row>
    <row r="1836" ht="14.4">
      <c r="BF1836"/>
    </row>
    <row r="1837" ht="14.4">
      <c r="BF1837"/>
    </row>
    <row r="1838" ht="14.4">
      <c r="BF1838"/>
    </row>
    <row r="1839" ht="14.4">
      <c r="BF1839"/>
    </row>
    <row r="1840" ht="14.4">
      <c r="BF1840"/>
    </row>
    <row r="1841" ht="14.4">
      <c r="BF1841"/>
    </row>
    <row r="1842" ht="14.4">
      <c r="BF1842"/>
    </row>
    <row r="1843" spans="16:58" ht="14.4">
      <c r="P1843"/>
      <c r="Q1843" s="23"/>
      <c r="BF1843"/>
    </row>
    <row r="1844" spans="16:58" ht="14.4">
      <c r="P1844"/>
      <c r="Q1844" s="23"/>
      <c r="BF1844"/>
    </row>
    <row r="1845" spans="16:58" ht="14.4">
      <c r="P1845"/>
      <c r="Q1845" s="23"/>
      <c r="BF1845"/>
    </row>
    <row r="1846" spans="16:58" ht="14.4">
      <c r="P1846"/>
      <c r="Q1846" s="23"/>
      <c r="BF1846"/>
    </row>
    <row r="1847" spans="16:58" ht="14.4">
      <c r="P1847"/>
      <c r="Q1847" s="23"/>
      <c r="BF1847"/>
    </row>
    <row r="1848" spans="16:58" ht="14.4">
      <c r="P1848"/>
      <c r="Q1848" s="23"/>
      <c r="BF1848"/>
    </row>
    <row r="1849" spans="16:58" ht="14.4">
      <c r="P1849"/>
      <c r="Q1849" s="23"/>
      <c r="BF1849"/>
    </row>
    <row r="1850" spans="16:58" ht="14.4">
      <c r="P1850"/>
      <c r="Q1850" s="23"/>
      <c r="BF1850"/>
    </row>
    <row r="1851" spans="16:58" ht="14.4">
      <c r="P1851"/>
      <c r="Q1851" s="23"/>
      <c r="BF1851"/>
    </row>
    <row r="1852" spans="16:58" ht="14.4">
      <c r="P1852"/>
      <c r="Q1852" s="23"/>
      <c r="BF1852"/>
    </row>
    <row r="1853" spans="16:58" ht="14.4">
      <c r="P1853"/>
      <c r="Q1853" s="23"/>
      <c r="BF1853"/>
    </row>
    <row r="1854" spans="16:58" ht="14.4">
      <c r="P1854"/>
      <c r="Q1854" s="23"/>
      <c r="BF1854"/>
    </row>
    <row r="1855" spans="16:58" ht="14.4">
      <c r="P1855"/>
      <c r="Q1855" s="23"/>
      <c r="BF1855"/>
    </row>
    <row r="1856" spans="16:58" ht="14.4">
      <c r="P1856"/>
      <c r="Q1856" s="23"/>
      <c r="BF1856"/>
    </row>
    <row r="1857" spans="16:58" ht="14.4">
      <c r="P1857"/>
      <c r="Q1857" s="23"/>
      <c r="BF1857"/>
    </row>
    <row r="1858" spans="16:58" ht="14.4">
      <c r="P1858"/>
      <c r="Q1858" s="23"/>
      <c r="BF1858"/>
    </row>
    <row r="1859" spans="16:58" ht="14.4">
      <c r="P1859"/>
      <c r="Q1859" s="23"/>
      <c r="BF1859"/>
    </row>
    <row r="1860" spans="16:58" ht="14.4">
      <c r="P1860"/>
      <c r="Q1860" s="23"/>
      <c r="BF1860"/>
    </row>
    <row r="1861" spans="16:58" ht="14.4">
      <c r="P1861"/>
      <c r="Q1861" s="23"/>
      <c r="BF1861"/>
    </row>
    <row r="1862" spans="16:58" ht="14.4">
      <c r="P1862"/>
      <c r="Q1862" s="23"/>
      <c r="BF1862"/>
    </row>
    <row r="1863" spans="16:58" ht="14.4">
      <c r="P1863"/>
      <c r="Q1863" s="23"/>
      <c r="BF1863"/>
    </row>
    <row r="1864" spans="16:58" ht="14.4">
      <c r="P1864"/>
      <c r="Q1864" s="23"/>
      <c r="BF1864"/>
    </row>
    <row r="1865" spans="16:58" ht="14.4">
      <c r="P1865"/>
      <c r="Q1865" s="23"/>
      <c r="BF1865"/>
    </row>
    <row r="1866" spans="16:58" ht="14.4">
      <c r="P1866"/>
      <c r="Q1866" s="23"/>
      <c r="BF1866"/>
    </row>
    <row r="1867" spans="16:58" ht="14.4">
      <c r="P1867"/>
      <c r="Q1867" s="23"/>
      <c r="BF1867"/>
    </row>
    <row r="1868" spans="16:58" ht="14.4">
      <c r="P1868"/>
      <c r="Q1868" s="23"/>
      <c r="BF1868"/>
    </row>
    <row r="1869" spans="16:58" ht="14.4">
      <c r="P1869"/>
      <c r="Q1869" s="23"/>
      <c r="BF1869"/>
    </row>
    <row r="1870" spans="16:58" ht="14.4">
      <c r="P1870"/>
      <c r="Q1870" s="23"/>
      <c r="BF1870"/>
    </row>
    <row r="1871" spans="16:58" ht="14.4">
      <c r="P1871"/>
      <c r="Q1871" s="23"/>
      <c r="BF1871"/>
    </row>
    <row r="1872" spans="16:58" ht="14.4">
      <c r="P1872"/>
      <c r="Q1872" s="23"/>
      <c r="BF1872"/>
    </row>
    <row r="1873" spans="16:58" ht="14.4">
      <c r="P1873"/>
      <c r="Q1873" s="23"/>
      <c r="BF1873"/>
    </row>
    <row r="1874" spans="16:58" ht="14.4">
      <c r="P1874"/>
      <c r="Q1874" s="23"/>
      <c r="BF1874"/>
    </row>
    <row r="1875" spans="16:58" ht="14.4">
      <c r="P1875"/>
      <c r="Q1875" s="23"/>
      <c r="BF1875"/>
    </row>
    <row r="1876" spans="16:58" ht="14.4">
      <c r="P1876"/>
      <c r="Q1876" s="23"/>
      <c r="BF1876"/>
    </row>
    <row r="1877" spans="16:58" ht="14.4">
      <c r="P1877"/>
      <c r="Q1877" s="23"/>
      <c r="BF1877"/>
    </row>
    <row r="1878" spans="16:58" ht="14.4">
      <c r="P1878"/>
      <c r="Q1878" s="23"/>
      <c r="BF1878"/>
    </row>
    <row r="1879" spans="16:58" ht="14.4">
      <c r="P1879"/>
      <c r="Q1879" s="23"/>
      <c r="BF1879"/>
    </row>
    <row r="1880" spans="16:58" ht="14.4">
      <c r="P1880"/>
      <c r="Q1880" s="23"/>
      <c r="BF1880"/>
    </row>
    <row r="1881" spans="16:58" ht="14.4">
      <c r="P1881"/>
      <c r="Q1881" s="23"/>
      <c r="BF1881"/>
    </row>
    <row r="1882" spans="16:58" ht="14.4">
      <c r="P1882"/>
      <c r="Q1882" s="23"/>
      <c r="BF1882"/>
    </row>
    <row r="1883" spans="16:58" ht="14.4">
      <c r="P1883"/>
      <c r="Q1883" s="23"/>
      <c r="BF1883"/>
    </row>
    <row r="1884" spans="16:58" ht="14.4">
      <c r="P1884"/>
      <c r="Q1884" s="23"/>
      <c r="BF1884"/>
    </row>
    <row r="1885" spans="16:58" ht="14.4">
      <c r="P1885"/>
      <c r="Q1885" s="23"/>
      <c r="BF1885"/>
    </row>
    <row r="1886" spans="16:58" ht="14.4">
      <c r="P1886"/>
      <c r="Q1886" s="23"/>
      <c r="BF1886"/>
    </row>
    <row r="1887" spans="16:58" ht="14.4">
      <c r="P1887"/>
      <c r="Q1887" s="23"/>
      <c r="BF1887"/>
    </row>
    <row r="1888" spans="16:58" ht="14.4">
      <c r="P1888"/>
      <c r="Q1888" s="23"/>
      <c r="BF1888"/>
    </row>
    <row r="1889" spans="16:58" ht="14.4">
      <c r="P1889"/>
      <c r="Q1889" s="23"/>
      <c r="BF1889"/>
    </row>
    <row r="1890" spans="16:58" ht="14.4">
      <c r="P1890"/>
      <c r="Q1890" s="23"/>
      <c r="BF1890"/>
    </row>
    <row r="1891" spans="16:58" ht="14.4">
      <c r="P1891"/>
      <c r="Q1891" s="23"/>
      <c r="BF1891"/>
    </row>
    <row r="1892" spans="16:58" ht="14.4">
      <c r="P1892"/>
      <c r="Q1892" s="23"/>
      <c r="BF1892"/>
    </row>
    <row r="1893" spans="16:58" ht="14.4">
      <c r="P1893"/>
      <c r="Q1893" s="23"/>
      <c r="BF1893"/>
    </row>
    <row r="1894" spans="16:58" ht="14.4">
      <c r="P1894"/>
      <c r="Q1894" s="23"/>
      <c r="BF1894"/>
    </row>
    <row r="1895" spans="16:58" ht="14.4">
      <c r="P1895"/>
      <c r="Q1895" s="23"/>
      <c r="BF1895"/>
    </row>
    <row r="1896" spans="16:58" ht="14.4">
      <c r="P1896"/>
      <c r="Q1896" s="23"/>
      <c r="BF1896"/>
    </row>
    <row r="1897" spans="16:58" ht="14.4">
      <c r="P1897"/>
      <c r="Q1897" s="23"/>
      <c r="BF1897"/>
    </row>
    <row r="1898" spans="16:58" ht="14.4">
      <c r="P1898"/>
      <c r="Q1898" s="23"/>
      <c r="BF1898"/>
    </row>
    <row r="1899" spans="16:58" ht="14.4">
      <c r="P1899"/>
      <c r="Q1899" s="23"/>
      <c r="BF1899"/>
    </row>
    <row r="1900" spans="16:58" ht="14.4">
      <c r="P1900"/>
      <c r="Q1900" s="23"/>
      <c r="BF1900"/>
    </row>
    <row r="1901" spans="16:58" ht="14.4">
      <c r="P1901"/>
      <c r="Q1901" s="23"/>
      <c r="BF1901"/>
    </row>
    <row r="1902" spans="16:58" ht="14.4">
      <c r="P1902"/>
      <c r="Q1902" s="23"/>
      <c r="BF1902"/>
    </row>
    <row r="1903" spans="16:58" ht="14.4">
      <c r="P1903"/>
      <c r="Q1903" s="23"/>
      <c r="BF1903"/>
    </row>
    <row r="1904" spans="16:58" ht="14.4">
      <c r="P1904"/>
      <c r="Q1904" s="23"/>
      <c r="BF1904"/>
    </row>
    <row r="1905" spans="16:58" ht="14.4">
      <c r="P1905"/>
      <c r="Q1905" s="23"/>
      <c r="BF1905"/>
    </row>
    <row r="1906" spans="16:58" ht="14.4">
      <c r="P1906"/>
      <c r="Q1906" s="23"/>
      <c r="BF1906"/>
    </row>
    <row r="1907" spans="16:58" ht="14.4">
      <c r="P1907"/>
      <c r="Q1907" s="23"/>
      <c r="BF1907"/>
    </row>
    <row r="1908" spans="16:58" ht="14.4">
      <c r="P1908"/>
      <c r="Q1908" s="23"/>
      <c r="BF1908"/>
    </row>
    <row r="1909" spans="16:58" ht="14.4">
      <c r="P1909"/>
      <c r="Q1909" s="23"/>
      <c r="BF1909"/>
    </row>
    <row r="1910" spans="16:58" ht="14.4">
      <c r="P1910"/>
      <c r="Q1910" s="23"/>
      <c r="BF1910"/>
    </row>
    <row r="1911" spans="16:58" ht="14.4">
      <c r="P1911"/>
      <c r="Q1911" s="23"/>
      <c r="BF1911"/>
    </row>
    <row r="1912" spans="16:58" ht="14.4">
      <c r="P1912"/>
      <c r="Q1912" s="23"/>
      <c r="BF1912"/>
    </row>
    <row r="1913" spans="16:58" ht="14.4">
      <c r="P1913"/>
      <c r="Q1913" s="23"/>
      <c r="BF1913"/>
    </row>
    <row r="1914" spans="16:58" ht="14.4">
      <c r="P1914"/>
      <c r="Q1914" s="23"/>
      <c r="BF1914"/>
    </row>
    <row r="1915" spans="16:58" ht="14.4">
      <c r="P1915"/>
      <c r="Q1915" s="23"/>
      <c r="BF1915"/>
    </row>
    <row r="1916" spans="16:58" ht="14.4">
      <c r="P1916"/>
      <c r="Q1916" s="23"/>
      <c r="BF1916"/>
    </row>
    <row r="1917" spans="16:58" ht="14.4">
      <c r="P1917"/>
      <c r="Q1917" s="23"/>
      <c r="BF1917"/>
    </row>
    <row r="1918" spans="16:58" ht="14.4">
      <c r="P1918"/>
      <c r="Q1918" s="23"/>
      <c r="BF1918"/>
    </row>
    <row r="1919" spans="16:58" ht="14.4">
      <c r="P1919"/>
      <c r="Q1919" s="23"/>
      <c r="BF1919"/>
    </row>
    <row r="1920" spans="16:58" ht="14.4">
      <c r="P1920"/>
      <c r="Q1920" s="23"/>
      <c r="BF1920"/>
    </row>
    <row r="1921" spans="16:58" ht="14.4">
      <c r="P1921"/>
      <c r="Q1921" s="23"/>
      <c r="BF1921"/>
    </row>
    <row r="1922" spans="16:58" ht="14.4">
      <c r="P1922"/>
      <c r="Q1922" s="23"/>
      <c r="BF1922"/>
    </row>
    <row r="1923" spans="16:58" ht="14.4">
      <c r="P1923"/>
      <c r="Q1923" s="23"/>
      <c r="BF1923"/>
    </row>
    <row r="1924" spans="16:58" ht="14.4">
      <c r="P1924"/>
      <c r="Q1924" s="23"/>
      <c r="BF1924"/>
    </row>
    <row r="1925" spans="16:58" ht="14.4">
      <c r="P1925"/>
      <c r="Q1925" s="23"/>
      <c r="BF1925"/>
    </row>
    <row r="1926" spans="16:58" ht="14.4">
      <c r="P1926"/>
      <c r="Q1926" s="23"/>
      <c r="BF1926"/>
    </row>
    <row r="1927" spans="16:58" ht="14.4">
      <c r="P1927"/>
      <c r="Q1927" s="23"/>
      <c r="BF1927"/>
    </row>
    <row r="1928" ht="14.4">
      <c r="BF1928"/>
    </row>
    <row r="1929" ht="14.4">
      <c r="BF1929"/>
    </row>
    <row r="1930" ht="14.4">
      <c r="BF1930"/>
    </row>
    <row r="1931" ht="14.4">
      <c r="BF1931"/>
    </row>
    <row r="1932" ht="14.4">
      <c r="BF1932"/>
    </row>
    <row r="1933" ht="14.4">
      <c r="BF1933"/>
    </row>
    <row r="1934" ht="14.4">
      <c r="BF1934"/>
    </row>
    <row r="1935" spans="16:58" ht="14.4">
      <c r="P1935"/>
      <c r="Q1935" s="23"/>
      <c r="BF1935"/>
    </row>
    <row r="1936" spans="16:58" ht="14.4">
      <c r="P1936"/>
      <c r="Q1936" s="23"/>
      <c r="BF1936"/>
    </row>
    <row r="1937" spans="16:58" ht="14.4">
      <c r="P1937"/>
      <c r="Q1937" s="23"/>
      <c r="BF1937"/>
    </row>
    <row r="1938" spans="16:58" ht="14.4">
      <c r="P1938"/>
      <c r="Q1938" s="23"/>
      <c r="BF1938"/>
    </row>
    <row r="1939" spans="16:58" ht="14.4">
      <c r="P1939"/>
      <c r="Q1939" s="23"/>
      <c r="BF1939"/>
    </row>
    <row r="1940" spans="16:58" ht="14.4">
      <c r="P1940"/>
      <c r="Q1940" s="23"/>
      <c r="BF1940"/>
    </row>
    <row r="1941" spans="16:58" ht="14.4">
      <c r="P1941"/>
      <c r="Q1941" s="23"/>
      <c r="BF1941"/>
    </row>
    <row r="1942" spans="16:58" ht="14.4">
      <c r="P1942"/>
      <c r="Q1942" s="23"/>
      <c r="BF1942"/>
    </row>
    <row r="1943" spans="16:58" ht="14.4">
      <c r="P1943"/>
      <c r="Q1943" s="23"/>
      <c r="BF1943"/>
    </row>
    <row r="1944" spans="16:58" ht="14.4">
      <c r="P1944"/>
      <c r="Q1944" s="23"/>
      <c r="BF1944"/>
    </row>
    <row r="1945" spans="16:58" ht="14.4">
      <c r="P1945"/>
      <c r="Q1945" s="23"/>
      <c r="BF1945"/>
    </row>
    <row r="1946" spans="16:58" ht="14.4">
      <c r="P1946"/>
      <c r="Q1946" s="23"/>
      <c r="BF1946"/>
    </row>
    <row r="1947" spans="16:58" ht="14.4">
      <c r="P1947"/>
      <c r="Q1947" s="23"/>
      <c r="BF1947"/>
    </row>
    <row r="1948" spans="16:58" ht="14.4">
      <c r="P1948"/>
      <c r="Q1948" s="23"/>
      <c r="BF1948"/>
    </row>
    <row r="1949" spans="16:58" ht="14.4">
      <c r="P1949"/>
      <c r="Q1949" s="23"/>
      <c r="BF1949"/>
    </row>
    <row r="1950" spans="16:58" ht="14.4">
      <c r="P1950"/>
      <c r="Q1950" s="23"/>
      <c r="BF1950"/>
    </row>
    <row r="1951" spans="16:58" ht="14.4">
      <c r="P1951"/>
      <c r="Q1951" s="23"/>
      <c r="BF1951"/>
    </row>
    <row r="1952" spans="16:58" ht="14.4">
      <c r="P1952"/>
      <c r="Q1952" s="23"/>
      <c r="BF1952"/>
    </row>
    <row r="1953" spans="16:58" ht="14.4">
      <c r="P1953"/>
      <c r="Q1953" s="23"/>
      <c r="BF1953"/>
    </row>
    <row r="1954" spans="16:58" ht="14.4">
      <c r="P1954"/>
      <c r="Q1954" s="23"/>
      <c r="BF1954"/>
    </row>
    <row r="1955" spans="16:58" ht="14.4">
      <c r="P1955"/>
      <c r="Q1955" s="23"/>
      <c r="BF1955"/>
    </row>
    <row r="1956" spans="16:58" ht="14.4">
      <c r="P1956"/>
      <c r="Q1956" s="23"/>
      <c r="BF1956"/>
    </row>
    <row r="1957" spans="16:58" ht="14.4">
      <c r="P1957"/>
      <c r="Q1957" s="23"/>
      <c r="BF1957"/>
    </row>
    <row r="1958" spans="16:58" ht="14.4">
      <c r="P1958"/>
      <c r="Q1958" s="23"/>
      <c r="BF1958"/>
    </row>
    <row r="1959" spans="16:58" ht="14.4">
      <c r="P1959"/>
      <c r="Q1959" s="23"/>
      <c r="BF1959"/>
    </row>
    <row r="1960" spans="16:58" ht="14.4">
      <c r="P1960"/>
      <c r="Q1960" s="23"/>
      <c r="BF1960"/>
    </row>
    <row r="1961" spans="16:58" ht="14.4">
      <c r="P1961"/>
      <c r="Q1961" s="23"/>
      <c r="BF1961"/>
    </row>
    <row r="1962" spans="16:58" ht="14.4">
      <c r="P1962"/>
      <c r="Q1962" s="23"/>
      <c r="BF1962"/>
    </row>
    <row r="1963" spans="16:58" ht="14.4">
      <c r="P1963"/>
      <c r="Q1963" s="23"/>
      <c r="BF1963"/>
    </row>
    <row r="1964" spans="16:58" ht="14.4">
      <c r="P1964"/>
      <c r="Q1964" s="23"/>
      <c r="BF1964"/>
    </row>
    <row r="1965" spans="16:58" ht="14.4">
      <c r="P1965"/>
      <c r="Q1965" s="23"/>
      <c r="BF1965"/>
    </row>
    <row r="1966" spans="16:58" ht="14.4">
      <c r="P1966"/>
      <c r="Q1966" s="23"/>
      <c r="BF1966"/>
    </row>
    <row r="1967" spans="16:58" ht="14.4">
      <c r="P1967"/>
      <c r="Q1967" s="23"/>
      <c r="BF1967"/>
    </row>
    <row r="1968" spans="16:58" ht="14.4">
      <c r="P1968"/>
      <c r="Q1968" s="23"/>
      <c r="BF1968"/>
    </row>
    <row r="1969" spans="16:58" ht="14.4">
      <c r="P1969"/>
      <c r="Q1969" s="23"/>
      <c r="BF1969"/>
    </row>
    <row r="1970" spans="16:58" ht="14.4">
      <c r="P1970"/>
      <c r="Q1970" s="23"/>
      <c r="BF1970"/>
    </row>
    <row r="1971" spans="16:58" ht="14.4">
      <c r="P1971"/>
      <c r="Q1971" s="23"/>
      <c r="BF1971"/>
    </row>
    <row r="1972" spans="16:58" ht="14.4">
      <c r="P1972"/>
      <c r="Q1972" s="23"/>
      <c r="BF1972"/>
    </row>
    <row r="1973" spans="16:58" ht="14.4">
      <c r="P1973"/>
      <c r="Q1973" s="23"/>
      <c r="BF1973"/>
    </row>
    <row r="1974" spans="16:58" ht="14.4">
      <c r="P1974"/>
      <c r="Q1974" s="23"/>
      <c r="BF1974"/>
    </row>
    <row r="1975" spans="16:58" ht="14.4">
      <c r="P1975"/>
      <c r="Q1975" s="23"/>
      <c r="BF1975"/>
    </row>
    <row r="1976" spans="16:58" ht="14.4">
      <c r="P1976"/>
      <c r="Q1976" s="23"/>
      <c r="BF1976"/>
    </row>
    <row r="1977" spans="16:58" ht="14.4">
      <c r="P1977"/>
      <c r="Q1977" s="23"/>
      <c r="BF1977"/>
    </row>
    <row r="1978" spans="16:58" ht="14.4">
      <c r="P1978"/>
      <c r="Q1978" s="23"/>
      <c r="BF1978"/>
    </row>
    <row r="1979" spans="16:58" ht="14.4">
      <c r="P1979"/>
      <c r="Q1979" s="23"/>
      <c r="BF1979"/>
    </row>
    <row r="1980" spans="16:58" ht="14.4">
      <c r="P1980"/>
      <c r="Q1980" s="23"/>
      <c r="BF1980"/>
    </row>
    <row r="1981" spans="16:58" ht="14.4">
      <c r="P1981"/>
      <c r="Q1981" s="23"/>
      <c r="BF1981"/>
    </row>
    <row r="1982" spans="16:58" ht="14.4">
      <c r="P1982"/>
      <c r="Q1982" s="23"/>
      <c r="BF1982"/>
    </row>
    <row r="1983" spans="16:58" ht="14.4">
      <c r="P1983"/>
      <c r="Q1983" s="23"/>
      <c r="BF1983"/>
    </row>
    <row r="1984" spans="16:58" ht="14.4">
      <c r="P1984"/>
      <c r="Q1984" s="23"/>
      <c r="BF1984"/>
    </row>
    <row r="1985" spans="16:58" ht="14.4">
      <c r="P1985"/>
      <c r="Q1985" s="23"/>
      <c r="BF1985"/>
    </row>
    <row r="1986" spans="16:58" ht="14.4">
      <c r="P1986"/>
      <c r="Q1986" s="23"/>
      <c r="BF1986"/>
    </row>
    <row r="1987" spans="16:58" ht="14.4">
      <c r="P1987"/>
      <c r="Q1987" s="23"/>
      <c r="BF1987"/>
    </row>
    <row r="1988" spans="16:58" ht="14.4">
      <c r="P1988"/>
      <c r="Q1988" s="23"/>
      <c r="BF1988"/>
    </row>
    <row r="1989" spans="16:58" ht="14.4">
      <c r="P1989"/>
      <c r="Q1989" s="23"/>
      <c r="BF1989"/>
    </row>
    <row r="1990" spans="16:58" ht="14.4">
      <c r="P1990"/>
      <c r="Q1990" s="23"/>
      <c r="BF1990"/>
    </row>
    <row r="1991" spans="16:58" ht="14.4">
      <c r="P1991"/>
      <c r="Q1991" s="23"/>
      <c r="BF1991"/>
    </row>
    <row r="1992" spans="16:58" ht="14.4">
      <c r="P1992"/>
      <c r="Q1992" s="23"/>
      <c r="BF1992"/>
    </row>
    <row r="1993" spans="16:58" ht="14.4">
      <c r="P1993"/>
      <c r="Q1993" s="23"/>
      <c r="BF1993"/>
    </row>
    <row r="1994" spans="16:58" ht="14.4">
      <c r="P1994"/>
      <c r="Q1994" s="23"/>
      <c r="BF1994"/>
    </row>
    <row r="1995" spans="16:58" ht="14.4">
      <c r="P1995"/>
      <c r="Q1995" s="23"/>
      <c r="BF1995"/>
    </row>
    <row r="1996" spans="16:58" ht="14.4">
      <c r="P1996"/>
      <c r="Q1996" s="23"/>
      <c r="BF1996"/>
    </row>
    <row r="1997" spans="16:58" ht="14.4">
      <c r="P1997"/>
      <c r="Q1997" s="23"/>
      <c r="BF1997"/>
    </row>
    <row r="1998" spans="16:58" ht="14.4">
      <c r="P1998"/>
      <c r="Q1998" s="23"/>
      <c r="BF1998"/>
    </row>
    <row r="1999" spans="16:58" ht="14.4">
      <c r="P1999"/>
      <c r="Q1999" s="23"/>
      <c r="BF1999"/>
    </row>
    <row r="2000" spans="16:58" ht="14.4">
      <c r="P2000"/>
      <c r="Q2000" s="23"/>
      <c r="BF2000"/>
    </row>
    <row r="2001" spans="16:58" ht="14.4">
      <c r="P2001"/>
      <c r="Q2001" s="23"/>
      <c r="BF2001"/>
    </row>
    <row r="2002" spans="16:58" ht="14.4">
      <c r="P2002"/>
      <c r="Q2002" s="23"/>
      <c r="BF2002"/>
    </row>
    <row r="2003" spans="16:58" ht="14.4">
      <c r="P2003"/>
      <c r="Q2003" s="23"/>
      <c r="BF2003"/>
    </row>
    <row r="2004" spans="16:58" ht="14.4">
      <c r="P2004"/>
      <c r="Q2004" s="23"/>
      <c r="BF2004"/>
    </row>
    <row r="2005" spans="16:58" ht="14.4">
      <c r="P2005"/>
      <c r="Q2005" s="23"/>
      <c r="BF2005"/>
    </row>
    <row r="2006" spans="16:58" ht="14.4">
      <c r="P2006"/>
      <c r="Q2006" s="23"/>
      <c r="BF2006"/>
    </row>
    <row r="2007" spans="16:58" ht="14.4">
      <c r="P2007"/>
      <c r="Q2007" s="23"/>
      <c r="BF2007"/>
    </row>
    <row r="2008" spans="16:58" ht="14.4">
      <c r="P2008"/>
      <c r="Q2008" s="23"/>
      <c r="BF2008"/>
    </row>
    <row r="2009" spans="16:58" ht="14.4">
      <c r="P2009"/>
      <c r="Q2009" s="23"/>
      <c r="BF2009"/>
    </row>
    <row r="2010" spans="16:58" ht="14.4">
      <c r="P2010"/>
      <c r="Q2010" s="23"/>
      <c r="BF2010"/>
    </row>
    <row r="2011" spans="16:58" ht="14.4">
      <c r="P2011"/>
      <c r="Q2011" s="23"/>
      <c r="BF2011"/>
    </row>
    <row r="2012" spans="16:58" ht="14.4">
      <c r="P2012"/>
      <c r="Q2012" s="23"/>
      <c r="BF2012"/>
    </row>
    <row r="2013" spans="16:58" ht="14.4">
      <c r="P2013"/>
      <c r="Q2013" s="23"/>
      <c r="BF2013"/>
    </row>
    <row r="2014" spans="16:58" ht="14.4">
      <c r="P2014"/>
      <c r="Q2014" s="23"/>
      <c r="BF2014"/>
    </row>
    <row r="2015" spans="16:58" ht="14.4">
      <c r="P2015"/>
      <c r="Q2015" s="23"/>
      <c r="BF2015"/>
    </row>
    <row r="2016" spans="16:58" ht="14.4">
      <c r="P2016"/>
      <c r="Q2016" s="23"/>
      <c r="BF2016"/>
    </row>
    <row r="2017" spans="16:58" ht="14.4">
      <c r="P2017"/>
      <c r="Q2017" s="23"/>
      <c r="BF2017"/>
    </row>
    <row r="2018" spans="16:58" ht="14.4">
      <c r="P2018"/>
      <c r="Q2018" s="23"/>
      <c r="BF2018"/>
    </row>
    <row r="2019" ht="14.4">
      <c r="BF2019"/>
    </row>
    <row r="2020" ht="14.4">
      <c r="BF2020"/>
    </row>
    <row r="2021" ht="14.4">
      <c r="BF2021"/>
    </row>
    <row r="2022" ht="14.4">
      <c r="BF2022"/>
    </row>
    <row r="2023" ht="14.4">
      <c r="BF2023"/>
    </row>
    <row r="2024" ht="14.4">
      <c r="BF2024"/>
    </row>
    <row r="2025" ht="14.4">
      <c r="BF2025"/>
    </row>
    <row r="2026" spans="16:58" ht="14.4">
      <c r="P2026"/>
      <c r="Q2026" s="23"/>
      <c r="BF2026"/>
    </row>
    <row r="2027" spans="16:58" ht="14.4">
      <c r="P2027"/>
      <c r="Q2027" s="23"/>
      <c r="BF2027"/>
    </row>
    <row r="2028" spans="16:58" ht="14.4">
      <c r="P2028"/>
      <c r="Q2028" s="23"/>
      <c r="BF2028"/>
    </row>
    <row r="2029" spans="16:58" ht="14.4">
      <c r="P2029"/>
      <c r="Q2029" s="23"/>
      <c r="BF2029"/>
    </row>
    <row r="2030" spans="16:58" ht="14.4">
      <c r="P2030"/>
      <c r="Q2030" s="23"/>
      <c r="BF2030"/>
    </row>
    <row r="2031" spans="16:58" ht="14.4">
      <c r="P2031"/>
      <c r="Q2031" s="23"/>
      <c r="BF2031"/>
    </row>
    <row r="2032" spans="16:58" ht="14.4">
      <c r="P2032"/>
      <c r="Q2032" s="23"/>
      <c r="BF2032"/>
    </row>
    <row r="2033" spans="16:58" ht="14.4">
      <c r="P2033"/>
      <c r="Q2033" s="23"/>
      <c r="BF2033"/>
    </row>
    <row r="2034" spans="16:58" ht="14.4">
      <c r="P2034"/>
      <c r="Q2034" s="23"/>
      <c r="BF2034"/>
    </row>
    <row r="2035" spans="16:58" ht="14.4">
      <c r="P2035"/>
      <c r="Q2035" s="23"/>
      <c r="BF2035"/>
    </row>
    <row r="2036" spans="16:58" ht="14.4">
      <c r="P2036"/>
      <c r="Q2036" s="23"/>
      <c r="BF2036"/>
    </row>
    <row r="2037" spans="16:58" ht="14.4">
      <c r="P2037"/>
      <c r="Q2037" s="23"/>
      <c r="BF2037"/>
    </row>
    <row r="2038" spans="16:58" ht="14.4">
      <c r="P2038"/>
      <c r="Q2038" s="23"/>
      <c r="BF2038"/>
    </row>
    <row r="2039" spans="16:58" ht="14.4">
      <c r="P2039"/>
      <c r="Q2039" s="23"/>
      <c r="BF2039"/>
    </row>
    <row r="2040" spans="16:58" ht="14.4">
      <c r="P2040"/>
      <c r="Q2040" s="23"/>
      <c r="BF2040"/>
    </row>
    <row r="2041" spans="16:58" ht="14.4">
      <c r="P2041"/>
      <c r="Q2041" s="23"/>
      <c r="BF2041"/>
    </row>
    <row r="2042" spans="16:58" ht="14.4">
      <c r="P2042"/>
      <c r="Q2042" s="23"/>
      <c r="BF2042"/>
    </row>
    <row r="2043" spans="16:58" ht="14.4">
      <c r="P2043"/>
      <c r="Q2043" s="23"/>
      <c r="BF2043"/>
    </row>
    <row r="2044" spans="16:58" ht="14.4">
      <c r="P2044"/>
      <c r="Q2044" s="23"/>
      <c r="BF2044"/>
    </row>
    <row r="2045" spans="16:58" ht="14.4">
      <c r="P2045"/>
      <c r="Q2045" s="23"/>
      <c r="BF2045"/>
    </row>
    <row r="2046" spans="16:58" ht="14.4">
      <c r="P2046"/>
      <c r="Q2046" s="23"/>
      <c r="BF2046"/>
    </row>
    <row r="2047" spans="16:58" ht="14.4">
      <c r="P2047"/>
      <c r="Q2047" s="23"/>
      <c r="BF2047"/>
    </row>
    <row r="2048" spans="16:58" ht="14.4">
      <c r="P2048"/>
      <c r="Q2048" s="23"/>
      <c r="BF2048"/>
    </row>
    <row r="2049" spans="16:58" ht="14.4">
      <c r="P2049"/>
      <c r="Q2049" s="23"/>
      <c r="BF2049"/>
    </row>
    <row r="2050" spans="16:58" ht="14.4">
      <c r="P2050"/>
      <c r="Q2050" s="23"/>
      <c r="BF2050"/>
    </row>
    <row r="2051" spans="16:58" ht="14.4">
      <c r="P2051"/>
      <c r="Q2051" s="23"/>
      <c r="BF2051"/>
    </row>
    <row r="2052" spans="16:58" ht="14.4">
      <c r="P2052"/>
      <c r="Q2052" s="23"/>
      <c r="BF2052"/>
    </row>
    <row r="2053" spans="16:58" ht="14.4">
      <c r="P2053"/>
      <c r="Q2053" s="23"/>
      <c r="BF2053"/>
    </row>
    <row r="2054" spans="16:58" ht="14.4">
      <c r="P2054"/>
      <c r="Q2054" s="23"/>
      <c r="BF2054"/>
    </row>
    <row r="2055" spans="16:58" ht="14.4">
      <c r="P2055"/>
      <c r="Q2055" s="23"/>
      <c r="BF2055"/>
    </row>
    <row r="2056" spans="16:58" ht="14.4">
      <c r="P2056"/>
      <c r="Q2056" s="23"/>
      <c r="BF2056"/>
    </row>
    <row r="2057" spans="16:58" ht="14.4">
      <c r="P2057"/>
      <c r="Q2057" s="23"/>
      <c r="BF2057"/>
    </row>
    <row r="2058" spans="16:58" ht="14.4">
      <c r="P2058"/>
      <c r="Q2058" s="23"/>
      <c r="BF2058"/>
    </row>
    <row r="2059" spans="16:58" ht="14.4">
      <c r="P2059"/>
      <c r="Q2059" s="23"/>
      <c r="BF2059"/>
    </row>
    <row r="2060" spans="16:58" ht="14.4">
      <c r="P2060"/>
      <c r="Q2060" s="23"/>
      <c r="BF2060"/>
    </row>
    <row r="2061" spans="16:58" ht="14.4">
      <c r="P2061"/>
      <c r="Q2061" s="23"/>
      <c r="BF2061"/>
    </row>
    <row r="2062" spans="16:58" ht="14.4">
      <c r="P2062"/>
      <c r="Q2062" s="23"/>
      <c r="BF2062"/>
    </row>
    <row r="2063" spans="16:58" ht="14.4">
      <c r="P2063"/>
      <c r="Q2063" s="23"/>
      <c r="BF2063"/>
    </row>
    <row r="2064" spans="16:58" ht="14.4">
      <c r="P2064"/>
      <c r="Q2064" s="23"/>
      <c r="BF2064"/>
    </row>
    <row r="2065" spans="16:58" ht="14.4">
      <c r="P2065"/>
      <c r="Q2065" s="23"/>
      <c r="BF2065"/>
    </row>
    <row r="2066" spans="16:58" ht="14.4">
      <c r="P2066"/>
      <c r="Q2066" s="23"/>
      <c r="BF2066"/>
    </row>
    <row r="2067" spans="16:58" ht="14.4">
      <c r="P2067"/>
      <c r="Q2067" s="23"/>
      <c r="BF2067"/>
    </row>
    <row r="2068" spans="16:58" ht="14.4">
      <c r="P2068"/>
      <c r="Q2068" s="23"/>
      <c r="BF2068"/>
    </row>
    <row r="2069" spans="16:58" ht="14.4">
      <c r="P2069"/>
      <c r="Q2069" s="23"/>
      <c r="BF2069"/>
    </row>
    <row r="2070" spans="16:58" ht="14.4">
      <c r="P2070"/>
      <c r="Q2070" s="23"/>
      <c r="BF2070"/>
    </row>
    <row r="2071" spans="16:58" ht="14.4">
      <c r="P2071"/>
      <c r="Q2071" s="23"/>
      <c r="BF2071"/>
    </row>
    <row r="2072" spans="16:58" ht="14.4">
      <c r="P2072"/>
      <c r="Q2072" s="23"/>
      <c r="BF2072"/>
    </row>
    <row r="2073" spans="16:58" ht="14.4">
      <c r="P2073"/>
      <c r="Q2073" s="23"/>
      <c r="BF2073"/>
    </row>
    <row r="2074" spans="16:58" ht="14.4">
      <c r="P2074"/>
      <c r="Q2074" s="23"/>
      <c r="BF2074"/>
    </row>
    <row r="2075" spans="16:58" ht="14.4">
      <c r="P2075"/>
      <c r="Q2075" s="23"/>
      <c r="BF2075"/>
    </row>
    <row r="2076" spans="16:58" ht="14.4">
      <c r="P2076"/>
      <c r="Q2076" s="23"/>
      <c r="BF2076"/>
    </row>
    <row r="2077" spans="16:58" ht="14.4">
      <c r="P2077"/>
      <c r="Q2077" s="23"/>
      <c r="BF2077"/>
    </row>
    <row r="2078" spans="16:58" ht="14.4">
      <c r="P2078"/>
      <c r="Q2078" s="23"/>
      <c r="BF2078"/>
    </row>
    <row r="2079" spans="16:58" ht="14.4">
      <c r="P2079"/>
      <c r="Q2079" s="23"/>
      <c r="BF2079"/>
    </row>
    <row r="2080" spans="16:58" ht="14.4">
      <c r="P2080"/>
      <c r="Q2080" s="23"/>
      <c r="BF2080"/>
    </row>
    <row r="2081" spans="16:58" ht="14.4">
      <c r="P2081"/>
      <c r="Q2081" s="23"/>
      <c r="BF2081"/>
    </row>
    <row r="2082" spans="16:58" ht="14.4">
      <c r="P2082"/>
      <c r="Q2082" s="23"/>
      <c r="BF2082"/>
    </row>
    <row r="2083" spans="16:58" ht="14.4">
      <c r="P2083"/>
      <c r="Q2083" s="23"/>
      <c r="BF2083"/>
    </row>
    <row r="2084" spans="16:58" ht="14.4">
      <c r="P2084"/>
      <c r="Q2084" s="23"/>
      <c r="BF2084"/>
    </row>
    <row r="2085" spans="16:58" ht="14.4">
      <c r="P2085"/>
      <c r="Q2085" s="23"/>
      <c r="BF2085"/>
    </row>
    <row r="2086" spans="16:58" ht="14.4">
      <c r="P2086"/>
      <c r="Q2086" s="23"/>
      <c r="BF2086"/>
    </row>
    <row r="2087" spans="16:58" ht="14.4">
      <c r="P2087"/>
      <c r="Q2087" s="23"/>
      <c r="BF2087"/>
    </row>
    <row r="2088" spans="16:58" ht="14.4">
      <c r="P2088"/>
      <c r="Q2088" s="23"/>
      <c r="BF2088"/>
    </row>
    <row r="2089" spans="16:58" ht="14.4">
      <c r="P2089"/>
      <c r="Q2089" s="23"/>
      <c r="BF2089"/>
    </row>
    <row r="2090" spans="16:58" ht="14.4">
      <c r="P2090"/>
      <c r="Q2090" s="23"/>
      <c r="BF2090"/>
    </row>
    <row r="2091" spans="16:58" ht="14.4">
      <c r="P2091"/>
      <c r="Q2091" s="23"/>
      <c r="BF2091"/>
    </row>
    <row r="2092" spans="16:58" ht="14.4">
      <c r="P2092"/>
      <c r="Q2092" s="23"/>
      <c r="BF2092"/>
    </row>
    <row r="2093" spans="16:58" ht="14.4">
      <c r="P2093"/>
      <c r="Q2093" s="23"/>
      <c r="BF2093"/>
    </row>
    <row r="2094" spans="16:58" ht="14.4">
      <c r="P2094"/>
      <c r="Q2094" s="23"/>
      <c r="BF2094"/>
    </row>
    <row r="2095" spans="16:58" ht="14.4">
      <c r="P2095"/>
      <c r="Q2095" s="23"/>
      <c r="BF2095"/>
    </row>
    <row r="2096" spans="16:58" ht="14.4">
      <c r="P2096"/>
      <c r="Q2096" s="23"/>
      <c r="BF2096"/>
    </row>
    <row r="2097" spans="16:58" ht="14.4">
      <c r="P2097"/>
      <c r="Q2097" s="23"/>
      <c r="BF2097"/>
    </row>
    <row r="2098" spans="16:58" ht="14.4">
      <c r="P2098"/>
      <c r="Q2098" s="23"/>
      <c r="BF2098"/>
    </row>
    <row r="2099" spans="16:58" ht="14.4">
      <c r="P2099"/>
      <c r="Q2099" s="23"/>
      <c r="BF2099"/>
    </row>
    <row r="2100" spans="16:58" ht="14.4">
      <c r="P2100"/>
      <c r="Q2100" s="23"/>
      <c r="BF2100"/>
    </row>
    <row r="2101" spans="16:58" ht="14.4">
      <c r="P2101"/>
      <c r="Q2101" s="23"/>
      <c r="BF2101"/>
    </row>
    <row r="2102" spans="16:58" ht="14.4">
      <c r="P2102"/>
      <c r="Q2102" s="23"/>
      <c r="BF2102"/>
    </row>
    <row r="2103" spans="16:58" ht="14.4">
      <c r="P2103"/>
      <c r="Q2103" s="23"/>
      <c r="BF2103"/>
    </row>
    <row r="2104" spans="16:58" ht="14.4">
      <c r="P2104"/>
      <c r="Q2104" s="23"/>
      <c r="BF2104"/>
    </row>
    <row r="2105" spans="16:58" ht="14.4">
      <c r="P2105"/>
      <c r="Q2105" s="23"/>
      <c r="BF2105"/>
    </row>
    <row r="2106" spans="16:58" ht="14.4">
      <c r="P2106"/>
      <c r="Q2106" s="23"/>
      <c r="BF2106"/>
    </row>
    <row r="2107" spans="16:58" ht="14.4">
      <c r="P2107"/>
      <c r="Q2107" s="23"/>
      <c r="BF2107"/>
    </row>
    <row r="2108" spans="16:58" ht="14.4">
      <c r="P2108"/>
      <c r="Q2108" s="23"/>
      <c r="BF2108"/>
    </row>
    <row r="2109" spans="16:58" ht="14.4">
      <c r="P2109"/>
      <c r="Q2109" s="23"/>
      <c r="BF2109"/>
    </row>
    <row r="2110" ht="14.4">
      <c r="BF2110"/>
    </row>
    <row r="2111" ht="14.4">
      <c r="BF2111"/>
    </row>
    <row r="2112" ht="14.4">
      <c r="BF2112"/>
    </row>
    <row r="2113" ht="14.4">
      <c r="BF2113"/>
    </row>
    <row r="2114" ht="14.4">
      <c r="BF2114"/>
    </row>
    <row r="2115" ht="14.4">
      <c r="BF2115"/>
    </row>
    <row r="2116" ht="14.4">
      <c r="BF2116"/>
    </row>
    <row r="2117" spans="16:58" ht="14.4">
      <c r="P2117"/>
      <c r="Q2117" s="23"/>
      <c r="BF2117"/>
    </row>
    <row r="2118" spans="16:58" ht="14.4">
      <c r="P2118"/>
      <c r="Q2118" s="23"/>
      <c r="BF2118"/>
    </row>
    <row r="2119" spans="16:58" ht="14.4">
      <c r="P2119"/>
      <c r="Q2119" s="23"/>
      <c r="BF2119"/>
    </row>
    <row r="2120" spans="16:58" ht="14.4">
      <c r="P2120"/>
      <c r="Q2120" s="23"/>
      <c r="BF2120"/>
    </row>
    <row r="2121" spans="16:58" ht="14.4">
      <c r="P2121"/>
      <c r="Q2121" s="23"/>
      <c r="BF2121"/>
    </row>
    <row r="2122" spans="16:58" ht="14.4">
      <c r="P2122"/>
      <c r="Q2122" s="23"/>
      <c r="BF2122"/>
    </row>
    <row r="2123" spans="16:58" ht="14.4">
      <c r="P2123"/>
      <c r="Q2123" s="23"/>
      <c r="BF2123"/>
    </row>
    <row r="2124" spans="16:58" ht="14.4">
      <c r="P2124"/>
      <c r="Q2124" s="23"/>
      <c r="BF2124"/>
    </row>
    <row r="2125" spans="16:58" ht="14.4">
      <c r="P2125"/>
      <c r="Q2125" s="23"/>
      <c r="BF2125"/>
    </row>
    <row r="2126" spans="16:58" ht="14.4">
      <c r="P2126"/>
      <c r="Q2126" s="23"/>
      <c r="BF2126"/>
    </row>
    <row r="2127" spans="16:58" ht="14.4">
      <c r="P2127"/>
      <c r="Q2127" s="23"/>
      <c r="BF2127"/>
    </row>
    <row r="2128" spans="16:58" ht="14.4">
      <c r="P2128"/>
      <c r="Q2128" s="23"/>
      <c r="BF2128"/>
    </row>
    <row r="2129" spans="16:58" ht="14.4">
      <c r="P2129"/>
      <c r="Q2129" s="23"/>
      <c r="BF2129"/>
    </row>
    <row r="2130" spans="16:58" ht="14.4">
      <c r="P2130"/>
      <c r="Q2130" s="23"/>
      <c r="BF2130"/>
    </row>
    <row r="2131" spans="16:58" ht="14.4">
      <c r="P2131"/>
      <c r="Q2131" s="23"/>
      <c r="BF2131"/>
    </row>
    <row r="2132" spans="16:58" ht="14.4">
      <c r="P2132"/>
      <c r="Q2132" s="23"/>
      <c r="BF2132"/>
    </row>
    <row r="2133" spans="16:58" ht="14.4">
      <c r="P2133"/>
      <c r="Q2133" s="23"/>
      <c r="BF2133"/>
    </row>
    <row r="2134" spans="16:58" ht="14.4">
      <c r="P2134"/>
      <c r="Q2134" s="23"/>
      <c r="BF2134"/>
    </row>
    <row r="2135" spans="16:58" ht="14.4">
      <c r="P2135"/>
      <c r="Q2135" s="23"/>
      <c r="BF2135"/>
    </row>
    <row r="2136" spans="16:58" ht="14.4">
      <c r="P2136"/>
      <c r="Q2136" s="23"/>
      <c r="BF2136"/>
    </row>
    <row r="2137" spans="16:58" ht="14.4">
      <c r="P2137"/>
      <c r="Q2137" s="23"/>
      <c r="BF2137"/>
    </row>
    <row r="2138" spans="16:58" ht="14.4">
      <c r="P2138"/>
      <c r="Q2138" s="23"/>
      <c r="BF2138"/>
    </row>
    <row r="2139" spans="16:58" ht="14.4">
      <c r="P2139"/>
      <c r="Q2139" s="23"/>
      <c r="BF2139"/>
    </row>
    <row r="2140" spans="16:58" ht="14.4">
      <c r="P2140"/>
      <c r="Q2140" s="23"/>
      <c r="BF2140"/>
    </row>
    <row r="2141" spans="16:58" ht="14.4">
      <c r="P2141"/>
      <c r="Q2141" s="23"/>
      <c r="BF2141"/>
    </row>
    <row r="2142" spans="16:58" ht="14.4">
      <c r="P2142"/>
      <c r="Q2142" s="23"/>
      <c r="BF2142"/>
    </row>
    <row r="2143" spans="16:58" ht="14.4">
      <c r="P2143"/>
      <c r="Q2143" s="23"/>
      <c r="BF2143"/>
    </row>
    <row r="2144" spans="16:58" ht="14.4">
      <c r="P2144"/>
      <c r="Q2144" s="23"/>
      <c r="BF2144"/>
    </row>
    <row r="2145" spans="16:58" ht="14.4">
      <c r="P2145"/>
      <c r="Q2145" s="23"/>
      <c r="BF2145"/>
    </row>
    <row r="2146" spans="16:58" ht="14.4">
      <c r="P2146"/>
      <c r="Q2146" s="23"/>
      <c r="BF2146"/>
    </row>
    <row r="2147" spans="16:58" ht="14.4">
      <c r="P2147"/>
      <c r="Q2147" s="23"/>
      <c r="BF2147"/>
    </row>
    <row r="2148" spans="16:58" ht="14.4">
      <c r="P2148"/>
      <c r="Q2148" s="23"/>
      <c r="BF2148"/>
    </row>
    <row r="2149" spans="16:58" ht="14.4">
      <c r="P2149"/>
      <c r="Q2149" s="23"/>
      <c r="BF2149"/>
    </row>
    <row r="2150" spans="16:58" ht="14.4">
      <c r="P2150"/>
      <c r="Q2150" s="23"/>
      <c r="BF2150"/>
    </row>
    <row r="2151" spans="16:58" ht="14.4">
      <c r="P2151"/>
      <c r="Q2151" s="23"/>
      <c r="BF2151"/>
    </row>
    <row r="2152" spans="16:58" ht="14.4">
      <c r="P2152"/>
      <c r="Q2152" s="23"/>
      <c r="BF2152"/>
    </row>
    <row r="2153" spans="16:58" ht="14.4">
      <c r="P2153"/>
      <c r="Q2153" s="23"/>
      <c r="BF2153"/>
    </row>
    <row r="2154" spans="16:58" ht="14.4">
      <c r="P2154"/>
      <c r="Q2154" s="23"/>
      <c r="BF2154"/>
    </row>
    <row r="2155" spans="16:58" ht="14.4">
      <c r="P2155"/>
      <c r="Q2155" s="23"/>
      <c r="BF2155"/>
    </row>
    <row r="2156" spans="16:58" ht="14.4">
      <c r="P2156"/>
      <c r="Q2156" s="23"/>
      <c r="BF2156"/>
    </row>
    <row r="2157" spans="16:58" ht="14.4">
      <c r="P2157"/>
      <c r="Q2157" s="23"/>
      <c r="BF2157"/>
    </row>
    <row r="2158" spans="16:58" ht="14.4">
      <c r="P2158"/>
      <c r="Q2158" s="23"/>
      <c r="BF2158"/>
    </row>
    <row r="2159" spans="16:58" ht="14.4">
      <c r="P2159"/>
      <c r="Q2159" s="23"/>
      <c r="BF2159"/>
    </row>
    <row r="2160" spans="16:58" ht="14.4">
      <c r="P2160"/>
      <c r="Q2160" s="23"/>
      <c r="BF2160"/>
    </row>
    <row r="2161" spans="16:58" ht="14.4">
      <c r="P2161"/>
      <c r="Q2161" s="23"/>
      <c r="BF2161"/>
    </row>
    <row r="2162" spans="16:58" ht="14.4">
      <c r="P2162"/>
      <c r="Q2162" s="23"/>
      <c r="BF2162"/>
    </row>
    <row r="2163" spans="16:58" ht="14.4">
      <c r="P2163"/>
      <c r="Q2163" s="23"/>
      <c r="BF2163"/>
    </row>
    <row r="2164" spans="16:58" ht="14.4">
      <c r="P2164"/>
      <c r="Q2164" s="23"/>
      <c r="BF2164"/>
    </row>
    <row r="2165" spans="16:58" ht="14.4">
      <c r="P2165"/>
      <c r="Q2165" s="23"/>
      <c r="BF2165"/>
    </row>
    <row r="2166" spans="16:58" ht="14.4">
      <c r="P2166"/>
      <c r="Q2166" s="23"/>
      <c r="BF2166"/>
    </row>
    <row r="2167" spans="16:58" ht="14.4">
      <c r="P2167"/>
      <c r="Q2167" s="23"/>
      <c r="BF2167"/>
    </row>
    <row r="2168" spans="16:58" ht="14.4">
      <c r="P2168"/>
      <c r="Q2168" s="23"/>
      <c r="BF2168"/>
    </row>
    <row r="2169" spans="16:58" ht="14.4">
      <c r="P2169"/>
      <c r="Q2169" s="23"/>
      <c r="BF2169"/>
    </row>
    <row r="2170" spans="16:58" ht="14.4">
      <c r="P2170"/>
      <c r="Q2170" s="23"/>
      <c r="BF2170"/>
    </row>
    <row r="2171" spans="16:58" ht="14.4">
      <c r="P2171"/>
      <c r="Q2171" s="23"/>
      <c r="BF2171"/>
    </row>
    <row r="2172" spans="16:58" ht="14.4">
      <c r="P2172"/>
      <c r="Q2172" s="23"/>
      <c r="BF2172"/>
    </row>
    <row r="2173" spans="16:58" ht="14.4">
      <c r="P2173"/>
      <c r="Q2173" s="23"/>
      <c r="BF2173"/>
    </row>
    <row r="2174" spans="16:58" ht="14.4">
      <c r="P2174"/>
      <c r="Q2174" s="23"/>
      <c r="BF2174"/>
    </row>
    <row r="2175" spans="16:58" ht="14.4">
      <c r="P2175"/>
      <c r="Q2175" s="23"/>
      <c r="BF2175"/>
    </row>
    <row r="2176" spans="16:58" ht="14.4">
      <c r="P2176"/>
      <c r="Q2176" s="23"/>
      <c r="BF2176"/>
    </row>
    <row r="2177" spans="16:58" ht="14.4">
      <c r="P2177"/>
      <c r="Q2177" s="23"/>
      <c r="BF2177"/>
    </row>
    <row r="2178" spans="16:58" ht="14.4">
      <c r="P2178"/>
      <c r="Q2178" s="23"/>
      <c r="BF2178"/>
    </row>
    <row r="2179" spans="16:58" ht="14.4">
      <c r="P2179"/>
      <c r="Q2179" s="23"/>
      <c r="BF2179"/>
    </row>
    <row r="2180" spans="16:58" ht="14.4">
      <c r="P2180"/>
      <c r="Q2180" s="23"/>
      <c r="BF2180"/>
    </row>
    <row r="2181" spans="16:58" ht="14.4">
      <c r="P2181"/>
      <c r="Q2181" s="23"/>
      <c r="BF2181"/>
    </row>
    <row r="2182" spans="16:58" ht="14.4">
      <c r="P2182"/>
      <c r="Q2182" s="23"/>
      <c r="BF2182"/>
    </row>
    <row r="2183" spans="16:58" ht="14.4">
      <c r="P2183"/>
      <c r="Q2183" s="23"/>
      <c r="BF2183"/>
    </row>
    <row r="2184" spans="16:58" ht="14.4">
      <c r="P2184"/>
      <c r="Q2184" s="23"/>
      <c r="BF2184"/>
    </row>
    <row r="2185" spans="16:58" ht="14.4">
      <c r="P2185"/>
      <c r="Q2185" s="23"/>
      <c r="BF2185"/>
    </row>
    <row r="2186" spans="16:58" ht="14.4">
      <c r="P2186"/>
      <c r="Q2186" s="23"/>
      <c r="BF2186"/>
    </row>
    <row r="2187" spans="16:58" ht="14.4">
      <c r="P2187"/>
      <c r="Q2187" s="23"/>
      <c r="BF2187"/>
    </row>
    <row r="2188" spans="16:58" ht="14.4">
      <c r="P2188"/>
      <c r="Q2188" s="23"/>
      <c r="BF2188"/>
    </row>
    <row r="2189" spans="16:58" ht="14.4">
      <c r="P2189"/>
      <c r="Q2189" s="23"/>
      <c r="BF2189"/>
    </row>
    <row r="2190" spans="16:58" ht="14.4">
      <c r="P2190"/>
      <c r="Q2190" s="23"/>
      <c r="BF2190"/>
    </row>
    <row r="2191" spans="16:58" ht="14.4">
      <c r="P2191"/>
      <c r="Q2191" s="23"/>
      <c r="BF2191"/>
    </row>
    <row r="2192" spans="16:58" ht="14.4">
      <c r="P2192"/>
      <c r="Q2192" s="23"/>
      <c r="BF2192"/>
    </row>
    <row r="2193" spans="16:58" ht="14.4">
      <c r="P2193"/>
      <c r="Q2193" s="23"/>
      <c r="BF2193"/>
    </row>
    <row r="2194" spans="16:58" ht="14.4">
      <c r="P2194"/>
      <c r="Q2194" s="23"/>
      <c r="BF2194"/>
    </row>
    <row r="2195" spans="16:58" ht="14.4">
      <c r="P2195"/>
      <c r="Q2195" s="23"/>
      <c r="BF2195"/>
    </row>
    <row r="2196" spans="16:58" ht="14.4">
      <c r="P2196"/>
      <c r="Q2196" s="23"/>
      <c r="BF2196"/>
    </row>
    <row r="2197" spans="16:58" ht="14.4">
      <c r="P2197"/>
      <c r="Q2197" s="23"/>
      <c r="BF2197"/>
    </row>
    <row r="2198" spans="16:58" ht="14.4">
      <c r="P2198"/>
      <c r="Q2198" s="23"/>
      <c r="BF2198"/>
    </row>
    <row r="2199" spans="16:58" ht="14.4">
      <c r="P2199"/>
      <c r="Q2199" s="23"/>
      <c r="BF2199"/>
    </row>
    <row r="2200" spans="16:58" ht="14.4">
      <c r="P2200"/>
      <c r="Q2200" s="23"/>
      <c r="BF2200"/>
    </row>
    <row r="2201" ht="14.4">
      <c r="BF2201"/>
    </row>
    <row r="2202" ht="14.4">
      <c r="BF2202"/>
    </row>
    <row r="2203" ht="14.4">
      <c r="BF2203"/>
    </row>
    <row r="2204" ht="14.4">
      <c r="BF2204"/>
    </row>
    <row r="2205" ht="14.4">
      <c r="BF2205"/>
    </row>
    <row r="2206" ht="14.4">
      <c r="BF2206"/>
    </row>
    <row r="2207" ht="14.4">
      <c r="BF2207"/>
    </row>
    <row r="2208" spans="16:58" ht="14.4">
      <c r="P2208"/>
      <c r="Q2208" s="23"/>
      <c r="BF2208"/>
    </row>
    <row r="2209" spans="16:58" ht="14.4">
      <c r="P2209"/>
      <c r="Q2209" s="23"/>
      <c r="BF2209"/>
    </row>
    <row r="2210" spans="16:58" ht="14.4">
      <c r="P2210"/>
      <c r="Q2210" s="23"/>
      <c r="BF2210"/>
    </row>
    <row r="2211" spans="16:58" ht="14.4">
      <c r="P2211"/>
      <c r="Q2211" s="23"/>
      <c r="BF2211"/>
    </row>
    <row r="2212" spans="16:58" ht="14.4">
      <c r="P2212"/>
      <c r="Q2212" s="23"/>
      <c r="BF2212"/>
    </row>
    <row r="2213" spans="16:58" ht="14.4">
      <c r="P2213"/>
      <c r="Q2213" s="23"/>
      <c r="BF2213"/>
    </row>
    <row r="2214" spans="16:58" ht="14.4">
      <c r="P2214"/>
      <c r="Q2214" s="23"/>
      <c r="BF2214"/>
    </row>
    <row r="2215" spans="16:58" ht="14.4">
      <c r="P2215"/>
      <c r="Q2215" s="23"/>
      <c r="BF2215"/>
    </row>
    <row r="2216" spans="16:58" ht="14.4">
      <c r="P2216"/>
      <c r="Q2216" s="23"/>
      <c r="BF2216"/>
    </row>
    <row r="2217" spans="16:58" ht="14.4">
      <c r="P2217"/>
      <c r="Q2217" s="23"/>
      <c r="BF2217"/>
    </row>
    <row r="2218" spans="16:58" ht="14.4">
      <c r="P2218"/>
      <c r="Q2218" s="23"/>
      <c r="BF2218"/>
    </row>
    <row r="2219" spans="16:58" ht="14.4">
      <c r="P2219"/>
      <c r="Q2219" s="23"/>
      <c r="BF2219"/>
    </row>
    <row r="2220" spans="16:58" ht="14.4">
      <c r="P2220"/>
      <c r="Q2220" s="23"/>
      <c r="BF2220"/>
    </row>
    <row r="2221" spans="16:58" ht="14.4">
      <c r="P2221"/>
      <c r="Q2221" s="23"/>
      <c r="BF2221"/>
    </row>
    <row r="2222" spans="16:58" ht="14.4">
      <c r="P2222"/>
      <c r="Q2222" s="23"/>
      <c r="BF2222"/>
    </row>
    <row r="2223" spans="16:58" ht="14.4">
      <c r="P2223"/>
      <c r="Q2223" s="23"/>
      <c r="BF2223"/>
    </row>
    <row r="2224" spans="16:58" ht="14.4">
      <c r="P2224"/>
      <c r="Q2224" s="23"/>
      <c r="BF2224"/>
    </row>
    <row r="2225" spans="16:58" ht="14.4">
      <c r="P2225"/>
      <c r="Q2225" s="23"/>
      <c r="BF2225"/>
    </row>
    <row r="2226" spans="16:58" ht="14.4">
      <c r="P2226"/>
      <c r="Q2226" s="23"/>
      <c r="BF2226"/>
    </row>
    <row r="2227" spans="16:58" ht="14.4">
      <c r="P2227"/>
      <c r="Q2227" s="23"/>
      <c r="BF2227"/>
    </row>
    <row r="2228" spans="16:58" ht="14.4">
      <c r="P2228"/>
      <c r="Q2228" s="23"/>
      <c r="BF2228"/>
    </row>
    <row r="2229" spans="16:58" ht="14.4">
      <c r="P2229"/>
      <c r="Q2229" s="23"/>
      <c r="BF2229"/>
    </row>
    <row r="2230" spans="16:58" ht="14.4">
      <c r="P2230"/>
      <c r="Q2230" s="23"/>
      <c r="BF2230"/>
    </row>
    <row r="2231" spans="16:58" ht="14.4">
      <c r="P2231"/>
      <c r="Q2231" s="23"/>
      <c r="BF2231"/>
    </row>
    <row r="2232" spans="16:58" ht="14.4">
      <c r="P2232"/>
      <c r="Q2232" s="23"/>
      <c r="BF2232"/>
    </row>
    <row r="2233" spans="16:58" ht="14.4">
      <c r="P2233"/>
      <c r="Q2233" s="23"/>
      <c r="BF2233"/>
    </row>
    <row r="2234" spans="16:58" ht="14.4">
      <c r="P2234"/>
      <c r="Q2234" s="23"/>
      <c r="BF2234"/>
    </row>
    <row r="2235" spans="16:58" ht="14.4">
      <c r="P2235"/>
      <c r="Q2235" s="23"/>
      <c r="BF2235"/>
    </row>
    <row r="2236" spans="16:58" ht="14.4">
      <c r="P2236"/>
      <c r="Q2236" s="23"/>
      <c r="BF2236"/>
    </row>
    <row r="2237" spans="16:58" ht="14.4">
      <c r="P2237"/>
      <c r="Q2237" s="23"/>
      <c r="BF2237"/>
    </row>
    <row r="2238" spans="16:58" ht="14.4">
      <c r="P2238"/>
      <c r="Q2238" s="23"/>
      <c r="BF2238"/>
    </row>
    <row r="2239" spans="16:58" ht="14.4">
      <c r="P2239"/>
      <c r="Q2239" s="23"/>
      <c r="BF2239"/>
    </row>
    <row r="2240" spans="16:58" ht="14.4">
      <c r="P2240"/>
      <c r="Q2240" s="23"/>
      <c r="BF2240"/>
    </row>
    <row r="2241" spans="16:58" ht="14.4">
      <c r="P2241"/>
      <c r="Q2241" s="23"/>
      <c r="BF2241"/>
    </row>
    <row r="2242" spans="16:58" ht="14.4">
      <c r="P2242"/>
      <c r="Q2242" s="23"/>
      <c r="BF2242"/>
    </row>
    <row r="2243" spans="16:58" ht="14.4">
      <c r="P2243"/>
      <c r="Q2243" s="23"/>
      <c r="BF2243"/>
    </row>
    <row r="2244" spans="16:58" ht="14.4">
      <c r="P2244"/>
      <c r="Q2244" s="23"/>
      <c r="BF2244"/>
    </row>
    <row r="2245" spans="16:58" ht="14.4">
      <c r="P2245"/>
      <c r="Q2245" s="23"/>
      <c r="BF2245"/>
    </row>
    <row r="2246" spans="16:58" ht="14.4">
      <c r="P2246"/>
      <c r="Q2246" s="23"/>
      <c r="BF2246"/>
    </row>
    <row r="2247" spans="16:58" ht="14.4">
      <c r="P2247"/>
      <c r="Q2247" s="23"/>
      <c r="BF2247"/>
    </row>
    <row r="2248" spans="16:58" ht="14.4">
      <c r="P2248"/>
      <c r="Q2248" s="23"/>
      <c r="BF2248"/>
    </row>
    <row r="2249" spans="16:58" ht="14.4">
      <c r="P2249"/>
      <c r="Q2249" s="23"/>
      <c r="BF2249"/>
    </row>
    <row r="2250" spans="16:58" ht="14.4">
      <c r="P2250"/>
      <c r="Q2250" s="23"/>
      <c r="BF2250"/>
    </row>
    <row r="2251" spans="16:58" ht="14.4">
      <c r="P2251"/>
      <c r="Q2251" s="23"/>
      <c r="BF2251"/>
    </row>
    <row r="2252" spans="16:58" ht="14.4">
      <c r="P2252"/>
      <c r="Q2252" s="23"/>
      <c r="BF2252"/>
    </row>
    <row r="2253" spans="16:58" ht="14.4">
      <c r="P2253"/>
      <c r="Q2253" s="23"/>
      <c r="BF2253"/>
    </row>
    <row r="2254" spans="16:58" ht="14.4">
      <c r="P2254"/>
      <c r="Q2254" s="23"/>
      <c r="BF2254"/>
    </row>
    <row r="2255" spans="16:58" ht="14.4">
      <c r="P2255"/>
      <c r="Q2255" s="23"/>
      <c r="BF2255"/>
    </row>
    <row r="2256" spans="16:58" ht="14.4">
      <c r="P2256"/>
      <c r="Q2256" s="23"/>
      <c r="BF2256"/>
    </row>
    <row r="2257" spans="16:58" ht="14.4">
      <c r="P2257"/>
      <c r="Q2257" s="23"/>
      <c r="BF2257"/>
    </row>
    <row r="2258" spans="16:58" ht="14.4">
      <c r="P2258"/>
      <c r="Q2258" s="23"/>
      <c r="BF2258"/>
    </row>
    <row r="2259" spans="16:58" ht="14.4">
      <c r="P2259"/>
      <c r="Q2259" s="23"/>
      <c r="BF2259"/>
    </row>
    <row r="2260" spans="16:58" ht="14.4">
      <c r="P2260"/>
      <c r="Q2260" s="23"/>
      <c r="BF2260"/>
    </row>
    <row r="2261" spans="16:58" ht="14.4">
      <c r="P2261"/>
      <c r="Q2261" s="23"/>
      <c r="BF2261"/>
    </row>
    <row r="2262" spans="16:58" ht="14.4">
      <c r="P2262"/>
      <c r="Q2262" s="23"/>
      <c r="BF2262"/>
    </row>
    <row r="2263" spans="16:58" ht="14.4">
      <c r="P2263"/>
      <c r="Q2263" s="23"/>
      <c r="BF2263"/>
    </row>
    <row r="2264" spans="16:58" ht="14.4">
      <c r="P2264"/>
      <c r="Q2264" s="23"/>
      <c r="BF2264"/>
    </row>
    <row r="2265" spans="16:58" ht="14.4">
      <c r="P2265"/>
      <c r="Q2265" s="23"/>
      <c r="BF2265"/>
    </row>
    <row r="2266" spans="16:58" ht="14.4">
      <c r="P2266"/>
      <c r="Q2266" s="23"/>
      <c r="BF2266"/>
    </row>
    <row r="2267" spans="16:58" ht="14.4">
      <c r="P2267"/>
      <c r="Q2267" s="23"/>
      <c r="BF2267"/>
    </row>
    <row r="2268" spans="16:58" ht="14.4">
      <c r="P2268"/>
      <c r="Q2268" s="23"/>
      <c r="BF2268"/>
    </row>
    <row r="2269" spans="16:58" ht="14.4">
      <c r="P2269"/>
      <c r="Q2269" s="23"/>
      <c r="BF2269"/>
    </row>
    <row r="2270" spans="16:58" ht="14.4">
      <c r="P2270"/>
      <c r="Q2270" s="23"/>
      <c r="BF2270"/>
    </row>
    <row r="2271" spans="16:58" ht="14.4">
      <c r="P2271"/>
      <c r="Q2271" s="23"/>
      <c r="BF2271"/>
    </row>
    <row r="2272" spans="16:58" ht="14.4">
      <c r="P2272"/>
      <c r="Q2272" s="23"/>
      <c r="BF2272"/>
    </row>
    <row r="2273" spans="16:58" ht="14.4">
      <c r="P2273"/>
      <c r="Q2273" s="23"/>
      <c r="BF2273"/>
    </row>
    <row r="2274" spans="16:58" ht="14.4">
      <c r="P2274"/>
      <c r="Q2274" s="23"/>
      <c r="BF2274"/>
    </row>
    <row r="2275" spans="16:58" ht="14.4">
      <c r="P2275"/>
      <c r="Q2275" s="23"/>
      <c r="BF2275"/>
    </row>
    <row r="2276" spans="16:58" ht="14.4">
      <c r="P2276"/>
      <c r="Q2276" s="23"/>
      <c r="BF2276"/>
    </row>
    <row r="2277" spans="16:58" ht="14.4">
      <c r="P2277"/>
      <c r="Q2277" s="23"/>
      <c r="BF2277"/>
    </row>
    <row r="2278" spans="16:58" ht="14.4">
      <c r="P2278"/>
      <c r="Q2278" s="23"/>
      <c r="BF2278"/>
    </row>
    <row r="2279" spans="16:58" ht="14.4">
      <c r="P2279"/>
      <c r="Q2279" s="23"/>
      <c r="BF2279"/>
    </row>
    <row r="2280" spans="16:58" ht="14.4">
      <c r="P2280"/>
      <c r="Q2280" s="23"/>
      <c r="BF2280"/>
    </row>
    <row r="2281" spans="16:58" ht="14.4">
      <c r="P2281"/>
      <c r="Q2281" s="23"/>
      <c r="BF2281"/>
    </row>
    <row r="2282" spans="16:58" ht="14.4">
      <c r="P2282"/>
      <c r="Q2282" s="23"/>
      <c r="BF2282"/>
    </row>
    <row r="2283" spans="16:58" ht="14.4">
      <c r="P2283"/>
      <c r="Q2283" s="23"/>
      <c r="BF2283"/>
    </row>
    <row r="2284" spans="16:58" ht="14.4">
      <c r="P2284"/>
      <c r="Q2284" s="23"/>
      <c r="BF2284"/>
    </row>
    <row r="2285" spans="16:58" ht="14.4">
      <c r="P2285"/>
      <c r="Q2285" s="23"/>
      <c r="BF2285"/>
    </row>
    <row r="2286" spans="16:58" ht="14.4">
      <c r="P2286"/>
      <c r="Q2286" s="23"/>
      <c r="BF2286"/>
    </row>
    <row r="2287" spans="16:58" ht="14.4">
      <c r="P2287"/>
      <c r="Q2287" s="23"/>
      <c r="BF2287"/>
    </row>
    <row r="2288" spans="16:58" ht="14.4">
      <c r="P2288"/>
      <c r="Q2288" s="23"/>
      <c r="BF2288"/>
    </row>
    <row r="2289" spans="16:58" ht="14.4">
      <c r="P2289"/>
      <c r="Q2289" s="23"/>
      <c r="BF2289"/>
    </row>
    <row r="2290" spans="16:58" ht="14.4">
      <c r="P2290"/>
      <c r="Q2290" s="23"/>
      <c r="BF2290"/>
    </row>
    <row r="2291" spans="16:58" ht="14.4">
      <c r="P2291"/>
      <c r="Q2291" s="23"/>
      <c r="BF2291"/>
    </row>
    <row r="2292" ht="14.4">
      <c r="BF2292"/>
    </row>
    <row r="2293" ht="14.4">
      <c r="BF2293"/>
    </row>
    <row r="2294" ht="14.4">
      <c r="BF2294"/>
    </row>
    <row r="2295" ht="14.4">
      <c r="BF2295"/>
    </row>
    <row r="2296" ht="14.4">
      <c r="BF2296"/>
    </row>
    <row r="2297" ht="14.4">
      <c r="BF2297"/>
    </row>
    <row r="2298" ht="14.4">
      <c r="BF2298"/>
    </row>
    <row r="2299" spans="16:58" ht="14.4">
      <c r="P2299"/>
      <c r="Q2299" s="23"/>
      <c r="BF2299"/>
    </row>
    <row r="2300" spans="16:58" ht="14.4">
      <c r="P2300"/>
      <c r="Q2300" s="23"/>
      <c r="BF2300"/>
    </row>
    <row r="2301" spans="16:58" ht="14.4">
      <c r="P2301"/>
      <c r="Q2301" s="23"/>
      <c r="BF2301"/>
    </row>
    <row r="2302" spans="16:58" ht="14.4">
      <c r="P2302"/>
      <c r="Q2302" s="23"/>
      <c r="BF2302"/>
    </row>
    <row r="2303" spans="16:58" ht="14.4">
      <c r="P2303"/>
      <c r="Q2303" s="23"/>
      <c r="BF2303"/>
    </row>
    <row r="2304" spans="16:58" ht="14.4">
      <c r="P2304"/>
      <c r="Q2304" s="23"/>
      <c r="BF2304"/>
    </row>
    <row r="2305" spans="16:58" ht="14.4">
      <c r="P2305"/>
      <c r="Q2305" s="23"/>
      <c r="BF2305"/>
    </row>
    <row r="2306" spans="16:58" ht="14.4">
      <c r="P2306"/>
      <c r="Q2306" s="23"/>
      <c r="BF2306"/>
    </row>
    <row r="2307" spans="16:58" ht="14.4">
      <c r="P2307"/>
      <c r="Q2307" s="23"/>
      <c r="BF2307"/>
    </row>
    <row r="2308" spans="16:58" ht="14.4">
      <c r="P2308"/>
      <c r="Q2308" s="23"/>
      <c r="BF2308"/>
    </row>
    <row r="2309" spans="16:58" ht="14.4">
      <c r="P2309"/>
      <c r="Q2309" s="23"/>
      <c r="BF2309"/>
    </row>
    <row r="2310" spans="16:58" ht="14.4">
      <c r="P2310"/>
      <c r="Q2310" s="23"/>
      <c r="BF2310"/>
    </row>
    <row r="2311" spans="16:58" ht="14.4">
      <c r="P2311"/>
      <c r="Q2311" s="23"/>
      <c r="BF2311"/>
    </row>
    <row r="2312" spans="16:58" ht="14.4">
      <c r="P2312"/>
      <c r="Q2312" s="23"/>
      <c r="BF2312"/>
    </row>
    <row r="2313" spans="16:58" ht="14.4">
      <c r="P2313"/>
      <c r="Q2313" s="23"/>
      <c r="BF2313"/>
    </row>
    <row r="2314" spans="16:58" ht="14.4">
      <c r="P2314"/>
      <c r="Q2314" s="23"/>
      <c r="BF2314"/>
    </row>
    <row r="2315" spans="16:58" ht="14.4">
      <c r="P2315"/>
      <c r="Q2315" s="23"/>
      <c r="BF2315"/>
    </row>
    <row r="2316" spans="16:58" ht="14.4">
      <c r="P2316"/>
      <c r="Q2316" s="23"/>
      <c r="BF2316"/>
    </row>
    <row r="2317" spans="16:58" ht="14.4">
      <c r="P2317"/>
      <c r="Q2317" s="23"/>
      <c r="BF2317"/>
    </row>
    <row r="2318" spans="16:58" ht="14.4">
      <c r="P2318"/>
      <c r="Q2318" s="23"/>
      <c r="BF2318"/>
    </row>
    <row r="2319" spans="16:58" ht="14.4">
      <c r="P2319"/>
      <c r="Q2319" s="23"/>
      <c r="BF2319"/>
    </row>
    <row r="2320" spans="16:58" ht="14.4">
      <c r="P2320"/>
      <c r="Q2320" s="23"/>
      <c r="BF2320"/>
    </row>
    <row r="2321" spans="16:58" ht="14.4">
      <c r="P2321"/>
      <c r="Q2321" s="23"/>
      <c r="BF2321"/>
    </row>
    <row r="2322" spans="16:58" ht="14.4">
      <c r="P2322"/>
      <c r="Q2322" s="23"/>
      <c r="BF2322"/>
    </row>
    <row r="2323" spans="16:58" ht="14.4">
      <c r="P2323"/>
      <c r="Q2323" s="23"/>
      <c r="BF2323"/>
    </row>
    <row r="2324" spans="16:58" ht="14.4">
      <c r="P2324"/>
      <c r="Q2324" s="23"/>
      <c r="BF2324"/>
    </row>
    <row r="2325" spans="16:58" ht="14.4">
      <c r="P2325"/>
      <c r="Q2325" s="23"/>
      <c r="BF2325"/>
    </row>
    <row r="2326" spans="16:58" ht="14.4">
      <c r="P2326"/>
      <c r="Q2326" s="23"/>
      <c r="BF2326"/>
    </row>
    <row r="2327" spans="16:58" ht="14.4">
      <c r="P2327"/>
      <c r="Q2327" s="23"/>
      <c r="BF2327"/>
    </row>
    <row r="2328" spans="16:58" ht="14.4">
      <c r="P2328"/>
      <c r="Q2328" s="23"/>
      <c r="BF2328"/>
    </row>
    <row r="2329" spans="16:58" ht="14.4">
      <c r="P2329"/>
      <c r="Q2329" s="23"/>
      <c r="BF2329"/>
    </row>
    <row r="2330" spans="16:58" ht="14.4">
      <c r="P2330"/>
      <c r="Q2330" s="23"/>
      <c r="BF2330"/>
    </row>
    <row r="2331" spans="16:58" ht="14.4">
      <c r="P2331"/>
      <c r="Q2331" s="23"/>
      <c r="BF2331"/>
    </row>
    <row r="2332" spans="16:58" ht="14.4">
      <c r="P2332"/>
      <c r="Q2332" s="23"/>
      <c r="BF2332"/>
    </row>
    <row r="2333" spans="16:58" ht="14.4">
      <c r="P2333"/>
      <c r="Q2333" s="23"/>
      <c r="BF2333"/>
    </row>
    <row r="2334" spans="16:58" ht="14.4">
      <c r="P2334"/>
      <c r="Q2334" s="23"/>
      <c r="BF2334"/>
    </row>
    <row r="2335" spans="16:58" ht="14.4">
      <c r="P2335"/>
      <c r="Q2335" s="23"/>
      <c r="BF2335"/>
    </row>
    <row r="2336" spans="16:58" ht="14.4">
      <c r="P2336"/>
      <c r="Q2336" s="23"/>
      <c r="BF2336"/>
    </row>
    <row r="2337" spans="16:58" ht="14.4">
      <c r="P2337"/>
      <c r="Q2337" s="23"/>
      <c r="BF2337"/>
    </row>
    <row r="2338" spans="16:58" ht="14.4">
      <c r="P2338"/>
      <c r="Q2338" s="23"/>
      <c r="BF2338"/>
    </row>
    <row r="2339" spans="16:58" ht="14.4">
      <c r="P2339"/>
      <c r="Q2339" s="23"/>
      <c r="BF2339"/>
    </row>
    <row r="2340" spans="16:58" ht="14.4">
      <c r="P2340"/>
      <c r="Q2340" s="23"/>
      <c r="BF2340"/>
    </row>
    <row r="2341" spans="16:58" ht="14.4">
      <c r="P2341"/>
      <c r="Q2341" s="23"/>
      <c r="BF2341"/>
    </row>
    <row r="2342" spans="16:58" ht="14.4">
      <c r="P2342"/>
      <c r="Q2342" s="23"/>
      <c r="BF2342"/>
    </row>
    <row r="2343" spans="16:58" ht="14.4">
      <c r="P2343"/>
      <c r="Q2343" s="23"/>
      <c r="BF2343"/>
    </row>
    <row r="2344" spans="16:58" ht="14.4">
      <c r="P2344"/>
      <c r="Q2344" s="23"/>
      <c r="BF2344"/>
    </row>
    <row r="2345" spans="16:58" ht="14.4">
      <c r="P2345"/>
      <c r="Q2345" s="23"/>
      <c r="BF2345"/>
    </row>
    <row r="2346" spans="16:58" ht="14.4">
      <c r="P2346"/>
      <c r="Q2346" s="23"/>
      <c r="BF2346"/>
    </row>
    <row r="2347" spans="16:58" ht="14.4">
      <c r="P2347"/>
      <c r="Q2347" s="23"/>
      <c r="BF2347"/>
    </row>
    <row r="2348" spans="16:58" ht="14.4">
      <c r="P2348"/>
      <c r="Q2348" s="23"/>
      <c r="BF2348"/>
    </row>
    <row r="2349" spans="16:58" ht="14.4">
      <c r="P2349"/>
      <c r="Q2349" s="23"/>
      <c r="BF2349"/>
    </row>
    <row r="2350" spans="16:58" ht="14.4">
      <c r="P2350"/>
      <c r="Q2350" s="23"/>
      <c r="BF2350"/>
    </row>
    <row r="2351" spans="16:58" ht="14.4">
      <c r="P2351"/>
      <c r="Q2351" s="23"/>
      <c r="BF2351"/>
    </row>
    <row r="2352" spans="16:58" ht="14.4">
      <c r="P2352"/>
      <c r="Q2352" s="23"/>
      <c r="BF2352"/>
    </row>
    <row r="2353" spans="16:58" ht="14.4">
      <c r="P2353"/>
      <c r="Q2353" s="23"/>
      <c r="BF2353"/>
    </row>
    <row r="2354" spans="16:58" ht="14.4">
      <c r="P2354"/>
      <c r="Q2354" s="23"/>
      <c r="BF2354"/>
    </row>
    <row r="2355" spans="16:58" ht="14.4">
      <c r="P2355"/>
      <c r="Q2355" s="23"/>
      <c r="BF2355"/>
    </row>
    <row r="2356" spans="16:58" ht="14.4">
      <c r="P2356"/>
      <c r="Q2356" s="23"/>
      <c r="BF2356"/>
    </row>
    <row r="2357" spans="16:58" ht="14.4">
      <c r="P2357"/>
      <c r="Q2357" s="23"/>
      <c r="BF2357"/>
    </row>
    <row r="2358" spans="16:58" ht="14.4">
      <c r="P2358"/>
      <c r="Q2358" s="23"/>
      <c r="BF2358"/>
    </row>
    <row r="2359" spans="16:58" ht="14.4">
      <c r="P2359"/>
      <c r="Q2359" s="23"/>
      <c r="BF2359"/>
    </row>
    <row r="2360" spans="16:58" ht="14.4">
      <c r="P2360"/>
      <c r="Q2360" s="23"/>
      <c r="BF2360"/>
    </row>
    <row r="2361" spans="16:58" ht="14.4">
      <c r="P2361"/>
      <c r="Q2361" s="23"/>
      <c r="BF2361"/>
    </row>
    <row r="2362" spans="16:58" ht="14.4">
      <c r="P2362"/>
      <c r="Q2362" s="23"/>
      <c r="BF2362"/>
    </row>
    <row r="2363" spans="16:58" ht="14.4">
      <c r="P2363"/>
      <c r="Q2363" s="23"/>
      <c r="BF2363"/>
    </row>
    <row r="2364" spans="16:58" ht="14.4">
      <c r="P2364"/>
      <c r="Q2364" s="23"/>
      <c r="BF2364"/>
    </row>
    <row r="2365" spans="16:58" ht="14.4">
      <c r="P2365"/>
      <c r="Q2365" s="23"/>
      <c r="BF2365"/>
    </row>
    <row r="2366" spans="16:58" ht="14.4">
      <c r="P2366"/>
      <c r="Q2366" s="23"/>
      <c r="BF2366"/>
    </row>
    <row r="2367" spans="16:58" ht="14.4">
      <c r="P2367"/>
      <c r="Q2367" s="23"/>
      <c r="BF2367"/>
    </row>
    <row r="2368" spans="16:58" ht="14.4">
      <c r="P2368"/>
      <c r="Q2368" s="23"/>
      <c r="BF2368"/>
    </row>
    <row r="2369" spans="16:58" ht="14.4">
      <c r="P2369"/>
      <c r="Q2369" s="23"/>
      <c r="BF2369"/>
    </row>
    <row r="2370" spans="16:58" ht="14.4">
      <c r="P2370"/>
      <c r="Q2370" s="23"/>
      <c r="BF2370"/>
    </row>
    <row r="2371" spans="16:58" ht="14.4">
      <c r="P2371"/>
      <c r="Q2371" s="23"/>
      <c r="BF2371"/>
    </row>
    <row r="2372" spans="16:58" ht="14.4">
      <c r="P2372"/>
      <c r="Q2372" s="23"/>
      <c r="BF2372"/>
    </row>
    <row r="2373" spans="16:58" ht="14.4">
      <c r="P2373"/>
      <c r="Q2373" s="23"/>
      <c r="BF2373"/>
    </row>
    <row r="2374" spans="16:58" ht="14.4">
      <c r="P2374"/>
      <c r="Q2374" s="23"/>
      <c r="BF2374"/>
    </row>
    <row r="2375" spans="16:58" ht="14.4">
      <c r="P2375"/>
      <c r="Q2375" s="23"/>
      <c r="BF2375"/>
    </row>
    <row r="2376" spans="17:58" ht="14.4">
      <c r="Q2376" s="23"/>
      <c r="BF2376"/>
    </row>
    <row r="2377" ht="14.4">
      <c r="BF2377"/>
    </row>
    <row r="2378" spans="17:58" ht="14.4">
      <c r="Q2378" s="23"/>
      <c r="BF2378"/>
    </row>
    <row r="2379" spans="17:58" ht="14.4">
      <c r="Q2379" s="23"/>
      <c r="BF2379"/>
    </row>
    <row r="2380" spans="17:58" ht="14.4">
      <c r="Q2380" s="23"/>
      <c r="BF2380"/>
    </row>
    <row r="2381" spans="17:58" ht="14.4">
      <c r="Q2381" s="23"/>
      <c r="BF2381"/>
    </row>
    <row r="2382" spans="17:58" ht="14.4">
      <c r="Q2382" s="23"/>
      <c r="BF2382"/>
    </row>
    <row r="2383" spans="17:58" ht="14.4">
      <c r="Q2383" s="23"/>
      <c r="BF2383"/>
    </row>
    <row r="2384" spans="17:58" ht="14.4">
      <c r="Q2384" s="23"/>
      <c r="BF2384"/>
    </row>
    <row r="2385" spans="17:58" ht="14.4">
      <c r="Q2385" s="23"/>
      <c r="BF2385"/>
    </row>
    <row r="2386" spans="17:58" ht="14.4">
      <c r="Q2386" s="23"/>
      <c r="BF2386"/>
    </row>
    <row r="2387" spans="17:58" ht="14.4">
      <c r="Q2387" s="23"/>
      <c r="BF2387"/>
    </row>
    <row r="2388" spans="17:58" ht="14.4">
      <c r="Q2388" s="23"/>
      <c r="BF2388"/>
    </row>
    <row r="2389" spans="16:58" ht="14.4">
      <c r="P2389"/>
      <c r="Q2389" s="23"/>
      <c r="BF2389"/>
    </row>
    <row r="2390" spans="16:58" ht="14.4">
      <c r="P2390"/>
      <c r="Q2390" s="23"/>
      <c r="BF2390"/>
    </row>
    <row r="2391" spans="16:58" ht="14.4">
      <c r="P2391"/>
      <c r="Q2391" s="23"/>
      <c r="BF2391"/>
    </row>
    <row r="2392" spans="16:58" ht="14.4">
      <c r="P2392"/>
      <c r="Q2392" s="23"/>
      <c r="BF2392"/>
    </row>
    <row r="2393" spans="16:58" ht="14.4">
      <c r="P2393"/>
      <c r="Q2393" s="23"/>
      <c r="BF2393"/>
    </row>
    <row r="2394" spans="16:58" ht="14.4">
      <c r="P2394"/>
      <c r="Q2394" s="23"/>
      <c r="BF2394"/>
    </row>
    <row r="2395" spans="16:58" ht="14.4">
      <c r="P2395"/>
      <c r="Q2395" s="23"/>
      <c r="BF2395"/>
    </row>
    <row r="2396" spans="15:58" ht="14.4">
      <c r="O2396" s="73"/>
      <c r="P2396"/>
      <c r="Q2396" s="23"/>
      <c r="BF2396"/>
    </row>
    <row r="2397" spans="15:58" ht="14.4">
      <c r="O2397" s="73"/>
      <c r="P2397"/>
      <c r="Q2397" s="23"/>
      <c r="BF2397"/>
    </row>
    <row r="2398" spans="15:58" ht="14.4">
      <c r="O2398" s="73"/>
      <c r="P2398"/>
      <c r="Q2398" s="23"/>
      <c r="BF2398"/>
    </row>
    <row r="2399" spans="15:58" ht="14.4">
      <c r="O2399" s="73"/>
      <c r="P2399"/>
      <c r="Q2399" s="23"/>
      <c r="BF2399"/>
    </row>
    <row r="2400" spans="15:58" ht="14.4">
      <c r="O2400" s="73"/>
      <c r="P2400"/>
      <c r="Q2400" s="23"/>
      <c r="BF2400"/>
    </row>
    <row r="2401" spans="15:58" ht="14.4">
      <c r="O2401" s="73"/>
      <c r="P2401"/>
      <c r="Q2401" s="23"/>
      <c r="BF2401"/>
    </row>
    <row r="2402" spans="15:58" ht="14.4">
      <c r="O2402" s="73"/>
      <c r="P2402"/>
      <c r="Q2402" s="23"/>
      <c r="BF2402"/>
    </row>
    <row r="2403" ht="14.4">
      <c r="BF2403"/>
    </row>
    <row r="2404" ht="14.4">
      <c r="BF2404"/>
    </row>
    <row r="2405" ht="14.4">
      <c r="BF2405"/>
    </row>
    <row r="2406" ht="14.4">
      <c r="BF2406"/>
    </row>
    <row r="2407" ht="14.4">
      <c r="BF2407"/>
    </row>
    <row r="2408" ht="14.4">
      <c r="BF2408"/>
    </row>
    <row r="2409" ht="14.4">
      <c r="BF2409"/>
    </row>
    <row r="2410" spans="15:58" ht="14.4">
      <c r="O2410" s="73"/>
      <c r="P2410"/>
      <c r="Q2410" s="23"/>
      <c r="BF2410"/>
    </row>
    <row r="2411" spans="15:58" ht="14.4">
      <c r="O2411" s="73"/>
      <c r="P2411"/>
      <c r="Q2411" s="23"/>
      <c r="BF2411"/>
    </row>
    <row r="2412" spans="15:58" ht="14.4">
      <c r="O2412" s="73"/>
      <c r="P2412"/>
      <c r="Q2412" s="23"/>
      <c r="BF2412"/>
    </row>
    <row r="2413" spans="15:58" ht="14.4">
      <c r="O2413" s="73"/>
      <c r="P2413"/>
      <c r="Q2413" s="23"/>
      <c r="BF2413"/>
    </row>
    <row r="2414" spans="15:58" ht="14.4">
      <c r="O2414" s="73"/>
      <c r="P2414"/>
      <c r="Q2414" s="23"/>
      <c r="BF2414"/>
    </row>
    <row r="2415" spans="15:58" ht="14.4">
      <c r="O2415" s="73"/>
      <c r="P2415"/>
      <c r="Q2415" s="23"/>
      <c r="BF2415"/>
    </row>
    <row r="2416" spans="15:58" ht="14.4">
      <c r="O2416" s="73"/>
      <c r="P2416"/>
      <c r="Q2416" s="23"/>
      <c r="BF2416"/>
    </row>
    <row r="2417" spans="15:58" ht="14.4">
      <c r="O2417" s="73"/>
      <c r="P2417"/>
      <c r="Q2417" s="23"/>
      <c r="BF2417"/>
    </row>
    <row r="2418" spans="15:58" ht="14.4">
      <c r="O2418" s="73"/>
      <c r="P2418"/>
      <c r="Q2418" s="23"/>
      <c r="BF2418"/>
    </row>
    <row r="2419" spans="15:58" ht="14.4">
      <c r="O2419" s="73"/>
      <c r="P2419"/>
      <c r="Q2419" s="23"/>
      <c r="BF2419"/>
    </row>
    <row r="2420" spans="15:58" ht="14.4">
      <c r="O2420" s="73"/>
      <c r="P2420"/>
      <c r="Q2420" s="23"/>
      <c r="BF2420"/>
    </row>
    <row r="2421" spans="15:58" ht="14.4">
      <c r="O2421" s="73"/>
      <c r="P2421"/>
      <c r="Q2421" s="23"/>
      <c r="BF2421"/>
    </row>
    <row r="2422" spans="15:58" ht="14.4">
      <c r="O2422" s="73"/>
      <c r="P2422"/>
      <c r="Q2422" s="23"/>
      <c r="BF2422"/>
    </row>
    <row r="2423" spans="15:58" ht="14.4">
      <c r="O2423" s="73"/>
      <c r="P2423"/>
      <c r="Q2423" s="23"/>
      <c r="BF2423"/>
    </row>
    <row r="2424" spans="15:58" ht="14.4">
      <c r="O2424" s="73"/>
      <c r="P2424"/>
      <c r="Q2424" s="23"/>
      <c r="BF2424"/>
    </row>
    <row r="2425" spans="15:58" ht="14.4">
      <c r="O2425" s="73"/>
      <c r="P2425"/>
      <c r="Q2425" s="23"/>
      <c r="BF2425"/>
    </row>
    <row r="2426" spans="15:58" ht="14.4">
      <c r="O2426" s="73"/>
      <c r="P2426"/>
      <c r="Q2426" s="23"/>
      <c r="BF2426"/>
    </row>
    <row r="2427" spans="15:58" ht="14.4">
      <c r="O2427" s="73"/>
      <c r="P2427"/>
      <c r="Q2427" s="23"/>
      <c r="BF2427"/>
    </row>
    <row r="2428" spans="15:58" ht="14.4">
      <c r="O2428" s="73"/>
      <c r="P2428"/>
      <c r="Q2428" s="23"/>
      <c r="BF2428"/>
    </row>
    <row r="2429" spans="15:58" ht="14.4">
      <c r="O2429" s="73"/>
      <c r="P2429"/>
      <c r="Q2429" s="23"/>
      <c r="BF2429"/>
    </row>
    <row r="2430" spans="15:58" ht="14.4">
      <c r="O2430" s="73"/>
      <c r="P2430"/>
      <c r="Q2430" s="23"/>
      <c r="BF2430"/>
    </row>
    <row r="2431" spans="15:58" ht="14.4">
      <c r="O2431" s="73"/>
      <c r="P2431"/>
      <c r="Q2431" s="23"/>
      <c r="BF2431"/>
    </row>
    <row r="2432" spans="15:58" ht="14.4">
      <c r="O2432" s="73"/>
      <c r="P2432"/>
      <c r="Q2432" s="23"/>
      <c r="BF2432"/>
    </row>
    <row r="2433" spans="15:58" ht="14.4">
      <c r="O2433" s="73"/>
      <c r="P2433"/>
      <c r="Q2433" s="23"/>
      <c r="BF2433"/>
    </row>
    <row r="2434" spans="15:58" ht="14.4">
      <c r="O2434" s="73"/>
      <c r="P2434"/>
      <c r="Q2434" s="23"/>
      <c r="BF2434"/>
    </row>
    <row r="2435" spans="15:58" ht="14.4">
      <c r="O2435" s="73"/>
      <c r="P2435"/>
      <c r="Q2435" s="23"/>
      <c r="BF2435"/>
    </row>
    <row r="2436" spans="15:58" ht="14.4">
      <c r="O2436" s="73"/>
      <c r="P2436"/>
      <c r="Q2436" s="23"/>
      <c r="BF2436"/>
    </row>
    <row r="2437" spans="15:58" ht="14.4">
      <c r="O2437" s="73"/>
      <c r="P2437"/>
      <c r="Q2437" s="23"/>
      <c r="BF2437"/>
    </row>
    <row r="2438" spans="15:58" ht="14.4">
      <c r="O2438" s="73"/>
      <c r="P2438"/>
      <c r="Q2438" s="23"/>
      <c r="BF2438"/>
    </row>
    <row r="2439" spans="15:58" ht="14.4">
      <c r="O2439" s="73"/>
      <c r="P2439"/>
      <c r="Q2439" s="23"/>
      <c r="BF2439"/>
    </row>
    <row r="2440" spans="15:58" ht="14.4">
      <c r="O2440" s="73"/>
      <c r="P2440"/>
      <c r="Q2440" s="23"/>
      <c r="BF2440"/>
    </row>
    <row r="2441" spans="15:58" ht="14.4">
      <c r="O2441" s="73"/>
      <c r="P2441"/>
      <c r="Q2441" s="23"/>
      <c r="BF2441"/>
    </row>
    <row r="2442" spans="15:58" ht="14.4">
      <c r="O2442" s="73"/>
      <c r="P2442"/>
      <c r="Q2442" s="23"/>
      <c r="BF2442"/>
    </row>
    <row r="2443" spans="15:58" ht="14.4">
      <c r="O2443" s="73"/>
      <c r="P2443"/>
      <c r="Q2443" s="23"/>
      <c r="BF2443"/>
    </row>
    <row r="2444" spans="15:58" ht="14.4">
      <c r="O2444" s="73"/>
      <c r="P2444"/>
      <c r="Q2444" s="23"/>
      <c r="BF2444"/>
    </row>
    <row r="2445" spans="15:58" ht="14.4">
      <c r="O2445" s="73"/>
      <c r="P2445"/>
      <c r="Q2445" s="23"/>
      <c r="BF2445"/>
    </row>
    <row r="2446" spans="15:58" ht="14.4">
      <c r="O2446" s="73"/>
      <c r="P2446"/>
      <c r="Q2446" s="23"/>
      <c r="BF2446"/>
    </row>
    <row r="2447" spans="15:58" ht="14.4">
      <c r="O2447" s="73"/>
      <c r="P2447"/>
      <c r="Q2447" s="23"/>
      <c r="BF2447"/>
    </row>
    <row r="2448" spans="15:58" ht="14.4">
      <c r="O2448" s="73"/>
      <c r="P2448"/>
      <c r="Q2448" s="23"/>
      <c r="BF2448"/>
    </row>
    <row r="2449" spans="15:58" ht="14.4">
      <c r="O2449" s="73"/>
      <c r="P2449"/>
      <c r="Q2449" s="23"/>
      <c r="BF2449"/>
    </row>
    <row r="2450" spans="15:58" ht="14.4">
      <c r="O2450" s="73"/>
      <c r="P2450"/>
      <c r="Q2450" s="23"/>
      <c r="BF2450"/>
    </row>
    <row r="2451" spans="15:58" ht="14.4">
      <c r="O2451" s="73"/>
      <c r="P2451"/>
      <c r="Q2451" s="23"/>
      <c r="BF2451"/>
    </row>
    <row r="2452" spans="15:58" ht="14.4">
      <c r="O2452" s="73"/>
      <c r="P2452"/>
      <c r="Q2452" s="23"/>
      <c r="BF2452"/>
    </row>
    <row r="2453" spans="15:58" ht="14.4">
      <c r="O2453" s="73"/>
      <c r="P2453"/>
      <c r="Q2453" s="23"/>
      <c r="BF2453"/>
    </row>
    <row r="2454" spans="15:58" ht="14.4">
      <c r="O2454" s="73"/>
      <c r="P2454"/>
      <c r="Q2454" s="23"/>
      <c r="BF2454"/>
    </row>
    <row r="2455" spans="15:58" ht="14.4">
      <c r="O2455" s="73"/>
      <c r="P2455"/>
      <c r="Q2455" s="23"/>
      <c r="BF2455"/>
    </row>
    <row r="2456" spans="15:58" ht="14.4">
      <c r="O2456" s="73"/>
      <c r="P2456"/>
      <c r="Q2456" s="23"/>
      <c r="BF2456"/>
    </row>
    <row r="2457" spans="15:58" ht="14.4">
      <c r="O2457" s="73"/>
      <c r="P2457"/>
      <c r="Q2457" s="23"/>
      <c r="BF2457"/>
    </row>
    <row r="2458" spans="15:58" ht="14.4">
      <c r="O2458" s="73"/>
      <c r="P2458"/>
      <c r="Q2458" s="23"/>
      <c r="BF2458"/>
    </row>
    <row r="2459" spans="15:58" ht="14.4">
      <c r="O2459" s="73"/>
      <c r="P2459"/>
      <c r="Q2459" s="23"/>
      <c r="BF2459"/>
    </row>
    <row r="2460" spans="15:58" ht="14.4">
      <c r="O2460" s="73"/>
      <c r="P2460"/>
      <c r="Q2460" s="23"/>
      <c r="BF2460"/>
    </row>
    <row r="2461" spans="15:58" ht="14.4">
      <c r="O2461" s="73"/>
      <c r="P2461"/>
      <c r="Q2461" s="23"/>
      <c r="BF2461"/>
    </row>
    <row r="2462" spans="15:58" ht="14.4">
      <c r="O2462" s="73"/>
      <c r="P2462"/>
      <c r="Q2462" s="23"/>
      <c r="BF2462"/>
    </row>
    <row r="2463" spans="15:58" ht="14.4">
      <c r="O2463" s="73"/>
      <c r="P2463"/>
      <c r="Q2463" s="23"/>
      <c r="BF2463"/>
    </row>
    <row r="2464" spans="15:58" ht="14.4">
      <c r="O2464" s="73"/>
      <c r="P2464"/>
      <c r="Q2464" s="23"/>
      <c r="BF2464"/>
    </row>
    <row r="2465" spans="15:58" ht="14.4">
      <c r="O2465" s="73"/>
      <c r="P2465"/>
      <c r="Q2465" s="23"/>
      <c r="BF2465"/>
    </row>
    <row r="2466" spans="15:58" ht="14.4">
      <c r="O2466" s="73"/>
      <c r="P2466"/>
      <c r="Q2466" s="23"/>
      <c r="BF2466"/>
    </row>
    <row r="2467" spans="15:58" ht="14.4">
      <c r="O2467" s="73"/>
      <c r="P2467"/>
      <c r="Q2467" s="23"/>
      <c r="BF2467"/>
    </row>
    <row r="2468" spans="15:58" ht="14.4">
      <c r="O2468" s="73"/>
      <c r="P2468"/>
      <c r="Q2468" s="23"/>
      <c r="BF2468"/>
    </row>
    <row r="2469" spans="15:58" ht="14.4">
      <c r="O2469" s="73"/>
      <c r="P2469"/>
      <c r="Q2469" s="23"/>
      <c r="BF2469"/>
    </row>
    <row r="2470" spans="15:58" ht="14.4">
      <c r="O2470" s="73"/>
      <c r="P2470"/>
      <c r="Q2470" s="23"/>
      <c r="BF2470"/>
    </row>
    <row r="2471" spans="15:58" ht="14.4">
      <c r="O2471" s="73"/>
      <c r="P2471"/>
      <c r="Q2471" s="23"/>
      <c r="BF2471"/>
    </row>
    <row r="2472" spans="15:58" ht="14.4">
      <c r="O2472" s="73"/>
      <c r="P2472"/>
      <c r="Q2472" s="23"/>
      <c r="BF2472"/>
    </row>
    <row r="2473" spans="15:58" ht="14.4">
      <c r="O2473" s="73"/>
      <c r="P2473"/>
      <c r="Q2473" s="23"/>
      <c r="BF2473"/>
    </row>
    <row r="2474" spans="15:58" ht="14.4">
      <c r="O2474" s="73"/>
      <c r="P2474"/>
      <c r="Q2474" s="23"/>
      <c r="BF2474"/>
    </row>
    <row r="2475" spans="15:58" ht="14.4">
      <c r="O2475" s="73"/>
      <c r="P2475"/>
      <c r="Q2475" s="23"/>
      <c r="BF2475"/>
    </row>
    <row r="2476" spans="15:58" ht="14.4">
      <c r="O2476" s="73"/>
      <c r="P2476"/>
      <c r="Q2476" s="23"/>
      <c r="BF2476"/>
    </row>
    <row r="2477" spans="15:58" ht="14.4">
      <c r="O2477" s="73"/>
      <c r="P2477"/>
      <c r="Q2477" s="23"/>
      <c r="BF2477"/>
    </row>
    <row r="2478" spans="15:58" ht="14.4">
      <c r="O2478" s="73"/>
      <c r="P2478"/>
      <c r="Q2478" s="23"/>
      <c r="BF2478"/>
    </row>
    <row r="2479" spans="15:58" ht="14.4">
      <c r="O2479" s="73"/>
      <c r="P2479"/>
      <c r="Q2479" s="23"/>
      <c r="BF2479"/>
    </row>
    <row r="2480" spans="15:58" ht="14.4">
      <c r="O2480" s="73"/>
      <c r="P2480"/>
      <c r="Q2480" s="23"/>
      <c r="BF2480"/>
    </row>
    <row r="2481" spans="15:58" ht="14.4">
      <c r="O2481" s="73"/>
      <c r="P2481"/>
      <c r="Q2481" s="23"/>
      <c r="BF2481"/>
    </row>
    <row r="2482" spans="15:58" ht="14.4">
      <c r="O2482" s="73"/>
      <c r="P2482"/>
      <c r="Q2482" s="23"/>
      <c r="BF2482"/>
    </row>
    <row r="2483" spans="15:58" ht="14.4">
      <c r="O2483" s="73"/>
      <c r="P2483"/>
      <c r="Q2483" s="23"/>
      <c r="BF2483"/>
    </row>
    <row r="2484" spans="15:58" ht="14.4">
      <c r="O2484" s="73"/>
      <c r="P2484"/>
      <c r="Q2484" s="23"/>
      <c r="BF2484"/>
    </row>
    <row r="2485" spans="15:58" ht="14.4">
      <c r="O2485" s="73"/>
      <c r="P2485"/>
      <c r="Q2485" s="23"/>
      <c r="BF2485"/>
    </row>
    <row r="2486" spans="15:58" ht="14.4">
      <c r="O2486" s="73"/>
      <c r="P2486"/>
      <c r="Q2486" s="23"/>
      <c r="BF2486"/>
    </row>
    <row r="2487" spans="15:58" ht="14.4">
      <c r="O2487" s="73"/>
      <c r="P2487"/>
      <c r="Q2487" s="23"/>
      <c r="BF2487"/>
    </row>
    <row r="2488" spans="15:58" ht="14.4">
      <c r="O2488" s="73"/>
      <c r="P2488"/>
      <c r="Q2488" s="23"/>
      <c r="BF2488"/>
    </row>
    <row r="2489" spans="15:58" ht="14.4">
      <c r="O2489" s="73"/>
      <c r="P2489"/>
      <c r="Q2489" s="23"/>
      <c r="BF2489"/>
    </row>
    <row r="2490" spans="15:58" ht="14.4">
      <c r="O2490" s="73"/>
      <c r="P2490"/>
      <c r="Q2490" s="23"/>
      <c r="BF2490"/>
    </row>
    <row r="2491" spans="15:58" ht="14.4">
      <c r="O2491" s="73"/>
      <c r="P2491"/>
      <c r="Q2491" s="23"/>
      <c r="BF2491"/>
    </row>
    <row r="2492" spans="15:58" ht="14.4">
      <c r="O2492" s="73"/>
      <c r="P2492"/>
      <c r="Q2492" s="23"/>
      <c r="BF2492"/>
    </row>
    <row r="2493" spans="15:58" ht="14.4">
      <c r="O2493" s="73"/>
      <c r="P2493"/>
      <c r="Q2493" s="23"/>
      <c r="BF2493"/>
    </row>
    <row r="2494" ht="14.4">
      <c r="BF2494"/>
    </row>
    <row r="2495" ht="14.4">
      <c r="BF2495"/>
    </row>
    <row r="2496" ht="14.4">
      <c r="BF2496"/>
    </row>
    <row r="2497" ht="14.4">
      <c r="BF2497"/>
    </row>
    <row r="2498" ht="14.4">
      <c r="BF2498"/>
    </row>
    <row r="2499" ht="14.4">
      <c r="BF2499"/>
    </row>
    <row r="2500" ht="14.4">
      <c r="BF2500"/>
    </row>
    <row r="2501" spans="15:58" ht="14.4">
      <c r="O2501" s="73"/>
      <c r="P2501"/>
      <c r="Q2501" s="23"/>
      <c r="BF2501"/>
    </row>
    <row r="2502" spans="15:58" ht="14.4">
      <c r="O2502" s="73"/>
      <c r="P2502"/>
      <c r="Q2502" s="23"/>
      <c r="BF2502"/>
    </row>
    <row r="2503" spans="15:58" ht="14.4">
      <c r="O2503" s="73"/>
      <c r="P2503"/>
      <c r="Q2503" s="23"/>
      <c r="BF2503"/>
    </row>
    <row r="2504" spans="15:58" ht="14.4">
      <c r="O2504" s="73"/>
      <c r="P2504"/>
      <c r="Q2504" s="23"/>
      <c r="BF2504"/>
    </row>
    <row r="2505" spans="15:58" ht="14.4">
      <c r="O2505" s="73"/>
      <c r="P2505"/>
      <c r="Q2505" s="23"/>
      <c r="BF2505"/>
    </row>
    <row r="2506" spans="15:58" ht="14.4">
      <c r="O2506" s="73"/>
      <c r="P2506"/>
      <c r="Q2506" s="23"/>
      <c r="BF2506"/>
    </row>
    <row r="2507" spans="15:58" ht="14.4">
      <c r="O2507" s="73"/>
      <c r="P2507"/>
      <c r="Q2507" s="23"/>
      <c r="BF2507"/>
    </row>
    <row r="2508" spans="15:58" ht="14.4">
      <c r="O2508" s="73"/>
      <c r="P2508"/>
      <c r="Q2508" s="23"/>
      <c r="BF2508"/>
    </row>
    <row r="2509" spans="15:58" ht="14.4">
      <c r="O2509" s="73"/>
      <c r="P2509"/>
      <c r="Q2509" s="23"/>
      <c r="BF2509"/>
    </row>
    <row r="2510" spans="15:58" ht="14.4">
      <c r="O2510" s="73"/>
      <c r="P2510"/>
      <c r="Q2510" s="23"/>
      <c r="BF2510"/>
    </row>
    <row r="2511" spans="15:58" ht="14.4">
      <c r="O2511" s="73"/>
      <c r="P2511"/>
      <c r="Q2511" s="23"/>
      <c r="BF2511"/>
    </row>
    <row r="2512" spans="15:58" ht="14.4">
      <c r="O2512" s="73"/>
      <c r="P2512"/>
      <c r="Q2512" s="23"/>
      <c r="BF2512"/>
    </row>
    <row r="2513" spans="15:58" ht="14.4">
      <c r="O2513" s="73"/>
      <c r="P2513"/>
      <c r="Q2513" s="23"/>
      <c r="BF2513"/>
    </row>
    <row r="2514" spans="15:58" ht="14.4">
      <c r="O2514" s="73"/>
      <c r="P2514"/>
      <c r="Q2514" s="23"/>
      <c r="BF2514"/>
    </row>
    <row r="2515" spans="15:58" ht="14.4">
      <c r="O2515" s="73"/>
      <c r="P2515"/>
      <c r="Q2515" s="23"/>
      <c r="BF2515"/>
    </row>
    <row r="2516" spans="15:58" ht="14.4">
      <c r="O2516" s="73"/>
      <c r="P2516"/>
      <c r="Q2516" s="23"/>
      <c r="BF2516"/>
    </row>
    <row r="2517" spans="15:58" ht="14.4">
      <c r="O2517" s="73"/>
      <c r="P2517"/>
      <c r="Q2517" s="23"/>
      <c r="BF2517"/>
    </row>
    <row r="2518" spans="15:58" ht="14.4">
      <c r="O2518" s="73"/>
      <c r="P2518"/>
      <c r="Q2518" s="23"/>
      <c r="BF2518"/>
    </row>
    <row r="2519" spans="15:58" ht="14.4">
      <c r="O2519" s="73"/>
      <c r="P2519"/>
      <c r="Q2519" s="23"/>
      <c r="BF2519"/>
    </row>
    <row r="2520" spans="15:58" ht="14.4">
      <c r="O2520" s="73"/>
      <c r="P2520"/>
      <c r="Q2520" s="23"/>
      <c r="BF2520"/>
    </row>
    <row r="2521" spans="15:58" ht="14.4">
      <c r="O2521" s="73"/>
      <c r="P2521"/>
      <c r="Q2521" s="23"/>
      <c r="BF2521"/>
    </row>
    <row r="2522" spans="15:58" ht="14.4">
      <c r="O2522" s="73"/>
      <c r="P2522"/>
      <c r="Q2522" s="23"/>
      <c r="BF2522"/>
    </row>
    <row r="2523" spans="15:58" ht="14.4">
      <c r="O2523" s="73"/>
      <c r="P2523"/>
      <c r="Q2523" s="23"/>
      <c r="BF2523"/>
    </row>
    <row r="2524" spans="15:58" ht="14.4">
      <c r="O2524" s="73"/>
      <c r="P2524"/>
      <c r="Q2524" s="23"/>
      <c r="BF2524"/>
    </row>
    <row r="2525" spans="15:58" ht="14.4">
      <c r="O2525" s="73"/>
      <c r="P2525"/>
      <c r="Q2525" s="23"/>
      <c r="BF2525"/>
    </row>
    <row r="2526" spans="15:58" ht="14.4">
      <c r="O2526" s="73"/>
      <c r="P2526"/>
      <c r="Q2526" s="23"/>
      <c r="BF2526"/>
    </row>
    <row r="2527" spans="15:58" ht="14.4">
      <c r="O2527" s="73"/>
      <c r="P2527"/>
      <c r="Q2527" s="23"/>
      <c r="BF2527"/>
    </row>
    <row r="2528" spans="15:58" ht="14.4">
      <c r="O2528" s="73"/>
      <c r="P2528"/>
      <c r="Q2528" s="23"/>
      <c r="BF2528"/>
    </row>
    <row r="2529" spans="15:58" ht="14.4">
      <c r="O2529" s="73"/>
      <c r="P2529"/>
      <c r="Q2529" s="23"/>
      <c r="BF2529"/>
    </row>
    <row r="2530" spans="15:58" ht="14.4">
      <c r="O2530" s="73"/>
      <c r="P2530"/>
      <c r="Q2530" s="23"/>
      <c r="BF2530"/>
    </row>
    <row r="2531" spans="15:58" ht="14.4">
      <c r="O2531" s="73"/>
      <c r="P2531"/>
      <c r="Q2531" s="23"/>
      <c r="BF2531"/>
    </row>
    <row r="2532" spans="15:58" ht="14.4">
      <c r="O2532" s="73"/>
      <c r="P2532"/>
      <c r="Q2532" s="23"/>
      <c r="BF2532"/>
    </row>
    <row r="2533" spans="15:58" ht="14.4">
      <c r="O2533" s="73"/>
      <c r="P2533"/>
      <c r="Q2533" s="23"/>
      <c r="BF2533"/>
    </row>
    <row r="2534" spans="15:58" ht="14.4">
      <c r="O2534" s="73"/>
      <c r="P2534"/>
      <c r="Q2534" s="23"/>
      <c r="BF2534"/>
    </row>
    <row r="2535" spans="15:58" ht="14.4">
      <c r="O2535" s="73"/>
      <c r="P2535"/>
      <c r="Q2535" s="23"/>
      <c r="BF2535"/>
    </row>
    <row r="2536" spans="15:58" ht="14.4">
      <c r="O2536" s="73"/>
      <c r="P2536"/>
      <c r="Q2536" s="23"/>
      <c r="BF2536"/>
    </row>
    <row r="2537" spans="15:58" ht="14.4">
      <c r="O2537" s="73"/>
      <c r="P2537"/>
      <c r="Q2537" s="23"/>
      <c r="BF2537"/>
    </row>
    <row r="2538" spans="15:58" ht="14.4">
      <c r="O2538" s="73"/>
      <c r="P2538"/>
      <c r="Q2538" s="23"/>
      <c r="BF2538"/>
    </row>
    <row r="2539" spans="15:58" ht="14.4">
      <c r="O2539" s="73"/>
      <c r="P2539"/>
      <c r="Q2539" s="23"/>
      <c r="BF2539"/>
    </row>
    <row r="2540" spans="15:58" ht="14.4">
      <c r="O2540" s="73"/>
      <c r="P2540"/>
      <c r="Q2540" s="23"/>
      <c r="BF2540"/>
    </row>
    <row r="2541" spans="15:58" ht="14.4">
      <c r="O2541" s="73"/>
      <c r="P2541"/>
      <c r="Q2541" s="23"/>
      <c r="BF2541"/>
    </row>
    <row r="2542" spans="15:58" ht="14.4">
      <c r="O2542" s="73"/>
      <c r="P2542"/>
      <c r="Q2542" s="23"/>
      <c r="BF2542"/>
    </row>
    <row r="2543" spans="15:58" ht="14.4">
      <c r="O2543" s="73"/>
      <c r="P2543"/>
      <c r="Q2543" s="23"/>
      <c r="BF2543"/>
    </row>
    <row r="2544" spans="15:58" ht="14.4">
      <c r="O2544" s="73"/>
      <c r="P2544"/>
      <c r="Q2544" s="23"/>
      <c r="BF2544"/>
    </row>
    <row r="2545" spans="15:58" ht="14.4">
      <c r="O2545" s="73"/>
      <c r="P2545"/>
      <c r="Q2545" s="23"/>
      <c r="BF2545"/>
    </row>
    <row r="2546" spans="15:58" ht="14.4">
      <c r="O2546" s="73"/>
      <c r="P2546"/>
      <c r="Q2546" s="23"/>
      <c r="BF2546"/>
    </row>
    <row r="2547" spans="15:58" ht="14.4">
      <c r="O2547" s="73"/>
      <c r="P2547"/>
      <c r="Q2547" s="23"/>
      <c r="BF2547"/>
    </row>
    <row r="2548" spans="15:58" ht="14.4">
      <c r="O2548" s="73"/>
      <c r="P2548"/>
      <c r="Q2548" s="23"/>
      <c r="BF2548"/>
    </row>
    <row r="2549" spans="15:58" ht="14.4">
      <c r="O2549" s="73"/>
      <c r="P2549"/>
      <c r="Q2549" s="23"/>
      <c r="BF2549"/>
    </row>
    <row r="2550" spans="15:58" ht="14.4">
      <c r="O2550" s="73"/>
      <c r="P2550"/>
      <c r="Q2550" s="23"/>
      <c r="BF2550"/>
    </row>
    <row r="2551" spans="15:58" ht="14.4">
      <c r="O2551" s="73"/>
      <c r="P2551"/>
      <c r="Q2551" s="23"/>
      <c r="BF2551"/>
    </row>
    <row r="2552" spans="15:58" ht="14.4">
      <c r="O2552" s="73"/>
      <c r="P2552"/>
      <c r="Q2552" s="23"/>
      <c r="BF2552"/>
    </row>
    <row r="2553" spans="15:58" ht="14.4">
      <c r="O2553" s="73"/>
      <c r="P2553"/>
      <c r="Q2553" s="23"/>
      <c r="BF2553"/>
    </row>
    <row r="2554" spans="15:58" ht="14.4">
      <c r="O2554" s="73"/>
      <c r="P2554"/>
      <c r="Q2554" s="23"/>
      <c r="BF2554"/>
    </row>
    <row r="2555" spans="15:58" ht="14.4">
      <c r="O2555" s="73"/>
      <c r="P2555"/>
      <c r="Q2555" s="23"/>
      <c r="BF2555"/>
    </row>
    <row r="2556" spans="15:58" ht="14.4">
      <c r="O2556" s="73"/>
      <c r="P2556"/>
      <c r="Q2556" s="23"/>
      <c r="BF2556"/>
    </row>
    <row r="2557" spans="15:58" ht="14.4">
      <c r="O2557" s="73"/>
      <c r="P2557"/>
      <c r="Q2557" s="23"/>
      <c r="BF2557"/>
    </row>
    <row r="2558" spans="15:58" ht="14.4">
      <c r="O2558" s="73"/>
      <c r="P2558"/>
      <c r="Q2558" s="23"/>
      <c r="BF2558"/>
    </row>
    <row r="2559" spans="15:58" ht="14.4">
      <c r="O2559" s="73"/>
      <c r="P2559"/>
      <c r="Q2559" s="23"/>
      <c r="BF2559"/>
    </row>
    <row r="2560" spans="15:58" ht="14.4">
      <c r="O2560" s="73"/>
      <c r="P2560"/>
      <c r="Q2560" s="23"/>
      <c r="BF2560"/>
    </row>
    <row r="2561" spans="15:58" ht="14.4">
      <c r="O2561" s="73"/>
      <c r="P2561"/>
      <c r="Q2561" s="23"/>
      <c r="BF2561"/>
    </row>
    <row r="2562" spans="15:58" ht="14.4">
      <c r="O2562" s="73"/>
      <c r="P2562"/>
      <c r="Q2562" s="23"/>
      <c r="BF2562"/>
    </row>
    <row r="2563" spans="15:58" ht="14.4">
      <c r="O2563" s="73"/>
      <c r="P2563"/>
      <c r="Q2563" s="23"/>
      <c r="BF2563"/>
    </row>
    <row r="2564" spans="15:58" ht="14.4">
      <c r="O2564" s="73"/>
      <c r="P2564"/>
      <c r="Q2564" s="23"/>
      <c r="BF2564"/>
    </row>
    <row r="2565" spans="15:58" ht="14.4">
      <c r="O2565" s="73"/>
      <c r="P2565"/>
      <c r="Q2565" s="23"/>
      <c r="BF2565"/>
    </row>
    <row r="2566" spans="15:58" ht="14.4">
      <c r="O2566" s="73"/>
      <c r="P2566"/>
      <c r="Q2566" s="23"/>
      <c r="BF2566"/>
    </row>
    <row r="2567" spans="15:58" ht="14.4">
      <c r="O2567" s="73"/>
      <c r="P2567"/>
      <c r="Q2567" s="23"/>
      <c r="BF2567"/>
    </row>
    <row r="2568" spans="15:58" ht="14.4">
      <c r="O2568" s="73"/>
      <c r="P2568"/>
      <c r="Q2568" s="23"/>
      <c r="BF2568"/>
    </row>
    <row r="2569" spans="15:58" ht="14.4">
      <c r="O2569" s="73"/>
      <c r="P2569"/>
      <c r="Q2569" s="23"/>
      <c r="BF2569"/>
    </row>
    <row r="2570" spans="15:58" ht="14.4">
      <c r="O2570" s="73"/>
      <c r="P2570"/>
      <c r="Q2570" s="23"/>
      <c r="BF2570"/>
    </row>
    <row r="2571" spans="15:58" ht="14.4">
      <c r="O2571" s="73"/>
      <c r="P2571"/>
      <c r="Q2571" s="23"/>
      <c r="BF2571"/>
    </row>
    <row r="2572" spans="15:58" ht="14.4">
      <c r="O2572" s="73"/>
      <c r="P2572"/>
      <c r="Q2572" s="23"/>
      <c r="BF2572"/>
    </row>
    <row r="2573" spans="15:58" ht="14.4">
      <c r="O2573" s="73"/>
      <c r="P2573"/>
      <c r="Q2573" s="23"/>
      <c r="BF2573"/>
    </row>
    <row r="2574" spans="15:58" ht="14.4">
      <c r="O2574" s="73"/>
      <c r="P2574"/>
      <c r="Q2574" s="23"/>
      <c r="BF2574"/>
    </row>
    <row r="2575" spans="15:58" ht="14.4">
      <c r="O2575" s="73"/>
      <c r="P2575"/>
      <c r="Q2575" s="23"/>
      <c r="BF2575"/>
    </row>
    <row r="2576" spans="15:58" ht="14.4">
      <c r="O2576" s="73"/>
      <c r="P2576"/>
      <c r="Q2576" s="23"/>
      <c r="BF2576"/>
    </row>
    <row r="2577" spans="15:58" ht="14.4">
      <c r="O2577" s="73"/>
      <c r="P2577"/>
      <c r="Q2577" s="23"/>
      <c r="BF2577"/>
    </row>
    <row r="2578" spans="16:58" ht="14.4">
      <c r="P2578"/>
      <c r="Q2578" s="23"/>
      <c r="BF2578"/>
    </row>
    <row r="2579" spans="16:58" ht="14.4">
      <c r="P2579"/>
      <c r="Q2579" s="23"/>
      <c r="BF2579"/>
    </row>
    <row r="2580" spans="16:58" ht="14.4">
      <c r="P2580"/>
      <c r="Q2580" s="23"/>
      <c r="BF2580"/>
    </row>
    <row r="2581" spans="16:58" ht="14.4">
      <c r="P2581"/>
      <c r="Q2581" s="23"/>
      <c r="BF2581"/>
    </row>
    <row r="2582" spans="16:58" ht="14.4">
      <c r="P2582"/>
      <c r="Q2582" s="23"/>
      <c r="BF2582"/>
    </row>
    <row r="2583" spans="16:58" ht="14.4">
      <c r="P2583"/>
      <c r="Q2583" s="23"/>
      <c r="BF2583"/>
    </row>
    <row r="2584" spans="16:58" ht="14.4">
      <c r="P2584"/>
      <c r="Q2584" s="23"/>
      <c r="BF2584"/>
    </row>
    <row r="2585" ht="14.4">
      <c r="BF2585"/>
    </row>
    <row r="2586" ht="14.4">
      <c r="BF2586"/>
    </row>
    <row r="2587" ht="14.4">
      <c r="BF2587"/>
    </row>
    <row r="2588" ht="14.4">
      <c r="BF2588"/>
    </row>
    <row r="2589" ht="14.4">
      <c r="BF2589"/>
    </row>
    <row r="2590" ht="14.4">
      <c r="BF2590"/>
    </row>
    <row r="2591" ht="14.4">
      <c r="BF2591"/>
    </row>
    <row r="2592" spans="16:58" ht="14.4">
      <c r="P2592"/>
      <c r="Q2592" s="23"/>
      <c r="BF2592"/>
    </row>
    <row r="2593" spans="16:58" ht="14.4">
      <c r="P2593"/>
      <c r="Q2593" s="23"/>
      <c r="BF2593"/>
    </row>
    <row r="2594" spans="16:58" ht="14.4">
      <c r="P2594"/>
      <c r="Q2594" s="23"/>
      <c r="BF2594"/>
    </row>
    <row r="2595" spans="16:58" ht="14.4">
      <c r="P2595"/>
      <c r="Q2595" s="23"/>
      <c r="BF2595"/>
    </row>
    <row r="2596" spans="16:58" ht="14.4">
      <c r="P2596"/>
      <c r="Q2596" s="23"/>
      <c r="BF2596"/>
    </row>
    <row r="2597" spans="16:58" ht="14.4">
      <c r="P2597"/>
      <c r="Q2597" s="23"/>
      <c r="BF2597"/>
    </row>
    <row r="2598" spans="16:58" ht="14.4">
      <c r="P2598"/>
      <c r="Q2598" s="23"/>
      <c r="BF2598"/>
    </row>
    <row r="2599" spans="16:58" ht="14.4">
      <c r="P2599"/>
      <c r="Q2599" s="23"/>
      <c r="BF2599"/>
    </row>
    <row r="2600" spans="16:58" ht="14.4">
      <c r="P2600"/>
      <c r="Q2600" s="23"/>
      <c r="BF2600"/>
    </row>
    <row r="2601" spans="16:58" ht="14.4">
      <c r="P2601"/>
      <c r="Q2601" s="23"/>
      <c r="BF2601"/>
    </row>
    <row r="2602" spans="16:58" ht="14.4">
      <c r="P2602"/>
      <c r="Q2602" s="23"/>
      <c r="BF2602"/>
    </row>
    <row r="2603" spans="16:58" ht="14.4">
      <c r="P2603"/>
      <c r="Q2603" s="23"/>
      <c r="BF2603"/>
    </row>
    <row r="2604" spans="16:58" ht="14.4">
      <c r="P2604"/>
      <c r="Q2604" s="23"/>
      <c r="BF2604"/>
    </row>
    <row r="2605" spans="16:58" ht="14.4">
      <c r="P2605"/>
      <c r="Q2605" s="23"/>
      <c r="BF2605"/>
    </row>
    <row r="2606" spans="16:58" ht="14.4">
      <c r="P2606"/>
      <c r="Q2606" s="23"/>
      <c r="BF2606"/>
    </row>
    <row r="2607" spans="16:58" ht="14.4">
      <c r="P2607"/>
      <c r="Q2607" s="23"/>
      <c r="BF2607"/>
    </row>
    <row r="2608" spans="16:58" ht="14.4">
      <c r="P2608"/>
      <c r="Q2608" s="23"/>
      <c r="BF2608"/>
    </row>
    <row r="2609" spans="16:58" ht="14.4">
      <c r="P2609"/>
      <c r="Q2609" s="23"/>
      <c r="BF2609"/>
    </row>
    <row r="2610" spans="16:58" ht="14.4">
      <c r="P2610"/>
      <c r="Q2610" s="23"/>
      <c r="BF2610"/>
    </row>
    <row r="2611" spans="16:58" ht="14.4">
      <c r="P2611"/>
      <c r="Q2611" s="23"/>
      <c r="BF2611"/>
    </row>
    <row r="2612" spans="16:58" ht="14.4">
      <c r="P2612"/>
      <c r="Q2612" s="23"/>
      <c r="BF2612"/>
    </row>
    <row r="2613" spans="16:58" ht="14.4">
      <c r="P2613"/>
      <c r="Q2613" s="23"/>
      <c r="BF2613"/>
    </row>
    <row r="2614" spans="16:58" ht="14.4">
      <c r="P2614"/>
      <c r="Q2614" s="23"/>
      <c r="BF2614"/>
    </row>
    <row r="2615" spans="16:58" ht="14.4">
      <c r="P2615"/>
      <c r="Q2615" s="23"/>
      <c r="BF2615"/>
    </row>
    <row r="2616" spans="16:58" ht="14.4">
      <c r="P2616"/>
      <c r="Q2616" s="23"/>
      <c r="BF2616"/>
    </row>
    <row r="2617" spans="16:58" ht="14.4">
      <c r="P2617"/>
      <c r="Q2617" s="23"/>
      <c r="BF2617"/>
    </row>
    <row r="2618" spans="16:58" ht="14.4">
      <c r="P2618"/>
      <c r="Q2618" s="23"/>
      <c r="BF2618"/>
    </row>
    <row r="2619" spans="16:58" ht="14.4">
      <c r="P2619"/>
      <c r="Q2619" s="23"/>
      <c r="BF2619"/>
    </row>
    <row r="2620" spans="16:58" ht="14.4">
      <c r="P2620"/>
      <c r="Q2620" s="23"/>
      <c r="BF2620"/>
    </row>
    <row r="2621" spans="16:58" ht="14.4">
      <c r="P2621"/>
      <c r="Q2621" s="23"/>
      <c r="BF2621"/>
    </row>
    <row r="2622" spans="16:58" ht="14.4">
      <c r="P2622"/>
      <c r="Q2622" s="23"/>
      <c r="BF2622"/>
    </row>
    <row r="2623" spans="16:58" ht="14.4">
      <c r="P2623"/>
      <c r="Q2623" s="23"/>
      <c r="BF2623"/>
    </row>
    <row r="2624" spans="16:58" ht="14.4">
      <c r="P2624"/>
      <c r="Q2624" s="23"/>
      <c r="BF2624"/>
    </row>
    <row r="2625" spans="16:58" ht="14.4">
      <c r="P2625"/>
      <c r="Q2625" s="23"/>
      <c r="BF2625"/>
    </row>
    <row r="2626" spans="16:58" ht="14.4">
      <c r="P2626"/>
      <c r="Q2626" s="23"/>
      <c r="BF2626"/>
    </row>
    <row r="2627" spans="16:58" ht="14.4">
      <c r="P2627"/>
      <c r="Q2627" s="23"/>
      <c r="BF2627"/>
    </row>
    <row r="2628" spans="16:58" ht="14.4">
      <c r="P2628"/>
      <c r="Q2628" s="23"/>
      <c r="BF2628"/>
    </row>
    <row r="2629" spans="16:58" ht="14.4">
      <c r="P2629"/>
      <c r="Q2629" s="23"/>
      <c r="BF2629"/>
    </row>
    <row r="2630" spans="16:58" ht="14.4">
      <c r="P2630"/>
      <c r="Q2630" s="23"/>
      <c r="BF2630"/>
    </row>
    <row r="2631" spans="16:58" ht="14.4">
      <c r="P2631"/>
      <c r="Q2631" s="23"/>
      <c r="BF2631"/>
    </row>
    <row r="2632" spans="16:58" ht="14.4">
      <c r="P2632"/>
      <c r="Q2632" s="23"/>
      <c r="BF2632"/>
    </row>
    <row r="2633" spans="16:58" ht="14.4">
      <c r="P2633"/>
      <c r="Q2633" s="23"/>
      <c r="BF2633"/>
    </row>
    <row r="2634" spans="16:58" ht="14.4">
      <c r="P2634"/>
      <c r="Q2634" s="23"/>
      <c r="BF2634"/>
    </row>
    <row r="2635" spans="16:58" ht="14.4">
      <c r="P2635"/>
      <c r="Q2635" s="23"/>
      <c r="BF2635"/>
    </row>
    <row r="2636" spans="16:58" ht="14.4">
      <c r="P2636"/>
      <c r="Q2636" s="23"/>
      <c r="BF2636"/>
    </row>
    <row r="2637" spans="16:58" ht="14.4">
      <c r="P2637"/>
      <c r="Q2637" s="23"/>
      <c r="BF2637"/>
    </row>
    <row r="2638" spans="16:58" ht="14.4">
      <c r="P2638"/>
      <c r="Q2638" s="23"/>
      <c r="BF2638"/>
    </row>
    <row r="2639" spans="16:58" ht="14.4">
      <c r="P2639"/>
      <c r="Q2639" s="23"/>
      <c r="BF2639"/>
    </row>
    <row r="2640" spans="16:58" ht="14.4">
      <c r="P2640"/>
      <c r="Q2640" s="23"/>
      <c r="BF2640"/>
    </row>
    <row r="2641" spans="16:58" ht="14.4">
      <c r="P2641"/>
      <c r="Q2641" s="23"/>
      <c r="BF2641"/>
    </row>
    <row r="2642" spans="16:58" ht="14.4">
      <c r="P2642"/>
      <c r="Q2642" s="23"/>
      <c r="BF2642"/>
    </row>
    <row r="2643" spans="16:58" ht="14.4">
      <c r="P2643"/>
      <c r="Q2643" s="23"/>
      <c r="BF2643"/>
    </row>
    <row r="2644" spans="16:58" ht="14.4">
      <c r="P2644"/>
      <c r="Q2644" s="23"/>
      <c r="BF2644"/>
    </row>
    <row r="2645" spans="16:58" ht="14.4">
      <c r="P2645"/>
      <c r="Q2645" s="23"/>
      <c r="BF2645"/>
    </row>
    <row r="2646" spans="16:58" ht="14.4">
      <c r="P2646"/>
      <c r="Q2646" s="23"/>
      <c r="BF2646"/>
    </row>
    <row r="2647" spans="16:58" ht="14.4">
      <c r="P2647"/>
      <c r="Q2647" s="23"/>
      <c r="BF2647"/>
    </row>
    <row r="2648" spans="16:58" ht="14.4">
      <c r="P2648"/>
      <c r="Q2648" s="23"/>
      <c r="BF2648"/>
    </row>
    <row r="2649" spans="16:58" ht="14.4">
      <c r="P2649"/>
      <c r="Q2649" s="23"/>
      <c r="BF2649"/>
    </row>
    <row r="2650" spans="16:58" ht="14.4">
      <c r="P2650"/>
      <c r="Q2650" s="23"/>
      <c r="BF2650"/>
    </row>
    <row r="2651" spans="16:58" ht="14.4">
      <c r="P2651"/>
      <c r="Q2651" s="23"/>
      <c r="BF2651"/>
    </row>
    <row r="2652" spans="16:58" ht="14.4">
      <c r="P2652"/>
      <c r="Q2652" s="23"/>
      <c r="BF2652"/>
    </row>
    <row r="2653" spans="16:58" ht="14.4">
      <c r="P2653"/>
      <c r="Q2653" s="23"/>
      <c r="BF2653"/>
    </row>
    <row r="2654" spans="16:58" ht="14.4">
      <c r="P2654"/>
      <c r="Q2654" s="23"/>
      <c r="BF2654"/>
    </row>
    <row r="2655" spans="16:58" ht="14.4">
      <c r="P2655"/>
      <c r="Q2655" s="23"/>
      <c r="BF2655"/>
    </row>
    <row r="2656" spans="16:58" ht="14.4">
      <c r="P2656"/>
      <c r="Q2656" s="23"/>
      <c r="BF2656"/>
    </row>
    <row r="2657" spans="16:58" ht="14.4">
      <c r="P2657"/>
      <c r="Q2657" s="23"/>
      <c r="BF2657"/>
    </row>
    <row r="2658" spans="16:58" ht="14.4">
      <c r="P2658"/>
      <c r="Q2658" s="23"/>
      <c r="BF2658"/>
    </row>
    <row r="2659" spans="16:58" ht="14.4">
      <c r="P2659"/>
      <c r="Q2659" s="23"/>
      <c r="BF2659"/>
    </row>
    <row r="2660" spans="16:58" ht="14.4">
      <c r="P2660"/>
      <c r="Q2660" s="23"/>
      <c r="BF2660"/>
    </row>
    <row r="2661" spans="16:58" ht="14.4">
      <c r="P2661"/>
      <c r="Q2661" s="23"/>
      <c r="BF2661"/>
    </row>
    <row r="2662" spans="16:58" ht="14.4">
      <c r="P2662"/>
      <c r="Q2662" s="23"/>
      <c r="BF2662"/>
    </row>
    <row r="2663" spans="16:58" ht="14.4">
      <c r="P2663"/>
      <c r="Q2663" s="23"/>
      <c r="BF2663"/>
    </row>
    <row r="2664" spans="16:58" ht="14.4">
      <c r="P2664"/>
      <c r="Q2664" s="23"/>
      <c r="BF2664"/>
    </row>
    <row r="2665" spans="16:58" ht="14.4">
      <c r="P2665"/>
      <c r="Q2665" s="23"/>
      <c r="BF2665"/>
    </row>
    <row r="2666" spans="16:58" ht="14.4">
      <c r="P2666"/>
      <c r="Q2666" s="23"/>
      <c r="BF2666"/>
    </row>
    <row r="2667" spans="16:58" ht="14.4">
      <c r="P2667"/>
      <c r="Q2667" s="23"/>
      <c r="BF2667"/>
    </row>
    <row r="2668" spans="16:58" ht="14.4">
      <c r="P2668"/>
      <c r="Q2668" s="23"/>
      <c r="BF2668"/>
    </row>
    <row r="2669" spans="15:58" ht="14.4">
      <c r="O2669" s="73"/>
      <c r="P2669"/>
      <c r="Q2669" s="23"/>
      <c r="BF2669"/>
    </row>
    <row r="2670" spans="15:58" ht="14.4">
      <c r="O2670" s="73"/>
      <c r="P2670"/>
      <c r="Q2670" s="23"/>
      <c r="BF2670"/>
    </row>
    <row r="2671" spans="15:58" ht="14.4">
      <c r="O2671" s="73"/>
      <c r="P2671"/>
      <c r="Q2671" s="23"/>
      <c r="BF2671"/>
    </row>
    <row r="2672" spans="15:58" ht="14.4">
      <c r="O2672" s="73"/>
      <c r="P2672"/>
      <c r="Q2672" s="23"/>
      <c r="BF2672"/>
    </row>
    <row r="2673" spans="15:58" ht="14.4">
      <c r="O2673" s="73"/>
      <c r="P2673"/>
      <c r="Q2673" s="23"/>
      <c r="BF2673"/>
    </row>
    <row r="2674" spans="15:58" ht="14.4">
      <c r="O2674" s="73"/>
      <c r="P2674"/>
      <c r="Q2674" s="23"/>
      <c r="BF2674"/>
    </row>
    <row r="2675" spans="15:58" ht="14.4">
      <c r="O2675" s="73"/>
      <c r="P2675"/>
      <c r="Q2675" s="23"/>
      <c r="BF2675"/>
    </row>
    <row r="2676" ht="14.4">
      <c r="BF2676"/>
    </row>
    <row r="2677" ht="14.4">
      <c r="BF2677"/>
    </row>
    <row r="2678" ht="14.4">
      <c r="BF2678"/>
    </row>
    <row r="2679" ht="14.4">
      <c r="BF2679"/>
    </row>
    <row r="2680" ht="14.4">
      <c r="BF2680"/>
    </row>
    <row r="2681" ht="14.4">
      <c r="BF2681"/>
    </row>
    <row r="2682" ht="14.4">
      <c r="BF2682"/>
    </row>
    <row r="2683" spans="15:58" ht="14.4">
      <c r="O2683" s="73"/>
      <c r="P2683"/>
      <c r="Q2683" s="23"/>
      <c r="BF2683"/>
    </row>
    <row r="2684" spans="15:58" ht="14.4">
      <c r="O2684" s="73"/>
      <c r="P2684"/>
      <c r="Q2684" s="23"/>
      <c r="BF2684"/>
    </row>
    <row r="2685" spans="15:58" ht="14.4">
      <c r="O2685" s="73"/>
      <c r="P2685"/>
      <c r="Q2685" s="23"/>
      <c r="BF2685"/>
    </row>
    <row r="2686" spans="15:58" ht="14.4">
      <c r="O2686" s="73"/>
      <c r="P2686"/>
      <c r="Q2686" s="23"/>
      <c r="BF2686"/>
    </row>
    <row r="2687" spans="15:58" ht="14.4">
      <c r="O2687" s="73"/>
      <c r="P2687"/>
      <c r="Q2687" s="23"/>
      <c r="BF2687"/>
    </row>
    <row r="2688" spans="15:58" ht="14.4">
      <c r="O2688" s="73"/>
      <c r="P2688"/>
      <c r="Q2688" s="23"/>
      <c r="BF2688"/>
    </row>
    <row r="2689" spans="15:58" ht="14.4">
      <c r="O2689" s="73"/>
      <c r="P2689"/>
      <c r="Q2689" s="23"/>
      <c r="BF2689"/>
    </row>
    <row r="2690" spans="15:58" ht="14.4">
      <c r="O2690" s="73"/>
      <c r="P2690"/>
      <c r="Q2690" s="23"/>
      <c r="BF2690"/>
    </row>
    <row r="2691" spans="15:58" ht="14.4">
      <c r="O2691" s="73"/>
      <c r="P2691"/>
      <c r="Q2691" s="23"/>
      <c r="BF2691"/>
    </row>
    <row r="2692" spans="15:58" ht="14.4">
      <c r="O2692" s="73"/>
      <c r="P2692"/>
      <c r="Q2692" s="23"/>
      <c r="BF2692"/>
    </row>
    <row r="2693" spans="15:58" ht="14.4">
      <c r="O2693" s="73"/>
      <c r="P2693"/>
      <c r="Q2693" s="23"/>
      <c r="BF2693"/>
    </row>
    <row r="2694" spans="15:58" ht="14.4">
      <c r="O2694" s="73"/>
      <c r="P2694"/>
      <c r="Q2694" s="23"/>
      <c r="BF2694"/>
    </row>
    <row r="2695" spans="15:58" ht="14.4">
      <c r="O2695" s="73"/>
      <c r="P2695"/>
      <c r="Q2695" s="23"/>
      <c r="BF2695"/>
    </row>
    <row r="2696" spans="15:58" ht="14.4">
      <c r="O2696" s="73"/>
      <c r="P2696"/>
      <c r="Q2696" s="23"/>
      <c r="BF2696"/>
    </row>
    <row r="2697" spans="15:58" ht="14.4">
      <c r="O2697" s="73"/>
      <c r="P2697"/>
      <c r="Q2697" s="23"/>
      <c r="BF2697"/>
    </row>
    <row r="2698" spans="15:58" ht="14.4">
      <c r="O2698" s="73"/>
      <c r="P2698"/>
      <c r="Q2698" s="23"/>
      <c r="BF2698"/>
    </row>
    <row r="2699" spans="15:58" ht="14.4">
      <c r="O2699" s="73"/>
      <c r="P2699"/>
      <c r="Q2699" s="23"/>
      <c r="BF2699"/>
    </row>
    <row r="2700" spans="15:58" ht="14.4">
      <c r="O2700" s="73"/>
      <c r="P2700"/>
      <c r="Q2700" s="23"/>
      <c r="BF2700"/>
    </row>
    <row r="2701" spans="15:58" ht="14.4">
      <c r="O2701" s="73"/>
      <c r="P2701"/>
      <c r="Q2701" s="23"/>
      <c r="BF2701"/>
    </row>
    <row r="2702" spans="15:58" ht="14.4">
      <c r="O2702" s="73"/>
      <c r="P2702"/>
      <c r="Q2702" s="23"/>
      <c r="BF2702"/>
    </row>
    <row r="2703" spans="15:58" ht="14.4">
      <c r="O2703" s="73"/>
      <c r="P2703"/>
      <c r="Q2703" s="23"/>
      <c r="BF2703"/>
    </row>
    <row r="2704" spans="15:58" ht="14.4">
      <c r="O2704" s="73"/>
      <c r="P2704"/>
      <c r="Q2704" s="23"/>
      <c r="BF2704"/>
    </row>
    <row r="2705" spans="15:58" ht="14.4">
      <c r="O2705" s="73"/>
      <c r="P2705"/>
      <c r="Q2705" s="23"/>
      <c r="BF2705"/>
    </row>
    <row r="2706" spans="15:58" ht="14.4">
      <c r="O2706" s="73"/>
      <c r="P2706"/>
      <c r="Q2706" s="23"/>
      <c r="BF2706"/>
    </row>
    <row r="2707" spans="15:58" ht="14.4">
      <c r="O2707" s="73"/>
      <c r="P2707"/>
      <c r="Q2707" s="23"/>
      <c r="BF2707"/>
    </row>
    <row r="2708" spans="15:58" ht="14.4">
      <c r="O2708" s="73"/>
      <c r="P2708"/>
      <c r="Q2708" s="23"/>
      <c r="BF2708"/>
    </row>
    <row r="2709" spans="15:58" ht="14.4">
      <c r="O2709" s="73"/>
      <c r="P2709"/>
      <c r="Q2709" s="23"/>
      <c r="BF2709"/>
    </row>
    <row r="2710" spans="15:58" ht="14.4">
      <c r="O2710" s="73"/>
      <c r="P2710"/>
      <c r="Q2710" s="23"/>
      <c r="BF2710"/>
    </row>
    <row r="2711" spans="15:58" ht="14.4">
      <c r="O2711" s="73"/>
      <c r="P2711"/>
      <c r="Q2711" s="23"/>
      <c r="BF2711"/>
    </row>
    <row r="2712" spans="15:58" ht="14.4">
      <c r="O2712" s="73"/>
      <c r="P2712"/>
      <c r="Q2712" s="23"/>
      <c r="BF2712"/>
    </row>
    <row r="2713" spans="15:58" ht="14.4">
      <c r="O2713" s="73"/>
      <c r="P2713"/>
      <c r="Q2713" s="23"/>
      <c r="BF2713"/>
    </row>
    <row r="2714" spans="15:58" ht="14.4">
      <c r="O2714" s="73"/>
      <c r="P2714"/>
      <c r="Q2714" s="23"/>
      <c r="BF2714"/>
    </row>
    <row r="2715" spans="15:58" ht="14.4">
      <c r="O2715" s="73"/>
      <c r="P2715"/>
      <c r="Q2715" s="23"/>
      <c r="BF2715"/>
    </row>
    <row r="2716" spans="15:58" ht="14.4">
      <c r="O2716" s="73"/>
      <c r="P2716"/>
      <c r="Q2716" s="23"/>
      <c r="BF2716"/>
    </row>
    <row r="2717" spans="15:58" ht="14.4">
      <c r="O2717" s="73"/>
      <c r="P2717"/>
      <c r="Q2717" s="23"/>
      <c r="BF2717"/>
    </row>
    <row r="2718" spans="15:58" ht="14.4">
      <c r="O2718" s="73"/>
      <c r="P2718"/>
      <c r="Q2718" s="23"/>
      <c r="BF2718"/>
    </row>
    <row r="2719" spans="15:58" ht="14.4">
      <c r="O2719" s="73"/>
      <c r="P2719"/>
      <c r="Q2719" s="23"/>
      <c r="BF2719"/>
    </row>
    <row r="2720" spans="15:58" ht="14.4">
      <c r="O2720" s="73"/>
      <c r="P2720"/>
      <c r="Q2720" s="23"/>
      <c r="BF2720"/>
    </row>
    <row r="2721" spans="15:58" ht="14.4">
      <c r="O2721" s="73"/>
      <c r="P2721"/>
      <c r="Q2721" s="23"/>
      <c r="BF2721"/>
    </row>
    <row r="2722" spans="15:58" ht="14.4">
      <c r="O2722" s="73"/>
      <c r="P2722"/>
      <c r="Q2722" s="23"/>
      <c r="BF2722"/>
    </row>
    <row r="2723" spans="15:58" ht="14.4">
      <c r="O2723" s="73"/>
      <c r="P2723"/>
      <c r="Q2723" s="23"/>
      <c r="BF2723"/>
    </row>
    <row r="2724" spans="15:58" ht="14.4">
      <c r="O2724" s="73"/>
      <c r="P2724"/>
      <c r="Q2724" s="23"/>
      <c r="BF2724"/>
    </row>
    <row r="2725" spans="15:58" ht="14.4">
      <c r="O2725" s="73"/>
      <c r="P2725"/>
      <c r="Q2725" s="23"/>
      <c r="BF2725"/>
    </row>
    <row r="2726" spans="15:58" ht="14.4">
      <c r="O2726" s="73"/>
      <c r="P2726"/>
      <c r="Q2726" s="23"/>
      <c r="BF2726"/>
    </row>
    <row r="2727" spans="15:58" ht="14.4">
      <c r="O2727" s="73"/>
      <c r="P2727"/>
      <c r="Q2727" s="23"/>
      <c r="BF2727"/>
    </row>
    <row r="2728" spans="15:58" ht="14.4">
      <c r="O2728" s="73"/>
      <c r="P2728"/>
      <c r="Q2728" s="23"/>
      <c r="BF2728"/>
    </row>
    <row r="2729" spans="15:58" ht="14.4">
      <c r="O2729" s="73"/>
      <c r="P2729"/>
      <c r="Q2729" s="23"/>
      <c r="BF2729"/>
    </row>
    <row r="2730" spans="15:58" ht="14.4">
      <c r="O2730" s="73"/>
      <c r="P2730"/>
      <c r="Q2730" s="23"/>
      <c r="BF2730"/>
    </row>
    <row r="2731" spans="15:58" ht="14.4">
      <c r="O2731" s="73"/>
      <c r="P2731"/>
      <c r="Q2731" s="23"/>
      <c r="BF2731"/>
    </row>
    <row r="2732" spans="15:58" ht="14.4">
      <c r="O2732" s="73"/>
      <c r="P2732"/>
      <c r="Q2732" s="23"/>
      <c r="BF2732"/>
    </row>
    <row r="2733" spans="15:58" ht="14.4">
      <c r="O2733" s="73"/>
      <c r="P2733"/>
      <c r="Q2733" s="23"/>
      <c r="BF2733"/>
    </row>
    <row r="2734" spans="15:58" ht="14.4">
      <c r="O2734" s="73"/>
      <c r="P2734"/>
      <c r="Q2734" s="23"/>
      <c r="BF2734"/>
    </row>
    <row r="2735" spans="15:58" ht="14.4">
      <c r="O2735" s="73"/>
      <c r="P2735"/>
      <c r="Q2735" s="23"/>
      <c r="BF2735"/>
    </row>
    <row r="2736" spans="15:58" ht="14.4">
      <c r="O2736" s="73"/>
      <c r="P2736"/>
      <c r="Q2736" s="23"/>
      <c r="BF2736"/>
    </row>
    <row r="2737" spans="15:58" ht="14.4">
      <c r="O2737" s="73"/>
      <c r="P2737"/>
      <c r="Q2737" s="23"/>
      <c r="BF2737"/>
    </row>
    <row r="2738" spans="15:58" ht="14.4">
      <c r="O2738" s="73"/>
      <c r="P2738"/>
      <c r="Q2738" s="23"/>
      <c r="BF2738"/>
    </row>
    <row r="2739" spans="15:58" ht="14.4">
      <c r="O2739" s="73"/>
      <c r="P2739"/>
      <c r="Q2739" s="23"/>
      <c r="BF2739"/>
    </row>
    <row r="2740" spans="15:58" ht="14.4">
      <c r="O2740" s="73"/>
      <c r="P2740"/>
      <c r="Q2740" s="23"/>
      <c r="BF2740"/>
    </row>
    <row r="2741" spans="15:58" ht="14.4">
      <c r="O2741" s="73"/>
      <c r="P2741"/>
      <c r="Q2741" s="23"/>
      <c r="BF2741"/>
    </row>
    <row r="2742" spans="15:58" ht="14.4">
      <c r="O2742" s="73"/>
      <c r="P2742"/>
      <c r="Q2742" s="23"/>
      <c r="BF2742"/>
    </row>
    <row r="2743" spans="15:58" ht="14.4">
      <c r="O2743" s="73"/>
      <c r="P2743"/>
      <c r="Q2743" s="23"/>
      <c r="BF2743"/>
    </row>
    <row r="2744" spans="15:58" ht="14.4">
      <c r="O2744" s="73"/>
      <c r="P2744"/>
      <c r="Q2744" s="23"/>
      <c r="BF2744"/>
    </row>
    <row r="2745" spans="15:58" ht="14.4">
      <c r="O2745" s="73"/>
      <c r="P2745"/>
      <c r="Q2745" s="23"/>
      <c r="BF2745"/>
    </row>
    <row r="2746" spans="15:58" ht="14.4">
      <c r="O2746" s="73"/>
      <c r="P2746"/>
      <c r="Q2746" s="23"/>
      <c r="BF2746"/>
    </row>
    <row r="2747" spans="15:58" ht="14.4">
      <c r="O2747" s="73"/>
      <c r="P2747"/>
      <c r="Q2747" s="23"/>
      <c r="BF2747"/>
    </row>
    <row r="2748" spans="15:58" ht="14.4">
      <c r="O2748" s="73"/>
      <c r="P2748"/>
      <c r="Q2748" s="23"/>
      <c r="BF2748"/>
    </row>
    <row r="2749" spans="15:58" ht="14.4">
      <c r="O2749" s="73"/>
      <c r="P2749"/>
      <c r="Q2749" s="23"/>
      <c r="BF2749"/>
    </row>
    <row r="2750" spans="15:58" ht="14.4">
      <c r="O2750" s="73"/>
      <c r="P2750"/>
      <c r="Q2750" s="23"/>
      <c r="BF2750"/>
    </row>
    <row r="2751" spans="15:58" ht="14.4">
      <c r="O2751" s="73"/>
      <c r="P2751"/>
      <c r="Q2751" s="23"/>
      <c r="BF2751"/>
    </row>
    <row r="2752" spans="15:58" ht="14.4">
      <c r="O2752" s="73"/>
      <c r="P2752"/>
      <c r="Q2752" s="23"/>
      <c r="BF2752"/>
    </row>
    <row r="2753" spans="15:58" ht="14.4">
      <c r="O2753" s="73"/>
      <c r="P2753"/>
      <c r="Q2753" s="23"/>
      <c r="BF2753"/>
    </row>
    <row r="2754" spans="15:58" ht="14.4">
      <c r="O2754" s="73"/>
      <c r="P2754"/>
      <c r="Q2754" s="23"/>
      <c r="BF2754"/>
    </row>
    <row r="2755" spans="15:58" ht="14.4">
      <c r="O2755" s="73"/>
      <c r="P2755"/>
      <c r="Q2755" s="23"/>
      <c r="BF2755"/>
    </row>
    <row r="2756" spans="15:58" ht="14.4">
      <c r="O2756" s="73"/>
      <c r="P2756"/>
      <c r="Q2756" s="23"/>
      <c r="BF2756"/>
    </row>
    <row r="2757" spans="15:58" ht="14.4">
      <c r="O2757" s="73"/>
      <c r="P2757"/>
      <c r="Q2757" s="23"/>
      <c r="BF2757"/>
    </row>
    <row r="2758" spans="15:58" ht="14.4">
      <c r="O2758" s="73"/>
      <c r="P2758"/>
      <c r="Q2758" s="23"/>
      <c r="BF2758"/>
    </row>
    <row r="2759" spans="15:58" ht="14.4">
      <c r="O2759" s="73"/>
      <c r="P2759"/>
      <c r="Q2759" s="23"/>
      <c r="BF2759"/>
    </row>
    <row r="2760" spans="17:58" ht="14.4">
      <c r="Q2760" s="23"/>
      <c r="BF2760"/>
    </row>
    <row r="2761" spans="16:58" ht="14.4">
      <c r="P2761" s="113"/>
      <c r="Q2761" s="23"/>
      <c r="BF2761"/>
    </row>
    <row r="2762" spans="17:58" ht="14.4">
      <c r="Q2762" s="23"/>
      <c r="BF2762"/>
    </row>
    <row r="2763" spans="17:58" ht="14.4">
      <c r="Q2763" s="23"/>
      <c r="BF2763"/>
    </row>
    <row r="2764" ht="14.4">
      <c r="BF2764"/>
    </row>
    <row r="2765" ht="14.4">
      <c r="BF2765"/>
    </row>
    <row r="2766" ht="14.4">
      <c r="BF2766"/>
    </row>
    <row r="2767" ht="14.4">
      <c r="BF2767"/>
    </row>
    <row r="2768" spans="17:58" ht="14.4">
      <c r="Q2768" s="23"/>
      <c r="BF2768"/>
    </row>
    <row r="2769" spans="16:58" ht="14.4">
      <c r="P2769" s="113"/>
      <c r="Q2769" s="23"/>
      <c r="BF2769"/>
    </row>
    <row r="2770" spans="17:58" ht="14.4">
      <c r="Q2770" s="23"/>
      <c r="BF2770"/>
    </row>
    <row r="2771" spans="17:58" ht="14.4">
      <c r="Q2771" s="23"/>
      <c r="BF2771"/>
    </row>
    <row r="2772" spans="17:58" ht="14.4">
      <c r="Q2772" s="23"/>
      <c r="BF2772"/>
    </row>
    <row r="2773" spans="16:58" ht="14.4">
      <c r="P2773" s="113"/>
      <c r="Q2773" s="23"/>
      <c r="BF2773"/>
    </row>
    <row r="2774" spans="17:58" ht="14.4">
      <c r="Q2774" s="23"/>
      <c r="BF2774"/>
    </row>
    <row r="2775" spans="17:58" ht="14.4">
      <c r="Q2775" s="23"/>
      <c r="BF2775"/>
    </row>
    <row r="2776" spans="17:58" ht="14.4">
      <c r="Q2776" s="23"/>
      <c r="BF2776"/>
    </row>
    <row r="2777" spans="16:58" ht="14.4">
      <c r="P2777" s="113"/>
      <c r="Q2777" s="23"/>
      <c r="BF2777"/>
    </row>
    <row r="2778" spans="17:58" ht="14.4">
      <c r="Q2778" s="23"/>
      <c r="BF2778"/>
    </row>
    <row r="2779" spans="17:58" ht="14.4">
      <c r="Q2779" s="23"/>
      <c r="BF2779"/>
    </row>
    <row r="2780" spans="17:58" ht="14.4">
      <c r="Q2780" s="23"/>
      <c r="BF2780"/>
    </row>
    <row r="2781" spans="16:58" ht="14.4">
      <c r="P2781" s="113"/>
      <c r="Q2781" s="23"/>
      <c r="BF2781"/>
    </row>
    <row r="2782" spans="17:58" ht="14.4">
      <c r="Q2782" s="23"/>
      <c r="BF2782"/>
    </row>
    <row r="2783" spans="17:58" ht="14.4">
      <c r="Q2783" s="23"/>
      <c r="BF2783"/>
    </row>
    <row r="2784" spans="17:58" ht="14.4">
      <c r="Q2784" s="23"/>
      <c r="BF2784"/>
    </row>
    <row r="2785" spans="16:58" ht="14.4">
      <c r="P2785" s="113"/>
      <c r="Q2785" s="23"/>
      <c r="BF2785"/>
    </row>
    <row r="2786" spans="17:58" ht="14.4">
      <c r="Q2786" s="23"/>
      <c r="BF2786"/>
    </row>
    <row r="2787" spans="17:58" ht="14.4">
      <c r="Q2787" s="23"/>
      <c r="BF2787"/>
    </row>
    <row r="2788" spans="17:58" ht="14.4">
      <c r="Q2788" s="23"/>
      <c r="BF2788"/>
    </row>
    <row r="2789" spans="16:58" ht="14.4">
      <c r="P2789" s="113"/>
      <c r="Q2789" s="23"/>
      <c r="BF2789"/>
    </row>
    <row r="2790" spans="17:58" ht="14.4">
      <c r="Q2790" s="23"/>
      <c r="BF2790"/>
    </row>
    <row r="2791" spans="17:58" ht="14.4">
      <c r="Q2791" s="23"/>
      <c r="BF2791"/>
    </row>
    <row r="2792" spans="17:58" ht="14.4">
      <c r="Q2792" s="23"/>
      <c r="BF2792"/>
    </row>
    <row r="2793" spans="16:58" ht="14.4">
      <c r="P2793" s="113"/>
      <c r="Q2793" s="23"/>
      <c r="BF2793"/>
    </row>
    <row r="2794" spans="17:58" ht="14.4">
      <c r="Q2794" s="23"/>
      <c r="BF2794"/>
    </row>
    <row r="2795" spans="17:58" ht="14.4">
      <c r="Q2795" s="23"/>
      <c r="BF2795"/>
    </row>
    <row r="2796" spans="17:58" ht="14.4">
      <c r="Q2796" s="23"/>
      <c r="BF2796"/>
    </row>
    <row r="2797" spans="16:58" ht="14.4">
      <c r="P2797" s="113"/>
      <c r="Q2797" s="23"/>
      <c r="BF2797"/>
    </row>
    <row r="2798" spans="17:58" ht="14.4">
      <c r="Q2798" s="23"/>
      <c r="BF2798"/>
    </row>
    <row r="2799" spans="17:58" ht="14.4">
      <c r="Q2799" s="23"/>
      <c r="BF2799"/>
    </row>
    <row r="2800" spans="17:58" ht="14.4">
      <c r="Q2800" s="23"/>
      <c r="BF2800"/>
    </row>
    <row r="2801" spans="16:58" ht="14.4">
      <c r="P2801" s="113"/>
      <c r="Q2801" s="23"/>
      <c r="BF2801"/>
    </row>
    <row r="2802" spans="17:58" ht="14.4">
      <c r="Q2802" s="23"/>
      <c r="BF2802"/>
    </row>
    <row r="2803" spans="17:58" ht="14.4">
      <c r="Q2803" s="23"/>
      <c r="BF2803"/>
    </row>
    <row r="2804" spans="17:58" ht="14.4">
      <c r="Q2804" s="23"/>
      <c r="BF2804"/>
    </row>
    <row r="2805" spans="16:58" ht="14.4">
      <c r="P2805" s="113"/>
      <c r="Q2805" s="23"/>
      <c r="BF2805"/>
    </row>
    <row r="2806" spans="17:58" ht="14.4">
      <c r="Q2806" s="23"/>
      <c r="BF2806"/>
    </row>
    <row r="2807" spans="17:58" ht="14.4">
      <c r="Q2807" s="23"/>
      <c r="BF2807"/>
    </row>
    <row r="2808" spans="17:58" ht="14.4">
      <c r="Q2808" s="23"/>
      <c r="BF2808"/>
    </row>
    <row r="2809" spans="16:58" ht="14.4">
      <c r="P2809" s="113"/>
      <c r="Q2809" s="23"/>
      <c r="BF2809"/>
    </row>
    <row r="2810" spans="17:58" ht="14.4">
      <c r="Q2810" s="23"/>
      <c r="BF2810"/>
    </row>
    <row r="2811" spans="17:58" ht="14.4">
      <c r="Q2811" s="23"/>
      <c r="BF2811"/>
    </row>
    <row r="2812" spans="17:58" ht="14.4">
      <c r="Q2812" s="23"/>
      <c r="BF2812"/>
    </row>
    <row r="2813" spans="16:58" ht="14.4">
      <c r="P2813" s="113"/>
      <c r="Q2813" s="23"/>
      <c r="BF2813"/>
    </row>
    <row r="2814" spans="17:58" ht="14.4">
      <c r="Q2814" s="23"/>
      <c r="BF2814"/>
    </row>
    <row r="2815" spans="17:58" ht="14.4">
      <c r="Q2815" s="23"/>
      <c r="BF2815"/>
    </row>
    <row r="2816" ht="14.4">
      <c r="BF2816"/>
    </row>
    <row r="2817" ht="14.4">
      <c r="BF2817"/>
    </row>
    <row r="2818" ht="14.4">
      <c r="BF2818"/>
    </row>
    <row r="2819" ht="14.4">
      <c r="BF2819"/>
    </row>
    <row r="2820" spans="17:58" ht="14.4">
      <c r="Q2820" s="23"/>
      <c r="BF2820"/>
    </row>
    <row r="2821" spans="16:58" ht="14.4">
      <c r="P2821" s="113"/>
      <c r="Q2821" s="23"/>
      <c r="BF2821"/>
    </row>
    <row r="2822" spans="17:58" ht="14.4">
      <c r="Q2822" s="23"/>
      <c r="BF2822"/>
    </row>
    <row r="2823" spans="17:58" ht="14.4">
      <c r="Q2823" s="23"/>
      <c r="BF2823"/>
    </row>
    <row r="2824" spans="17:58" ht="14.4">
      <c r="Q2824" s="23"/>
      <c r="BF2824"/>
    </row>
    <row r="2825" spans="16:58" ht="14.4">
      <c r="P2825" s="113"/>
      <c r="Q2825" s="23"/>
      <c r="BF2825"/>
    </row>
    <row r="2826" spans="17:58" ht="14.4">
      <c r="Q2826" s="23"/>
      <c r="BF2826"/>
    </row>
    <row r="2827" spans="17:58" ht="14.4">
      <c r="Q2827" s="23"/>
      <c r="BF2827"/>
    </row>
    <row r="2828" spans="17:58" ht="14.4">
      <c r="Q2828" s="23"/>
      <c r="BF2828"/>
    </row>
    <row r="2829" spans="16:58" ht="14.4">
      <c r="P2829" s="113"/>
      <c r="Q2829" s="23"/>
      <c r="BF2829"/>
    </row>
    <row r="2830" spans="17:58" ht="14.4">
      <c r="Q2830" s="23"/>
      <c r="BF2830"/>
    </row>
    <row r="2831" spans="17:58" ht="14.4">
      <c r="Q2831" s="23"/>
      <c r="BF2831"/>
    </row>
    <row r="2832" spans="17:58" ht="14.4">
      <c r="Q2832" s="23"/>
      <c r="BF2832"/>
    </row>
    <row r="2833" spans="16:58" ht="14.4">
      <c r="P2833" s="113"/>
      <c r="Q2833" s="23"/>
      <c r="BF2833"/>
    </row>
    <row r="2834" spans="17:58" ht="14.4">
      <c r="Q2834" s="23"/>
      <c r="BF2834"/>
    </row>
    <row r="2835" spans="17:58" ht="14.4">
      <c r="Q2835" s="23"/>
      <c r="BF2835"/>
    </row>
    <row r="2836" spans="17:58" ht="14.4">
      <c r="Q2836" s="23"/>
      <c r="BF2836"/>
    </row>
    <row r="2837" spans="16:58" ht="14.4">
      <c r="P2837" s="113"/>
      <c r="Q2837" s="23"/>
      <c r="BF2837"/>
    </row>
    <row r="2838" spans="17:58" ht="14.4">
      <c r="Q2838" s="23"/>
      <c r="BF2838"/>
    </row>
    <row r="2839" spans="17:58" ht="14.4">
      <c r="Q2839" s="23"/>
      <c r="BF2839"/>
    </row>
    <row r="2840" spans="17:58" ht="14.4">
      <c r="Q2840" s="23"/>
      <c r="BF2840"/>
    </row>
    <row r="2841" spans="16:58" ht="14.4">
      <c r="P2841" s="113"/>
      <c r="Q2841" s="23"/>
      <c r="BF2841"/>
    </row>
    <row r="2842" spans="17:58" ht="14.4">
      <c r="Q2842" s="23"/>
      <c r="BF2842"/>
    </row>
    <row r="2843" spans="17:58" ht="14.4">
      <c r="Q2843" s="23"/>
      <c r="BF2843"/>
    </row>
    <row r="2844" spans="17:58" ht="14.4">
      <c r="Q2844" s="23"/>
      <c r="BF2844"/>
    </row>
    <row r="2845" spans="16:58" ht="14.4">
      <c r="P2845" s="113"/>
      <c r="Q2845" s="23"/>
      <c r="BF2845"/>
    </row>
    <row r="2846" spans="17:58" ht="14.4">
      <c r="Q2846" s="23"/>
      <c r="BF2846"/>
    </row>
    <row r="2847" spans="17:58" ht="14.4">
      <c r="Q2847" s="23"/>
      <c r="BF2847"/>
    </row>
    <row r="2848" spans="17:58" ht="14.4">
      <c r="Q2848" s="23"/>
      <c r="BF2848"/>
    </row>
    <row r="2849" spans="16:58" ht="14.4">
      <c r="P2849" s="113"/>
      <c r="Q2849" s="23"/>
      <c r="BF2849"/>
    </row>
    <row r="2850" spans="17:58" ht="14.4">
      <c r="Q2850" s="23"/>
      <c r="BF2850"/>
    </row>
    <row r="2851" spans="17:58" ht="14.4">
      <c r="Q2851" s="23"/>
      <c r="BF2851"/>
    </row>
    <row r="2852" spans="17:58" ht="14.4">
      <c r="Q2852" s="23"/>
      <c r="BF2852"/>
    </row>
    <row r="2853" spans="16:58" ht="14.4">
      <c r="P2853" s="113"/>
      <c r="Q2853" s="23"/>
      <c r="BF2853"/>
    </row>
    <row r="2854" spans="17:58" ht="14.4">
      <c r="Q2854" s="23"/>
      <c r="BF2854"/>
    </row>
    <row r="2855" spans="17:58" ht="14.4">
      <c r="Q2855" s="23"/>
      <c r="BF2855"/>
    </row>
    <row r="2856" spans="17:58" ht="14.4">
      <c r="Q2856" s="23"/>
      <c r="BF2856"/>
    </row>
    <row r="2857" spans="16:58" ht="14.4">
      <c r="P2857" s="113"/>
      <c r="Q2857" s="23"/>
      <c r="BF2857"/>
    </row>
    <row r="2858" spans="17:58" ht="14.4">
      <c r="Q2858" s="23"/>
      <c r="BF2858"/>
    </row>
    <row r="2859" spans="17:58" ht="14.4">
      <c r="Q2859" s="23"/>
      <c r="BF2859"/>
    </row>
    <row r="2860" spans="17:58" ht="14.4">
      <c r="Q2860" s="23"/>
      <c r="BF2860"/>
    </row>
    <row r="2861" spans="16:58" ht="14.4">
      <c r="P2861" s="113"/>
      <c r="Q2861" s="23"/>
      <c r="BF2861"/>
    </row>
    <row r="2862" spans="17:58" ht="14.4">
      <c r="Q2862" s="23"/>
      <c r="BF2862"/>
    </row>
    <row r="2863" spans="17:58" ht="14.4">
      <c r="Q2863" s="23"/>
      <c r="BF2863"/>
    </row>
    <row r="2864" spans="16:58" ht="14.4">
      <c r="P2864" s="23"/>
      <c r="Q2864" s="23"/>
      <c r="BF2864"/>
    </row>
    <row r="2865" spans="16:58" ht="14.4">
      <c r="P2865" s="23"/>
      <c r="BF2865"/>
    </row>
    <row r="2866" spans="16:58" ht="14.4">
      <c r="P2866" s="23"/>
      <c r="Q2866" s="23"/>
      <c r="BF2866"/>
    </row>
    <row r="2867" spans="16:58" ht="14.4">
      <c r="P2867" s="23"/>
      <c r="Q2867" s="23"/>
      <c r="BF2867"/>
    </row>
    <row r="2868" spans="16:58" ht="14.4">
      <c r="P2868" s="23"/>
      <c r="Q2868" s="23"/>
      <c r="BF2868"/>
    </row>
    <row r="2869" spans="16:58" ht="14.4">
      <c r="P2869" s="23"/>
      <c r="Q2869" s="23"/>
      <c r="BF2869"/>
    </row>
    <row r="2870" spans="16:58" ht="14.4">
      <c r="P2870" s="23"/>
      <c r="Q2870" s="23"/>
      <c r="BF2870"/>
    </row>
    <row r="2871" spans="16:58" ht="14.4">
      <c r="P2871" s="23"/>
      <c r="Q2871" s="23"/>
      <c r="BF2871"/>
    </row>
    <row r="2872" spans="16:58" ht="14.4">
      <c r="P2872" s="23"/>
      <c r="Q2872" s="23"/>
      <c r="BF2872"/>
    </row>
    <row r="2873" spans="16:58" ht="14.4">
      <c r="P2873" s="23"/>
      <c r="Q2873" s="23"/>
      <c r="BF2873"/>
    </row>
    <row r="2874" spans="16:58" ht="14.4">
      <c r="P2874" s="23"/>
      <c r="Q2874" s="23"/>
      <c r="BF2874"/>
    </row>
    <row r="2875" spans="16:58" ht="14.4">
      <c r="P2875" s="23"/>
      <c r="Q2875" s="23"/>
      <c r="BF2875"/>
    </row>
    <row r="2876" spans="16:58" ht="14.4">
      <c r="P2876" s="23"/>
      <c r="Q2876" s="23"/>
      <c r="BF2876"/>
    </row>
    <row r="2877" spans="16:58" ht="14.4">
      <c r="P2877" s="23"/>
      <c r="Q2877" s="23"/>
      <c r="BF2877"/>
    </row>
    <row r="2878" spans="16:58" ht="14.4">
      <c r="P2878" s="23"/>
      <c r="BF2878"/>
    </row>
    <row r="2879" spans="16:58" ht="14.4">
      <c r="P2879" s="23"/>
      <c r="Q2879" s="23"/>
      <c r="BF2879"/>
    </row>
    <row r="2880" spans="16:58" ht="14.4">
      <c r="P2880" s="23"/>
      <c r="Q2880" s="23"/>
      <c r="BF2880"/>
    </row>
    <row r="2881" spans="16:58" ht="14.4">
      <c r="P2881" s="23"/>
      <c r="Q2881" s="23"/>
      <c r="BF2881"/>
    </row>
    <row r="2882" spans="16:58" ht="14.4">
      <c r="P2882" s="23"/>
      <c r="Q2882" s="23"/>
      <c r="BF2882"/>
    </row>
    <row r="2883" spans="16:58" ht="14.4">
      <c r="P2883" s="23"/>
      <c r="Q2883" s="23"/>
      <c r="BF2883"/>
    </row>
    <row r="2884" spans="16:58" ht="14.4">
      <c r="P2884" s="23"/>
      <c r="Q2884" s="23"/>
      <c r="BF2884"/>
    </row>
    <row r="2885" spans="16:58" ht="14.4">
      <c r="P2885" s="23"/>
      <c r="Q2885" s="23"/>
      <c r="BF2885"/>
    </row>
    <row r="2886" spans="16:58" ht="14.4">
      <c r="P2886" s="23"/>
      <c r="Q2886" s="23"/>
      <c r="BF2886"/>
    </row>
    <row r="2887" spans="16:58" ht="14.4">
      <c r="P2887" s="23"/>
      <c r="Q2887" s="23"/>
      <c r="BF2887"/>
    </row>
    <row r="2888" spans="16:58" ht="14.4">
      <c r="P2888" s="23"/>
      <c r="Q2888" s="23"/>
      <c r="BF2888"/>
    </row>
    <row r="2889" spans="16:58" ht="14.4">
      <c r="P2889" s="23"/>
      <c r="Q2889" s="23"/>
      <c r="BF2889"/>
    </row>
    <row r="2890" spans="16:58" ht="14.4">
      <c r="P2890" s="23"/>
      <c r="Q2890" s="23"/>
      <c r="BF2890"/>
    </row>
    <row r="2891" spans="16:58" ht="14.4">
      <c r="P2891" s="23"/>
      <c r="BF2891"/>
    </row>
    <row r="2892" spans="16:58" ht="14.4">
      <c r="P2892" s="23"/>
      <c r="Q2892" s="23"/>
      <c r="BF2892"/>
    </row>
    <row r="2893" spans="16:58" ht="14.4">
      <c r="P2893" s="23"/>
      <c r="Q2893" s="23"/>
      <c r="BF2893"/>
    </row>
    <row r="2894" spans="16:58" ht="14.4">
      <c r="P2894" s="23"/>
      <c r="Q2894" s="23"/>
      <c r="BF2894"/>
    </row>
    <row r="2895" spans="16:58" ht="14.4">
      <c r="P2895" s="23"/>
      <c r="Q2895" s="23"/>
      <c r="BF2895"/>
    </row>
    <row r="2896" spans="16:58" ht="14.4">
      <c r="P2896" s="23"/>
      <c r="Q2896" s="23"/>
      <c r="BF2896"/>
    </row>
    <row r="2897" spans="16:58" ht="14.4">
      <c r="P2897" s="23"/>
      <c r="Q2897" s="23"/>
      <c r="BF2897"/>
    </row>
    <row r="2898" spans="16:58" ht="14.4">
      <c r="P2898" s="23"/>
      <c r="Q2898" s="23"/>
      <c r="BF2898"/>
    </row>
    <row r="2899" spans="16:58" ht="14.4">
      <c r="P2899" s="23"/>
      <c r="Q2899" s="23"/>
      <c r="BF2899"/>
    </row>
    <row r="2900" spans="16:58" ht="14.4">
      <c r="P2900" s="23"/>
      <c r="Q2900" s="23"/>
      <c r="BF2900"/>
    </row>
    <row r="2901" spans="16:58" ht="14.4">
      <c r="P2901" s="23"/>
      <c r="Q2901" s="23"/>
      <c r="BF2901"/>
    </row>
    <row r="2902" spans="16:58" ht="14.4">
      <c r="P2902" s="23"/>
      <c r="Q2902" s="23"/>
      <c r="BF2902"/>
    </row>
    <row r="2903" spans="16:58" ht="14.4">
      <c r="P2903" s="23"/>
      <c r="Q2903" s="23"/>
      <c r="BF2903"/>
    </row>
    <row r="2904" spans="16:58" ht="14.4">
      <c r="P2904" s="23"/>
      <c r="Q2904" s="23"/>
      <c r="BF2904"/>
    </row>
    <row r="2905" spans="16:58" ht="14.4">
      <c r="P2905" s="23"/>
      <c r="BF2905"/>
    </row>
    <row r="2906" spans="16:58" ht="14.4">
      <c r="P2906" s="23"/>
      <c r="Q2906" s="23"/>
      <c r="BF2906"/>
    </row>
    <row r="2907" spans="16:58" ht="14.4">
      <c r="P2907" s="23"/>
      <c r="Q2907" s="23"/>
      <c r="BF2907"/>
    </row>
    <row r="2908" spans="16:58" ht="14.4">
      <c r="P2908" s="23"/>
      <c r="Q2908" s="23"/>
      <c r="BF2908"/>
    </row>
    <row r="2909" spans="16:58" ht="14.4">
      <c r="P2909" s="23"/>
      <c r="Q2909" s="23"/>
      <c r="BF2909"/>
    </row>
    <row r="2910" spans="16:58" ht="14.4">
      <c r="P2910" s="23"/>
      <c r="Q2910" s="23"/>
      <c r="BF2910"/>
    </row>
    <row r="2911" spans="16:58" ht="14.4">
      <c r="P2911" s="23"/>
      <c r="Q2911" s="23"/>
      <c r="BF2911"/>
    </row>
    <row r="2912" spans="16:58" ht="14.4">
      <c r="P2912" s="23"/>
      <c r="Q2912" s="23"/>
      <c r="BF2912"/>
    </row>
    <row r="2913" spans="16:58" ht="14.4">
      <c r="P2913" s="23"/>
      <c r="Q2913" s="23"/>
      <c r="BF2913"/>
    </row>
    <row r="2914" spans="16:58" ht="14.4">
      <c r="P2914" s="23"/>
      <c r="Q2914" s="23"/>
      <c r="BF2914"/>
    </row>
    <row r="2915" spans="16:58" ht="14.4">
      <c r="P2915" s="23"/>
      <c r="Q2915" s="23"/>
      <c r="BF2915"/>
    </row>
    <row r="2916" spans="17:58" ht="14.4">
      <c r="Q2916" s="23"/>
      <c r="BF2916"/>
    </row>
    <row r="2917" spans="17:58" ht="14.4">
      <c r="Q2917" s="23"/>
      <c r="BF2917"/>
    </row>
    <row r="2918" spans="17:58" ht="14.4">
      <c r="Q2918" s="23"/>
      <c r="BF2918"/>
    </row>
    <row r="2919" ht="14.4">
      <c r="BF2919"/>
    </row>
    <row r="2920" ht="14.4">
      <c r="BF2920"/>
    </row>
    <row r="2921" ht="14.4">
      <c r="BF2921"/>
    </row>
    <row r="2922" spans="17:58" ht="14.4">
      <c r="Q2922" s="23"/>
      <c r="BF2922"/>
    </row>
    <row r="2923" spans="17:58" ht="14.4">
      <c r="Q2923" s="23"/>
      <c r="BF2923"/>
    </row>
    <row r="2924" spans="17:58" ht="14.4">
      <c r="Q2924" s="23"/>
      <c r="BF2924"/>
    </row>
    <row r="2925" spans="17:58" ht="14.4">
      <c r="Q2925" s="23"/>
      <c r="BF2925"/>
    </row>
    <row r="2926" spans="17:58" ht="14.4">
      <c r="Q2926" s="23"/>
      <c r="BF2926"/>
    </row>
    <row r="2927" spans="17:58" ht="14.4">
      <c r="Q2927" s="23"/>
      <c r="BF2927"/>
    </row>
    <row r="2928" spans="17:58" ht="14.4">
      <c r="Q2928" s="23"/>
      <c r="BF2928"/>
    </row>
    <row r="2929" spans="17:58" ht="14.4">
      <c r="Q2929" s="23"/>
      <c r="BF2929"/>
    </row>
    <row r="2930" spans="17:58" ht="14.4">
      <c r="Q2930" s="23"/>
      <c r="BF2930"/>
    </row>
    <row r="2931" spans="17:58" ht="14.4">
      <c r="Q2931" s="23"/>
      <c r="BF2931"/>
    </row>
    <row r="2932" spans="17:58" ht="14.4">
      <c r="Q2932" s="23"/>
      <c r="BF2932"/>
    </row>
    <row r="2933" spans="17:58" ht="14.4">
      <c r="Q2933" s="23"/>
      <c r="BF2933"/>
    </row>
    <row r="2934" spans="17:58" ht="14.4">
      <c r="Q2934" s="23"/>
      <c r="BF2934"/>
    </row>
    <row r="2935" spans="17:58" ht="14.4">
      <c r="Q2935" s="23"/>
      <c r="BF2935"/>
    </row>
    <row r="2936" spans="17:58" ht="14.4">
      <c r="Q2936" s="23"/>
      <c r="BF2936"/>
    </row>
    <row r="2937" spans="17:58" ht="14.4">
      <c r="Q2937" s="23"/>
      <c r="BF2937"/>
    </row>
    <row r="2938" spans="17:58" ht="14.4">
      <c r="Q2938" s="23"/>
      <c r="BF2938"/>
    </row>
    <row r="2939" spans="17:58" ht="14.4">
      <c r="Q2939" s="23"/>
      <c r="BF2939"/>
    </row>
    <row r="2940" spans="17:58" ht="14.4">
      <c r="Q2940" s="23"/>
      <c r="BF2940"/>
    </row>
    <row r="2941" spans="17:58" ht="14.4">
      <c r="Q2941" s="23"/>
      <c r="BF2941"/>
    </row>
    <row r="2942" spans="17:58" ht="14.4">
      <c r="Q2942" s="23"/>
      <c r="BF2942"/>
    </row>
    <row r="2943" spans="17:58" ht="14.4">
      <c r="Q2943" s="23"/>
      <c r="BF2943"/>
    </row>
    <row r="2944" spans="17:58" ht="14.4">
      <c r="Q2944" s="23"/>
      <c r="BF2944"/>
    </row>
    <row r="2945" spans="17:58" ht="14.4">
      <c r="Q2945" s="23"/>
      <c r="BF2945"/>
    </row>
    <row r="2946" spans="17:58" ht="14.4">
      <c r="Q2946" s="23"/>
      <c r="BF2946"/>
    </row>
    <row r="2947" spans="17:58" ht="14.4">
      <c r="Q2947" s="23"/>
      <c r="BF2947"/>
    </row>
    <row r="2948" spans="17:58" ht="14.4">
      <c r="Q2948" s="23"/>
      <c r="BF2948"/>
    </row>
    <row r="2949" spans="17:58" ht="14.4">
      <c r="Q2949" s="23"/>
      <c r="BF2949"/>
    </row>
    <row r="2950" spans="17:58" ht="14.4">
      <c r="Q2950" s="23"/>
      <c r="BF2950"/>
    </row>
    <row r="2951" spans="17:58" ht="14.4">
      <c r="Q2951" s="23"/>
      <c r="BF2951"/>
    </row>
    <row r="2952" spans="17:58" ht="14.4">
      <c r="Q2952" s="23"/>
      <c r="BF2952"/>
    </row>
    <row r="2953" spans="17:58" ht="14.4">
      <c r="Q2953" s="23"/>
      <c r="BF2953"/>
    </row>
    <row r="2954" spans="17:58" ht="14.4">
      <c r="Q2954" s="23"/>
      <c r="BF2954"/>
    </row>
    <row r="2955" spans="17:58" ht="14.4">
      <c r="Q2955" s="23"/>
      <c r="BF2955"/>
    </row>
    <row r="2956" spans="17:58" ht="14.4">
      <c r="Q2956" s="23"/>
      <c r="BF2956"/>
    </row>
    <row r="2957" spans="17:58" ht="14.4">
      <c r="Q2957" s="23"/>
      <c r="BF2957"/>
    </row>
    <row r="2958" ht="14.4">
      <c r="BF2958"/>
    </row>
    <row r="2959" ht="14.4">
      <c r="BF2959"/>
    </row>
    <row r="2960" ht="14.4">
      <c r="BF2960"/>
    </row>
    <row r="2961" spans="17:58" ht="14.4">
      <c r="Q2961" s="23"/>
      <c r="BF2961"/>
    </row>
    <row r="2962" spans="17:58" ht="14.4">
      <c r="Q2962" s="23"/>
      <c r="BF2962"/>
    </row>
    <row r="2963" spans="17:58" ht="14.4">
      <c r="Q2963" s="23"/>
      <c r="BF2963"/>
    </row>
    <row r="2964" spans="17:58" ht="14.4">
      <c r="Q2964" s="23"/>
      <c r="BF2964"/>
    </row>
    <row r="2965" spans="17:58" ht="14.4">
      <c r="Q2965" s="23"/>
      <c r="BF2965"/>
    </row>
    <row r="2966" spans="17:58" ht="14.4">
      <c r="Q2966" s="23"/>
      <c r="BF2966"/>
    </row>
    <row r="2967" spans="17:58" ht="14.4">
      <c r="Q2967" s="23"/>
      <c r="BF2967"/>
    </row>
    <row r="2968" spans="17:58" ht="14.4">
      <c r="Q2968" s="23"/>
      <c r="BF2968"/>
    </row>
    <row r="2969" spans="17:58" ht="14.4">
      <c r="Q2969" s="23"/>
      <c r="BF2969"/>
    </row>
    <row r="2970" spans="17:58" ht="14.4">
      <c r="Q2970" s="23"/>
      <c r="BF2970"/>
    </row>
    <row r="2971" spans="17:58" ht="14.4">
      <c r="Q2971" s="23"/>
      <c r="BF2971"/>
    </row>
    <row r="2972" spans="17:58" ht="14.4">
      <c r="Q2972" s="23"/>
      <c r="BF2972"/>
    </row>
    <row r="2973" spans="17:58" ht="14.4">
      <c r="Q2973" s="23"/>
      <c r="BF2973"/>
    </row>
    <row r="2974" spans="17:58" ht="14.4">
      <c r="Q2974" s="23"/>
      <c r="BF2974"/>
    </row>
    <row r="2975" spans="17:58" ht="14.4">
      <c r="Q2975" s="23"/>
      <c r="BF2975"/>
    </row>
    <row r="2976" spans="17:58" ht="14.4">
      <c r="Q2976" s="23"/>
      <c r="BF2976"/>
    </row>
    <row r="2977" spans="17:58" ht="14.4">
      <c r="Q2977" s="23"/>
      <c r="BF2977"/>
    </row>
    <row r="2978" spans="17:58" ht="14.4">
      <c r="Q2978" s="23"/>
      <c r="BF2978"/>
    </row>
    <row r="2979" spans="17:58" ht="14.4">
      <c r="Q2979" s="23"/>
      <c r="BF2979"/>
    </row>
    <row r="2980" spans="17:58" ht="14.4">
      <c r="Q2980" s="23"/>
      <c r="BF2980"/>
    </row>
    <row r="2981" spans="17:58" ht="14.4">
      <c r="Q2981" s="23"/>
      <c r="BF2981"/>
    </row>
    <row r="2982" spans="17:58" ht="14.4">
      <c r="Q2982" s="23"/>
      <c r="BF2982"/>
    </row>
    <row r="2983" spans="17:58" ht="14.4">
      <c r="Q2983" s="23"/>
      <c r="BF2983"/>
    </row>
    <row r="2984" spans="17:58" ht="14.4">
      <c r="Q2984" s="23"/>
      <c r="BF2984"/>
    </row>
    <row r="2985" spans="17:58" ht="14.4">
      <c r="Q2985" s="23"/>
      <c r="BF2985"/>
    </row>
    <row r="2986" spans="17:58" ht="14.4">
      <c r="Q2986" s="23"/>
      <c r="BF2986"/>
    </row>
    <row r="2987" spans="17:58" ht="14.4">
      <c r="Q2987" s="23"/>
      <c r="BF2987"/>
    </row>
    <row r="2988" spans="17:58" ht="14.4">
      <c r="Q2988" s="23"/>
      <c r="BF2988"/>
    </row>
    <row r="2989" spans="17:58" ht="14.4">
      <c r="Q2989" s="23"/>
      <c r="BF2989"/>
    </row>
    <row r="2990" spans="17:58" ht="14.4">
      <c r="Q2990" s="23"/>
      <c r="BF2990"/>
    </row>
    <row r="2991" spans="17:58" ht="14.4">
      <c r="Q2991" s="23"/>
      <c r="BF2991"/>
    </row>
    <row r="2992" spans="17:58" ht="14.4">
      <c r="Q2992" s="23"/>
      <c r="BF2992"/>
    </row>
    <row r="2993" spans="17:58" ht="14.4">
      <c r="Q2993" s="23"/>
      <c r="BF2993"/>
    </row>
    <row r="2994" spans="17:58" ht="14.4">
      <c r="Q2994" s="23"/>
      <c r="BF2994"/>
    </row>
    <row r="2995" spans="17:58" ht="14.4">
      <c r="Q2995" s="23"/>
      <c r="BF2995"/>
    </row>
    <row r="2996" spans="17:58" ht="14.4">
      <c r="Q2996" s="23"/>
      <c r="BF2996"/>
    </row>
    <row r="2997" ht="14.4">
      <c r="BF2997"/>
    </row>
    <row r="2998" ht="14.4">
      <c r="BF2998"/>
    </row>
    <row r="2999" ht="14.4">
      <c r="BF2999"/>
    </row>
    <row r="3000" spans="17:58" ht="14.4">
      <c r="Q3000" s="23"/>
      <c r="BF3000"/>
    </row>
    <row r="3001" spans="17:58" ht="14.4">
      <c r="Q3001" s="23"/>
      <c r="BF3001"/>
    </row>
    <row r="3002" spans="17:58" ht="14.4">
      <c r="Q3002" s="23"/>
      <c r="BF3002"/>
    </row>
    <row r="3003" spans="17:58" ht="14.4">
      <c r="Q3003" s="23"/>
      <c r="BF3003"/>
    </row>
    <row r="3004" spans="17:58" ht="14.4">
      <c r="Q3004" s="23"/>
      <c r="BF3004"/>
    </row>
    <row r="3005" spans="17:58" ht="14.4">
      <c r="Q3005" s="23"/>
      <c r="BF3005"/>
    </row>
    <row r="3006" spans="17:58" ht="14.4">
      <c r="Q3006" s="23"/>
      <c r="BF3006"/>
    </row>
    <row r="3007" spans="17:58" ht="14.4">
      <c r="Q3007" s="23"/>
      <c r="BF3007"/>
    </row>
    <row r="3008" spans="17:58" ht="14.4">
      <c r="Q3008" s="23"/>
      <c r="BF3008"/>
    </row>
    <row r="3009" spans="17:58" ht="14.4">
      <c r="Q3009" s="23"/>
      <c r="BF3009"/>
    </row>
    <row r="3010" spans="17:58" ht="14.4">
      <c r="Q3010" s="23"/>
      <c r="BF3010"/>
    </row>
    <row r="3011" spans="17:58" ht="14.4">
      <c r="Q3011" s="23"/>
      <c r="BF3011"/>
    </row>
    <row r="3012" spans="17:58" ht="14.4">
      <c r="Q3012" s="23"/>
      <c r="BF3012"/>
    </row>
    <row r="3013" spans="17:58" ht="14.4">
      <c r="Q3013" s="23"/>
      <c r="BF3013"/>
    </row>
    <row r="3014" spans="17:58" ht="14.4">
      <c r="Q3014" s="23"/>
      <c r="BF3014"/>
    </row>
    <row r="3015" spans="17:58" ht="14.4">
      <c r="Q3015" s="23"/>
      <c r="BF3015"/>
    </row>
    <row r="3016" spans="17:58" ht="14.4">
      <c r="Q3016" s="23"/>
      <c r="BF3016"/>
    </row>
    <row r="3017" spans="17:58" ht="14.4">
      <c r="Q3017" s="23"/>
      <c r="BF3017"/>
    </row>
    <row r="3018" spans="17:58" ht="14.4">
      <c r="Q3018" s="23"/>
      <c r="BF3018"/>
    </row>
    <row r="3019" spans="17:58" ht="14.4">
      <c r="Q3019" s="23"/>
      <c r="BF3019"/>
    </row>
    <row r="3020" spans="17:58" ht="14.4">
      <c r="Q3020" s="23"/>
      <c r="BF3020"/>
    </row>
    <row r="3021" spans="17:58" ht="14.4">
      <c r="Q3021" s="23"/>
      <c r="BF3021"/>
    </row>
    <row r="3022" spans="17:58" ht="14.4">
      <c r="Q3022" s="23"/>
      <c r="BF3022"/>
    </row>
    <row r="3023" spans="17:58" ht="14.4">
      <c r="Q3023" s="23"/>
      <c r="BF3023"/>
    </row>
    <row r="3024" spans="17:58" ht="14.4">
      <c r="Q3024" s="23"/>
      <c r="BF3024"/>
    </row>
    <row r="3025" spans="17:58" ht="14.4">
      <c r="Q3025" s="23"/>
      <c r="BF3025"/>
    </row>
    <row r="3026" spans="17:58" ht="14.4">
      <c r="Q3026" s="23"/>
      <c r="BF3026"/>
    </row>
    <row r="3027" spans="17:58" ht="14.4">
      <c r="Q3027" s="23"/>
      <c r="BF3027"/>
    </row>
    <row r="3028" spans="17:58" ht="14.4">
      <c r="Q3028" s="23"/>
      <c r="BF3028"/>
    </row>
    <row r="3029" spans="17:58" ht="14.4">
      <c r="Q3029" s="23"/>
      <c r="BF3029"/>
    </row>
    <row r="3030" spans="17:58" ht="14.4">
      <c r="Q3030" s="23"/>
      <c r="BF3030"/>
    </row>
    <row r="3031" spans="17:58" ht="14.4">
      <c r="Q3031" s="23"/>
      <c r="BF3031"/>
    </row>
    <row r="3032" spans="17:58" ht="14.4">
      <c r="Q3032" s="23"/>
      <c r="BF3032"/>
    </row>
    <row r="3033" spans="16:58" ht="14.4">
      <c r="P3033" s="23"/>
      <c r="Q3033" s="23"/>
      <c r="BF3033"/>
    </row>
    <row r="3034" spans="16:58" ht="14.4">
      <c r="P3034" s="23"/>
      <c r="BF3034"/>
    </row>
    <row r="3035" spans="16:58" ht="14.4">
      <c r="P3035" s="23"/>
      <c r="Q3035" s="23"/>
      <c r="BF3035"/>
    </row>
    <row r="3036" spans="16:58" ht="14.4">
      <c r="P3036" s="23"/>
      <c r="Q3036" s="23"/>
      <c r="BF3036"/>
    </row>
    <row r="3037" spans="16:58" ht="14.4">
      <c r="P3037" s="23"/>
      <c r="Q3037" s="23"/>
      <c r="BF3037"/>
    </row>
    <row r="3038" spans="16:58" ht="14.4">
      <c r="P3038" s="23"/>
      <c r="Q3038" s="23"/>
      <c r="BF3038"/>
    </row>
    <row r="3039" spans="16:58" ht="14.4">
      <c r="P3039" s="23"/>
      <c r="Q3039" s="23"/>
      <c r="BF3039"/>
    </row>
    <row r="3040" spans="16:58" ht="14.4">
      <c r="P3040" s="23"/>
      <c r="Q3040" s="23"/>
      <c r="BF3040"/>
    </row>
    <row r="3041" spans="16:58" ht="14.4">
      <c r="P3041" s="23"/>
      <c r="Q3041" s="23"/>
      <c r="BF3041"/>
    </row>
    <row r="3042" spans="16:58" ht="14.4">
      <c r="P3042" s="23"/>
      <c r="Q3042" s="23"/>
      <c r="BF3042"/>
    </row>
    <row r="3043" spans="16:58" ht="14.4">
      <c r="P3043" s="23"/>
      <c r="Q3043" s="23"/>
      <c r="BF3043"/>
    </row>
    <row r="3044" spans="16:58" ht="14.4">
      <c r="P3044" s="23"/>
      <c r="Q3044" s="23"/>
      <c r="BF3044"/>
    </row>
    <row r="3045" spans="16:58" ht="14.4">
      <c r="P3045" s="23"/>
      <c r="Q3045" s="23"/>
      <c r="BF3045"/>
    </row>
    <row r="3046" spans="16:58" ht="14.4">
      <c r="P3046" s="23"/>
      <c r="Q3046" s="23"/>
      <c r="BF3046"/>
    </row>
    <row r="3047" spans="16:58" ht="14.4">
      <c r="P3047" s="23"/>
      <c r="BF3047"/>
    </row>
    <row r="3048" spans="16:58" ht="14.4">
      <c r="P3048" s="23"/>
      <c r="Q3048" s="23"/>
      <c r="BF3048"/>
    </row>
    <row r="3049" spans="16:58" ht="14.4">
      <c r="P3049" s="23"/>
      <c r="Q3049" s="23"/>
      <c r="BF3049"/>
    </row>
    <row r="3050" spans="16:58" ht="14.4">
      <c r="P3050" s="23"/>
      <c r="Q3050" s="23"/>
      <c r="BF3050"/>
    </row>
    <row r="3051" spans="16:58" ht="14.4">
      <c r="P3051" s="23"/>
      <c r="Q3051" s="23"/>
      <c r="BF3051"/>
    </row>
    <row r="3052" spans="16:58" ht="14.4">
      <c r="P3052" s="23"/>
      <c r="Q3052" s="23"/>
      <c r="BF3052"/>
    </row>
    <row r="3053" spans="16:58" ht="14.4">
      <c r="P3053" s="23"/>
      <c r="Q3053" s="23"/>
      <c r="BF3053"/>
    </row>
    <row r="3054" spans="16:58" ht="14.4">
      <c r="P3054" s="23"/>
      <c r="Q3054" s="23"/>
      <c r="BF3054"/>
    </row>
    <row r="3055" spans="16:58" ht="14.4">
      <c r="P3055" s="23"/>
      <c r="Q3055" s="23"/>
      <c r="BF3055"/>
    </row>
    <row r="3056" spans="16:58" ht="14.4">
      <c r="P3056" s="23"/>
      <c r="Q3056" s="23"/>
      <c r="BF3056"/>
    </row>
    <row r="3057" spans="16:58" ht="14.4">
      <c r="P3057" s="23"/>
      <c r="Q3057" s="23"/>
      <c r="BF3057"/>
    </row>
    <row r="3058" spans="16:58" ht="14.4">
      <c r="P3058" s="23"/>
      <c r="Q3058" s="23"/>
      <c r="BF3058"/>
    </row>
    <row r="3059" spans="16:58" ht="14.4">
      <c r="P3059" s="23"/>
      <c r="Q3059" s="23"/>
      <c r="BF3059"/>
    </row>
    <row r="3060" spans="16:58" ht="14.4">
      <c r="P3060" s="23"/>
      <c r="BF3060"/>
    </row>
    <row r="3061" spans="16:58" ht="14.4">
      <c r="P3061" s="23"/>
      <c r="Q3061" s="23"/>
      <c r="BF3061"/>
    </row>
    <row r="3062" spans="16:58" ht="14.4">
      <c r="P3062" s="23"/>
      <c r="Q3062" s="23"/>
      <c r="BF3062"/>
    </row>
    <row r="3063" spans="16:58" ht="14.4">
      <c r="P3063" s="23"/>
      <c r="Q3063" s="23"/>
      <c r="BF3063"/>
    </row>
    <row r="3064" spans="16:58" ht="14.4">
      <c r="P3064" s="23"/>
      <c r="Q3064" s="23"/>
      <c r="BF3064"/>
    </row>
    <row r="3065" spans="16:58" ht="14.4">
      <c r="P3065" s="23"/>
      <c r="Q3065" s="23"/>
      <c r="BF3065"/>
    </row>
    <row r="3066" spans="16:58" ht="14.4">
      <c r="P3066" s="23"/>
      <c r="Q3066" s="23"/>
      <c r="BF3066"/>
    </row>
    <row r="3067" spans="16:58" ht="14.4">
      <c r="P3067" s="23"/>
      <c r="Q3067" s="23"/>
      <c r="BF3067"/>
    </row>
    <row r="3068" spans="16:58" ht="14.4">
      <c r="P3068" s="23"/>
      <c r="Q3068" s="23"/>
      <c r="BF3068"/>
    </row>
    <row r="3069" spans="16:58" ht="14.4">
      <c r="P3069" s="23"/>
      <c r="Q3069" s="23"/>
      <c r="BF3069"/>
    </row>
    <row r="3070" spans="16:58" ht="14.4">
      <c r="P3070" s="23"/>
      <c r="Q3070" s="23"/>
      <c r="BF3070"/>
    </row>
    <row r="3071" spans="16:58" ht="14.4">
      <c r="P3071" s="23"/>
      <c r="Q3071" s="23"/>
      <c r="BF3071"/>
    </row>
    <row r="3072" ht="14.4">
      <c r="BF3072"/>
    </row>
    <row r="3073" ht="14.4">
      <c r="BF3073"/>
    </row>
    <row r="3074" ht="14.4">
      <c r="BF3074"/>
    </row>
    <row r="3075" ht="14.4">
      <c r="BF3075"/>
    </row>
    <row r="3076" ht="14.4">
      <c r="BF3076"/>
    </row>
    <row r="3077" ht="14.4">
      <c r="BF3077"/>
    </row>
    <row r="3078" ht="14.4">
      <c r="BF3078"/>
    </row>
    <row r="3079" ht="14.4">
      <c r="BF3079"/>
    </row>
    <row r="3080" ht="14.4">
      <c r="BF3080"/>
    </row>
    <row r="3081" ht="14.4">
      <c r="BF3081"/>
    </row>
    <row r="3082" ht="14.4">
      <c r="BF3082"/>
    </row>
    <row r="3083" ht="14.4">
      <c r="BF3083"/>
    </row>
    <row r="3084" ht="14.4">
      <c r="BF3084"/>
    </row>
    <row r="3085" ht="14.4">
      <c r="BF3085"/>
    </row>
    <row r="3086" ht="14.4">
      <c r="BF3086"/>
    </row>
    <row r="3087" ht="14.4">
      <c r="BF3087"/>
    </row>
    <row r="3088" ht="14.4">
      <c r="BF3088"/>
    </row>
    <row r="3089" ht="14.4">
      <c r="BF3089"/>
    </row>
    <row r="3090" ht="14.4">
      <c r="BF3090"/>
    </row>
    <row r="3091" ht="14.4">
      <c r="BF3091"/>
    </row>
    <row r="3092" ht="14.4">
      <c r="BF3092"/>
    </row>
    <row r="3093" ht="14.4">
      <c r="BF3093"/>
    </row>
    <row r="3094" ht="14.4">
      <c r="BF3094"/>
    </row>
    <row r="3095" ht="14.4">
      <c r="BF3095"/>
    </row>
    <row r="3096" ht="14.4">
      <c r="BF3096"/>
    </row>
    <row r="3097" ht="14.4">
      <c r="BF3097"/>
    </row>
    <row r="3098" ht="14.4">
      <c r="BF3098"/>
    </row>
    <row r="3099" ht="14.4">
      <c r="BF3099"/>
    </row>
    <row r="3100" ht="14.4">
      <c r="BF3100"/>
    </row>
    <row r="3101" ht="14.4">
      <c r="BF3101"/>
    </row>
    <row r="3102" ht="14.4">
      <c r="BF3102"/>
    </row>
    <row r="3103" ht="14.4">
      <c r="BF3103"/>
    </row>
    <row r="3104" ht="14.4">
      <c r="BF3104"/>
    </row>
    <row r="3105" ht="14.4">
      <c r="BF3105"/>
    </row>
    <row r="3106" ht="14.4">
      <c r="BF3106"/>
    </row>
    <row r="3107" ht="14.4">
      <c r="BF3107"/>
    </row>
    <row r="3108" ht="14.4">
      <c r="BF3108"/>
    </row>
    <row r="3109" ht="14.4">
      <c r="BF3109"/>
    </row>
    <row r="3110" ht="14.4">
      <c r="BF3110"/>
    </row>
    <row r="3111" ht="14.4">
      <c r="BF3111"/>
    </row>
    <row r="3112" ht="14.4">
      <c r="BF3112"/>
    </row>
    <row r="3113" ht="14.4">
      <c r="BF3113"/>
    </row>
    <row r="3114" ht="14.4">
      <c r="BF3114"/>
    </row>
    <row r="3115" ht="14.4">
      <c r="BF3115"/>
    </row>
    <row r="3116" ht="14.4">
      <c r="BF3116"/>
    </row>
    <row r="3117" ht="14.4">
      <c r="BF3117"/>
    </row>
    <row r="3118" ht="14.4">
      <c r="BF3118"/>
    </row>
    <row r="3119" ht="14.4">
      <c r="BF3119"/>
    </row>
    <row r="3120" ht="14.4">
      <c r="BF3120"/>
    </row>
    <row r="3121" ht="14.4">
      <c r="BF3121"/>
    </row>
    <row r="3122" ht="14.4">
      <c r="BF3122"/>
    </row>
    <row r="3123" ht="14.4">
      <c r="BF3123"/>
    </row>
    <row r="3124" ht="14.4">
      <c r="BF3124"/>
    </row>
    <row r="3125" ht="14.4">
      <c r="BF3125"/>
    </row>
    <row r="3126" ht="14.4">
      <c r="BF3126"/>
    </row>
    <row r="3127" ht="14.4">
      <c r="BF3127"/>
    </row>
    <row r="3128" ht="14.4">
      <c r="BF3128"/>
    </row>
    <row r="3129" ht="14.4">
      <c r="BF3129"/>
    </row>
    <row r="3130" ht="14.4">
      <c r="BF3130"/>
    </row>
    <row r="3131" ht="14.4">
      <c r="BF3131"/>
    </row>
    <row r="3132" ht="14.4">
      <c r="BF3132"/>
    </row>
    <row r="3133" ht="14.4">
      <c r="BF3133"/>
    </row>
    <row r="3134" ht="14.4">
      <c r="BF3134"/>
    </row>
    <row r="3135" ht="14.4">
      <c r="BF3135"/>
    </row>
    <row r="3136" ht="14.4">
      <c r="BF3136"/>
    </row>
    <row r="3137" ht="14.4">
      <c r="BF3137"/>
    </row>
    <row r="3138" ht="14.4">
      <c r="BF3138"/>
    </row>
    <row r="3139" ht="14.4">
      <c r="BF3139"/>
    </row>
    <row r="3140" ht="14.4">
      <c r="BF3140"/>
    </row>
    <row r="3141" ht="14.4">
      <c r="BF3141"/>
    </row>
    <row r="3142" ht="14.4">
      <c r="BF3142"/>
    </row>
    <row r="3143" ht="14.4">
      <c r="BF3143"/>
    </row>
    <row r="3144" ht="14.4">
      <c r="BF3144"/>
    </row>
    <row r="3145" ht="14.4">
      <c r="BF3145"/>
    </row>
    <row r="3146" ht="14.4">
      <c r="BF3146"/>
    </row>
    <row r="3147" ht="14.4">
      <c r="BF3147"/>
    </row>
    <row r="3148" ht="14.4">
      <c r="BF3148"/>
    </row>
    <row r="3149" ht="14.4">
      <c r="BF3149"/>
    </row>
    <row r="3150" ht="14.4">
      <c r="BF3150"/>
    </row>
    <row r="3151" ht="14.4">
      <c r="BF3151"/>
    </row>
    <row r="3152" ht="14.4">
      <c r="BF3152"/>
    </row>
    <row r="3153" ht="14.4">
      <c r="BF3153"/>
    </row>
    <row r="3154" ht="14.4">
      <c r="BF3154"/>
    </row>
    <row r="3155" ht="14.4">
      <c r="BF3155"/>
    </row>
    <row r="3156" ht="14.4">
      <c r="BF3156"/>
    </row>
    <row r="3157" ht="14.4">
      <c r="BF3157"/>
    </row>
    <row r="3158" ht="14.4">
      <c r="BF3158"/>
    </row>
    <row r="3159" ht="14.4">
      <c r="BF3159"/>
    </row>
    <row r="3160" ht="14.4">
      <c r="BF3160"/>
    </row>
    <row r="3161" ht="14.4">
      <c r="BF3161"/>
    </row>
    <row r="3162" ht="14.4">
      <c r="BF3162"/>
    </row>
    <row r="3163" ht="14.4">
      <c r="BF3163"/>
    </row>
    <row r="3164" ht="14.4">
      <c r="BF3164"/>
    </row>
    <row r="3165" ht="14.4">
      <c r="BF3165"/>
    </row>
    <row r="3166" ht="14.4">
      <c r="BF3166"/>
    </row>
    <row r="3167" ht="14.4">
      <c r="BF3167"/>
    </row>
    <row r="3168" ht="14.4">
      <c r="BF3168"/>
    </row>
    <row r="3169" ht="14.4">
      <c r="BF3169"/>
    </row>
    <row r="3170" ht="14.4">
      <c r="BF3170"/>
    </row>
    <row r="3171" ht="14.4">
      <c r="BF3171"/>
    </row>
    <row r="3172" ht="14.4">
      <c r="BF3172"/>
    </row>
    <row r="3173" ht="14.4">
      <c r="BF3173"/>
    </row>
    <row r="3174" ht="14.4">
      <c r="BF3174"/>
    </row>
    <row r="3175" ht="14.4">
      <c r="BF3175"/>
    </row>
    <row r="3176" ht="14.4">
      <c r="BF3176"/>
    </row>
    <row r="3177" ht="14.4">
      <c r="BF3177"/>
    </row>
    <row r="3178" ht="14.4">
      <c r="BF3178"/>
    </row>
    <row r="3179" ht="14.4">
      <c r="BF3179"/>
    </row>
    <row r="3180" ht="14.4">
      <c r="BF3180"/>
    </row>
    <row r="3181" ht="14.4">
      <c r="BF3181"/>
    </row>
    <row r="3182" ht="14.4">
      <c r="BF3182"/>
    </row>
    <row r="3183" ht="14.4">
      <c r="BF3183"/>
    </row>
    <row r="3184" ht="14.4">
      <c r="BF3184"/>
    </row>
    <row r="3185" ht="14.4">
      <c r="BF3185"/>
    </row>
    <row r="3186" ht="14.4">
      <c r="BF3186"/>
    </row>
    <row r="3187" ht="14.4">
      <c r="BF3187"/>
    </row>
    <row r="3188" ht="14.4">
      <c r="BF3188"/>
    </row>
    <row r="3189" ht="14.4">
      <c r="BF3189"/>
    </row>
    <row r="3190" ht="14.4">
      <c r="BF3190"/>
    </row>
    <row r="3191" ht="14.4">
      <c r="BF3191"/>
    </row>
    <row r="3192" ht="14.4">
      <c r="BF3192"/>
    </row>
    <row r="3193" ht="14.4">
      <c r="BF3193"/>
    </row>
    <row r="3194" ht="14.4">
      <c r="BF3194"/>
    </row>
    <row r="3195" ht="14.4">
      <c r="BF3195"/>
    </row>
    <row r="3196" ht="14.4">
      <c r="BF3196"/>
    </row>
    <row r="3197" ht="14.4">
      <c r="BF3197"/>
    </row>
    <row r="3198" ht="14.4">
      <c r="BF3198"/>
    </row>
    <row r="3199" ht="14.4">
      <c r="BF3199"/>
    </row>
    <row r="3200" ht="14.4">
      <c r="BF3200"/>
    </row>
    <row r="3201" ht="14.4">
      <c r="BF3201"/>
    </row>
    <row r="3202" ht="14.4">
      <c r="BF3202"/>
    </row>
    <row r="3203" ht="14.4">
      <c r="BF3203"/>
    </row>
    <row r="3204" ht="14.4">
      <c r="BF3204"/>
    </row>
    <row r="3205" ht="14.4">
      <c r="BF3205"/>
    </row>
    <row r="3206" ht="14.4">
      <c r="BF3206"/>
    </row>
    <row r="3207" ht="14.4">
      <c r="BF3207"/>
    </row>
    <row r="3208" ht="14.4">
      <c r="BF3208"/>
    </row>
    <row r="3209" ht="14.4">
      <c r="BF3209"/>
    </row>
    <row r="3210" ht="14.4">
      <c r="BF3210"/>
    </row>
    <row r="3211" ht="14.4">
      <c r="BF3211"/>
    </row>
    <row r="3212" ht="14.4">
      <c r="BF3212"/>
    </row>
    <row r="3213" ht="14.4">
      <c r="BF3213"/>
    </row>
    <row r="3214" ht="14.4">
      <c r="BF3214"/>
    </row>
    <row r="3215" ht="14.4">
      <c r="BF3215"/>
    </row>
    <row r="3216" ht="14.4">
      <c r="BF3216"/>
    </row>
    <row r="3217" ht="14.4">
      <c r="BF3217"/>
    </row>
    <row r="3218" ht="14.4">
      <c r="BF3218"/>
    </row>
    <row r="3219" ht="14.4">
      <c r="BF3219"/>
    </row>
    <row r="3220" ht="14.4">
      <c r="BF3220"/>
    </row>
    <row r="3221" ht="14.4">
      <c r="BF3221"/>
    </row>
    <row r="3222" ht="14.4">
      <c r="BF3222"/>
    </row>
    <row r="3223" ht="14.4">
      <c r="BF3223"/>
    </row>
    <row r="3224" ht="14.4">
      <c r="BF3224"/>
    </row>
    <row r="3225" ht="14.4">
      <c r="BF3225"/>
    </row>
    <row r="3226" ht="14.4">
      <c r="BF3226"/>
    </row>
    <row r="3227" ht="14.4">
      <c r="BF3227"/>
    </row>
    <row r="3228" ht="14.4">
      <c r="BF3228"/>
    </row>
    <row r="3229" ht="14.4">
      <c r="BF3229"/>
    </row>
    <row r="3230" ht="14.4">
      <c r="BF3230"/>
    </row>
    <row r="3231" ht="14.4">
      <c r="BF3231"/>
    </row>
    <row r="3232" ht="14.4">
      <c r="BF3232"/>
    </row>
    <row r="3233" ht="14.4">
      <c r="BF3233"/>
    </row>
    <row r="3234" ht="14.4">
      <c r="BF3234"/>
    </row>
    <row r="3235" ht="14.4">
      <c r="BF3235"/>
    </row>
    <row r="3236" ht="14.4">
      <c r="BF3236"/>
    </row>
    <row r="3237" ht="14.4">
      <c r="BF3237"/>
    </row>
    <row r="3238" ht="14.4">
      <c r="BF3238"/>
    </row>
    <row r="3239" ht="14.4">
      <c r="BF3239"/>
    </row>
    <row r="3240" ht="14.4">
      <c r="BF3240"/>
    </row>
    <row r="3241" ht="14.4">
      <c r="BF3241"/>
    </row>
    <row r="3242" ht="14.4">
      <c r="BF3242"/>
    </row>
    <row r="3243" ht="14.4">
      <c r="BF3243"/>
    </row>
    <row r="3244" ht="14.4">
      <c r="BF3244"/>
    </row>
    <row r="3245" ht="14.4">
      <c r="BF3245"/>
    </row>
    <row r="3246" ht="14.4">
      <c r="BF3246"/>
    </row>
    <row r="3247" ht="14.4">
      <c r="BF3247"/>
    </row>
    <row r="3248" ht="14.4">
      <c r="BF3248"/>
    </row>
    <row r="3249" ht="14.4">
      <c r="BF3249"/>
    </row>
    <row r="3250" ht="14.4">
      <c r="BF3250"/>
    </row>
    <row r="3251" ht="14.4">
      <c r="BF3251"/>
    </row>
    <row r="3252" ht="14.4">
      <c r="BF3252"/>
    </row>
    <row r="3253" ht="14.4">
      <c r="BF3253"/>
    </row>
    <row r="3254" ht="14.4">
      <c r="BF3254"/>
    </row>
    <row r="3255" ht="14.4">
      <c r="BF3255"/>
    </row>
    <row r="3256" ht="14.4">
      <c r="BF3256"/>
    </row>
    <row r="3257" ht="14.4">
      <c r="BF3257"/>
    </row>
    <row r="3258" ht="14.4">
      <c r="BF3258"/>
    </row>
    <row r="3259" ht="14.4">
      <c r="BF3259"/>
    </row>
    <row r="3260" ht="14.4">
      <c r="BF3260"/>
    </row>
    <row r="3261" ht="14.4">
      <c r="BF3261"/>
    </row>
    <row r="3262" ht="14.4">
      <c r="BF3262"/>
    </row>
    <row r="3263" ht="14.4">
      <c r="BF3263"/>
    </row>
    <row r="3264" ht="14.4">
      <c r="BF3264"/>
    </row>
    <row r="3265" ht="14.4">
      <c r="BF3265"/>
    </row>
    <row r="3266" ht="14.4">
      <c r="BF3266"/>
    </row>
    <row r="3267" ht="14.4">
      <c r="BF3267"/>
    </row>
    <row r="3268" ht="14.4">
      <c r="BF3268"/>
    </row>
    <row r="3269" ht="14.4">
      <c r="BF3269"/>
    </row>
    <row r="3270" ht="14.4">
      <c r="BF3270"/>
    </row>
    <row r="3271" ht="14.4">
      <c r="BF3271"/>
    </row>
    <row r="3272" ht="14.4">
      <c r="BF3272"/>
    </row>
    <row r="3273" ht="14.4">
      <c r="BF3273"/>
    </row>
    <row r="3274" ht="14.4">
      <c r="BF3274"/>
    </row>
    <row r="3275" ht="14.4">
      <c r="BF3275"/>
    </row>
    <row r="3276" ht="14.4">
      <c r="BF3276"/>
    </row>
    <row r="3277" ht="14.4">
      <c r="BF3277"/>
    </row>
    <row r="3278" ht="14.4">
      <c r="BF3278"/>
    </row>
    <row r="3279" ht="14.4">
      <c r="BF3279"/>
    </row>
    <row r="3280" ht="14.4">
      <c r="BF3280"/>
    </row>
    <row r="3281" ht="14.4">
      <c r="BF3281"/>
    </row>
    <row r="3282" ht="14.4">
      <c r="BF3282"/>
    </row>
    <row r="3283" ht="14.4">
      <c r="BF3283"/>
    </row>
    <row r="3284" ht="14.4">
      <c r="BF3284"/>
    </row>
    <row r="3285" ht="14.4">
      <c r="BF3285"/>
    </row>
    <row r="3286" ht="14.4">
      <c r="BF3286"/>
    </row>
    <row r="3287" ht="14.4">
      <c r="BF3287"/>
    </row>
    <row r="3288" ht="14.4">
      <c r="BF3288"/>
    </row>
    <row r="3289" ht="14.4">
      <c r="BF3289"/>
    </row>
    <row r="3290" ht="14.4">
      <c r="BF3290"/>
    </row>
    <row r="3291" ht="14.4">
      <c r="BF3291"/>
    </row>
    <row r="3292" ht="14.4">
      <c r="BF3292"/>
    </row>
    <row r="3293" ht="14.4">
      <c r="BF3293"/>
    </row>
    <row r="3294" ht="14.4">
      <c r="BF3294"/>
    </row>
    <row r="3295" ht="14.4">
      <c r="BF3295"/>
    </row>
    <row r="3296" ht="14.4">
      <c r="BF3296"/>
    </row>
    <row r="3297" ht="14.4">
      <c r="BF3297"/>
    </row>
    <row r="3298" ht="14.4">
      <c r="BF3298"/>
    </row>
    <row r="3299" ht="14.4">
      <c r="BF3299"/>
    </row>
    <row r="3300" ht="14.4">
      <c r="BF3300"/>
    </row>
    <row r="3301" ht="14.4">
      <c r="BF3301"/>
    </row>
    <row r="3302" ht="14.4">
      <c r="BF3302"/>
    </row>
    <row r="3303" ht="14.4">
      <c r="BF3303"/>
    </row>
    <row r="3304" ht="14.4">
      <c r="BF3304"/>
    </row>
    <row r="3305" ht="14.4">
      <c r="BF3305"/>
    </row>
    <row r="3306" ht="14.4">
      <c r="BF3306"/>
    </row>
    <row r="3307" ht="14.4">
      <c r="BF3307"/>
    </row>
    <row r="3308" ht="14.4">
      <c r="BF3308"/>
    </row>
    <row r="3309" ht="14.4">
      <c r="BF3309"/>
    </row>
    <row r="3310" ht="14.4">
      <c r="BF3310"/>
    </row>
    <row r="3311" ht="14.4">
      <c r="BF3311"/>
    </row>
    <row r="3312" ht="14.4">
      <c r="BF3312"/>
    </row>
    <row r="3313" ht="14.4">
      <c r="BF3313"/>
    </row>
    <row r="3314" ht="14.4">
      <c r="BF3314"/>
    </row>
    <row r="3315" ht="14.4">
      <c r="BF3315"/>
    </row>
    <row r="3316" ht="14.4">
      <c r="BF3316"/>
    </row>
    <row r="3317" ht="14.4">
      <c r="BF3317"/>
    </row>
    <row r="3318" ht="14.4">
      <c r="BF3318"/>
    </row>
    <row r="3319" ht="14.4">
      <c r="BF3319"/>
    </row>
    <row r="3320" ht="14.4">
      <c r="BF3320"/>
    </row>
    <row r="3321" ht="14.4">
      <c r="BF3321"/>
    </row>
    <row r="3322" ht="14.4">
      <c r="BF3322"/>
    </row>
    <row r="3323" ht="14.4">
      <c r="BF3323"/>
    </row>
    <row r="3324" ht="14.4">
      <c r="BF3324"/>
    </row>
    <row r="3325" ht="14.4">
      <c r="BF3325"/>
    </row>
    <row r="3326" ht="14.4">
      <c r="BF3326"/>
    </row>
    <row r="3327" ht="14.4">
      <c r="BF3327"/>
    </row>
    <row r="3328" ht="14.4">
      <c r="BF3328"/>
    </row>
    <row r="3329" ht="14.4">
      <c r="BF3329"/>
    </row>
    <row r="3330" ht="14.4">
      <c r="BF3330"/>
    </row>
    <row r="3331" ht="14.4">
      <c r="BF3331"/>
    </row>
    <row r="3332" ht="14.4">
      <c r="BF3332"/>
    </row>
    <row r="3333" ht="14.4">
      <c r="BF3333"/>
    </row>
    <row r="3334" ht="14.4">
      <c r="BF3334"/>
    </row>
    <row r="3335" ht="14.4">
      <c r="BF3335"/>
    </row>
    <row r="3336" ht="14.4">
      <c r="BF3336"/>
    </row>
    <row r="3337" ht="14.4">
      <c r="BF3337"/>
    </row>
    <row r="3338" ht="14.4">
      <c r="BF3338"/>
    </row>
    <row r="3339" ht="14.4">
      <c r="BF3339"/>
    </row>
    <row r="3340" ht="14.4">
      <c r="BF3340"/>
    </row>
    <row r="3341" ht="14.4">
      <c r="BF3341"/>
    </row>
    <row r="3342" ht="14.4">
      <c r="BF3342"/>
    </row>
    <row r="3343" ht="14.4">
      <c r="BF3343"/>
    </row>
    <row r="3344" ht="14.4">
      <c r="BF3344"/>
    </row>
    <row r="3345" ht="14.4">
      <c r="BF3345"/>
    </row>
    <row r="3346" ht="14.4">
      <c r="BF3346"/>
    </row>
    <row r="3347" ht="14.4">
      <c r="BF3347"/>
    </row>
    <row r="3348" ht="14.4">
      <c r="BF3348"/>
    </row>
    <row r="3349" ht="14.4">
      <c r="BF3349"/>
    </row>
    <row r="3350" ht="14.4">
      <c r="BF3350"/>
    </row>
    <row r="3351" ht="14.4">
      <c r="BF3351"/>
    </row>
    <row r="3352" ht="14.4">
      <c r="BF3352"/>
    </row>
    <row r="3353" ht="14.4">
      <c r="BF3353"/>
    </row>
    <row r="3354" ht="14.4">
      <c r="BF3354"/>
    </row>
    <row r="3355" ht="14.4">
      <c r="BF3355"/>
    </row>
    <row r="3356" ht="14.4">
      <c r="BF3356"/>
    </row>
    <row r="3357" ht="14.4">
      <c r="BF3357"/>
    </row>
    <row r="3358" ht="14.4">
      <c r="BF3358"/>
    </row>
    <row r="3359" ht="14.4">
      <c r="BF3359"/>
    </row>
    <row r="3360" ht="14.4">
      <c r="BF3360"/>
    </row>
    <row r="3361" ht="14.4">
      <c r="BF3361"/>
    </row>
    <row r="3362" ht="14.4">
      <c r="BF3362"/>
    </row>
    <row r="3363" ht="14.4">
      <c r="BF3363"/>
    </row>
    <row r="3364" ht="14.4">
      <c r="BF3364"/>
    </row>
    <row r="3365" ht="14.4">
      <c r="BF3365"/>
    </row>
    <row r="3366" ht="14.4">
      <c r="BF3366"/>
    </row>
    <row r="3367" ht="14.4">
      <c r="BF3367"/>
    </row>
    <row r="3368" ht="14.4">
      <c r="BF3368"/>
    </row>
    <row r="3369" ht="14.4">
      <c r="BF3369"/>
    </row>
    <row r="3370" ht="14.4">
      <c r="BF3370"/>
    </row>
    <row r="3371" ht="14.4">
      <c r="BF3371"/>
    </row>
    <row r="3372" ht="14.4">
      <c r="BF3372"/>
    </row>
    <row r="3373" ht="14.4">
      <c r="BF3373"/>
    </row>
    <row r="3374" ht="14.4">
      <c r="BF3374"/>
    </row>
    <row r="3375" ht="14.4">
      <c r="BF3375"/>
    </row>
    <row r="3376" ht="14.4">
      <c r="BF3376"/>
    </row>
    <row r="3377" ht="14.4">
      <c r="BF3377"/>
    </row>
    <row r="3378" ht="14.4">
      <c r="BF3378"/>
    </row>
    <row r="3379" ht="14.4">
      <c r="BF3379"/>
    </row>
    <row r="3380" ht="14.4">
      <c r="BF3380"/>
    </row>
    <row r="3381" ht="14.4">
      <c r="BF3381"/>
    </row>
    <row r="3382" ht="14.4">
      <c r="BF3382"/>
    </row>
    <row r="3383" ht="14.4">
      <c r="BF3383"/>
    </row>
    <row r="3384" ht="14.4">
      <c r="BF3384"/>
    </row>
    <row r="3385" ht="14.4">
      <c r="BF3385"/>
    </row>
    <row r="3386" ht="14.4">
      <c r="BF3386"/>
    </row>
    <row r="3387" ht="14.4">
      <c r="BF3387"/>
    </row>
    <row r="3388" ht="14.4">
      <c r="BF3388"/>
    </row>
    <row r="3389" ht="14.4">
      <c r="BF3389"/>
    </row>
    <row r="3390" ht="14.4">
      <c r="BF3390"/>
    </row>
    <row r="3391" ht="14.4">
      <c r="BF3391"/>
    </row>
    <row r="3392" ht="14.4">
      <c r="BF3392"/>
    </row>
    <row r="3393" ht="14.4">
      <c r="BF3393"/>
    </row>
    <row r="3394" ht="14.4">
      <c r="BF3394"/>
    </row>
    <row r="3395" ht="14.4">
      <c r="BF3395"/>
    </row>
    <row r="3396" ht="14.4">
      <c r="BF3396"/>
    </row>
    <row r="3397" ht="14.4">
      <c r="BF3397"/>
    </row>
    <row r="3398" ht="14.4">
      <c r="BF3398"/>
    </row>
    <row r="3399" ht="14.4">
      <c r="BF3399"/>
    </row>
    <row r="3400" ht="14.4">
      <c r="BF3400"/>
    </row>
    <row r="3401" ht="14.4">
      <c r="BF3401"/>
    </row>
    <row r="3402" ht="14.4">
      <c r="BF3402"/>
    </row>
    <row r="3403" ht="14.4">
      <c r="BF3403"/>
    </row>
    <row r="3404" ht="14.4">
      <c r="BF3404"/>
    </row>
    <row r="3405" ht="14.4">
      <c r="BF3405"/>
    </row>
    <row r="3406" ht="14.4">
      <c r="BF3406"/>
    </row>
    <row r="3407" ht="14.4">
      <c r="BF3407"/>
    </row>
    <row r="3408" ht="14.4">
      <c r="BF3408"/>
    </row>
    <row r="3409" ht="14.4">
      <c r="BF3409"/>
    </row>
    <row r="3410" ht="14.4">
      <c r="BF3410"/>
    </row>
    <row r="3411" ht="14.4">
      <c r="BF3411"/>
    </row>
    <row r="3412" ht="14.4">
      <c r="BF3412"/>
    </row>
    <row r="3413" ht="14.4">
      <c r="BF3413"/>
    </row>
    <row r="3414" ht="14.4">
      <c r="BF3414"/>
    </row>
    <row r="3415" ht="14.4">
      <c r="BF3415"/>
    </row>
    <row r="3416" ht="14.4">
      <c r="BF3416"/>
    </row>
    <row r="3417" ht="14.4">
      <c r="BF3417"/>
    </row>
    <row r="3418" ht="14.4">
      <c r="BF3418"/>
    </row>
    <row r="3419" ht="14.4">
      <c r="BF3419"/>
    </row>
    <row r="3420" ht="14.4">
      <c r="BF3420"/>
    </row>
    <row r="3421" ht="14.4">
      <c r="BF3421"/>
    </row>
    <row r="3422" ht="14.4">
      <c r="BF3422"/>
    </row>
    <row r="3423" ht="14.4">
      <c r="BF3423"/>
    </row>
    <row r="3424" ht="14.4">
      <c r="BF3424"/>
    </row>
    <row r="3425" ht="14.4">
      <c r="BF3425"/>
    </row>
    <row r="3426" ht="14.4">
      <c r="BF3426"/>
    </row>
    <row r="3427" ht="14.4">
      <c r="BF3427"/>
    </row>
    <row r="3428" ht="14.4">
      <c r="BF3428"/>
    </row>
    <row r="3429" ht="14.4">
      <c r="BF3429"/>
    </row>
    <row r="3430" ht="14.4">
      <c r="BF3430"/>
    </row>
    <row r="3431" ht="14.4">
      <c r="BF3431"/>
    </row>
    <row r="3432" ht="14.4">
      <c r="BF3432"/>
    </row>
    <row r="3433" ht="14.4">
      <c r="BF3433"/>
    </row>
    <row r="3434" ht="14.4">
      <c r="BF3434"/>
    </row>
    <row r="3435" ht="14.4">
      <c r="BF3435"/>
    </row>
    <row r="3436" ht="14.4">
      <c r="BF3436"/>
    </row>
    <row r="3437" ht="14.4">
      <c r="BF3437"/>
    </row>
    <row r="3438" ht="14.4">
      <c r="BF3438"/>
    </row>
    <row r="3439" ht="14.4">
      <c r="BF3439"/>
    </row>
    <row r="3440" ht="14.4">
      <c r="BF3440"/>
    </row>
    <row r="3441" ht="14.4">
      <c r="BF3441"/>
    </row>
    <row r="3442" ht="14.4">
      <c r="BF3442"/>
    </row>
    <row r="3443" ht="14.4">
      <c r="BF3443"/>
    </row>
    <row r="3444" ht="14.4">
      <c r="BF3444"/>
    </row>
    <row r="3445" ht="14.4">
      <c r="BF3445"/>
    </row>
    <row r="3446" ht="14.4">
      <c r="BF3446"/>
    </row>
    <row r="3447" ht="14.4">
      <c r="BF3447"/>
    </row>
    <row r="3448" ht="14.4">
      <c r="BF3448"/>
    </row>
    <row r="3449" ht="14.4">
      <c r="BF3449"/>
    </row>
    <row r="3450" ht="14.4">
      <c r="BF3450"/>
    </row>
    <row r="3451" ht="14.4">
      <c r="BF3451"/>
    </row>
    <row r="3452" ht="14.4">
      <c r="BF3452"/>
    </row>
    <row r="3453" ht="14.4">
      <c r="BF3453"/>
    </row>
    <row r="3454" ht="14.4">
      <c r="BF3454"/>
    </row>
    <row r="3455" ht="14.4">
      <c r="BF3455"/>
    </row>
    <row r="3456" ht="14.4">
      <c r="BF3456"/>
    </row>
    <row r="3457" ht="14.4">
      <c r="BF3457"/>
    </row>
    <row r="3458" ht="14.4">
      <c r="BF3458"/>
    </row>
    <row r="3459" ht="14.4">
      <c r="BF3459"/>
    </row>
    <row r="3460" ht="14.4">
      <c r="BF3460"/>
    </row>
    <row r="3461" ht="14.4">
      <c r="BF3461"/>
    </row>
    <row r="3462" ht="14.4">
      <c r="BF3462"/>
    </row>
    <row r="3463" ht="14.4">
      <c r="BF3463"/>
    </row>
    <row r="3464" ht="14.4">
      <c r="BF3464"/>
    </row>
    <row r="3465" ht="14.4">
      <c r="BF3465"/>
    </row>
    <row r="3466" ht="14.4">
      <c r="BF3466"/>
    </row>
    <row r="3467" ht="14.4">
      <c r="BF3467"/>
    </row>
    <row r="3468" ht="14.4">
      <c r="BF3468"/>
    </row>
    <row r="3469" ht="14.4">
      <c r="BF3469"/>
    </row>
    <row r="3470" ht="14.4">
      <c r="BF3470"/>
    </row>
    <row r="3471" ht="14.4">
      <c r="BF3471"/>
    </row>
    <row r="3472" ht="14.4">
      <c r="BF3472"/>
    </row>
    <row r="3473" ht="14.4">
      <c r="BF3473"/>
    </row>
    <row r="3474" ht="14.4">
      <c r="BF3474"/>
    </row>
    <row r="3475" ht="14.4">
      <c r="BF3475"/>
    </row>
    <row r="3476" ht="14.4">
      <c r="BF3476"/>
    </row>
    <row r="3477" ht="14.4">
      <c r="BF3477"/>
    </row>
    <row r="3478" ht="14.4">
      <c r="BF3478"/>
    </row>
    <row r="3479" ht="14.4">
      <c r="BF3479"/>
    </row>
    <row r="3480" ht="14.4">
      <c r="BF3480"/>
    </row>
    <row r="3481" ht="14.4">
      <c r="BF3481"/>
    </row>
    <row r="3482" ht="14.4">
      <c r="BF3482"/>
    </row>
    <row r="3483" ht="14.4">
      <c r="BF3483"/>
    </row>
    <row r="3484" ht="14.4">
      <c r="BF3484"/>
    </row>
    <row r="3485" ht="14.4">
      <c r="BF3485"/>
    </row>
    <row r="3486" ht="14.4">
      <c r="BF3486"/>
    </row>
    <row r="3487" ht="14.4">
      <c r="BF3487"/>
    </row>
    <row r="3488" ht="14.4">
      <c r="BF3488"/>
    </row>
    <row r="3489" ht="14.4">
      <c r="BF3489"/>
    </row>
    <row r="3490" ht="14.4">
      <c r="BF3490"/>
    </row>
    <row r="3491" ht="14.4">
      <c r="BF3491"/>
    </row>
    <row r="3492" ht="14.4">
      <c r="BF3492"/>
    </row>
    <row r="3493" ht="14.4">
      <c r="BF3493"/>
    </row>
    <row r="3494" ht="14.4">
      <c r="BF3494"/>
    </row>
    <row r="3495" ht="14.4">
      <c r="BF3495"/>
    </row>
    <row r="3496" ht="14.4">
      <c r="BF3496"/>
    </row>
    <row r="3497" ht="14.4">
      <c r="BF3497"/>
    </row>
    <row r="3498" ht="14.4">
      <c r="BF3498"/>
    </row>
    <row r="3499" ht="14.4">
      <c r="BF3499"/>
    </row>
    <row r="3500" ht="14.4">
      <c r="BF3500"/>
    </row>
    <row r="3501" ht="14.4">
      <c r="BF3501"/>
    </row>
    <row r="3502" ht="14.4">
      <c r="BF3502"/>
    </row>
    <row r="3503" ht="14.4">
      <c r="BF3503"/>
    </row>
    <row r="3504" ht="14.4">
      <c r="BF3504"/>
    </row>
    <row r="3505" ht="14.4">
      <c r="BF3505"/>
    </row>
    <row r="3506" ht="14.4">
      <c r="BF3506"/>
    </row>
    <row r="3507" ht="14.4">
      <c r="BF3507"/>
    </row>
    <row r="3508" ht="14.4">
      <c r="BF3508"/>
    </row>
    <row r="3509" ht="14.4">
      <c r="BF3509"/>
    </row>
    <row r="3510" ht="14.4">
      <c r="BF3510"/>
    </row>
    <row r="3511" ht="14.4">
      <c r="BF3511"/>
    </row>
    <row r="3512" ht="14.4">
      <c r="BF3512"/>
    </row>
    <row r="3513" ht="14.4">
      <c r="BF3513"/>
    </row>
    <row r="3514" ht="14.4">
      <c r="BF3514"/>
    </row>
    <row r="3515" ht="14.4">
      <c r="BF3515"/>
    </row>
    <row r="3516" ht="14.4">
      <c r="BF3516"/>
    </row>
    <row r="3517" ht="14.4">
      <c r="BF3517"/>
    </row>
    <row r="3518" ht="14.4">
      <c r="BF3518"/>
    </row>
    <row r="3519" ht="14.4">
      <c r="BF3519"/>
    </row>
    <row r="3520" ht="14.4">
      <c r="BF3520"/>
    </row>
    <row r="3521" ht="14.4">
      <c r="BF3521"/>
    </row>
    <row r="3522" ht="14.4">
      <c r="BF3522"/>
    </row>
    <row r="3523" ht="14.4">
      <c r="BF3523"/>
    </row>
    <row r="3524" ht="14.4">
      <c r="BF3524"/>
    </row>
    <row r="3525" ht="14.4">
      <c r="BF3525"/>
    </row>
    <row r="3526" ht="14.4">
      <c r="BF3526"/>
    </row>
    <row r="3527" ht="14.4">
      <c r="BF3527"/>
    </row>
    <row r="3528" ht="14.4">
      <c r="BF3528"/>
    </row>
    <row r="3529" ht="14.4">
      <c r="BF3529"/>
    </row>
    <row r="3530" ht="14.4">
      <c r="BF3530"/>
    </row>
    <row r="3531" ht="14.4">
      <c r="BF3531"/>
    </row>
    <row r="3532" ht="14.4">
      <c r="BF3532"/>
    </row>
    <row r="3533" ht="14.4">
      <c r="BF3533"/>
    </row>
    <row r="3534" ht="14.4">
      <c r="BF3534"/>
    </row>
    <row r="3535" ht="14.4">
      <c r="BF3535"/>
    </row>
    <row r="3536" ht="14.4">
      <c r="BF3536"/>
    </row>
    <row r="3537" ht="14.4">
      <c r="BF3537"/>
    </row>
    <row r="3538" ht="14.4">
      <c r="BF3538"/>
    </row>
    <row r="3539" ht="14.4">
      <c r="BF3539"/>
    </row>
    <row r="3540" ht="14.4">
      <c r="BF3540"/>
    </row>
    <row r="3541" ht="14.4">
      <c r="BF3541"/>
    </row>
    <row r="3542" ht="14.4">
      <c r="BF3542"/>
    </row>
    <row r="3543" ht="14.4">
      <c r="BF3543"/>
    </row>
    <row r="3544" ht="14.4">
      <c r="BF3544"/>
    </row>
    <row r="3545" ht="14.4">
      <c r="BF3545"/>
    </row>
    <row r="3546" ht="14.4">
      <c r="BF3546"/>
    </row>
    <row r="3547" ht="14.4">
      <c r="BF3547"/>
    </row>
    <row r="3548" ht="14.4">
      <c r="BF3548"/>
    </row>
    <row r="3549" ht="14.4">
      <c r="BF3549"/>
    </row>
    <row r="3550" ht="14.4">
      <c r="BF3550"/>
    </row>
    <row r="3551" ht="14.4">
      <c r="BF3551"/>
    </row>
    <row r="3552" ht="14.4">
      <c r="BF3552"/>
    </row>
    <row r="3553" ht="14.4">
      <c r="BF3553"/>
    </row>
    <row r="3554" ht="14.4">
      <c r="BF3554"/>
    </row>
    <row r="3555" ht="14.4">
      <c r="BF3555"/>
    </row>
    <row r="3556" ht="14.4">
      <c r="BF3556"/>
    </row>
    <row r="3557" ht="14.4">
      <c r="BF3557"/>
    </row>
    <row r="3558" ht="14.4">
      <c r="BF3558"/>
    </row>
    <row r="3559" ht="14.4">
      <c r="BF3559"/>
    </row>
    <row r="3560" ht="14.4">
      <c r="BF3560"/>
    </row>
    <row r="3561" ht="14.4">
      <c r="BF3561"/>
    </row>
    <row r="3562" ht="14.4">
      <c r="BF3562"/>
    </row>
    <row r="3563" ht="14.4">
      <c r="BF3563"/>
    </row>
    <row r="3564" ht="14.4">
      <c r="BF3564"/>
    </row>
    <row r="3565" ht="14.4">
      <c r="BF3565"/>
    </row>
  </sheetData>
  <mergeCells count="1">
    <mergeCell ref="A21:B21"/>
  </mergeCells>
  <pageMargins left="1.24724409448847" right="1.24724409448847" top="0.75" bottom="0.75" header="0.3" footer="0.3"/>
  <pageSetup horizontalDpi="300" verticalDpi="30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316F6-2D12-4940-BEE4-36205155DFFE}">
  <sheetPr codeName="Sheet2"/>
  <dimension ref="A1:V179"/>
  <sheetViews>
    <sheetView workbookViewId="0" topLeftCell="A2">
      <selection pane="topLeft" activeCell="C29" sqref="C29"/>
    </sheetView>
  </sheetViews>
  <sheetFormatPr defaultColWidth="9.109375" defaultRowHeight="13.5"/>
  <cols>
    <col min="1" max="1" width="28.8571428571429" style="75" bestFit="1" customWidth="1"/>
    <col min="2" max="2" width="38" style="75" bestFit="1" customWidth="1"/>
    <col min="3" max="3" width="55" style="75" bestFit="1" customWidth="1"/>
    <col min="4" max="4" width="26.7142857142857" style="75" customWidth="1"/>
    <col min="5" max="5" width="3" style="75" customWidth="1"/>
    <col min="6" max="6" width="9.57142857142857" style="75" customWidth="1"/>
    <col min="7" max="7" width="6.42857142857143" style="75" bestFit="1" customWidth="1"/>
    <col min="8" max="8" width="2.28571428571429" style="75" customWidth="1"/>
    <col min="9" max="9" width="8.14285714285714" style="75" bestFit="1" customWidth="1"/>
    <col min="10" max="10" width="7.71428571428571" style="75" bestFit="1" customWidth="1"/>
    <col min="11" max="11" width="2" style="75" customWidth="1"/>
    <col min="12" max="12" width="8.14285714285714" style="75" bestFit="1" customWidth="1"/>
    <col min="13" max="13" width="7" style="75" customWidth="1"/>
    <col min="14" max="14" width="1.71428571428571" style="75" customWidth="1"/>
    <col min="15" max="15" width="7" style="75" bestFit="1" customWidth="1"/>
    <col min="16" max="16" width="8.57142857142857" style="75" customWidth="1"/>
    <col min="17" max="17" width="2.14285714285714" style="75" customWidth="1"/>
    <col min="18" max="18" width="7" style="75" bestFit="1" customWidth="1"/>
    <col min="19" max="19" width="8.14285714285714" style="75" customWidth="1"/>
    <col min="20" max="20" width="1.28571428571429" style="75" customWidth="1"/>
    <col min="21" max="21" width="7" style="75" bestFit="1" customWidth="1"/>
    <col min="22" max="22" width="11.2857142857143" style="75" customWidth="1"/>
  </cols>
  <sheetData>
    <row r="1" spans="6:22" ht="31.5" customHeight="1">
      <c r="F1" s="235" t="s">
        <v>384</v>
      </c>
      <c r="G1" s="236"/>
      <c r="I1" s="230" t="s">
        <v>385</v>
      </c>
      <c r="J1" s="231"/>
      <c r="K1" s="77"/>
      <c r="L1" s="230" t="s">
        <v>386</v>
      </c>
      <c r="M1" s="231"/>
      <c r="N1" s="77"/>
      <c r="O1" s="230" t="s">
        <v>387</v>
      </c>
      <c r="P1" s="231"/>
      <c r="Q1" s="77"/>
      <c r="R1" s="230" t="s">
        <v>388</v>
      </c>
      <c r="S1" s="231"/>
      <c r="T1" s="77"/>
      <c r="U1" s="230" t="s">
        <v>389</v>
      </c>
      <c r="V1" s="231"/>
    </row>
    <row r="2" spans="1:22" ht="39.6">
      <c r="A2" s="78" t="s">
        <v>390</v>
      </c>
      <c r="B2" s="79" t="s">
        <v>168</v>
      </c>
      <c r="C2" s="78" t="s">
        <v>217</v>
      </c>
      <c r="D2" s="76" t="s">
        <v>391</v>
      </c>
      <c r="E2" s="80"/>
      <c r="F2" s="81" t="s">
        <v>392</v>
      </c>
      <c r="G2" s="82" t="s">
        <v>393</v>
      </c>
      <c r="H2" s="83"/>
      <c r="I2" s="81" t="s">
        <v>392</v>
      </c>
      <c r="J2" s="82" t="s">
        <v>393</v>
      </c>
      <c r="K2" s="83"/>
      <c r="L2" s="81" t="s">
        <v>392</v>
      </c>
      <c r="M2" s="82" t="s">
        <v>393</v>
      </c>
      <c r="N2" s="83"/>
      <c r="O2" s="81" t="s">
        <v>392</v>
      </c>
      <c r="P2" s="82" t="s">
        <v>393</v>
      </c>
      <c r="Q2" s="83"/>
      <c r="R2" s="81" t="s">
        <v>392</v>
      </c>
      <c r="S2" s="82" t="s">
        <v>393</v>
      </c>
      <c r="T2" s="83"/>
      <c r="U2" s="81" t="s">
        <v>392</v>
      </c>
      <c r="V2" s="82" t="s">
        <v>393</v>
      </c>
    </row>
    <row r="3" spans="1:22" ht="13.2">
      <c r="A3" s="84" t="s">
        <v>275</v>
      </c>
      <c r="B3" s="85" t="s">
        <v>167</v>
      </c>
      <c r="C3" s="85" t="str">
        <f>CONCATENATE(A3,B3)</f>
        <v>Wavefold Cord OperationCentre Opening</v>
      </c>
      <c r="D3" s="86" t="s">
        <v>387</v>
      </c>
      <c r="E3" s="87"/>
      <c r="F3" s="88">
        <v>0</v>
      </c>
      <c r="G3" s="89" t="s">
        <v>394</v>
      </c>
      <c r="H3" s="90"/>
      <c r="I3" s="88">
        <v>0</v>
      </c>
      <c r="J3" s="91" t="s">
        <v>395</v>
      </c>
      <c r="K3" s="90"/>
      <c r="L3" s="88">
        <v>0</v>
      </c>
      <c r="M3" s="89" t="s">
        <v>394</v>
      </c>
      <c r="N3" s="90"/>
      <c r="O3" s="88">
        <v>0</v>
      </c>
      <c r="P3" s="89" t="s">
        <v>396</v>
      </c>
      <c r="Q3" s="90"/>
      <c r="R3" s="89">
        <v>260</v>
      </c>
      <c r="S3" s="89" t="s">
        <v>397</v>
      </c>
      <c r="T3" s="90"/>
      <c r="U3" s="89">
        <v>520</v>
      </c>
      <c r="V3" s="89" t="s">
        <v>398</v>
      </c>
    </row>
    <row r="4" spans="1:22" ht="13.2">
      <c r="A4" s="84" t="s">
        <v>275</v>
      </c>
      <c r="B4" s="39" t="s">
        <v>171</v>
      </c>
      <c r="C4" s="39" t="str">
        <f t="shared" si="0" ref="C4:C13">CONCATENATE(A4,B4)</f>
        <v>Wavefold Cord OperationSingle Panel - Left Stacking</v>
      </c>
      <c r="D4" s="93" t="s">
        <v>399</v>
      </c>
      <c r="F4" s="89">
        <v>360</v>
      </c>
      <c r="G4" s="89" t="s">
        <v>397</v>
      </c>
      <c r="H4" s="90"/>
      <c r="I4" s="94">
        <v>720</v>
      </c>
      <c r="J4" s="91" t="s">
        <v>398</v>
      </c>
      <c r="K4" s="90"/>
      <c r="L4" s="89">
        <v>320</v>
      </c>
      <c r="M4" s="89" t="s">
        <v>397</v>
      </c>
      <c r="N4" s="90"/>
      <c r="O4" s="89">
        <v>510</v>
      </c>
      <c r="P4" s="89" t="s">
        <v>395</v>
      </c>
      <c r="Q4" s="95"/>
      <c r="R4" s="89">
        <v>360</v>
      </c>
      <c r="S4" s="89" t="s">
        <v>400</v>
      </c>
      <c r="T4" s="90"/>
      <c r="U4" s="89">
        <v>720</v>
      </c>
      <c r="V4" s="89" t="s">
        <v>401</v>
      </c>
    </row>
    <row r="5" spans="1:22" ht="13.2">
      <c r="A5" s="84" t="s">
        <v>275</v>
      </c>
      <c r="B5" s="39" t="s">
        <v>172</v>
      </c>
      <c r="C5" s="39" t="str">
        <f t="shared" si="0"/>
        <v>Wavefold Cord OperationSingle Panel - Right Stacking</v>
      </c>
      <c r="D5" s="93" t="s">
        <v>399</v>
      </c>
      <c r="F5" s="89">
        <v>470</v>
      </c>
      <c r="G5" s="89" t="s">
        <v>400</v>
      </c>
      <c r="H5" s="90"/>
      <c r="I5" s="94">
        <v>940</v>
      </c>
      <c r="J5" s="91" t="s">
        <v>401</v>
      </c>
      <c r="K5" s="90"/>
      <c r="L5" s="89">
        <v>430</v>
      </c>
      <c r="M5" s="89" t="s">
        <v>400</v>
      </c>
      <c r="N5" s="90"/>
      <c r="O5" s="89">
        <v>640</v>
      </c>
      <c r="P5" s="89" t="s">
        <v>398</v>
      </c>
      <c r="Q5" s="90"/>
      <c r="R5" s="89">
        <v>450</v>
      </c>
      <c r="S5" s="89" t="s">
        <v>402</v>
      </c>
      <c r="T5" s="90"/>
      <c r="U5" s="89">
        <v>900</v>
      </c>
      <c r="V5" s="89" t="s">
        <v>403</v>
      </c>
    </row>
    <row r="6" spans="1:22" ht="13.2">
      <c r="A6" s="84" t="s">
        <v>296</v>
      </c>
      <c r="B6" s="39" t="s">
        <v>167</v>
      </c>
      <c r="C6" s="39" t="str">
        <f t="shared" si="0"/>
        <v>Wavefold Hand OperationCentre Opening</v>
      </c>
      <c r="D6" s="93" t="s">
        <v>387</v>
      </c>
      <c r="F6" s="89">
        <v>580</v>
      </c>
      <c r="G6" s="89" t="s">
        <v>402</v>
      </c>
      <c r="H6" s="90"/>
      <c r="I6" s="94">
        <v>1160</v>
      </c>
      <c r="J6" s="91" t="s">
        <v>403</v>
      </c>
      <c r="K6" s="90"/>
      <c r="L6" s="89">
        <v>530</v>
      </c>
      <c r="M6" s="89" t="s">
        <v>402</v>
      </c>
      <c r="N6" s="90"/>
      <c r="O6" s="89">
        <v>860</v>
      </c>
      <c r="P6" s="89" t="s">
        <v>401</v>
      </c>
      <c r="Q6" s="90"/>
      <c r="R6" s="89">
        <v>550</v>
      </c>
      <c r="S6" s="89" t="s">
        <v>404</v>
      </c>
      <c r="T6" s="90"/>
      <c r="U6" s="89">
        <v>1100</v>
      </c>
      <c r="V6" s="89" t="s">
        <v>405</v>
      </c>
    </row>
    <row r="7" spans="1:22" ht="13.2">
      <c r="A7" s="84" t="s">
        <v>296</v>
      </c>
      <c r="B7" s="85" t="s">
        <v>599</v>
      </c>
      <c r="C7" s="39" t="str">
        <f t="shared" si="1" ref="C7">CONCATENATE(A7,B7)</f>
        <v>Wavefold Hand OperationCentre Opening (Offset Split)</v>
      </c>
      <c r="D7" s="93" t="s">
        <v>387</v>
      </c>
      <c r="F7" s="89">
        <v>700</v>
      </c>
      <c r="G7" s="89" t="s">
        <v>404</v>
      </c>
      <c r="H7" s="90"/>
      <c r="I7" s="94">
        <v>1400</v>
      </c>
      <c r="J7" s="91" t="s">
        <v>405</v>
      </c>
      <c r="K7" s="90"/>
      <c r="L7" s="89">
        <v>630</v>
      </c>
      <c r="M7" s="89" t="s">
        <v>404</v>
      </c>
      <c r="N7" s="90"/>
      <c r="O7" s="89">
        <v>1060</v>
      </c>
      <c r="P7" s="89" t="s">
        <v>403</v>
      </c>
      <c r="Q7" s="90"/>
      <c r="R7" s="89">
        <v>640</v>
      </c>
      <c r="S7" s="89" t="s">
        <v>406</v>
      </c>
      <c r="T7" s="90"/>
      <c r="U7" s="89">
        <v>1280</v>
      </c>
      <c r="V7" s="89" t="s">
        <v>407</v>
      </c>
    </row>
    <row r="8" spans="1:22" ht="13.2">
      <c r="A8" s="84" t="s">
        <v>296</v>
      </c>
      <c r="B8" s="39" t="s">
        <v>171</v>
      </c>
      <c r="C8" s="39" t="str">
        <f t="shared" si="0"/>
        <v>Wavefold Hand OperationSingle Panel - Left Stacking</v>
      </c>
      <c r="D8" s="93" t="s">
        <v>399</v>
      </c>
      <c r="F8" s="89">
        <v>830</v>
      </c>
      <c r="G8" s="89" t="s">
        <v>406</v>
      </c>
      <c r="H8" s="90"/>
      <c r="I8" s="94">
        <v>1660</v>
      </c>
      <c r="J8" s="91" t="s">
        <v>407</v>
      </c>
      <c r="K8" s="90"/>
      <c r="L8" s="89">
        <v>740</v>
      </c>
      <c r="M8" s="89" t="s">
        <v>406</v>
      </c>
      <c r="N8" s="90"/>
      <c r="O8" s="89">
        <v>1260</v>
      </c>
      <c r="P8" s="89" t="s">
        <v>405</v>
      </c>
      <c r="Q8" s="90"/>
      <c r="R8" s="89">
        <v>740</v>
      </c>
      <c r="S8" s="89" t="s">
        <v>408</v>
      </c>
      <c r="T8" s="90"/>
      <c r="U8" s="89">
        <v>1480</v>
      </c>
      <c r="V8" s="89" t="s">
        <v>409</v>
      </c>
    </row>
    <row r="9" spans="1:22" ht="13.2">
      <c r="A9" s="84" t="s">
        <v>296</v>
      </c>
      <c r="B9" s="39" t="s">
        <v>172</v>
      </c>
      <c r="C9" s="39" t="str">
        <f t="shared" si="0"/>
        <v>Wavefold Hand OperationSingle Panel - Right Stacking</v>
      </c>
      <c r="D9" s="93" t="s">
        <v>399</v>
      </c>
      <c r="F9" s="89">
        <v>950</v>
      </c>
      <c r="G9" s="89" t="s">
        <v>408</v>
      </c>
      <c r="H9" s="90"/>
      <c r="I9" s="94">
        <v>1900</v>
      </c>
      <c r="J9" s="91" t="s">
        <v>409</v>
      </c>
      <c r="K9" s="90"/>
      <c r="L9" s="89">
        <v>850</v>
      </c>
      <c r="M9" s="89" t="s">
        <v>408</v>
      </c>
      <c r="N9" s="90"/>
      <c r="O9" s="89">
        <v>1480</v>
      </c>
      <c r="P9" s="89" t="s">
        <v>407</v>
      </c>
      <c r="Q9" s="90"/>
      <c r="R9" s="89">
        <v>830</v>
      </c>
      <c r="S9" s="89" t="s">
        <v>410</v>
      </c>
      <c r="T9" s="90"/>
      <c r="U9" s="89">
        <v>1660</v>
      </c>
      <c r="V9" s="89" t="s">
        <v>411</v>
      </c>
    </row>
    <row r="10" spans="1:22" ht="13.2">
      <c r="A10" s="84" t="s">
        <v>296</v>
      </c>
      <c r="B10" s="39" t="s">
        <v>173</v>
      </c>
      <c r="C10" s="39" t="str">
        <f t="shared" si="0"/>
        <v>Wavefold Hand OperationSingle Panel - Free Flowing</v>
      </c>
      <c r="D10" s="93" t="s">
        <v>399</v>
      </c>
      <c r="F10" s="89">
        <v>1060</v>
      </c>
      <c r="G10" s="89" t="s">
        <v>410</v>
      </c>
      <c r="H10" s="90"/>
      <c r="I10" s="94">
        <v>2120</v>
      </c>
      <c r="J10" s="91" t="s">
        <v>411</v>
      </c>
      <c r="K10" s="90"/>
      <c r="L10" s="89">
        <v>960</v>
      </c>
      <c r="M10" s="89" t="s">
        <v>410</v>
      </c>
      <c r="N10" s="90"/>
      <c r="O10" s="89">
        <v>1700</v>
      </c>
      <c r="P10" s="89" t="s">
        <v>409</v>
      </c>
      <c r="Q10" s="90"/>
      <c r="R10" s="89">
        <v>930</v>
      </c>
      <c r="S10" s="89" t="s">
        <v>412</v>
      </c>
      <c r="T10" s="90"/>
      <c r="U10" s="89">
        <v>1860</v>
      </c>
      <c r="V10" s="89" t="s">
        <v>413</v>
      </c>
    </row>
    <row r="11" spans="1:22" ht="13.2" customHeight="1">
      <c r="A11" s="84" t="s">
        <v>296</v>
      </c>
      <c r="B11" s="39" t="s">
        <v>306</v>
      </c>
      <c r="C11" s="39" t="str">
        <f t="shared" si="0"/>
        <v>Wavefold Hand OperationCentre Opening - Free Flowing</v>
      </c>
      <c r="D11" s="93" t="s">
        <v>387</v>
      </c>
      <c r="F11" s="89">
        <v>1180</v>
      </c>
      <c r="G11" s="89" t="s">
        <v>412</v>
      </c>
      <c r="H11" s="90"/>
      <c r="I11" s="94">
        <v>2360</v>
      </c>
      <c r="J11" s="91" t="s">
        <v>413</v>
      </c>
      <c r="K11" s="90"/>
      <c r="L11" s="89">
        <v>1070</v>
      </c>
      <c r="M11" s="89" t="s">
        <v>412</v>
      </c>
      <c r="N11" s="90"/>
      <c r="O11" s="89">
        <v>1920</v>
      </c>
      <c r="P11" s="89" t="s">
        <v>411</v>
      </c>
      <c r="Q11" s="90"/>
      <c r="R11" s="89">
        <v>1020</v>
      </c>
      <c r="S11" s="89" t="s">
        <v>414</v>
      </c>
      <c r="T11" s="90"/>
      <c r="U11" s="89">
        <v>2040</v>
      </c>
      <c r="V11" s="89" t="s">
        <v>415</v>
      </c>
    </row>
    <row r="12" spans="1:22" ht="13.2" customHeight="1">
      <c r="A12" s="84" t="s">
        <v>296</v>
      </c>
      <c r="B12" s="39" t="s">
        <v>598</v>
      </c>
      <c r="C12" s="39" t="str">
        <f t="shared" si="2" ref="C12">CONCATENATE(A12,B12)</f>
        <v>Wavefold Hand OperationCentre Opening - Free Flowing (Offset Split)</v>
      </c>
      <c r="D12" s="93" t="s">
        <v>387</v>
      </c>
      <c r="F12" s="89">
        <v>1290</v>
      </c>
      <c r="G12" s="89" t="s">
        <v>414</v>
      </c>
      <c r="H12" s="90"/>
      <c r="I12" s="94">
        <v>2580</v>
      </c>
      <c r="J12" s="91" t="s">
        <v>415</v>
      </c>
      <c r="K12" s="90"/>
      <c r="L12" s="89">
        <v>1180</v>
      </c>
      <c r="M12" s="89" t="s">
        <v>414</v>
      </c>
      <c r="N12" s="90"/>
      <c r="O12" s="89">
        <v>2140</v>
      </c>
      <c r="P12" s="89" t="s">
        <v>413</v>
      </c>
      <c r="Q12" s="90"/>
      <c r="R12" s="89">
        <v>1120</v>
      </c>
      <c r="S12" s="89" t="s">
        <v>416</v>
      </c>
      <c r="T12" s="90"/>
      <c r="U12" s="89">
        <v>2240</v>
      </c>
      <c r="V12" s="89" t="s">
        <v>417</v>
      </c>
    </row>
    <row r="13" spans="1:22" ht="13.2" customHeight="1">
      <c r="A13" s="84" t="s">
        <v>296</v>
      </c>
      <c r="B13" s="39" t="s">
        <v>185</v>
      </c>
      <c r="C13" s="39" t="str">
        <f t="shared" si="0"/>
        <v>Wavefold Hand OperationNo Movement</v>
      </c>
      <c r="D13" s="93" t="s">
        <v>399</v>
      </c>
      <c r="F13" s="89">
        <v>1400</v>
      </c>
      <c r="G13" s="89" t="s">
        <v>416</v>
      </c>
      <c r="H13" s="90"/>
      <c r="I13" s="94">
        <v>2800</v>
      </c>
      <c r="J13" s="91" t="s">
        <v>417</v>
      </c>
      <c r="K13" s="90"/>
      <c r="L13" s="89">
        <v>1290</v>
      </c>
      <c r="M13" s="89" t="s">
        <v>416</v>
      </c>
      <c r="N13" s="90"/>
      <c r="O13" s="89">
        <v>2360</v>
      </c>
      <c r="P13" s="89" t="s">
        <v>415</v>
      </c>
      <c r="Q13" s="90"/>
      <c r="R13" s="89">
        <v>1200</v>
      </c>
      <c r="S13" s="89" t="s">
        <v>418</v>
      </c>
      <c r="T13" s="90"/>
      <c r="U13" s="89">
        <v>2400</v>
      </c>
      <c r="V13" s="89" t="s">
        <v>419</v>
      </c>
    </row>
    <row r="14" spans="1:22" ht="13.2" customHeight="1">
      <c r="A14" s="92"/>
      <c r="B14" s="39"/>
      <c r="C14" s="39"/>
      <c r="D14" s="93"/>
      <c r="F14" s="89">
        <v>1540</v>
      </c>
      <c r="G14" s="89" t="s">
        <v>418</v>
      </c>
      <c r="H14" s="90"/>
      <c r="I14" s="94">
        <v>3080</v>
      </c>
      <c r="J14" s="91" t="s">
        <v>419</v>
      </c>
      <c r="K14" s="90"/>
      <c r="L14" s="89">
        <v>1400</v>
      </c>
      <c r="M14" s="89" t="s">
        <v>418</v>
      </c>
      <c r="N14" s="90"/>
      <c r="O14" s="89">
        <v>2580</v>
      </c>
      <c r="P14" s="89" t="s">
        <v>417</v>
      </c>
      <c r="Q14" s="90"/>
      <c r="R14" s="89">
        <v>1300</v>
      </c>
      <c r="S14" s="89" t="s">
        <v>420</v>
      </c>
      <c r="T14" s="90"/>
      <c r="U14" s="89">
        <v>2600</v>
      </c>
      <c r="V14" s="89" t="s">
        <v>421</v>
      </c>
    </row>
    <row r="15" spans="1:22" ht="13.2" customHeight="1">
      <c r="A15" s="92"/>
      <c r="B15" s="39"/>
      <c r="C15" s="39"/>
      <c r="D15" s="93"/>
      <c r="F15" s="89">
        <v>1660</v>
      </c>
      <c r="G15" s="89" t="s">
        <v>420</v>
      </c>
      <c r="H15" s="90"/>
      <c r="I15" s="94">
        <v>3320</v>
      </c>
      <c r="J15" s="91" t="s">
        <v>421</v>
      </c>
      <c r="K15" s="90"/>
      <c r="L15" s="89">
        <v>1510</v>
      </c>
      <c r="M15" s="89" t="s">
        <v>420</v>
      </c>
      <c r="N15" s="90"/>
      <c r="O15" s="89">
        <v>2800</v>
      </c>
      <c r="P15" s="89" t="s">
        <v>419</v>
      </c>
      <c r="Q15" s="90"/>
      <c r="R15" s="89">
        <v>1390</v>
      </c>
      <c r="S15" s="89" t="s">
        <v>422</v>
      </c>
      <c r="T15" s="90"/>
      <c r="U15" s="89">
        <v>2780</v>
      </c>
      <c r="V15" s="89" t="s">
        <v>423</v>
      </c>
    </row>
    <row r="16" spans="1:22" ht="13.2" customHeight="1">
      <c r="A16" s="92"/>
      <c r="B16" s="39"/>
      <c r="C16" s="39"/>
      <c r="D16" s="93"/>
      <c r="F16" s="89">
        <v>1770</v>
      </c>
      <c r="G16" s="89" t="s">
        <v>422</v>
      </c>
      <c r="H16" s="90"/>
      <c r="I16" s="94">
        <v>3540</v>
      </c>
      <c r="J16" s="91" t="s">
        <v>423</v>
      </c>
      <c r="K16" s="90"/>
      <c r="L16" s="89">
        <v>1620</v>
      </c>
      <c r="M16" s="89" t="s">
        <v>422</v>
      </c>
      <c r="N16" s="90"/>
      <c r="O16" s="89">
        <v>3020</v>
      </c>
      <c r="P16" s="89" t="s">
        <v>421</v>
      </c>
      <c r="Q16" s="90"/>
      <c r="R16" s="89">
        <v>1490</v>
      </c>
      <c r="S16" s="89" t="s">
        <v>424</v>
      </c>
      <c r="T16" s="90"/>
      <c r="U16" s="89">
        <v>2980</v>
      </c>
      <c r="V16" s="89" t="s">
        <v>425</v>
      </c>
    </row>
    <row r="17" spans="1:22" ht="13.2" customHeight="1">
      <c r="A17" s="92"/>
      <c r="B17" s="39"/>
      <c r="C17" s="39"/>
      <c r="D17" s="93"/>
      <c r="F17" s="89">
        <v>1890</v>
      </c>
      <c r="G17" s="89" t="s">
        <v>424</v>
      </c>
      <c r="H17" s="90"/>
      <c r="I17" s="94">
        <v>3780</v>
      </c>
      <c r="J17" s="91" t="s">
        <v>425</v>
      </c>
      <c r="K17" s="90"/>
      <c r="L17" s="89">
        <v>1730</v>
      </c>
      <c r="M17" s="89" t="s">
        <v>424</v>
      </c>
      <c r="N17" s="90"/>
      <c r="O17" s="89">
        <v>3240</v>
      </c>
      <c r="P17" s="89" t="s">
        <v>423</v>
      </c>
      <c r="Q17" s="90"/>
      <c r="R17" s="89">
        <v>1580</v>
      </c>
      <c r="S17" s="89" t="s">
        <v>426</v>
      </c>
      <c r="T17" s="90"/>
      <c r="U17" s="89">
        <v>3160</v>
      </c>
      <c r="V17" s="89" t="s">
        <v>427</v>
      </c>
    </row>
    <row r="18" spans="1:22" ht="13.2" customHeight="1">
      <c r="A18" s="92"/>
      <c r="B18" s="39"/>
      <c r="C18" s="39"/>
      <c r="D18" s="93"/>
      <c r="F18" s="89">
        <v>2000</v>
      </c>
      <c r="G18" s="89" t="s">
        <v>426</v>
      </c>
      <c r="H18" s="90"/>
      <c r="I18" s="94">
        <v>4000</v>
      </c>
      <c r="J18" s="91" t="s">
        <v>427</v>
      </c>
      <c r="K18" s="90"/>
      <c r="L18" s="89">
        <v>1840</v>
      </c>
      <c r="M18" s="89" t="s">
        <v>426</v>
      </c>
      <c r="N18" s="90"/>
      <c r="O18" s="89">
        <v>3460</v>
      </c>
      <c r="P18" s="89" t="s">
        <v>425</v>
      </c>
      <c r="Q18" s="90"/>
      <c r="R18" s="89">
        <v>1680</v>
      </c>
      <c r="S18" s="89" t="s">
        <v>428</v>
      </c>
      <c r="T18" s="90"/>
      <c r="U18" s="89">
        <v>3360</v>
      </c>
      <c r="V18" s="89" t="s">
        <v>429</v>
      </c>
    </row>
    <row r="19" spans="1:22" ht="13.2" customHeight="1">
      <c r="A19" s="96"/>
      <c r="B19" s="97"/>
      <c r="C19" s="97"/>
      <c r="D19" s="98"/>
      <c r="F19" s="89">
        <v>2130</v>
      </c>
      <c r="G19" s="89" t="s">
        <v>428</v>
      </c>
      <c r="H19" s="90"/>
      <c r="I19" s="94">
        <v>4260</v>
      </c>
      <c r="J19" s="91" t="s">
        <v>429</v>
      </c>
      <c r="K19" s="90"/>
      <c r="L19" s="89">
        <v>1940</v>
      </c>
      <c r="M19" s="89" t="s">
        <v>428</v>
      </c>
      <c r="N19" s="90"/>
      <c r="O19" s="89">
        <v>3680</v>
      </c>
      <c r="P19" s="89" t="s">
        <v>427</v>
      </c>
      <c r="Q19" s="90"/>
      <c r="R19" s="89">
        <v>1770</v>
      </c>
      <c r="S19" s="89" t="s">
        <v>430</v>
      </c>
      <c r="T19" s="90"/>
      <c r="U19" s="89">
        <v>3540</v>
      </c>
      <c r="V19" s="89" t="s">
        <v>431</v>
      </c>
    </row>
    <row r="20" spans="1:22" ht="13.5" customHeight="1">
      <c r="A20"/>
      <c r="B20"/>
      <c r="C20"/>
      <c r="D20"/>
      <c r="F20" s="89">
        <v>2250</v>
      </c>
      <c r="G20" s="89" t="s">
        <v>430</v>
      </c>
      <c r="H20" s="90"/>
      <c r="I20" s="94">
        <v>4500</v>
      </c>
      <c r="J20" s="91" t="s">
        <v>431</v>
      </c>
      <c r="K20" s="90"/>
      <c r="L20" s="89">
        <v>2050</v>
      </c>
      <c r="M20" s="89" t="s">
        <v>430</v>
      </c>
      <c r="N20" s="90"/>
      <c r="O20" s="89">
        <v>3880</v>
      </c>
      <c r="P20" s="89" t="s">
        <v>429</v>
      </c>
      <c r="Q20" s="90"/>
      <c r="R20" s="89">
        <v>1870</v>
      </c>
      <c r="S20" s="89" t="s">
        <v>432</v>
      </c>
      <c r="T20" s="90"/>
      <c r="U20" s="89">
        <v>3740</v>
      </c>
      <c r="V20" s="89" t="s">
        <v>433</v>
      </c>
    </row>
    <row r="21" spans="1:22" ht="13.5" customHeight="1">
      <c r="A21" s="232" t="s">
        <v>436</v>
      </c>
      <c r="B21" s="233"/>
      <c r="C21" s="234"/>
      <c r="F21" s="89">
        <v>2370</v>
      </c>
      <c r="G21" s="89" t="s">
        <v>432</v>
      </c>
      <c r="H21" s="90"/>
      <c r="I21" s="94">
        <v>4740</v>
      </c>
      <c r="J21" s="91" t="s">
        <v>433</v>
      </c>
      <c r="K21" s="90"/>
      <c r="L21" s="89">
        <v>2160</v>
      </c>
      <c r="M21" s="89" t="s">
        <v>432</v>
      </c>
      <c r="N21" s="90"/>
      <c r="O21" s="89">
        <v>4100</v>
      </c>
      <c r="P21" s="89" t="s">
        <v>431</v>
      </c>
      <c r="Q21" s="90"/>
      <c r="R21" s="89">
        <v>1960</v>
      </c>
      <c r="S21" s="89" t="s">
        <v>434</v>
      </c>
      <c r="T21" s="90"/>
      <c r="U21" s="89">
        <v>3920</v>
      </c>
      <c r="V21" s="89" t="s">
        <v>435</v>
      </c>
    </row>
    <row r="22" spans="1:22" ht="13.2">
      <c r="A22" s="99" t="s">
        <v>439</v>
      </c>
      <c r="B22" s="100" t="s">
        <v>440</v>
      </c>
      <c r="C22" s="101">
        <v>1</v>
      </c>
      <c r="F22" s="89">
        <v>2480</v>
      </c>
      <c r="G22" s="89" t="s">
        <v>434</v>
      </c>
      <c r="H22" s="90"/>
      <c r="I22" s="94">
        <v>4960</v>
      </c>
      <c r="J22" s="91" t="s">
        <v>435</v>
      </c>
      <c r="K22" s="90"/>
      <c r="L22" s="89">
        <v>2270</v>
      </c>
      <c r="M22" s="89" t="s">
        <v>434</v>
      </c>
      <c r="N22" s="90"/>
      <c r="O22" s="89">
        <v>4320</v>
      </c>
      <c r="P22" s="89" t="s">
        <v>433</v>
      </c>
      <c r="Q22" s="90"/>
      <c r="R22" s="89">
        <v>2060</v>
      </c>
      <c r="S22" s="89" t="s">
        <v>437</v>
      </c>
      <c r="T22" s="90"/>
      <c r="U22" s="89">
        <v>4120</v>
      </c>
      <c r="V22" s="89" t="s">
        <v>438</v>
      </c>
    </row>
    <row r="23" spans="1:22" ht="13.2">
      <c r="A23" s="92" t="s">
        <v>443</v>
      </c>
      <c r="B23" s="102" t="s">
        <v>444</v>
      </c>
      <c r="C23" s="103">
        <v>1</v>
      </c>
      <c r="F23" s="89">
        <v>2600</v>
      </c>
      <c r="G23" s="89" t="s">
        <v>437</v>
      </c>
      <c r="H23" s="90"/>
      <c r="I23" s="94">
        <v>5200</v>
      </c>
      <c r="J23" s="91" t="s">
        <v>438</v>
      </c>
      <c r="K23" s="90"/>
      <c r="L23" s="89">
        <v>2380</v>
      </c>
      <c r="M23" s="89" t="s">
        <v>437</v>
      </c>
      <c r="N23" s="90"/>
      <c r="O23" s="89">
        <v>4540</v>
      </c>
      <c r="P23" s="89" t="s">
        <v>435</v>
      </c>
      <c r="Q23" s="90"/>
      <c r="R23" s="89">
        <v>2150</v>
      </c>
      <c r="S23" s="89" t="s">
        <v>441</v>
      </c>
      <c r="T23" s="90"/>
      <c r="U23" s="89">
        <v>4300</v>
      </c>
      <c r="V23" s="89" t="s">
        <v>442</v>
      </c>
    </row>
    <row r="24" spans="1:22" ht="13.2">
      <c r="A24" s="92" t="s">
        <v>447</v>
      </c>
      <c r="B24" s="102" t="s">
        <v>444</v>
      </c>
      <c r="C24" s="103">
        <v>1</v>
      </c>
      <c r="F24" s="89">
        <v>2710</v>
      </c>
      <c r="G24" s="89" t="s">
        <v>441</v>
      </c>
      <c r="H24" s="90"/>
      <c r="I24" s="94">
        <v>5420</v>
      </c>
      <c r="J24" s="91" t="s">
        <v>442</v>
      </c>
      <c r="K24" s="90"/>
      <c r="L24" s="89">
        <v>2490</v>
      </c>
      <c r="M24" s="89" t="s">
        <v>441</v>
      </c>
      <c r="N24" s="90"/>
      <c r="O24" s="89">
        <v>4760</v>
      </c>
      <c r="P24" s="89" t="s">
        <v>438</v>
      </c>
      <c r="Q24" s="90"/>
      <c r="R24" s="89">
        <v>2250</v>
      </c>
      <c r="S24" s="89" t="s">
        <v>445</v>
      </c>
      <c r="T24" s="90"/>
      <c r="U24" s="89">
        <v>4500</v>
      </c>
      <c r="V24" s="89" t="s">
        <v>446</v>
      </c>
    </row>
    <row r="25" spans="1:22" ht="13.2">
      <c r="A25" s="92" t="s">
        <v>450</v>
      </c>
      <c r="B25" s="102" t="s">
        <v>450</v>
      </c>
      <c r="C25" s="103">
        <v>0</v>
      </c>
      <c r="F25" s="89">
        <v>2830</v>
      </c>
      <c r="G25" s="89" t="s">
        <v>445</v>
      </c>
      <c r="H25" s="90"/>
      <c r="I25" s="94">
        <v>5660</v>
      </c>
      <c r="J25" s="91" t="s">
        <v>446</v>
      </c>
      <c r="K25" s="90"/>
      <c r="L25" s="89">
        <v>2600</v>
      </c>
      <c r="M25" s="89" t="s">
        <v>445</v>
      </c>
      <c r="N25" s="90"/>
      <c r="O25" s="89">
        <v>4980</v>
      </c>
      <c r="P25" s="89" t="s">
        <v>442</v>
      </c>
      <c r="Q25" s="90"/>
      <c r="R25" s="89">
        <v>2340</v>
      </c>
      <c r="S25" s="89" t="s">
        <v>448</v>
      </c>
      <c r="T25" s="90"/>
      <c r="U25" s="89">
        <v>4680</v>
      </c>
      <c r="V25" s="89" t="s">
        <v>449</v>
      </c>
    </row>
    <row r="26" spans="1:22" ht="13.2">
      <c r="A26" s="92" t="s">
        <v>453</v>
      </c>
      <c r="B26" s="102" t="s">
        <v>454</v>
      </c>
      <c r="C26" s="103">
        <v>2</v>
      </c>
      <c r="F26" s="89">
        <v>2950</v>
      </c>
      <c r="G26" s="89" t="s">
        <v>448</v>
      </c>
      <c r="H26" s="90"/>
      <c r="I26" s="94">
        <v>5900</v>
      </c>
      <c r="J26" s="91" t="s">
        <v>449</v>
      </c>
      <c r="K26" s="90"/>
      <c r="L26" s="89">
        <v>2710</v>
      </c>
      <c r="M26" s="89" t="s">
        <v>448</v>
      </c>
      <c r="N26" s="90"/>
      <c r="O26" s="89">
        <v>5200</v>
      </c>
      <c r="P26" s="89" t="s">
        <v>446</v>
      </c>
      <c r="Q26" s="90"/>
      <c r="R26" s="89">
        <v>2440</v>
      </c>
      <c r="S26" s="89" t="s">
        <v>451</v>
      </c>
      <c r="T26" s="90"/>
      <c r="U26" s="89">
        <v>4880</v>
      </c>
      <c r="V26" s="89" t="s">
        <v>452</v>
      </c>
    </row>
    <row r="27" spans="1:22" ht="13.2">
      <c r="A27" s="92" t="s">
        <v>457</v>
      </c>
      <c r="B27" s="102" t="s">
        <v>454</v>
      </c>
      <c r="C27" s="103">
        <v>2</v>
      </c>
      <c r="F27" s="89">
        <v>3070</v>
      </c>
      <c r="G27" s="89" t="s">
        <v>451</v>
      </c>
      <c r="H27" s="90"/>
      <c r="I27" s="94">
        <v>6140</v>
      </c>
      <c r="J27" s="91" t="s">
        <v>452</v>
      </c>
      <c r="K27" s="90"/>
      <c r="L27" s="89">
        <v>2820</v>
      </c>
      <c r="M27" s="89" t="s">
        <v>451</v>
      </c>
      <c r="N27" s="90"/>
      <c r="O27" s="89">
        <v>5420</v>
      </c>
      <c r="P27" s="89" t="s">
        <v>449</v>
      </c>
      <c r="Q27" s="90"/>
      <c r="R27" s="89">
        <v>2530</v>
      </c>
      <c r="S27" s="89" t="s">
        <v>455</v>
      </c>
      <c r="T27" s="90"/>
      <c r="U27" s="89">
        <v>5060</v>
      </c>
      <c r="V27" s="89" t="s">
        <v>456</v>
      </c>
    </row>
    <row r="28" spans="1:22" ht="13.2">
      <c r="A28" s="96" t="s">
        <v>460</v>
      </c>
      <c r="B28" s="104" t="s">
        <v>461</v>
      </c>
      <c r="C28" s="105">
        <v>2</v>
      </c>
      <c r="F28" s="89">
        <v>3190</v>
      </c>
      <c r="G28" s="89" t="s">
        <v>455</v>
      </c>
      <c r="H28" s="90"/>
      <c r="I28" s="94">
        <v>6380</v>
      </c>
      <c r="J28" s="91" t="s">
        <v>456</v>
      </c>
      <c r="K28" s="90"/>
      <c r="L28" s="89">
        <v>2930</v>
      </c>
      <c r="M28" s="89" t="s">
        <v>455</v>
      </c>
      <c r="N28" s="90"/>
      <c r="O28" s="89">
        <v>5640</v>
      </c>
      <c r="P28" s="89" t="s">
        <v>452</v>
      </c>
      <c r="Q28" s="90"/>
      <c r="R28" s="89">
        <v>2630</v>
      </c>
      <c r="S28" s="89" t="s">
        <v>458</v>
      </c>
      <c r="T28" s="90"/>
      <c r="U28" s="89">
        <v>5260</v>
      </c>
      <c r="V28" s="89" t="s">
        <v>459</v>
      </c>
    </row>
    <row r="29" spans="6:22" ht="13.2">
      <c r="F29" s="89">
        <v>3300</v>
      </c>
      <c r="G29" s="89" t="s">
        <v>458</v>
      </c>
      <c r="H29" s="90"/>
      <c r="I29" s="94">
        <v>6600</v>
      </c>
      <c r="J29" s="91" t="s">
        <v>459</v>
      </c>
      <c r="K29" s="90"/>
      <c r="L29" s="89">
        <v>3030</v>
      </c>
      <c r="M29" s="89" t="s">
        <v>458</v>
      </c>
      <c r="N29" s="90"/>
      <c r="O29" s="89">
        <v>5860</v>
      </c>
      <c r="P29" s="89" t="s">
        <v>456</v>
      </c>
      <c r="Q29" s="90"/>
      <c r="R29" s="89">
        <v>2720</v>
      </c>
      <c r="S29" s="89" t="s">
        <v>462</v>
      </c>
      <c r="T29" s="90"/>
      <c r="U29" s="89">
        <v>5440</v>
      </c>
      <c r="V29" s="89" t="s">
        <v>463</v>
      </c>
    </row>
    <row r="30" spans="6:22" ht="13.2">
      <c r="F30" s="89">
        <v>3430</v>
      </c>
      <c r="G30" s="89" t="s">
        <v>462</v>
      </c>
      <c r="H30" s="90"/>
      <c r="I30" s="94">
        <v>6860</v>
      </c>
      <c r="J30" s="91" t="s">
        <v>463</v>
      </c>
      <c r="K30" s="90"/>
      <c r="L30" s="89">
        <v>3150</v>
      </c>
      <c r="M30" s="89" t="s">
        <v>462</v>
      </c>
      <c r="N30" s="90"/>
      <c r="O30" s="89">
        <v>6060</v>
      </c>
      <c r="P30" s="89" t="s">
        <v>459</v>
      </c>
      <c r="Q30" s="90"/>
      <c r="R30" s="89">
        <v>2820</v>
      </c>
      <c r="S30" s="89" t="s">
        <v>464</v>
      </c>
      <c r="T30" s="90"/>
      <c r="U30" s="106">
        <v>5640</v>
      </c>
      <c r="V30" s="89" t="s">
        <v>465</v>
      </c>
    </row>
    <row r="31" spans="6:22" ht="13.2">
      <c r="F31" s="89">
        <v>3550</v>
      </c>
      <c r="G31" s="89" t="s">
        <v>464</v>
      </c>
      <c r="H31" s="90"/>
      <c r="I31" s="94">
        <v>7100</v>
      </c>
      <c r="J31" s="91" t="s">
        <v>465</v>
      </c>
      <c r="K31" s="87"/>
      <c r="L31" s="89">
        <v>3260</v>
      </c>
      <c r="M31" s="89" t="s">
        <v>464</v>
      </c>
      <c r="N31" s="90"/>
      <c r="O31" s="89">
        <v>6300</v>
      </c>
      <c r="P31" s="89" t="s">
        <v>463</v>
      </c>
      <c r="Q31" s="87"/>
      <c r="R31" s="89">
        <v>2910</v>
      </c>
      <c r="S31" s="89" t="s">
        <v>466</v>
      </c>
      <c r="T31" s="90"/>
      <c r="U31" s="89">
        <v>5820</v>
      </c>
      <c r="V31" s="89" t="s">
        <v>467</v>
      </c>
    </row>
    <row r="32" spans="6:22" ht="13.2">
      <c r="F32" s="89">
        <v>3660</v>
      </c>
      <c r="G32" s="89" t="s">
        <v>466</v>
      </c>
      <c r="H32" s="87"/>
      <c r="I32" s="94">
        <v>7320</v>
      </c>
      <c r="J32" s="91" t="s">
        <v>467</v>
      </c>
      <c r="K32" s="87"/>
      <c r="L32" s="89">
        <v>3360</v>
      </c>
      <c r="M32" s="89" t="s">
        <v>466</v>
      </c>
      <c r="N32" s="87"/>
      <c r="O32" s="106">
        <v>6520</v>
      </c>
      <c r="P32" s="89" t="s">
        <v>465</v>
      </c>
      <c r="Q32" s="87"/>
      <c r="R32" s="89">
        <v>3010</v>
      </c>
      <c r="S32" s="89" t="s">
        <v>468</v>
      </c>
      <c r="T32" s="87"/>
      <c r="U32" s="89">
        <v>6020</v>
      </c>
      <c r="V32" s="89" t="s">
        <v>469</v>
      </c>
    </row>
    <row r="33" spans="6:22" ht="13.2">
      <c r="F33" s="89">
        <v>3780</v>
      </c>
      <c r="G33" s="89" t="s">
        <v>468</v>
      </c>
      <c r="H33" s="87"/>
      <c r="I33" s="94">
        <v>7560</v>
      </c>
      <c r="J33" s="91" t="s">
        <v>469</v>
      </c>
      <c r="K33" s="87"/>
      <c r="L33" s="89">
        <v>3480</v>
      </c>
      <c r="M33" s="89" t="s">
        <v>468</v>
      </c>
      <c r="N33" s="87"/>
      <c r="O33" s="89">
        <v>6720</v>
      </c>
      <c r="P33" s="89" t="s">
        <v>467</v>
      </c>
      <c r="Q33" s="87"/>
      <c r="R33" s="89">
        <v>3100</v>
      </c>
      <c r="S33" s="89" t="s">
        <v>470</v>
      </c>
      <c r="T33" s="87"/>
      <c r="U33" s="89">
        <v>6200</v>
      </c>
      <c r="V33" s="89" t="s">
        <v>471</v>
      </c>
    </row>
    <row r="34" spans="6:22" ht="13.2">
      <c r="F34" s="89">
        <v>3900</v>
      </c>
      <c r="G34" s="89" t="s">
        <v>470</v>
      </c>
      <c r="H34" s="87"/>
      <c r="I34" s="94">
        <v>7800</v>
      </c>
      <c r="J34" s="91" t="s">
        <v>471</v>
      </c>
      <c r="K34" s="87"/>
      <c r="L34" s="89">
        <v>3580</v>
      </c>
      <c r="M34" s="89" t="s">
        <v>470</v>
      </c>
      <c r="N34" s="87"/>
      <c r="O34" s="89">
        <v>6960</v>
      </c>
      <c r="P34" s="89" t="s">
        <v>469</v>
      </c>
      <c r="Q34" s="87"/>
      <c r="R34" s="89">
        <v>3200</v>
      </c>
      <c r="S34" s="89" t="s">
        <v>472</v>
      </c>
      <c r="T34" s="87"/>
      <c r="U34" s="89">
        <v>6400</v>
      </c>
      <c r="V34" s="89" t="s">
        <v>473</v>
      </c>
    </row>
    <row r="35" spans="6:22" ht="13.2">
      <c r="F35" s="89">
        <v>4020</v>
      </c>
      <c r="G35" s="89" t="s">
        <v>472</v>
      </c>
      <c r="H35" s="87"/>
      <c r="I35" s="94">
        <v>8040</v>
      </c>
      <c r="J35" s="91" t="s">
        <v>473</v>
      </c>
      <c r="K35" s="87"/>
      <c r="L35" s="89">
        <v>3690</v>
      </c>
      <c r="M35" s="89" t="s">
        <v>472</v>
      </c>
      <c r="N35" s="87"/>
      <c r="O35" s="89">
        <v>7160</v>
      </c>
      <c r="P35" s="89" t="s">
        <v>471</v>
      </c>
      <c r="Q35" s="87"/>
      <c r="R35" s="89">
        <v>3290</v>
      </c>
      <c r="S35" s="89" t="s">
        <v>474</v>
      </c>
      <c r="T35" s="87"/>
      <c r="U35" s="89">
        <v>6580</v>
      </c>
      <c r="V35" s="89" t="s">
        <v>475</v>
      </c>
    </row>
    <row r="36" spans="6:22" ht="13.2">
      <c r="F36" s="89">
        <v>4140</v>
      </c>
      <c r="G36" s="89" t="s">
        <v>474</v>
      </c>
      <c r="H36" s="87"/>
      <c r="I36" s="94">
        <v>8280</v>
      </c>
      <c r="J36" s="91" t="s">
        <v>475</v>
      </c>
      <c r="K36" s="87"/>
      <c r="L36" s="89">
        <v>3800</v>
      </c>
      <c r="M36" s="89" t="s">
        <v>474</v>
      </c>
      <c r="N36" s="87"/>
      <c r="O36" s="89">
        <v>7380</v>
      </c>
      <c r="P36" s="89" t="s">
        <v>473</v>
      </c>
      <c r="Q36" s="87"/>
      <c r="R36" s="89">
        <v>3390</v>
      </c>
      <c r="S36" s="89" t="s">
        <v>476</v>
      </c>
      <c r="T36" s="87"/>
      <c r="U36" s="89">
        <v>6780</v>
      </c>
      <c r="V36" s="89" t="s">
        <v>477</v>
      </c>
    </row>
    <row r="37" spans="6:22" ht="13.2">
      <c r="F37" s="89">
        <v>4250</v>
      </c>
      <c r="G37" s="89" t="s">
        <v>476</v>
      </c>
      <c r="H37" s="87"/>
      <c r="I37" s="94">
        <v>8500</v>
      </c>
      <c r="J37" s="91" t="s">
        <v>477</v>
      </c>
      <c r="K37" s="87"/>
      <c r="L37" s="89">
        <v>3910</v>
      </c>
      <c r="M37" s="89" t="s">
        <v>476</v>
      </c>
      <c r="N37" s="87"/>
      <c r="O37" s="89">
        <v>7600</v>
      </c>
      <c r="P37" s="89" t="s">
        <v>475</v>
      </c>
      <c r="Q37" s="87"/>
      <c r="R37" s="89">
        <v>3480</v>
      </c>
      <c r="S37" s="89" t="s">
        <v>478</v>
      </c>
      <c r="T37" s="87"/>
      <c r="U37" s="89">
        <v>6960</v>
      </c>
      <c r="V37" s="89" t="s">
        <v>479</v>
      </c>
    </row>
    <row r="38" spans="6:22" ht="13.2">
      <c r="F38" s="89">
        <v>4370</v>
      </c>
      <c r="G38" s="89" t="s">
        <v>478</v>
      </c>
      <c r="H38" s="87"/>
      <c r="I38" s="94">
        <v>8740</v>
      </c>
      <c r="J38" s="91" t="s">
        <v>479</v>
      </c>
      <c r="K38" s="87"/>
      <c r="L38" s="89">
        <v>4020</v>
      </c>
      <c r="M38" s="89" t="s">
        <v>478</v>
      </c>
      <c r="N38" s="87"/>
      <c r="O38" s="89">
        <v>7820</v>
      </c>
      <c r="P38" s="89" t="s">
        <v>477</v>
      </c>
      <c r="Q38" s="87"/>
      <c r="R38" s="89">
        <v>3580</v>
      </c>
      <c r="S38" s="89" t="s">
        <v>480</v>
      </c>
      <c r="T38" s="87"/>
      <c r="U38" s="89">
        <v>7160</v>
      </c>
      <c r="V38" s="89" t="s">
        <v>481</v>
      </c>
    </row>
    <row r="39" spans="6:22" ht="13.2">
      <c r="F39" s="89">
        <v>4490</v>
      </c>
      <c r="G39" s="89" t="s">
        <v>480</v>
      </c>
      <c r="H39" s="87"/>
      <c r="I39" s="94">
        <v>8980</v>
      </c>
      <c r="J39" s="91" t="s">
        <v>481</v>
      </c>
      <c r="K39" s="87"/>
      <c r="L39" s="89">
        <v>4130</v>
      </c>
      <c r="M39" s="89" t="s">
        <v>480</v>
      </c>
      <c r="N39" s="87"/>
      <c r="O39" s="89">
        <v>8040</v>
      </c>
      <c r="P39" s="89" t="s">
        <v>479</v>
      </c>
      <c r="Q39" s="87"/>
      <c r="R39" s="89">
        <v>3670</v>
      </c>
      <c r="S39" s="89" t="s">
        <v>482</v>
      </c>
      <c r="T39" s="87"/>
      <c r="U39" s="89">
        <v>7340</v>
      </c>
      <c r="V39" s="89" t="s">
        <v>483</v>
      </c>
    </row>
    <row r="40" spans="6:22" ht="13.2">
      <c r="F40" s="89">
        <v>4610</v>
      </c>
      <c r="G40" s="89" t="s">
        <v>482</v>
      </c>
      <c r="H40" s="87"/>
      <c r="I40" s="94">
        <v>9220</v>
      </c>
      <c r="J40" s="91" t="s">
        <v>483</v>
      </c>
      <c r="K40" s="87"/>
      <c r="L40" s="89">
        <v>4230</v>
      </c>
      <c r="M40" s="89" t="s">
        <v>482</v>
      </c>
      <c r="N40" s="87"/>
      <c r="O40" s="89">
        <v>8260</v>
      </c>
      <c r="P40" s="89" t="s">
        <v>481</v>
      </c>
      <c r="Q40" s="87"/>
      <c r="R40" s="89">
        <v>3770</v>
      </c>
      <c r="S40" s="89" t="s">
        <v>484</v>
      </c>
      <c r="T40" s="87"/>
      <c r="U40" s="89">
        <v>7540</v>
      </c>
      <c r="V40" s="89" t="s">
        <v>485</v>
      </c>
    </row>
    <row r="41" spans="6:22" ht="13.2">
      <c r="F41" s="89">
        <v>4730</v>
      </c>
      <c r="G41" s="89" t="s">
        <v>484</v>
      </c>
      <c r="H41" s="87"/>
      <c r="I41" s="94">
        <v>9460</v>
      </c>
      <c r="J41" s="91" t="s">
        <v>485</v>
      </c>
      <c r="K41" s="87"/>
      <c r="L41" s="89">
        <v>4340</v>
      </c>
      <c r="M41" s="89" t="s">
        <v>484</v>
      </c>
      <c r="N41" s="87"/>
      <c r="O41" s="89">
        <v>8460</v>
      </c>
      <c r="P41" s="89" t="s">
        <v>483</v>
      </c>
      <c r="Q41" s="87"/>
      <c r="R41" s="89">
        <v>3860</v>
      </c>
      <c r="S41" s="89" t="s">
        <v>486</v>
      </c>
      <c r="T41" s="87"/>
      <c r="U41" s="89">
        <v>7720</v>
      </c>
      <c r="V41" s="89" t="s">
        <v>487</v>
      </c>
    </row>
    <row r="42" spans="6:22" ht="13.2">
      <c r="F42" s="89">
        <v>4850</v>
      </c>
      <c r="G42" s="89" t="s">
        <v>486</v>
      </c>
      <c r="H42" s="87"/>
      <c r="I42" s="94">
        <v>9700</v>
      </c>
      <c r="J42" s="91" t="s">
        <v>487</v>
      </c>
      <c r="K42" s="87"/>
      <c r="L42" s="89">
        <v>4450</v>
      </c>
      <c r="M42" s="89" t="s">
        <v>486</v>
      </c>
      <c r="N42" s="87"/>
      <c r="O42" s="89">
        <v>8680</v>
      </c>
      <c r="P42" s="89" t="s">
        <v>485</v>
      </c>
      <c r="Q42" s="87"/>
      <c r="R42" s="89">
        <v>3960</v>
      </c>
      <c r="S42" s="89" t="s">
        <v>488</v>
      </c>
      <c r="T42" s="87"/>
      <c r="U42" s="89">
        <v>7920</v>
      </c>
      <c r="V42" s="89" t="s">
        <v>489</v>
      </c>
    </row>
    <row r="43" spans="6:22" ht="13.2">
      <c r="F43" s="89">
        <v>4970</v>
      </c>
      <c r="G43" s="89" t="s">
        <v>488</v>
      </c>
      <c r="H43" s="87"/>
      <c r="I43" s="94">
        <v>9940</v>
      </c>
      <c r="J43" s="91" t="s">
        <v>489</v>
      </c>
      <c r="K43" s="87"/>
      <c r="L43" s="89">
        <v>4560</v>
      </c>
      <c r="M43" s="89" t="s">
        <v>488</v>
      </c>
      <c r="N43" s="87"/>
      <c r="O43" s="89">
        <v>8900</v>
      </c>
      <c r="P43" s="89" t="s">
        <v>487</v>
      </c>
      <c r="Q43" s="87"/>
      <c r="R43" s="89">
        <v>4050</v>
      </c>
      <c r="S43" s="89" t="s">
        <v>490</v>
      </c>
      <c r="T43" s="87"/>
      <c r="U43" s="89">
        <v>8100</v>
      </c>
      <c r="V43" s="89" t="s">
        <v>491</v>
      </c>
    </row>
    <row r="44" spans="6:22" ht="13.2">
      <c r="F44" s="89">
        <v>5090</v>
      </c>
      <c r="G44" s="89" t="s">
        <v>490</v>
      </c>
      <c r="H44" s="87"/>
      <c r="I44" s="94">
        <v>10180</v>
      </c>
      <c r="J44" s="91" t="s">
        <v>491</v>
      </c>
      <c r="K44" s="87"/>
      <c r="L44" s="89">
        <v>4680</v>
      </c>
      <c r="M44" s="89" t="s">
        <v>490</v>
      </c>
      <c r="N44" s="87"/>
      <c r="O44" s="89">
        <v>9120</v>
      </c>
      <c r="P44" s="89" t="s">
        <v>489</v>
      </c>
      <c r="Q44" s="87"/>
      <c r="R44" s="89">
        <v>4150</v>
      </c>
      <c r="S44" s="89" t="s">
        <v>492</v>
      </c>
      <c r="T44" s="87"/>
      <c r="U44" s="89">
        <v>8300</v>
      </c>
      <c r="V44" s="89" t="s">
        <v>493</v>
      </c>
    </row>
    <row r="45" spans="6:22" ht="13.2">
      <c r="F45" s="89">
        <v>5210</v>
      </c>
      <c r="G45" s="89" t="s">
        <v>492</v>
      </c>
      <c r="H45" s="87"/>
      <c r="I45" s="94">
        <v>10420</v>
      </c>
      <c r="J45" s="91" t="s">
        <v>493</v>
      </c>
      <c r="K45" s="87"/>
      <c r="L45" s="89">
        <v>4790</v>
      </c>
      <c r="M45" s="89" t="s">
        <v>492</v>
      </c>
      <c r="N45" s="87"/>
      <c r="O45" s="89">
        <v>9360</v>
      </c>
      <c r="P45" s="89" t="s">
        <v>491</v>
      </c>
      <c r="Q45" s="87"/>
      <c r="R45" s="89">
        <v>4240</v>
      </c>
      <c r="S45" s="89" t="s">
        <v>494</v>
      </c>
      <c r="T45" s="87"/>
      <c r="U45" s="89">
        <v>8480</v>
      </c>
      <c r="V45" s="89" t="s">
        <v>495</v>
      </c>
    </row>
    <row r="46" spans="6:22" ht="13.2">
      <c r="F46" s="89">
        <v>5330</v>
      </c>
      <c r="G46" s="89" t="s">
        <v>494</v>
      </c>
      <c r="H46" s="87"/>
      <c r="I46" s="94">
        <v>10660</v>
      </c>
      <c r="J46" s="91" t="s">
        <v>495</v>
      </c>
      <c r="K46" s="87"/>
      <c r="L46" s="89">
        <v>4900</v>
      </c>
      <c r="M46" s="89" t="s">
        <v>494</v>
      </c>
      <c r="N46" s="87"/>
      <c r="O46" s="89">
        <v>9580</v>
      </c>
      <c r="P46" s="89" t="s">
        <v>493</v>
      </c>
      <c r="Q46" s="87"/>
      <c r="R46" s="89">
        <v>4340</v>
      </c>
      <c r="S46" s="89" t="s">
        <v>496</v>
      </c>
      <c r="T46" s="87"/>
      <c r="U46" s="89">
        <v>8680</v>
      </c>
      <c r="V46" s="89" t="s">
        <v>497</v>
      </c>
    </row>
    <row r="47" spans="6:22" ht="13.2">
      <c r="F47" s="89">
        <v>5450</v>
      </c>
      <c r="G47" s="89" t="s">
        <v>496</v>
      </c>
      <c r="H47" s="87"/>
      <c r="I47" s="94">
        <v>10900</v>
      </c>
      <c r="J47" s="91" t="s">
        <v>497</v>
      </c>
      <c r="K47" s="87"/>
      <c r="L47" s="89">
        <v>5000</v>
      </c>
      <c r="M47" s="89" t="s">
        <v>496</v>
      </c>
      <c r="N47" s="87"/>
      <c r="O47" s="89">
        <v>9800</v>
      </c>
      <c r="P47" s="89" t="s">
        <v>495</v>
      </c>
      <c r="Q47" s="87"/>
      <c r="R47" s="89">
        <v>4430</v>
      </c>
      <c r="S47" s="89" t="s">
        <v>498</v>
      </c>
      <c r="T47" s="87"/>
      <c r="U47" s="89">
        <v>8860</v>
      </c>
      <c r="V47" s="89" t="s">
        <v>499</v>
      </c>
    </row>
    <row r="48" spans="6:22" ht="13.2">
      <c r="F48" s="89">
        <v>5560</v>
      </c>
      <c r="G48" s="89" t="s">
        <v>498</v>
      </c>
      <c r="H48" s="87"/>
      <c r="I48" s="94">
        <v>11120</v>
      </c>
      <c r="J48" s="91" t="s">
        <v>499</v>
      </c>
      <c r="K48" s="87"/>
      <c r="L48" s="89">
        <v>5110</v>
      </c>
      <c r="M48" s="89" t="s">
        <v>498</v>
      </c>
      <c r="N48" s="87"/>
      <c r="O48" s="89">
        <v>10000</v>
      </c>
      <c r="P48" s="89" t="s">
        <v>497</v>
      </c>
      <c r="Q48" s="87"/>
      <c r="R48" s="89">
        <v>4530</v>
      </c>
      <c r="S48" s="89" t="s">
        <v>500</v>
      </c>
      <c r="T48" s="87"/>
      <c r="U48" s="89">
        <v>9060</v>
      </c>
      <c r="V48" s="89" t="s">
        <v>501</v>
      </c>
    </row>
    <row r="49" spans="6:22" ht="13.2">
      <c r="F49" s="89">
        <v>5690</v>
      </c>
      <c r="G49" s="89" t="s">
        <v>500</v>
      </c>
      <c r="H49" s="87"/>
      <c r="I49" s="94">
        <v>11380</v>
      </c>
      <c r="J49" s="91" t="s">
        <v>501</v>
      </c>
      <c r="K49" s="87"/>
      <c r="L49" s="89">
        <v>5220</v>
      </c>
      <c r="M49" s="89" t="s">
        <v>500</v>
      </c>
      <c r="N49" s="87"/>
      <c r="O49" s="89">
        <v>10220</v>
      </c>
      <c r="P49" s="89" t="s">
        <v>499</v>
      </c>
      <c r="Q49" s="87"/>
      <c r="R49" s="89">
        <v>4620</v>
      </c>
      <c r="S49" s="89" t="s">
        <v>502</v>
      </c>
      <c r="T49" s="87"/>
      <c r="U49" s="89">
        <v>9240</v>
      </c>
      <c r="V49" s="89" t="s">
        <v>503</v>
      </c>
    </row>
    <row r="50" spans="6:22" ht="13.2">
      <c r="F50" s="89">
        <v>5800</v>
      </c>
      <c r="G50" s="89" t="s">
        <v>502</v>
      </c>
      <c r="H50" s="87"/>
      <c r="I50" s="94">
        <v>11600</v>
      </c>
      <c r="J50" s="91" t="s">
        <v>503</v>
      </c>
      <c r="K50" s="87"/>
      <c r="L50" s="89">
        <v>5330</v>
      </c>
      <c r="M50" s="89" t="s">
        <v>502</v>
      </c>
      <c r="N50" s="87"/>
      <c r="O50" s="89">
        <v>10440</v>
      </c>
      <c r="P50" s="89" t="s">
        <v>501</v>
      </c>
      <c r="Q50" s="87"/>
      <c r="R50" s="89">
        <v>4720</v>
      </c>
      <c r="S50" s="89" t="s">
        <v>504</v>
      </c>
      <c r="T50" s="87"/>
      <c r="U50" s="89">
        <v>9440</v>
      </c>
      <c r="V50" s="89" t="s">
        <v>505</v>
      </c>
    </row>
    <row r="51" spans="6:22" ht="13.2">
      <c r="F51" s="89">
        <v>5920</v>
      </c>
      <c r="G51" s="89" t="s">
        <v>504</v>
      </c>
      <c r="H51" s="87"/>
      <c r="I51" s="94">
        <v>11840</v>
      </c>
      <c r="J51" s="91" t="s">
        <v>505</v>
      </c>
      <c r="K51" s="87"/>
      <c r="L51" s="89">
        <v>5440</v>
      </c>
      <c r="M51" s="89" t="s">
        <v>504</v>
      </c>
      <c r="N51" s="87"/>
      <c r="O51" s="89">
        <v>10660</v>
      </c>
      <c r="P51" s="89" t="s">
        <v>503</v>
      </c>
      <c r="Q51" s="87"/>
      <c r="R51" s="89">
        <v>4800</v>
      </c>
      <c r="S51" s="89" t="s">
        <v>506</v>
      </c>
      <c r="T51" s="87"/>
      <c r="U51" s="89">
        <v>9600</v>
      </c>
      <c r="V51" s="89" t="s">
        <v>507</v>
      </c>
    </row>
    <row r="52" spans="6:22" ht="13.2">
      <c r="F52" s="89">
        <v>6050</v>
      </c>
      <c r="G52" s="89" t="s">
        <v>506</v>
      </c>
      <c r="H52" s="87"/>
      <c r="I52" s="94">
        <v>12100</v>
      </c>
      <c r="J52" s="91" t="s">
        <v>507</v>
      </c>
      <c r="K52" s="87"/>
      <c r="L52" s="89">
        <v>5530</v>
      </c>
      <c r="M52" s="89" t="s">
        <v>506</v>
      </c>
      <c r="N52" s="87"/>
      <c r="O52" s="89">
        <v>10880</v>
      </c>
      <c r="P52" s="89" t="s">
        <v>505</v>
      </c>
      <c r="Q52" s="87"/>
      <c r="R52" s="89">
        <v>4900</v>
      </c>
      <c r="S52" s="89" t="s">
        <v>508</v>
      </c>
      <c r="T52" s="87"/>
      <c r="U52" s="89">
        <v>9800</v>
      </c>
      <c r="V52" s="89" t="s">
        <v>509</v>
      </c>
    </row>
    <row r="53" spans="6:22" ht="13.2">
      <c r="F53" s="89">
        <v>6170</v>
      </c>
      <c r="G53" s="89" t="s">
        <v>508</v>
      </c>
      <c r="H53" s="87"/>
      <c r="I53" s="94">
        <v>11150</v>
      </c>
      <c r="J53" s="91" t="s">
        <v>509</v>
      </c>
      <c r="K53" s="87"/>
      <c r="L53" s="89">
        <v>5660</v>
      </c>
      <c r="M53" s="89" t="s">
        <v>508</v>
      </c>
      <c r="N53" s="87"/>
      <c r="O53" s="89">
        <v>11060</v>
      </c>
      <c r="P53" s="89" t="s">
        <v>507</v>
      </c>
      <c r="Q53" s="87"/>
      <c r="R53" s="89">
        <v>4990</v>
      </c>
      <c r="S53" s="89" t="s">
        <v>510</v>
      </c>
      <c r="T53" s="87"/>
      <c r="U53" s="89">
        <v>9980</v>
      </c>
      <c r="V53" s="89" t="s">
        <v>511</v>
      </c>
    </row>
    <row r="54" spans="6:22" ht="13.2">
      <c r="F54" s="89">
        <v>6290</v>
      </c>
      <c r="G54" s="89" t="s">
        <v>510</v>
      </c>
      <c r="H54" s="87"/>
      <c r="I54" s="94">
        <v>11410</v>
      </c>
      <c r="J54" s="91" t="s">
        <v>511</v>
      </c>
      <c r="K54" s="87"/>
      <c r="L54" s="89">
        <v>5770</v>
      </c>
      <c r="M54" s="89" t="s">
        <v>510</v>
      </c>
      <c r="N54" s="87"/>
      <c r="O54" s="89">
        <v>11320</v>
      </c>
      <c r="P54" s="89" t="s">
        <v>509</v>
      </c>
      <c r="Q54" s="87"/>
      <c r="R54" s="89">
        <v>5080</v>
      </c>
      <c r="S54" s="89" t="s">
        <v>512</v>
      </c>
      <c r="T54" s="87"/>
      <c r="U54" s="89">
        <v>10160</v>
      </c>
      <c r="V54" s="89" t="s">
        <v>513</v>
      </c>
    </row>
    <row r="55" spans="6:22" ht="13.2">
      <c r="F55" s="89">
        <v>6410</v>
      </c>
      <c r="G55" s="89" t="s">
        <v>512</v>
      </c>
      <c r="H55" s="87"/>
      <c r="I55" s="94">
        <v>11630</v>
      </c>
      <c r="J55" s="91" t="s">
        <v>513</v>
      </c>
      <c r="K55" s="87"/>
      <c r="L55" s="89">
        <v>5880</v>
      </c>
      <c r="M55" s="89" t="s">
        <v>512</v>
      </c>
      <c r="N55" s="87"/>
      <c r="O55" s="89">
        <v>11540</v>
      </c>
      <c r="P55" s="89" t="s">
        <v>511</v>
      </c>
      <c r="Q55" s="87"/>
      <c r="R55" s="89">
        <v>5180</v>
      </c>
      <c r="S55" s="89" t="s">
        <v>514</v>
      </c>
      <c r="T55" s="87"/>
      <c r="U55" s="89">
        <v>10360</v>
      </c>
      <c r="V55" s="91" t="s">
        <v>513</v>
      </c>
    </row>
    <row r="56" spans="6:22" ht="13.2">
      <c r="F56" s="89">
        <v>6530</v>
      </c>
      <c r="G56" s="89" t="s">
        <v>514</v>
      </c>
      <c r="H56" s="87"/>
      <c r="I56" s="94">
        <v>11790</v>
      </c>
      <c r="J56" s="107"/>
      <c r="K56" s="87"/>
      <c r="L56" s="89">
        <v>6000</v>
      </c>
      <c r="M56" s="89" t="s">
        <v>514</v>
      </c>
      <c r="N56" s="87"/>
      <c r="O56" s="89">
        <v>11700</v>
      </c>
      <c r="P56" s="89" t="s">
        <v>513</v>
      </c>
      <c r="Q56" s="87"/>
      <c r="R56" s="89">
        <v>5270</v>
      </c>
      <c r="S56" s="89" t="s">
        <v>515</v>
      </c>
      <c r="T56" s="87"/>
      <c r="U56" s="94">
        <v>11790</v>
      </c>
      <c r="V56" s="107"/>
    </row>
    <row r="57" spans="6:21" ht="13.2">
      <c r="F57" s="89">
        <v>6650</v>
      </c>
      <c r="G57" s="89" t="s">
        <v>515</v>
      </c>
      <c r="H57" s="87"/>
      <c r="I57" s="108">
        <v>12090</v>
      </c>
      <c r="K57" s="87"/>
      <c r="L57" s="89">
        <v>6110</v>
      </c>
      <c r="M57" s="89" t="s">
        <v>515</v>
      </c>
      <c r="N57" s="87"/>
      <c r="O57" s="89">
        <v>12000</v>
      </c>
      <c r="Q57" s="109"/>
      <c r="R57" s="89">
        <v>5370</v>
      </c>
      <c r="S57" s="89" t="s">
        <v>516</v>
      </c>
      <c r="T57" s="87"/>
      <c r="U57" s="108">
        <v>12090</v>
      </c>
    </row>
    <row r="58" spans="6:21" ht="13.2">
      <c r="F58" s="89">
        <v>6770</v>
      </c>
      <c r="G58" s="89" t="s">
        <v>516</v>
      </c>
      <c r="H58" s="87"/>
      <c r="I58" s="87"/>
      <c r="K58" s="87"/>
      <c r="L58" s="89">
        <v>6220</v>
      </c>
      <c r="M58" s="89" t="s">
        <v>516</v>
      </c>
      <c r="N58" s="87"/>
      <c r="O58" s="87"/>
      <c r="Q58" s="87"/>
      <c r="R58" s="89">
        <v>5460</v>
      </c>
      <c r="S58" s="89" t="s">
        <v>517</v>
      </c>
      <c r="T58" s="87"/>
      <c r="U58" s="87"/>
    </row>
    <row r="59" spans="6:19" ht="13.2">
      <c r="F59" s="89">
        <v>6890</v>
      </c>
      <c r="G59" s="89" t="s">
        <v>517</v>
      </c>
      <c r="L59" s="89">
        <v>6330</v>
      </c>
      <c r="M59" s="89" t="s">
        <v>517</v>
      </c>
      <c r="R59" s="89">
        <v>5560</v>
      </c>
      <c r="S59" s="89" t="s">
        <v>518</v>
      </c>
    </row>
    <row r="60" spans="6:19" ht="13.2">
      <c r="F60" s="89">
        <v>7010</v>
      </c>
      <c r="G60" s="89" t="s">
        <v>518</v>
      </c>
      <c r="L60" s="89">
        <v>6440</v>
      </c>
      <c r="M60" s="89" t="s">
        <v>518</v>
      </c>
      <c r="R60" s="89">
        <v>5650</v>
      </c>
      <c r="S60" s="89" t="s">
        <v>519</v>
      </c>
    </row>
    <row r="61" spans="6:19" ht="13.2">
      <c r="F61" s="89">
        <v>7130</v>
      </c>
      <c r="G61" s="89" t="s">
        <v>519</v>
      </c>
      <c r="L61" s="89">
        <v>6550</v>
      </c>
      <c r="M61" s="89" t="s">
        <v>519</v>
      </c>
      <c r="R61" s="89">
        <v>5750</v>
      </c>
      <c r="S61" s="89" t="s">
        <v>520</v>
      </c>
    </row>
    <row r="62" spans="6:19" ht="13.2">
      <c r="F62" s="89">
        <v>7250</v>
      </c>
      <c r="G62" s="89" t="s">
        <v>520</v>
      </c>
      <c r="L62" s="89">
        <v>6660</v>
      </c>
      <c r="M62" s="89" t="s">
        <v>520</v>
      </c>
      <c r="R62" s="89">
        <v>5840</v>
      </c>
      <c r="S62" s="89" t="s">
        <v>521</v>
      </c>
    </row>
    <row r="63" spans="6:19" ht="13.2">
      <c r="F63" s="89">
        <v>7370</v>
      </c>
      <c r="G63" s="89" t="s">
        <v>521</v>
      </c>
      <c r="L63" s="89">
        <v>6770</v>
      </c>
      <c r="M63" s="89" t="s">
        <v>521</v>
      </c>
      <c r="R63" s="89">
        <v>5940</v>
      </c>
      <c r="S63" s="89" t="s">
        <v>522</v>
      </c>
    </row>
    <row r="64" spans="6:19" ht="13.2">
      <c r="F64" s="89">
        <v>7490</v>
      </c>
      <c r="G64" s="89" t="s">
        <v>522</v>
      </c>
      <c r="L64" s="89">
        <v>6880</v>
      </c>
      <c r="M64" s="89" t="s">
        <v>522</v>
      </c>
      <c r="R64" s="89">
        <v>6030</v>
      </c>
      <c r="S64" s="89" t="s">
        <v>523</v>
      </c>
    </row>
    <row r="65" spans="6:19" ht="13.2">
      <c r="F65" s="89">
        <v>7610</v>
      </c>
      <c r="G65" s="89" t="s">
        <v>523</v>
      </c>
      <c r="L65" s="89">
        <v>6990</v>
      </c>
      <c r="M65" s="89" t="s">
        <v>523</v>
      </c>
      <c r="R65" s="89">
        <v>6130</v>
      </c>
      <c r="S65" s="89" t="s">
        <v>524</v>
      </c>
    </row>
    <row r="66" spans="6:19" ht="13.2">
      <c r="F66" s="89">
        <v>7730</v>
      </c>
      <c r="G66" s="89" t="s">
        <v>524</v>
      </c>
      <c r="L66" s="89">
        <v>7100</v>
      </c>
      <c r="M66" s="89" t="s">
        <v>524</v>
      </c>
      <c r="R66" s="89">
        <v>6220</v>
      </c>
      <c r="S66" s="89" t="s">
        <v>525</v>
      </c>
    </row>
    <row r="67" spans="6:19" ht="13.2">
      <c r="F67" s="89">
        <v>7850</v>
      </c>
      <c r="G67" s="89" t="s">
        <v>525</v>
      </c>
      <c r="L67" s="89">
        <v>7210</v>
      </c>
      <c r="M67" s="89" t="s">
        <v>525</v>
      </c>
      <c r="R67" s="89">
        <v>6320</v>
      </c>
      <c r="S67" s="89" t="s">
        <v>526</v>
      </c>
    </row>
    <row r="68" spans="6:19" ht="13.2">
      <c r="F68" s="89">
        <v>7970</v>
      </c>
      <c r="G68" s="89" t="s">
        <v>526</v>
      </c>
      <c r="L68" s="89">
        <v>7320</v>
      </c>
      <c r="M68" s="89" t="s">
        <v>526</v>
      </c>
      <c r="R68" s="89">
        <v>6410</v>
      </c>
      <c r="S68" s="89" t="s">
        <v>527</v>
      </c>
    </row>
    <row r="69" spans="6:19" ht="13.2">
      <c r="F69" s="89">
        <v>8090</v>
      </c>
      <c r="G69" s="89" t="s">
        <v>527</v>
      </c>
      <c r="L69" s="89">
        <v>7430</v>
      </c>
      <c r="M69" s="89" t="s">
        <v>527</v>
      </c>
      <c r="R69" s="89">
        <v>6510</v>
      </c>
      <c r="S69" s="89" t="s">
        <v>528</v>
      </c>
    </row>
    <row r="70" spans="6:19" ht="13.2">
      <c r="F70" s="89">
        <v>8210</v>
      </c>
      <c r="G70" s="89" t="s">
        <v>528</v>
      </c>
      <c r="L70" s="89">
        <v>7540</v>
      </c>
      <c r="M70" s="89" t="s">
        <v>528</v>
      </c>
      <c r="R70" s="89">
        <v>6600</v>
      </c>
      <c r="S70" s="89" t="s">
        <v>529</v>
      </c>
    </row>
    <row r="71" spans="6:19" ht="13.2">
      <c r="F71" s="89">
        <v>8330</v>
      </c>
      <c r="G71" s="89" t="s">
        <v>529</v>
      </c>
      <c r="L71" s="89">
        <v>7650</v>
      </c>
      <c r="M71" s="89" t="s">
        <v>529</v>
      </c>
      <c r="R71" s="89">
        <v>6700</v>
      </c>
      <c r="S71" s="89" t="s">
        <v>530</v>
      </c>
    </row>
    <row r="72" spans="6:19" ht="13.2">
      <c r="F72" s="89">
        <v>8450</v>
      </c>
      <c r="G72" s="89" t="s">
        <v>530</v>
      </c>
      <c r="L72" s="89">
        <v>7760</v>
      </c>
      <c r="M72" s="89" t="s">
        <v>530</v>
      </c>
      <c r="R72" s="89">
        <v>6790</v>
      </c>
      <c r="S72" s="89" t="s">
        <v>531</v>
      </c>
    </row>
    <row r="73" spans="6:19" ht="13.2">
      <c r="F73" s="89">
        <v>8570</v>
      </c>
      <c r="G73" s="89" t="s">
        <v>531</v>
      </c>
      <c r="L73" s="89">
        <v>7870</v>
      </c>
      <c r="M73" s="89" t="s">
        <v>531</v>
      </c>
      <c r="R73" s="89">
        <v>6890</v>
      </c>
      <c r="S73" s="89" t="s">
        <v>532</v>
      </c>
    </row>
    <row r="74" spans="6:19" ht="13.2">
      <c r="F74" s="89">
        <v>8690</v>
      </c>
      <c r="G74" s="89" t="s">
        <v>532</v>
      </c>
      <c r="L74" s="89">
        <v>7980</v>
      </c>
      <c r="M74" s="89" t="s">
        <v>532</v>
      </c>
      <c r="R74" s="89">
        <v>6980</v>
      </c>
      <c r="S74" s="89" t="s">
        <v>533</v>
      </c>
    </row>
    <row r="75" spans="6:19" ht="13.2">
      <c r="F75" s="89">
        <v>8810</v>
      </c>
      <c r="G75" s="89" t="s">
        <v>533</v>
      </c>
      <c r="L75" s="89">
        <v>8090</v>
      </c>
      <c r="M75" s="89" t="s">
        <v>533</v>
      </c>
      <c r="R75" s="89">
        <v>7080</v>
      </c>
      <c r="S75" s="89" t="s">
        <v>534</v>
      </c>
    </row>
    <row r="76" spans="6:19" ht="13.2">
      <c r="F76" s="89">
        <v>8930</v>
      </c>
      <c r="G76" s="89" t="s">
        <v>534</v>
      </c>
      <c r="L76" s="89">
        <v>8200</v>
      </c>
      <c r="M76" s="89" t="s">
        <v>534</v>
      </c>
      <c r="R76" s="89">
        <v>7170</v>
      </c>
      <c r="S76" s="89" t="s">
        <v>535</v>
      </c>
    </row>
    <row r="77" spans="6:19" ht="13.2">
      <c r="F77" s="89">
        <v>9050</v>
      </c>
      <c r="G77" s="89" t="s">
        <v>535</v>
      </c>
      <c r="L77" s="89">
        <v>8310</v>
      </c>
      <c r="M77" s="89" t="s">
        <v>535</v>
      </c>
      <c r="R77" s="89">
        <v>7270</v>
      </c>
      <c r="S77" s="89" t="s">
        <v>536</v>
      </c>
    </row>
    <row r="78" spans="6:19" ht="13.2">
      <c r="F78" s="89">
        <v>9170</v>
      </c>
      <c r="G78" s="89" t="s">
        <v>536</v>
      </c>
      <c r="L78" s="89">
        <v>8420</v>
      </c>
      <c r="M78" s="89" t="s">
        <v>536</v>
      </c>
      <c r="R78" s="89">
        <v>7360</v>
      </c>
      <c r="S78" s="89" t="s">
        <v>537</v>
      </c>
    </row>
    <row r="79" spans="6:19" ht="13.2">
      <c r="F79" s="89">
        <v>9290</v>
      </c>
      <c r="G79" s="89" t="s">
        <v>537</v>
      </c>
      <c r="L79" s="89">
        <v>8530</v>
      </c>
      <c r="M79" s="89" t="s">
        <v>537</v>
      </c>
      <c r="R79" s="89">
        <v>7460</v>
      </c>
      <c r="S79" s="89" t="s">
        <v>538</v>
      </c>
    </row>
    <row r="80" spans="6:19" ht="13.2">
      <c r="F80" s="89">
        <v>9410</v>
      </c>
      <c r="G80" s="89" t="s">
        <v>538</v>
      </c>
      <c r="L80" s="89">
        <v>8640</v>
      </c>
      <c r="M80" s="89" t="s">
        <v>538</v>
      </c>
      <c r="R80" s="89">
        <v>7550</v>
      </c>
      <c r="S80" s="89" t="s">
        <v>539</v>
      </c>
    </row>
    <row r="81" spans="6:19" ht="13.2">
      <c r="F81" s="89">
        <v>9530</v>
      </c>
      <c r="G81" s="89" t="s">
        <v>539</v>
      </c>
      <c r="L81" s="89">
        <v>8750</v>
      </c>
      <c r="M81" s="89" t="s">
        <v>539</v>
      </c>
      <c r="R81" s="89">
        <v>7650</v>
      </c>
      <c r="S81" s="89" t="s">
        <v>540</v>
      </c>
    </row>
    <row r="82" spans="6:19" ht="13.2">
      <c r="F82" s="89">
        <v>9650</v>
      </c>
      <c r="G82" s="89" t="s">
        <v>540</v>
      </c>
      <c r="L82" s="89">
        <v>8860</v>
      </c>
      <c r="M82" s="89" t="s">
        <v>540</v>
      </c>
      <c r="R82" s="89">
        <v>7740</v>
      </c>
      <c r="S82" s="89" t="s">
        <v>541</v>
      </c>
    </row>
    <row r="83" spans="6:19" ht="13.2">
      <c r="F83" s="89">
        <v>9770</v>
      </c>
      <c r="G83" s="89" t="s">
        <v>541</v>
      </c>
      <c r="L83" s="89">
        <v>8970</v>
      </c>
      <c r="M83" s="89" t="s">
        <v>541</v>
      </c>
      <c r="R83" s="89">
        <v>7840</v>
      </c>
      <c r="S83" s="89" t="s">
        <v>542</v>
      </c>
    </row>
    <row r="84" spans="6:19" ht="13.2">
      <c r="F84" s="89">
        <v>9890</v>
      </c>
      <c r="G84" s="89" t="s">
        <v>542</v>
      </c>
      <c r="L84" s="89">
        <v>9080</v>
      </c>
      <c r="M84" s="89" t="s">
        <v>542</v>
      </c>
      <c r="R84" s="89">
        <v>7930</v>
      </c>
      <c r="S84" s="89" t="s">
        <v>543</v>
      </c>
    </row>
    <row r="85" spans="6:19" ht="13.2">
      <c r="F85" s="89">
        <v>10010</v>
      </c>
      <c r="G85" s="89" t="s">
        <v>543</v>
      </c>
      <c r="L85" s="89">
        <v>9190</v>
      </c>
      <c r="M85" s="89" t="s">
        <v>543</v>
      </c>
      <c r="R85" s="89">
        <v>8030</v>
      </c>
      <c r="S85" s="89" t="s">
        <v>544</v>
      </c>
    </row>
    <row r="86" spans="6:19" ht="13.2">
      <c r="F86" s="89">
        <v>10130</v>
      </c>
      <c r="G86" s="89" t="s">
        <v>544</v>
      </c>
      <c r="L86" s="89">
        <v>9300</v>
      </c>
      <c r="M86" s="89" t="s">
        <v>544</v>
      </c>
      <c r="R86" s="89">
        <v>8120</v>
      </c>
      <c r="S86" s="89" t="s">
        <v>545</v>
      </c>
    </row>
    <row r="87" spans="6:19" ht="13.2">
      <c r="F87" s="89">
        <v>10250</v>
      </c>
      <c r="G87" s="89" t="s">
        <v>545</v>
      </c>
      <c r="L87" s="89">
        <v>9410</v>
      </c>
      <c r="M87" s="89" t="s">
        <v>545</v>
      </c>
      <c r="R87" s="89">
        <v>8220</v>
      </c>
      <c r="S87" s="89" t="s">
        <v>546</v>
      </c>
    </row>
    <row r="88" spans="6:19" ht="13.2">
      <c r="F88" s="89">
        <v>10370</v>
      </c>
      <c r="G88" s="89" t="s">
        <v>546</v>
      </c>
      <c r="L88" s="89">
        <v>9520</v>
      </c>
      <c r="M88" s="89" t="s">
        <v>546</v>
      </c>
      <c r="R88" s="89">
        <v>8310</v>
      </c>
      <c r="S88" s="89" t="s">
        <v>547</v>
      </c>
    </row>
    <row r="89" spans="6:19" ht="13.2">
      <c r="F89" s="89">
        <v>10490</v>
      </c>
      <c r="G89" s="89" t="s">
        <v>547</v>
      </c>
      <c r="L89" s="89">
        <v>9630</v>
      </c>
      <c r="M89" s="89" t="s">
        <v>547</v>
      </c>
      <c r="R89" s="89">
        <v>8410</v>
      </c>
      <c r="S89" s="89" t="s">
        <v>548</v>
      </c>
    </row>
    <row r="90" spans="6:19" ht="13.2">
      <c r="F90" s="89">
        <v>10610</v>
      </c>
      <c r="G90" s="89" t="s">
        <v>548</v>
      </c>
      <c r="L90" s="89">
        <v>9740</v>
      </c>
      <c r="M90" s="89" t="s">
        <v>548</v>
      </c>
      <c r="R90" s="89">
        <v>8500</v>
      </c>
      <c r="S90" s="89" t="s">
        <v>549</v>
      </c>
    </row>
    <row r="91" spans="6:19" ht="13.2">
      <c r="F91" s="89">
        <v>10730</v>
      </c>
      <c r="G91" s="89" t="s">
        <v>549</v>
      </c>
      <c r="L91" s="89">
        <v>9850</v>
      </c>
      <c r="M91" s="89" t="s">
        <v>549</v>
      </c>
      <c r="R91" s="89">
        <v>8600</v>
      </c>
      <c r="S91" s="89" t="s">
        <v>550</v>
      </c>
    </row>
    <row r="92" spans="6:19" ht="13.2">
      <c r="F92" s="89">
        <v>10850</v>
      </c>
      <c r="G92" s="89" t="s">
        <v>550</v>
      </c>
      <c r="L92" s="89">
        <v>9960</v>
      </c>
      <c r="M92" s="89" t="s">
        <v>550</v>
      </c>
      <c r="R92" s="89">
        <v>8690</v>
      </c>
      <c r="S92" s="89" t="s">
        <v>551</v>
      </c>
    </row>
    <row r="93" spans="6:19" ht="13.2">
      <c r="F93" s="89">
        <v>10970</v>
      </c>
      <c r="G93" s="89" t="s">
        <v>551</v>
      </c>
      <c r="L93" s="89">
        <v>10070</v>
      </c>
      <c r="M93" s="89" t="s">
        <v>551</v>
      </c>
      <c r="R93" s="89">
        <v>8790</v>
      </c>
      <c r="S93" s="89" t="s">
        <v>552</v>
      </c>
    </row>
    <row r="94" spans="6:19" ht="13.2">
      <c r="F94" s="89">
        <v>11090</v>
      </c>
      <c r="G94" s="89" t="s">
        <v>552</v>
      </c>
      <c r="L94" s="89">
        <v>10180</v>
      </c>
      <c r="M94" s="89" t="s">
        <v>552</v>
      </c>
      <c r="R94" s="89">
        <v>8880</v>
      </c>
      <c r="S94" s="89" t="s">
        <v>553</v>
      </c>
    </row>
    <row r="95" spans="6:19" ht="13.2">
      <c r="F95" s="89">
        <v>11210</v>
      </c>
      <c r="G95" s="89" t="s">
        <v>553</v>
      </c>
      <c r="L95" s="89">
        <v>10290</v>
      </c>
      <c r="M95" s="89" t="s">
        <v>553</v>
      </c>
      <c r="R95" s="89">
        <v>8980</v>
      </c>
      <c r="S95" s="89" t="s">
        <v>554</v>
      </c>
    </row>
    <row r="96" spans="6:19" ht="13.2">
      <c r="F96" s="89">
        <v>11330</v>
      </c>
      <c r="G96" s="89" t="s">
        <v>554</v>
      </c>
      <c r="L96" s="89">
        <v>10400</v>
      </c>
      <c r="M96" s="89" t="s">
        <v>554</v>
      </c>
      <c r="R96" s="89">
        <v>9070</v>
      </c>
      <c r="S96" s="89" t="s">
        <v>555</v>
      </c>
    </row>
    <row r="97" spans="6:19" ht="13.2">
      <c r="F97" s="89">
        <v>11450</v>
      </c>
      <c r="G97" s="89" t="s">
        <v>555</v>
      </c>
      <c r="L97" s="89">
        <v>10510</v>
      </c>
      <c r="M97" s="89" t="s">
        <v>555</v>
      </c>
      <c r="R97" s="89">
        <v>9170</v>
      </c>
      <c r="S97" s="89" t="s">
        <v>556</v>
      </c>
    </row>
    <row r="98" spans="6:19" ht="13.2">
      <c r="F98" s="89">
        <v>11570</v>
      </c>
      <c r="G98" s="89" t="s">
        <v>556</v>
      </c>
      <c r="L98" s="89">
        <v>10620</v>
      </c>
      <c r="M98" s="89" t="s">
        <v>556</v>
      </c>
      <c r="R98" s="89">
        <v>9260</v>
      </c>
      <c r="S98" s="89" t="s">
        <v>557</v>
      </c>
    </row>
    <row r="99" spans="6:19" ht="13.2">
      <c r="F99" s="89">
        <v>11690</v>
      </c>
      <c r="G99" s="89" t="s">
        <v>557</v>
      </c>
      <c r="L99" s="89">
        <v>10730</v>
      </c>
      <c r="M99" s="89" t="s">
        <v>557</v>
      </c>
      <c r="R99" s="89">
        <v>9360</v>
      </c>
      <c r="S99" s="89" t="s">
        <v>558</v>
      </c>
    </row>
    <row r="100" spans="6:19" ht="13.2">
      <c r="F100" s="89">
        <v>11810</v>
      </c>
      <c r="G100" s="89" t="s">
        <v>558</v>
      </c>
      <c r="L100" s="89">
        <v>10840</v>
      </c>
      <c r="M100" s="89" t="s">
        <v>558</v>
      </c>
      <c r="R100" s="89">
        <v>9450</v>
      </c>
      <c r="S100" s="89" t="s">
        <v>559</v>
      </c>
    </row>
    <row r="101" spans="6:19" ht="13.2">
      <c r="F101" s="89">
        <v>11930</v>
      </c>
      <c r="G101" s="89" t="s">
        <v>559</v>
      </c>
      <c r="L101" s="89">
        <v>10950</v>
      </c>
      <c r="M101" s="89" t="s">
        <v>559</v>
      </c>
      <c r="R101" s="89">
        <v>9550</v>
      </c>
      <c r="S101" s="89" t="s">
        <v>560</v>
      </c>
    </row>
    <row r="102" spans="6:19" ht="13.2">
      <c r="F102" s="89">
        <v>12050</v>
      </c>
      <c r="G102" s="89" t="s">
        <v>560</v>
      </c>
      <c r="L102" s="89">
        <v>11060</v>
      </c>
      <c r="M102" s="89" t="s">
        <v>560</v>
      </c>
      <c r="R102" s="89">
        <v>9640</v>
      </c>
      <c r="S102" s="89" t="s">
        <v>561</v>
      </c>
    </row>
    <row r="103" spans="6:19" ht="13.2">
      <c r="F103" s="89">
        <v>12170</v>
      </c>
      <c r="G103" s="89" t="s">
        <v>561</v>
      </c>
      <c r="L103" s="89">
        <v>11170</v>
      </c>
      <c r="M103" s="89" t="s">
        <v>561</v>
      </c>
      <c r="R103" s="89">
        <v>9740</v>
      </c>
      <c r="S103" s="89" t="s">
        <v>562</v>
      </c>
    </row>
    <row r="104" spans="6:19" ht="13.2">
      <c r="F104" s="89">
        <v>12290</v>
      </c>
      <c r="G104" s="89" t="s">
        <v>562</v>
      </c>
      <c r="L104" s="89">
        <v>11280</v>
      </c>
      <c r="M104" s="89" t="s">
        <v>562</v>
      </c>
      <c r="R104" s="89">
        <v>9830</v>
      </c>
      <c r="S104" s="89" t="s">
        <v>563</v>
      </c>
    </row>
    <row r="105" spans="6:19" ht="13.2">
      <c r="F105" s="89">
        <v>12410</v>
      </c>
      <c r="G105" s="89" t="s">
        <v>563</v>
      </c>
      <c r="L105" s="89">
        <v>11390</v>
      </c>
      <c r="M105" s="89" t="s">
        <v>563</v>
      </c>
      <c r="R105" s="89">
        <v>9930</v>
      </c>
      <c r="S105" s="89" t="s">
        <v>564</v>
      </c>
    </row>
    <row r="106" spans="6:19" ht="13.2">
      <c r="F106" s="89">
        <v>12530</v>
      </c>
      <c r="L106" s="89">
        <v>11500</v>
      </c>
      <c r="M106" s="89" t="s">
        <v>564</v>
      </c>
      <c r="R106" s="89">
        <v>10020</v>
      </c>
      <c r="S106" s="89" t="s">
        <v>565</v>
      </c>
    </row>
    <row r="107" spans="12:19" ht="13.2">
      <c r="L107" s="89">
        <v>11610</v>
      </c>
      <c r="M107" s="89" t="s">
        <v>565</v>
      </c>
      <c r="R107" s="89">
        <v>10120</v>
      </c>
      <c r="S107" s="89" t="s">
        <v>566</v>
      </c>
    </row>
    <row r="108" spans="12:19" ht="13.2">
      <c r="L108" s="89">
        <v>11720</v>
      </c>
      <c r="M108" s="89" t="s">
        <v>566</v>
      </c>
      <c r="R108" s="89">
        <v>10210</v>
      </c>
      <c r="S108" s="89" t="s">
        <v>567</v>
      </c>
    </row>
    <row r="109" spans="12:19" ht="13.2">
      <c r="L109" s="89">
        <v>11830</v>
      </c>
      <c r="M109" s="89" t="s">
        <v>567</v>
      </c>
      <c r="R109" s="89">
        <v>10310</v>
      </c>
      <c r="S109" s="89" t="s">
        <v>568</v>
      </c>
    </row>
    <row r="110" spans="12:19" ht="13.2">
      <c r="L110" s="89">
        <v>11940</v>
      </c>
      <c r="M110" s="89" t="s">
        <v>568</v>
      </c>
      <c r="R110" s="89">
        <v>10400</v>
      </c>
      <c r="S110" s="89" t="s">
        <v>569</v>
      </c>
    </row>
    <row r="111" spans="12:19" ht="13.2">
      <c r="L111" s="89">
        <v>12050</v>
      </c>
      <c r="M111" s="89" t="s">
        <v>569</v>
      </c>
      <c r="R111" s="89">
        <v>10500</v>
      </c>
      <c r="S111" s="89" t="s">
        <v>570</v>
      </c>
    </row>
    <row r="112" spans="12:19" ht="13.2">
      <c r="L112" s="89">
        <v>12160</v>
      </c>
      <c r="M112" s="89" t="s">
        <v>570</v>
      </c>
      <c r="R112" s="89">
        <v>10590</v>
      </c>
      <c r="S112" s="89" t="s">
        <v>571</v>
      </c>
    </row>
    <row r="113" spans="12:19" ht="13.2">
      <c r="L113" s="89">
        <v>12270</v>
      </c>
      <c r="M113" s="89" t="s">
        <v>571</v>
      </c>
      <c r="R113" s="89">
        <v>10690</v>
      </c>
      <c r="S113" s="89" t="s">
        <v>572</v>
      </c>
    </row>
    <row r="114" spans="12:19" ht="13.2">
      <c r="L114" s="89">
        <v>12380</v>
      </c>
      <c r="R114" s="89">
        <v>10780</v>
      </c>
      <c r="S114" s="89" t="s">
        <v>573</v>
      </c>
    </row>
    <row r="115" spans="18:19" ht="13.2">
      <c r="R115" s="89">
        <v>10880</v>
      </c>
      <c r="S115" s="89" t="s">
        <v>574</v>
      </c>
    </row>
    <row r="116" spans="18:19" ht="13.2">
      <c r="R116" s="89">
        <v>10970</v>
      </c>
      <c r="S116" s="89" t="s">
        <v>575</v>
      </c>
    </row>
    <row r="117" spans="18:19" ht="13.2">
      <c r="R117" s="89">
        <v>11070</v>
      </c>
      <c r="S117" s="89" t="s">
        <v>576</v>
      </c>
    </row>
    <row r="118" spans="18:19" ht="13.2">
      <c r="R118" s="89">
        <v>11160</v>
      </c>
      <c r="S118" s="89" t="s">
        <v>577</v>
      </c>
    </row>
    <row r="119" spans="18:19" ht="13.2">
      <c r="R119" s="89">
        <v>11260</v>
      </c>
      <c r="S119" s="89" t="s">
        <v>578</v>
      </c>
    </row>
    <row r="120" spans="18:19" ht="13.2">
      <c r="R120" s="89">
        <v>11350</v>
      </c>
      <c r="S120" s="89" t="s">
        <v>579</v>
      </c>
    </row>
    <row r="121" spans="18:19" ht="13.2">
      <c r="R121" s="89">
        <v>11450</v>
      </c>
      <c r="S121" s="89" t="s">
        <v>580</v>
      </c>
    </row>
    <row r="122" spans="18:19" ht="13.2">
      <c r="R122" s="89">
        <v>11540</v>
      </c>
      <c r="S122" s="89" t="s">
        <v>581</v>
      </c>
    </row>
    <row r="123" spans="18:19" ht="13.2">
      <c r="R123" s="89">
        <v>11640</v>
      </c>
      <c r="S123" s="89" t="s">
        <v>582</v>
      </c>
    </row>
    <row r="124" spans="18:19" ht="13.2">
      <c r="R124" s="89">
        <v>11730</v>
      </c>
      <c r="S124" s="89" t="s">
        <v>583</v>
      </c>
    </row>
    <row r="125" spans="18:19" ht="13.2">
      <c r="R125" s="89">
        <v>11830</v>
      </c>
      <c r="S125" s="89" t="s">
        <v>584</v>
      </c>
    </row>
    <row r="126" spans="18:19" ht="13.2">
      <c r="R126" s="89">
        <v>11920</v>
      </c>
      <c r="S126" s="89" t="s">
        <v>585</v>
      </c>
    </row>
    <row r="127" spans="18:19" ht="13.2">
      <c r="R127" s="89">
        <v>12020</v>
      </c>
      <c r="S127" s="89" t="s">
        <v>586</v>
      </c>
    </row>
    <row r="128" spans="18:19" ht="13.2">
      <c r="R128" s="89">
        <v>12110</v>
      </c>
      <c r="S128" s="89" t="s">
        <v>587</v>
      </c>
    </row>
    <row r="129" ht="13.2">
      <c r="R129" s="89">
        <v>12210</v>
      </c>
    </row>
    <row r="177" ht="13.2">
      <c r="G177" s="110"/>
    </row>
    <row r="179" spans="6:8" ht="409.5">
      <c r="F179" s="110" t="s">
        <v>588</v>
      </c>
      <c r="H179" s="110"/>
    </row>
  </sheetData>
  <mergeCells count="7">
    <mergeCell ref="R1:S1"/>
    <mergeCell ref="U1:V1"/>
    <mergeCell ref="A21:C21"/>
    <mergeCell ref="F1:G1"/>
    <mergeCell ref="I1:J1"/>
    <mergeCell ref="L1:M1"/>
    <mergeCell ref="O1:P1"/>
  </mergeCells>
  <pageMargins left="0.892913385826784" right="0.892913385826784" top="0.75" bottom="0.75" header="0.3" footer="0.3"/>
  <pageSetup horizontalDpi="300" verticalDpi="3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2026-08-11T02:33:31Z</cp:lastPrinted>
  <dcterms:created xsi:type="dcterms:W3CDTF">2004-01-09T05:29:38Z</dcterms:created>
  <dcterms:modified xsi:type="dcterms:W3CDTF">2026-08-12T06:05:07Z</dcterms:modified>
  <cp:category/>
  <cp:contentType/>
  <cp:contentStatus/>
</cp:coreProperties>
</file>